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fyp files\"/>
    </mc:Choice>
  </mc:AlternateContent>
  <xr:revisionPtr revIDLastSave="0" documentId="13_ncr:1_{6252EFEF-B471-4133-A9E1-A17B538F12A7}" xr6:coauthVersionLast="47" xr6:coauthVersionMax="47" xr10:uidLastSave="{00000000-0000-0000-0000-000000000000}"/>
  <bookViews>
    <workbookView xWindow="-120" yWindow="-120" windowWidth="20730" windowHeight="11160" tabRatio="500" activeTab="3" xr2:uid="{00000000-000D-0000-FFFF-FFFF00000000}"/>
  </bookViews>
  <sheets>
    <sheet name="Dataset" sheetId="1" r:id="rId1"/>
    <sheet name="Column_Dictionary" sheetId="2" r:id="rId2"/>
    <sheet name="Risk_Assessment_Rules" sheetId="3" r:id="rId3"/>
    <sheet name="Risk_Calculation_Engine" sheetId="4" r:id="rId4"/>
    <sheet name="Risk_Label_Methodology" sheetId="5" r:id="rId5"/>
    <sheet name="Risk_Table_RMMM" sheetId="6" r:id="rId6"/>
    <sheet name="Encoding_Reference"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1504" i="4" l="1"/>
  <c r="Q1504" i="4"/>
  <c r="S1504" i="4" s="1"/>
  <c r="O1504" i="4"/>
  <c r="N1504" i="4"/>
  <c r="P1504" i="4" s="1"/>
  <c r="L1504" i="4"/>
  <c r="K1504" i="4"/>
  <c r="M1504" i="4" s="1"/>
  <c r="I1504" i="4"/>
  <c r="H1504" i="4"/>
  <c r="J1504" i="4" s="1"/>
  <c r="G1504" i="4"/>
  <c r="F1504" i="4"/>
  <c r="E1504" i="4"/>
  <c r="D1504" i="4"/>
  <c r="T1504" i="4" s="1"/>
  <c r="C1504" i="4"/>
  <c r="B1504" i="4"/>
  <c r="A1504" i="4"/>
  <c r="R1503" i="4"/>
  <c r="Q1503" i="4"/>
  <c r="S1503" i="4" s="1"/>
  <c r="P1503" i="4"/>
  <c r="O1503" i="4"/>
  <c r="N1503" i="4"/>
  <c r="M1503" i="4"/>
  <c r="L1503" i="4"/>
  <c r="K1503" i="4"/>
  <c r="I1503" i="4"/>
  <c r="H1503" i="4"/>
  <c r="J1503" i="4" s="1"/>
  <c r="F1503" i="4"/>
  <c r="E1503" i="4"/>
  <c r="G1503" i="4" s="1"/>
  <c r="D1503" i="4"/>
  <c r="C1503" i="4"/>
  <c r="B1503" i="4"/>
  <c r="A1503" i="4"/>
  <c r="R1502" i="4"/>
  <c r="Q1502" i="4"/>
  <c r="O1502" i="4"/>
  <c r="N1502" i="4"/>
  <c r="P1502" i="4" s="1"/>
  <c r="M1502" i="4"/>
  <c r="L1502" i="4"/>
  <c r="K1502" i="4"/>
  <c r="J1502" i="4"/>
  <c r="I1502" i="4"/>
  <c r="H1502" i="4"/>
  <c r="F1502" i="4"/>
  <c r="E1502" i="4"/>
  <c r="G1502" i="4" s="1"/>
  <c r="C1502" i="4"/>
  <c r="B1502" i="4"/>
  <c r="D1502" i="4" s="1"/>
  <c r="A1502" i="4"/>
  <c r="S1501" i="4"/>
  <c r="R1501" i="4"/>
  <c r="Q1501" i="4"/>
  <c r="O1501" i="4"/>
  <c r="N1501" i="4"/>
  <c r="P1501" i="4" s="1"/>
  <c r="L1501" i="4"/>
  <c r="K1501" i="4"/>
  <c r="M1501" i="4" s="1"/>
  <c r="J1501" i="4"/>
  <c r="I1501" i="4"/>
  <c r="H1501" i="4"/>
  <c r="G1501" i="4"/>
  <c r="F1501" i="4"/>
  <c r="E1501" i="4"/>
  <c r="C1501" i="4"/>
  <c r="B1501" i="4"/>
  <c r="D1501" i="4" s="1"/>
  <c r="A1501" i="4"/>
  <c r="S1500" i="4"/>
  <c r="R1500" i="4"/>
  <c r="Q1500" i="4"/>
  <c r="P1500" i="4"/>
  <c r="O1500" i="4"/>
  <c r="N1500" i="4"/>
  <c r="L1500" i="4"/>
  <c r="K1500" i="4"/>
  <c r="M1500" i="4" s="1"/>
  <c r="T1500" i="4" s="1"/>
  <c r="I1500" i="4"/>
  <c r="H1500" i="4"/>
  <c r="J1500" i="4" s="1"/>
  <c r="G1500" i="4"/>
  <c r="F1500" i="4"/>
  <c r="E1500" i="4"/>
  <c r="D1500" i="4"/>
  <c r="C1500" i="4"/>
  <c r="B1500" i="4"/>
  <c r="A1500" i="4"/>
  <c r="R1499" i="4"/>
  <c r="Q1499" i="4"/>
  <c r="S1499" i="4" s="1"/>
  <c r="P1499" i="4"/>
  <c r="O1499" i="4"/>
  <c r="N1499" i="4"/>
  <c r="M1499" i="4"/>
  <c r="L1499" i="4"/>
  <c r="K1499" i="4"/>
  <c r="I1499" i="4"/>
  <c r="H1499" i="4"/>
  <c r="J1499" i="4" s="1"/>
  <c r="F1499" i="4"/>
  <c r="E1499" i="4"/>
  <c r="G1499" i="4" s="1"/>
  <c r="D1499" i="4"/>
  <c r="C1499" i="4"/>
  <c r="B1499" i="4"/>
  <c r="A1499" i="4"/>
  <c r="R1498" i="4"/>
  <c r="Q1498" i="4"/>
  <c r="S1498" i="4" s="1"/>
  <c r="O1498" i="4"/>
  <c r="N1498" i="4"/>
  <c r="P1498" i="4" s="1"/>
  <c r="M1498" i="4"/>
  <c r="L1498" i="4"/>
  <c r="K1498" i="4"/>
  <c r="J1498" i="4"/>
  <c r="I1498" i="4"/>
  <c r="H1498" i="4"/>
  <c r="F1498" i="4"/>
  <c r="E1498" i="4"/>
  <c r="G1498" i="4" s="1"/>
  <c r="C1498" i="4"/>
  <c r="B1498" i="4"/>
  <c r="D1498" i="4" s="1"/>
  <c r="T1498" i="4" s="1"/>
  <c r="A1498" i="4"/>
  <c r="S1497" i="4"/>
  <c r="R1497" i="4"/>
  <c r="Q1497" i="4"/>
  <c r="O1497" i="4"/>
  <c r="N1497" i="4"/>
  <c r="P1497" i="4" s="1"/>
  <c r="L1497" i="4"/>
  <c r="K1497" i="4"/>
  <c r="M1497" i="4" s="1"/>
  <c r="J1497" i="4"/>
  <c r="I1497" i="4"/>
  <c r="H1497" i="4"/>
  <c r="G1497" i="4"/>
  <c r="F1497" i="4"/>
  <c r="E1497" i="4"/>
  <c r="C1497" i="4"/>
  <c r="B1497" i="4"/>
  <c r="D1497" i="4" s="1"/>
  <c r="T1497" i="4" s="1"/>
  <c r="A1497" i="4"/>
  <c r="S1496" i="4"/>
  <c r="R1496" i="4"/>
  <c r="Q1496" i="4"/>
  <c r="P1496" i="4"/>
  <c r="O1496" i="4"/>
  <c r="N1496" i="4"/>
  <c r="L1496" i="4"/>
  <c r="K1496" i="4"/>
  <c r="M1496" i="4" s="1"/>
  <c r="I1496" i="4"/>
  <c r="H1496" i="4"/>
  <c r="J1496" i="4" s="1"/>
  <c r="G1496" i="4"/>
  <c r="F1496" i="4"/>
  <c r="E1496" i="4"/>
  <c r="D1496" i="4"/>
  <c r="T1496" i="4" s="1"/>
  <c r="C1496" i="4"/>
  <c r="B1496" i="4"/>
  <c r="A1496" i="4"/>
  <c r="R1495" i="4"/>
  <c r="Q1495" i="4"/>
  <c r="S1495" i="4" s="1"/>
  <c r="P1495" i="4"/>
  <c r="O1495" i="4"/>
  <c r="N1495" i="4"/>
  <c r="M1495" i="4"/>
  <c r="L1495" i="4"/>
  <c r="K1495" i="4"/>
  <c r="I1495" i="4"/>
  <c r="H1495" i="4"/>
  <c r="J1495" i="4" s="1"/>
  <c r="F1495" i="4"/>
  <c r="E1495" i="4"/>
  <c r="G1495" i="4" s="1"/>
  <c r="D1495" i="4"/>
  <c r="C1495" i="4"/>
  <c r="B1495" i="4"/>
  <c r="A1495" i="4"/>
  <c r="R1494" i="4"/>
  <c r="Q1494" i="4"/>
  <c r="S1494" i="4" s="1"/>
  <c r="O1494" i="4"/>
  <c r="N1494" i="4"/>
  <c r="P1494" i="4" s="1"/>
  <c r="M1494" i="4"/>
  <c r="L1494" i="4"/>
  <c r="K1494" i="4"/>
  <c r="J1494" i="4"/>
  <c r="I1494" i="4"/>
  <c r="H1494" i="4"/>
  <c r="F1494" i="4"/>
  <c r="E1494" i="4"/>
  <c r="G1494" i="4" s="1"/>
  <c r="C1494" i="4"/>
  <c r="B1494" i="4"/>
  <c r="D1494" i="4" s="1"/>
  <c r="A1494" i="4"/>
  <c r="S1493" i="4"/>
  <c r="R1493" i="4"/>
  <c r="Q1493" i="4"/>
  <c r="O1493" i="4"/>
  <c r="N1493" i="4"/>
  <c r="P1493" i="4" s="1"/>
  <c r="L1493" i="4"/>
  <c r="K1493" i="4"/>
  <c r="M1493" i="4" s="1"/>
  <c r="J1493" i="4"/>
  <c r="I1493" i="4"/>
  <c r="H1493" i="4"/>
  <c r="G1493" i="4"/>
  <c r="F1493" i="4"/>
  <c r="E1493" i="4"/>
  <c r="C1493" i="4"/>
  <c r="B1493" i="4"/>
  <c r="D1493" i="4" s="1"/>
  <c r="A1493" i="4"/>
  <c r="S1492" i="4"/>
  <c r="R1492" i="4"/>
  <c r="Q1492" i="4"/>
  <c r="P1492" i="4"/>
  <c r="O1492" i="4"/>
  <c r="N1492" i="4"/>
  <c r="L1492" i="4"/>
  <c r="K1492" i="4"/>
  <c r="M1492" i="4" s="1"/>
  <c r="T1492" i="4" s="1"/>
  <c r="I1492" i="4"/>
  <c r="H1492" i="4"/>
  <c r="J1492" i="4" s="1"/>
  <c r="G1492" i="4"/>
  <c r="F1492" i="4"/>
  <c r="E1492" i="4"/>
  <c r="D1492" i="4"/>
  <c r="C1492" i="4"/>
  <c r="B1492" i="4"/>
  <c r="A1492" i="4"/>
  <c r="R1491" i="4"/>
  <c r="Q1491" i="4"/>
  <c r="S1491" i="4" s="1"/>
  <c r="P1491" i="4"/>
  <c r="O1491" i="4"/>
  <c r="N1491" i="4"/>
  <c r="M1491" i="4"/>
  <c r="L1491" i="4"/>
  <c r="K1491" i="4"/>
  <c r="I1491" i="4"/>
  <c r="H1491" i="4"/>
  <c r="J1491" i="4" s="1"/>
  <c r="F1491" i="4"/>
  <c r="E1491" i="4"/>
  <c r="G1491" i="4" s="1"/>
  <c r="D1491" i="4"/>
  <c r="C1491" i="4"/>
  <c r="B1491" i="4"/>
  <c r="A1491" i="4"/>
  <c r="R1490" i="4"/>
  <c r="Q1490" i="4"/>
  <c r="S1490" i="4" s="1"/>
  <c r="O1490" i="4"/>
  <c r="N1490" i="4"/>
  <c r="P1490" i="4" s="1"/>
  <c r="M1490" i="4"/>
  <c r="L1490" i="4"/>
  <c r="K1490" i="4"/>
  <c r="J1490" i="4"/>
  <c r="I1490" i="4"/>
  <c r="H1490" i="4"/>
  <c r="F1490" i="4"/>
  <c r="E1490" i="4"/>
  <c r="G1490" i="4" s="1"/>
  <c r="C1490" i="4"/>
  <c r="B1490" i="4"/>
  <c r="D1490" i="4" s="1"/>
  <c r="T1490" i="4" s="1"/>
  <c r="A1490" i="4"/>
  <c r="S1489" i="4"/>
  <c r="R1489" i="4"/>
  <c r="Q1489" i="4"/>
  <c r="O1489" i="4"/>
  <c r="N1489" i="4"/>
  <c r="P1489" i="4" s="1"/>
  <c r="L1489" i="4"/>
  <c r="K1489" i="4"/>
  <c r="M1489" i="4" s="1"/>
  <c r="J1489" i="4"/>
  <c r="I1489" i="4"/>
  <c r="H1489" i="4"/>
  <c r="G1489" i="4"/>
  <c r="F1489" i="4"/>
  <c r="E1489" i="4"/>
  <c r="C1489" i="4"/>
  <c r="B1489" i="4"/>
  <c r="D1489" i="4" s="1"/>
  <c r="T1489" i="4" s="1"/>
  <c r="A1489" i="4"/>
  <c r="S1488" i="4"/>
  <c r="R1488" i="4"/>
  <c r="Q1488" i="4"/>
  <c r="P1488" i="4"/>
  <c r="O1488" i="4"/>
  <c r="N1488" i="4"/>
  <c r="L1488" i="4"/>
  <c r="K1488" i="4"/>
  <c r="M1488" i="4" s="1"/>
  <c r="I1488" i="4"/>
  <c r="H1488" i="4"/>
  <c r="J1488" i="4" s="1"/>
  <c r="G1488" i="4"/>
  <c r="F1488" i="4"/>
  <c r="E1488" i="4"/>
  <c r="D1488" i="4"/>
  <c r="T1488" i="4" s="1"/>
  <c r="C1488" i="4"/>
  <c r="B1488" i="4"/>
  <c r="A1488" i="4"/>
  <c r="R1487" i="4"/>
  <c r="Q1487" i="4"/>
  <c r="S1487" i="4" s="1"/>
  <c r="P1487" i="4"/>
  <c r="O1487" i="4"/>
  <c r="N1487" i="4"/>
  <c r="M1487" i="4"/>
  <c r="L1487" i="4"/>
  <c r="K1487" i="4"/>
  <c r="I1487" i="4"/>
  <c r="H1487" i="4"/>
  <c r="J1487" i="4" s="1"/>
  <c r="F1487" i="4"/>
  <c r="E1487" i="4"/>
  <c r="G1487" i="4" s="1"/>
  <c r="D1487" i="4"/>
  <c r="C1487" i="4"/>
  <c r="B1487" i="4"/>
  <c r="A1487" i="4"/>
  <c r="R1486" i="4"/>
  <c r="Q1486" i="4"/>
  <c r="S1486" i="4" s="1"/>
  <c r="O1486" i="4"/>
  <c r="N1486" i="4"/>
  <c r="P1486" i="4" s="1"/>
  <c r="M1486" i="4"/>
  <c r="L1486" i="4"/>
  <c r="K1486" i="4"/>
  <c r="J1486" i="4"/>
  <c r="I1486" i="4"/>
  <c r="H1486" i="4"/>
  <c r="F1486" i="4"/>
  <c r="E1486" i="4"/>
  <c r="G1486" i="4" s="1"/>
  <c r="C1486" i="4"/>
  <c r="B1486" i="4"/>
  <c r="D1486" i="4" s="1"/>
  <c r="A1486" i="4"/>
  <c r="S1485" i="4"/>
  <c r="R1485" i="4"/>
  <c r="Q1485" i="4"/>
  <c r="O1485" i="4"/>
  <c r="N1485" i="4"/>
  <c r="P1485" i="4" s="1"/>
  <c r="L1485" i="4"/>
  <c r="K1485" i="4"/>
  <c r="M1485" i="4" s="1"/>
  <c r="J1485" i="4"/>
  <c r="I1485" i="4"/>
  <c r="H1485" i="4"/>
  <c r="G1485" i="4"/>
  <c r="F1485" i="4"/>
  <c r="E1485" i="4"/>
  <c r="C1485" i="4"/>
  <c r="B1485" i="4"/>
  <c r="D1485" i="4" s="1"/>
  <c r="A1485" i="4"/>
  <c r="S1484" i="4"/>
  <c r="R1484" i="4"/>
  <c r="Q1484" i="4"/>
  <c r="P1484" i="4"/>
  <c r="O1484" i="4"/>
  <c r="N1484" i="4"/>
  <c r="L1484" i="4"/>
  <c r="K1484" i="4"/>
  <c r="M1484" i="4" s="1"/>
  <c r="T1484" i="4" s="1"/>
  <c r="I1484" i="4"/>
  <c r="H1484" i="4"/>
  <c r="J1484" i="4" s="1"/>
  <c r="G1484" i="4"/>
  <c r="F1484" i="4"/>
  <c r="E1484" i="4"/>
  <c r="D1484" i="4"/>
  <c r="C1484" i="4"/>
  <c r="B1484" i="4"/>
  <c r="A1484" i="4"/>
  <c r="R1483" i="4"/>
  <c r="Q1483" i="4"/>
  <c r="S1483" i="4" s="1"/>
  <c r="P1483" i="4"/>
  <c r="O1483" i="4"/>
  <c r="N1483" i="4"/>
  <c r="M1483" i="4"/>
  <c r="L1483" i="4"/>
  <c r="K1483" i="4"/>
  <c r="I1483" i="4"/>
  <c r="H1483" i="4"/>
  <c r="J1483" i="4" s="1"/>
  <c r="F1483" i="4"/>
  <c r="E1483" i="4"/>
  <c r="G1483" i="4" s="1"/>
  <c r="D1483" i="4"/>
  <c r="C1483" i="4"/>
  <c r="B1483" i="4"/>
  <c r="A1483" i="4"/>
  <c r="R1482" i="4"/>
  <c r="Q1482" i="4"/>
  <c r="S1482" i="4" s="1"/>
  <c r="O1482" i="4"/>
  <c r="N1482" i="4"/>
  <c r="P1482" i="4" s="1"/>
  <c r="M1482" i="4"/>
  <c r="L1482" i="4"/>
  <c r="K1482" i="4"/>
  <c r="J1482" i="4"/>
  <c r="I1482" i="4"/>
  <c r="H1482" i="4"/>
  <c r="F1482" i="4"/>
  <c r="E1482" i="4"/>
  <c r="G1482" i="4" s="1"/>
  <c r="C1482" i="4"/>
  <c r="B1482" i="4"/>
  <c r="D1482" i="4" s="1"/>
  <c r="T1482" i="4" s="1"/>
  <c r="A1482" i="4"/>
  <c r="S1481" i="4"/>
  <c r="R1481" i="4"/>
  <c r="Q1481" i="4"/>
  <c r="O1481" i="4"/>
  <c r="N1481" i="4"/>
  <c r="P1481" i="4" s="1"/>
  <c r="L1481" i="4"/>
  <c r="K1481" i="4"/>
  <c r="M1481" i="4" s="1"/>
  <c r="J1481" i="4"/>
  <c r="I1481" i="4"/>
  <c r="H1481" i="4"/>
  <c r="G1481" i="4"/>
  <c r="F1481" i="4"/>
  <c r="E1481" i="4"/>
  <c r="C1481" i="4"/>
  <c r="B1481" i="4"/>
  <c r="D1481" i="4" s="1"/>
  <c r="T1481" i="4" s="1"/>
  <c r="A1481" i="4"/>
  <c r="S1480" i="4"/>
  <c r="R1480" i="4"/>
  <c r="Q1480" i="4"/>
  <c r="P1480" i="4"/>
  <c r="O1480" i="4"/>
  <c r="N1480" i="4"/>
  <c r="L1480" i="4"/>
  <c r="K1480" i="4"/>
  <c r="M1480" i="4" s="1"/>
  <c r="I1480" i="4"/>
  <c r="H1480" i="4"/>
  <c r="J1480" i="4" s="1"/>
  <c r="G1480" i="4"/>
  <c r="F1480" i="4"/>
  <c r="E1480" i="4"/>
  <c r="D1480" i="4"/>
  <c r="T1480" i="4" s="1"/>
  <c r="C1480" i="4"/>
  <c r="B1480" i="4"/>
  <c r="A1480" i="4"/>
  <c r="R1479" i="4"/>
  <c r="Q1479" i="4"/>
  <c r="S1479" i="4" s="1"/>
  <c r="P1479" i="4"/>
  <c r="O1479" i="4"/>
  <c r="N1479" i="4"/>
  <c r="M1479" i="4"/>
  <c r="L1479" i="4"/>
  <c r="K1479" i="4"/>
  <c r="I1479" i="4"/>
  <c r="H1479" i="4"/>
  <c r="J1479" i="4" s="1"/>
  <c r="F1479" i="4"/>
  <c r="E1479" i="4"/>
  <c r="G1479" i="4" s="1"/>
  <c r="D1479" i="4"/>
  <c r="C1479" i="4"/>
  <c r="B1479" i="4"/>
  <c r="A1479" i="4"/>
  <c r="R1478" i="4"/>
  <c r="Q1478" i="4"/>
  <c r="S1478" i="4" s="1"/>
  <c r="O1478" i="4"/>
  <c r="N1478" i="4"/>
  <c r="P1478" i="4" s="1"/>
  <c r="M1478" i="4"/>
  <c r="L1478" i="4"/>
  <c r="K1478" i="4"/>
  <c r="J1478" i="4"/>
  <c r="I1478" i="4"/>
  <c r="H1478" i="4"/>
  <c r="F1478" i="4"/>
  <c r="E1478" i="4"/>
  <c r="G1478" i="4" s="1"/>
  <c r="C1478" i="4"/>
  <c r="B1478" i="4"/>
  <c r="D1478" i="4" s="1"/>
  <c r="A1478" i="4"/>
  <c r="S1477" i="4"/>
  <c r="R1477" i="4"/>
  <c r="Q1477" i="4"/>
  <c r="O1477" i="4"/>
  <c r="N1477" i="4"/>
  <c r="P1477" i="4" s="1"/>
  <c r="L1477" i="4"/>
  <c r="K1477" i="4"/>
  <c r="M1477" i="4" s="1"/>
  <c r="J1477" i="4"/>
  <c r="I1477" i="4"/>
  <c r="H1477" i="4"/>
  <c r="G1477" i="4"/>
  <c r="F1477" i="4"/>
  <c r="E1477" i="4"/>
  <c r="C1477" i="4"/>
  <c r="B1477" i="4"/>
  <c r="D1477" i="4" s="1"/>
  <c r="A1477" i="4"/>
  <c r="S1476" i="4"/>
  <c r="R1476" i="4"/>
  <c r="Q1476" i="4"/>
  <c r="P1476" i="4"/>
  <c r="O1476" i="4"/>
  <c r="N1476" i="4"/>
  <c r="L1476" i="4"/>
  <c r="K1476" i="4"/>
  <c r="M1476" i="4" s="1"/>
  <c r="T1476" i="4" s="1"/>
  <c r="I1476" i="4"/>
  <c r="H1476" i="4"/>
  <c r="J1476" i="4" s="1"/>
  <c r="G1476" i="4"/>
  <c r="F1476" i="4"/>
  <c r="E1476" i="4"/>
  <c r="D1476" i="4"/>
  <c r="C1476" i="4"/>
  <c r="B1476" i="4"/>
  <c r="A1476" i="4"/>
  <c r="R1475" i="4"/>
  <c r="Q1475" i="4"/>
  <c r="S1475" i="4" s="1"/>
  <c r="P1475" i="4"/>
  <c r="O1475" i="4"/>
  <c r="N1475" i="4"/>
  <c r="M1475" i="4"/>
  <c r="L1475" i="4"/>
  <c r="K1475" i="4"/>
  <c r="I1475" i="4"/>
  <c r="H1475" i="4"/>
  <c r="J1475" i="4" s="1"/>
  <c r="F1475" i="4"/>
  <c r="E1475" i="4"/>
  <c r="G1475" i="4" s="1"/>
  <c r="D1475" i="4"/>
  <c r="C1475" i="4"/>
  <c r="B1475" i="4"/>
  <c r="A1475" i="4"/>
  <c r="R1474" i="4"/>
  <c r="Q1474" i="4"/>
  <c r="S1474" i="4" s="1"/>
  <c r="O1474" i="4"/>
  <c r="N1474" i="4"/>
  <c r="P1474" i="4" s="1"/>
  <c r="M1474" i="4"/>
  <c r="L1474" i="4"/>
  <c r="K1474" i="4"/>
  <c r="J1474" i="4"/>
  <c r="I1474" i="4"/>
  <c r="H1474" i="4"/>
  <c r="F1474" i="4"/>
  <c r="E1474" i="4"/>
  <c r="G1474" i="4" s="1"/>
  <c r="C1474" i="4"/>
  <c r="B1474" i="4"/>
  <c r="D1474" i="4" s="1"/>
  <c r="T1474" i="4" s="1"/>
  <c r="A1474" i="4"/>
  <c r="S1473" i="4"/>
  <c r="R1473" i="4"/>
  <c r="Q1473" i="4"/>
  <c r="O1473" i="4"/>
  <c r="N1473" i="4"/>
  <c r="P1473" i="4" s="1"/>
  <c r="L1473" i="4"/>
  <c r="K1473" i="4"/>
  <c r="M1473" i="4" s="1"/>
  <c r="J1473" i="4"/>
  <c r="I1473" i="4"/>
  <c r="H1473" i="4"/>
  <c r="G1473" i="4"/>
  <c r="F1473" i="4"/>
  <c r="E1473" i="4"/>
  <c r="C1473" i="4"/>
  <c r="B1473" i="4"/>
  <c r="D1473" i="4" s="1"/>
  <c r="T1473" i="4" s="1"/>
  <c r="A1473" i="4"/>
  <c r="S1472" i="4"/>
  <c r="R1472" i="4"/>
  <c r="Q1472" i="4"/>
  <c r="P1472" i="4"/>
  <c r="O1472" i="4"/>
  <c r="N1472" i="4"/>
  <c r="L1472" i="4"/>
  <c r="K1472" i="4"/>
  <c r="M1472" i="4" s="1"/>
  <c r="I1472" i="4"/>
  <c r="H1472" i="4"/>
  <c r="J1472" i="4" s="1"/>
  <c r="G1472" i="4"/>
  <c r="F1472" i="4"/>
  <c r="E1472" i="4"/>
  <c r="D1472" i="4"/>
  <c r="T1472" i="4" s="1"/>
  <c r="C1472" i="4"/>
  <c r="B1472" i="4"/>
  <c r="A1472" i="4"/>
  <c r="R1471" i="4"/>
  <c r="Q1471" i="4"/>
  <c r="S1471" i="4" s="1"/>
  <c r="P1471" i="4"/>
  <c r="O1471" i="4"/>
  <c r="N1471" i="4"/>
  <c r="M1471" i="4"/>
  <c r="L1471" i="4"/>
  <c r="K1471" i="4"/>
  <c r="I1471" i="4"/>
  <c r="H1471" i="4"/>
  <c r="J1471" i="4" s="1"/>
  <c r="F1471" i="4"/>
  <c r="E1471" i="4"/>
  <c r="G1471" i="4" s="1"/>
  <c r="D1471" i="4"/>
  <c r="C1471" i="4"/>
  <c r="B1471" i="4"/>
  <c r="A1471" i="4"/>
  <c r="R1470" i="4"/>
  <c r="Q1470" i="4"/>
  <c r="S1470" i="4" s="1"/>
  <c r="O1470" i="4"/>
  <c r="N1470" i="4"/>
  <c r="P1470" i="4" s="1"/>
  <c r="M1470" i="4"/>
  <c r="L1470" i="4"/>
  <c r="K1470" i="4"/>
  <c r="J1470" i="4"/>
  <c r="I1470" i="4"/>
  <c r="H1470" i="4"/>
  <c r="F1470" i="4"/>
  <c r="E1470" i="4"/>
  <c r="G1470" i="4" s="1"/>
  <c r="C1470" i="4"/>
  <c r="B1470" i="4"/>
  <c r="D1470" i="4" s="1"/>
  <c r="A1470" i="4"/>
  <c r="S1469" i="4"/>
  <c r="R1469" i="4"/>
  <c r="Q1469" i="4"/>
  <c r="O1469" i="4"/>
  <c r="N1469" i="4"/>
  <c r="P1469" i="4" s="1"/>
  <c r="L1469" i="4"/>
  <c r="K1469" i="4"/>
  <c r="M1469" i="4" s="1"/>
  <c r="J1469" i="4"/>
  <c r="I1469" i="4"/>
  <c r="H1469" i="4"/>
  <c r="G1469" i="4"/>
  <c r="F1469" i="4"/>
  <c r="E1469" i="4"/>
  <c r="C1469" i="4"/>
  <c r="B1469" i="4"/>
  <c r="D1469" i="4" s="1"/>
  <c r="A1469" i="4"/>
  <c r="S1468" i="4"/>
  <c r="R1468" i="4"/>
  <c r="Q1468" i="4"/>
  <c r="P1468" i="4"/>
  <c r="O1468" i="4"/>
  <c r="N1468" i="4"/>
  <c r="L1468" i="4"/>
  <c r="K1468" i="4"/>
  <c r="M1468" i="4" s="1"/>
  <c r="T1468" i="4" s="1"/>
  <c r="I1468" i="4"/>
  <c r="H1468" i="4"/>
  <c r="J1468" i="4" s="1"/>
  <c r="G1468" i="4"/>
  <c r="F1468" i="4"/>
  <c r="E1468" i="4"/>
  <c r="D1468" i="4"/>
  <c r="C1468" i="4"/>
  <c r="B1468" i="4"/>
  <c r="A1468" i="4"/>
  <c r="R1467" i="4"/>
  <c r="Q1467" i="4"/>
  <c r="S1467" i="4" s="1"/>
  <c r="P1467" i="4"/>
  <c r="O1467" i="4"/>
  <c r="N1467" i="4"/>
  <c r="M1467" i="4"/>
  <c r="L1467" i="4"/>
  <c r="K1467" i="4"/>
  <c r="I1467" i="4"/>
  <c r="H1467" i="4"/>
  <c r="J1467" i="4" s="1"/>
  <c r="F1467" i="4"/>
  <c r="E1467" i="4"/>
  <c r="G1467" i="4" s="1"/>
  <c r="D1467" i="4"/>
  <c r="C1467" i="4"/>
  <c r="B1467" i="4"/>
  <c r="A1467" i="4"/>
  <c r="R1466" i="4"/>
  <c r="Q1466" i="4"/>
  <c r="S1466" i="4" s="1"/>
  <c r="O1466" i="4"/>
  <c r="N1466" i="4"/>
  <c r="P1466" i="4" s="1"/>
  <c r="M1466" i="4"/>
  <c r="L1466" i="4"/>
  <c r="K1466" i="4"/>
  <c r="J1466" i="4"/>
  <c r="I1466" i="4"/>
  <c r="H1466" i="4"/>
  <c r="F1466" i="4"/>
  <c r="E1466" i="4"/>
  <c r="G1466" i="4" s="1"/>
  <c r="C1466" i="4"/>
  <c r="B1466" i="4"/>
  <c r="D1466" i="4" s="1"/>
  <c r="T1466" i="4" s="1"/>
  <c r="A1466" i="4"/>
  <c r="S1465" i="4"/>
  <c r="R1465" i="4"/>
  <c r="Q1465" i="4"/>
  <c r="O1465" i="4"/>
  <c r="N1465" i="4"/>
  <c r="P1465" i="4" s="1"/>
  <c r="L1465" i="4"/>
  <c r="K1465" i="4"/>
  <c r="M1465" i="4" s="1"/>
  <c r="J1465" i="4"/>
  <c r="I1465" i="4"/>
  <c r="H1465" i="4"/>
  <c r="G1465" i="4"/>
  <c r="F1465" i="4"/>
  <c r="E1465" i="4"/>
  <c r="C1465" i="4"/>
  <c r="B1465" i="4"/>
  <c r="D1465" i="4" s="1"/>
  <c r="T1465" i="4" s="1"/>
  <c r="A1465" i="4"/>
  <c r="S1464" i="4"/>
  <c r="R1464" i="4"/>
  <c r="Q1464" i="4"/>
  <c r="P1464" i="4"/>
  <c r="O1464" i="4"/>
  <c r="N1464" i="4"/>
  <c r="L1464" i="4"/>
  <c r="K1464" i="4"/>
  <c r="M1464" i="4" s="1"/>
  <c r="I1464" i="4"/>
  <c r="H1464" i="4"/>
  <c r="J1464" i="4" s="1"/>
  <c r="G1464" i="4"/>
  <c r="F1464" i="4"/>
  <c r="E1464" i="4"/>
  <c r="D1464" i="4"/>
  <c r="T1464" i="4" s="1"/>
  <c r="C1464" i="4"/>
  <c r="B1464" i="4"/>
  <c r="A1464" i="4"/>
  <c r="R1463" i="4"/>
  <c r="Q1463" i="4"/>
  <c r="S1463" i="4" s="1"/>
  <c r="P1463" i="4"/>
  <c r="O1463" i="4"/>
  <c r="N1463" i="4"/>
  <c r="L1463" i="4"/>
  <c r="M1463" i="4" s="1"/>
  <c r="K1463" i="4"/>
  <c r="I1463" i="4"/>
  <c r="H1463" i="4"/>
  <c r="F1463" i="4"/>
  <c r="E1463" i="4"/>
  <c r="G1463" i="4" s="1"/>
  <c r="D1463" i="4"/>
  <c r="C1463" i="4"/>
  <c r="B1463" i="4"/>
  <c r="A1463" i="4"/>
  <c r="R1462" i="4"/>
  <c r="Q1462" i="4"/>
  <c r="S1462" i="4" s="1"/>
  <c r="O1462" i="4"/>
  <c r="N1462" i="4"/>
  <c r="P1462" i="4" s="1"/>
  <c r="L1462" i="4"/>
  <c r="K1462" i="4"/>
  <c r="M1462" i="4" s="1"/>
  <c r="I1462" i="4"/>
  <c r="H1462" i="4"/>
  <c r="J1462" i="4" s="1"/>
  <c r="F1462" i="4"/>
  <c r="E1462" i="4"/>
  <c r="G1462" i="4" s="1"/>
  <c r="D1462" i="4"/>
  <c r="T1462" i="4" s="1"/>
  <c r="C1462" i="4"/>
  <c r="B1462" i="4"/>
  <c r="A1462" i="4"/>
  <c r="R1461" i="4"/>
  <c r="Q1461" i="4"/>
  <c r="S1461" i="4" s="1"/>
  <c r="O1461" i="4"/>
  <c r="N1461" i="4"/>
  <c r="P1461" i="4" s="1"/>
  <c r="M1461" i="4"/>
  <c r="L1461" i="4"/>
  <c r="K1461" i="4"/>
  <c r="I1461" i="4"/>
  <c r="J1461" i="4" s="1"/>
  <c r="H1461" i="4"/>
  <c r="F1461" i="4"/>
  <c r="E1461" i="4"/>
  <c r="G1461" i="4" s="1"/>
  <c r="C1461" i="4"/>
  <c r="B1461" i="4"/>
  <c r="D1461" i="4" s="1"/>
  <c r="A1461" i="4"/>
  <c r="R1460" i="4"/>
  <c r="S1460" i="4" s="1"/>
  <c r="Q1460" i="4"/>
  <c r="O1460" i="4"/>
  <c r="N1460" i="4"/>
  <c r="P1460" i="4" s="1"/>
  <c r="L1460" i="4"/>
  <c r="K1460" i="4"/>
  <c r="M1460" i="4" s="1"/>
  <c r="J1460" i="4"/>
  <c r="I1460" i="4"/>
  <c r="H1460" i="4"/>
  <c r="F1460" i="4"/>
  <c r="G1460" i="4" s="1"/>
  <c r="E1460" i="4"/>
  <c r="C1460" i="4"/>
  <c r="B1460" i="4"/>
  <c r="D1460" i="4" s="1"/>
  <c r="A1460" i="4"/>
  <c r="S1459" i="4"/>
  <c r="R1459" i="4"/>
  <c r="Q1459" i="4"/>
  <c r="O1459" i="4"/>
  <c r="P1459" i="4" s="1"/>
  <c r="N1459" i="4"/>
  <c r="L1459" i="4"/>
  <c r="K1459" i="4"/>
  <c r="M1459" i="4" s="1"/>
  <c r="I1459" i="4"/>
  <c r="H1459" i="4"/>
  <c r="J1459" i="4" s="1"/>
  <c r="G1459" i="4"/>
  <c r="F1459" i="4"/>
  <c r="E1459" i="4"/>
  <c r="C1459" i="4"/>
  <c r="D1459" i="4" s="1"/>
  <c r="B1459" i="4"/>
  <c r="A1459" i="4"/>
  <c r="R1458" i="4"/>
  <c r="Q1458" i="4"/>
  <c r="S1458" i="4" s="1"/>
  <c r="P1458" i="4"/>
  <c r="O1458" i="4"/>
  <c r="N1458" i="4"/>
  <c r="L1458" i="4"/>
  <c r="M1458" i="4" s="1"/>
  <c r="K1458" i="4"/>
  <c r="I1458" i="4"/>
  <c r="H1458" i="4"/>
  <c r="J1458" i="4" s="1"/>
  <c r="F1458" i="4"/>
  <c r="E1458" i="4"/>
  <c r="G1458" i="4" s="1"/>
  <c r="D1458" i="4"/>
  <c r="T1458" i="4" s="1"/>
  <c r="C1458" i="4"/>
  <c r="B1458" i="4"/>
  <c r="A1458" i="4"/>
  <c r="R1457" i="4"/>
  <c r="Q1457" i="4"/>
  <c r="S1457" i="4" s="1"/>
  <c r="O1457" i="4"/>
  <c r="N1457" i="4"/>
  <c r="P1457" i="4" s="1"/>
  <c r="M1457" i="4"/>
  <c r="L1457" i="4"/>
  <c r="K1457" i="4"/>
  <c r="I1457" i="4"/>
  <c r="H1457" i="4"/>
  <c r="F1457" i="4"/>
  <c r="E1457" i="4"/>
  <c r="G1457" i="4" s="1"/>
  <c r="C1457" i="4"/>
  <c r="B1457" i="4"/>
  <c r="D1457" i="4" s="1"/>
  <c r="A1457" i="4"/>
  <c r="R1456" i="4"/>
  <c r="Q1456" i="4"/>
  <c r="S1456" i="4" s="1"/>
  <c r="O1456" i="4"/>
  <c r="N1456" i="4"/>
  <c r="P1456" i="4" s="1"/>
  <c r="L1456" i="4"/>
  <c r="K1456" i="4"/>
  <c r="M1456" i="4" s="1"/>
  <c r="J1456" i="4"/>
  <c r="I1456" i="4"/>
  <c r="H1456" i="4"/>
  <c r="F1456" i="4"/>
  <c r="E1456" i="4"/>
  <c r="C1456" i="4"/>
  <c r="B1456" i="4"/>
  <c r="D1456" i="4" s="1"/>
  <c r="A1456" i="4"/>
  <c r="S1455" i="4"/>
  <c r="R1455" i="4"/>
  <c r="Q1455" i="4"/>
  <c r="O1455" i="4"/>
  <c r="N1455" i="4"/>
  <c r="L1455" i="4"/>
  <c r="K1455" i="4"/>
  <c r="M1455" i="4" s="1"/>
  <c r="I1455" i="4"/>
  <c r="H1455" i="4"/>
  <c r="J1455" i="4" s="1"/>
  <c r="G1455" i="4"/>
  <c r="F1455" i="4"/>
  <c r="E1455" i="4"/>
  <c r="C1455" i="4"/>
  <c r="B1455" i="4"/>
  <c r="D1455" i="4" s="1"/>
  <c r="A1455" i="4"/>
  <c r="R1454" i="4"/>
  <c r="S1454" i="4" s="1"/>
  <c r="Q1454" i="4"/>
  <c r="P1454" i="4"/>
  <c r="O1454" i="4"/>
  <c r="N1454" i="4"/>
  <c r="L1454" i="4"/>
  <c r="K1454" i="4"/>
  <c r="M1454" i="4" s="1"/>
  <c r="I1454" i="4"/>
  <c r="H1454" i="4"/>
  <c r="J1454" i="4" s="1"/>
  <c r="F1454" i="4"/>
  <c r="G1454" i="4" s="1"/>
  <c r="E1454" i="4"/>
  <c r="D1454" i="4"/>
  <c r="T1454" i="4" s="1"/>
  <c r="C1454" i="4"/>
  <c r="B1454" i="4"/>
  <c r="A1454" i="4"/>
  <c r="R1453" i="4"/>
  <c r="Q1453" i="4"/>
  <c r="S1453" i="4" s="1"/>
  <c r="O1453" i="4"/>
  <c r="P1453" i="4" s="1"/>
  <c r="N1453" i="4"/>
  <c r="M1453" i="4"/>
  <c r="L1453" i="4"/>
  <c r="K1453" i="4"/>
  <c r="I1453" i="4"/>
  <c r="H1453" i="4"/>
  <c r="F1453" i="4"/>
  <c r="E1453" i="4"/>
  <c r="G1453" i="4" s="1"/>
  <c r="C1453" i="4"/>
  <c r="D1453" i="4" s="1"/>
  <c r="B1453" i="4"/>
  <c r="A1453" i="4"/>
  <c r="R1452" i="4"/>
  <c r="Q1452" i="4"/>
  <c r="S1452" i="4" s="1"/>
  <c r="O1452" i="4"/>
  <c r="N1452" i="4"/>
  <c r="P1452" i="4" s="1"/>
  <c r="L1452" i="4"/>
  <c r="K1452" i="4"/>
  <c r="M1452" i="4" s="1"/>
  <c r="J1452" i="4"/>
  <c r="I1452" i="4"/>
  <c r="H1452" i="4"/>
  <c r="F1452" i="4"/>
  <c r="E1452" i="4"/>
  <c r="C1452" i="4"/>
  <c r="B1452" i="4"/>
  <c r="D1452" i="4" s="1"/>
  <c r="A1452" i="4"/>
  <c r="S1451" i="4"/>
  <c r="R1451" i="4"/>
  <c r="Q1451" i="4"/>
  <c r="O1451" i="4"/>
  <c r="N1451" i="4"/>
  <c r="L1451" i="4"/>
  <c r="K1451" i="4"/>
  <c r="M1451" i="4" s="1"/>
  <c r="I1451" i="4"/>
  <c r="H1451" i="4"/>
  <c r="J1451" i="4" s="1"/>
  <c r="G1451" i="4"/>
  <c r="F1451" i="4"/>
  <c r="E1451" i="4"/>
  <c r="C1451" i="4"/>
  <c r="B1451" i="4"/>
  <c r="D1451" i="4" s="1"/>
  <c r="A1451" i="4"/>
  <c r="R1450" i="4"/>
  <c r="Q1450" i="4"/>
  <c r="S1450" i="4" s="1"/>
  <c r="P1450" i="4"/>
  <c r="O1450" i="4"/>
  <c r="N1450" i="4"/>
  <c r="L1450" i="4"/>
  <c r="K1450" i="4"/>
  <c r="M1450" i="4" s="1"/>
  <c r="I1450" i="4"/>
  <c r="H1450" i="4"/>
  <c r="J1450" i="4" s="1"/>
  <c r="F1450" i="4"/>
  <c r="E1450" i="4"/>
  <c r="G1450" i="4" s="1"/>
  <c r="D1450" i="4"/>
  <c r="T1450" i="4" s="1"/>
  <c r="C1450" i="4"/>
  <c r="B1450" i="4"/>
  <c r="A1450" i="4"/>
  <c r="R1449" i="4"/>
  <c r="Q1449" i="4"/>
  <c r="S1449" i="4" s="1"/>
  <c r="O1449" i="4"/>
  <c r="N1449" i="4"/>
  <c r="P1449" i="4" s="1"/>
  <c r="M1449" i="4"/>
  <c r="L1449" i="4"/>
  <c r="K1449" i="4"/>
  <c r="I1449" i="4"/>
  <c r="H1449" i="4"/>
  <c r="F1449" i="4"/>
  <c r="E1449" i="4"/>
  <c r="G1449" i="4" s="1"/>
  <c r="C1449" i="4"/>
  <c r="B1449" i="4"/>
  <c r="D1449" i="4" s="1"/>
  <c r="A1449" i="4"/>
  <c r="R1448" i="4"/>
  <c r="S1448" i="4" s="1"/>
  <c r="Q1448" i="4"/>
  <c r="O1448" i="4"/>
  <c r="N1448" i="4"/>
  <c r="P1448" i="4" s="1"/>
  <c r="L1448" i="4"/>
  <c r="K1448" i="4"/>
  <c r="M1448" i="4" s="1"/>
  <c r="J1448" i="4"/>
  <c r="I1448" i="4"/>
  <c r="H1448" i="4"/>
  <c r="F1448" i="4"/>
  <c r="G1448" i="4" s="1"/>
  <c r="E1448" i="4"/>
  <c r="C1448" i="4"/>
  <c r="B1448" i="4"/>
  <c r="D1448" i="4" s="1"/>
  <c r="A1448" i="4"/>
  <c r="S1447" i="4"/>
  <c r="R1447" i="4"/>
  <c r="Q1447" i="4"/>
  <c r="O1447" i="4"/>
  <c r="P1447" i="4" s="1"/>
  <c r="N1447" i="4"/>
  <c r="L1447" i="4"/>
  <c r="K1447" i="4"/>
  <c r="M1447" i="4" s="1"/>
  <c r="I1447" i="4"/>
  <c r="H1447" i="4"/>
  <c r="J1447" i="4" s="1"/>
  <c r="G1447" i="4"/>
  <c r="F1447" i="4"/>
  <c r="E1447" i="4"/>
  <c r="C1447" i="4"/>
  <c r="D1447" i="4" s="1"/>
  <c r="B1447" i="4"/>
  <c r="A1447" i="4"/>
  <c r="R1446" i="4"/>
  <c r="Q1446" i="4"/>
  <c r="S1446" i="4" s="1"/>
  <c r="P1446" i="4"/>
  <c r="O1446" i="4"/>
  <c r="N1446" i="4"/>
  <c r="L1446" i="4"/>
  <c r="K1446" i="4"/>
  <c r="M1446" i="4" s="1"/>
  <c r="I1446" i="4"/>
  <c r="H1446" i="4"/>
  <c r="J1446" i="4" s="1"/>
  <c r="F1446" i="4"/>
  <c r="E1446" i="4"/>
  <c r="G1446" i="4" s="1"/>
  <c r="D1446" i="4"/>
  <c r="T1446" i="4" s="1"/>
  <c r="C1446" i="4"/>
  <c r="B1446" i="4"/>
  <c r="A1446" i="4"/>
  <c r="R1445" i="4"/>
  <c r="Q1445" i="4"/>
  <c r="S1445" i="4" s="1"/>
  <c r="O1445" i="4"/>
  <c r="N1445" i="4"/>
  <c r="P1445" i="4" s="1"/>
  <c r="M1445" i="4"/>
  <c r="L1445" i="4"/>
  <c r="K1445" i="4"/>
  <c r="I1445" i="4"/>
  <c r="H1445" i="4"/>
  <c r="F1445" i="4"/>
  <c r="E1445" i="4"/>
  <c r="G1445" i="4" s="1"/>
  <c r="C1445" i="4"/>
  <c r="B1445" i="4"/>
  <c r="D1445" i="4" s="1"/>
  <c r="A1445" i="4"/>
  <c r="R1444" i="4"/>
  <c r="S1444" i="4" s="1"/>
  <c r="Q1444" i="4"/>
  <c r="O1444" i="4"/>
  <c r="N1444" i="4"/>
  <c r="P1444" i="4" s="1"/>
  <c r="L1444" i="4"/>
  <c r="K1444" i="4"/>
  <c r="M1444" i="4" s="1"/>
  <c r="J1444" i="4"/>
  <c r="I1444" i="4"/>
  <c r="H1444" i="4"/>
  <c r="F1444" i="4"/>
  <c r="G1444" i="4" s="1"/>
  <c r="E1444" i="4"/>
  <c r="C1444" i="4"/>
  <c r="B1444" i="4"/>
  <c r="D1444" i="4" s="1"/>
  <c r="A1444" i="4"/>
  <c r="S1443" i="4"/>
  <c r="R1443" i="4"/>
  <c r="Q1443" i="4"/>
  <c r="O1443" i="4"/>
  <c r="P1443" i="4" s="1"/>
  <c r="N1443" i="4"/>
  <c r="L1443" i="4"/>
  <c r="K1443" i="4"/>
  <c r="M1443" i="4" s="1"/>
  <c r="I1443" i="4"/>
  <c r="H1443" i="4"/>
  <c r="J1443" i="4" s="1"/>
  <c r="G1443" i="4"/>
  <c r="F1443" i="4"/>
  <c r="E1443" i="4"/>
  <c r="C1443" i="4"/>
  <c r="D1443" i="4" s="1"/>
  <c r="B1443" i="4"/>
  <c r="A1443" i="4"/>
  <c r="R1442" i="4"/>
  <c r="Q1442" i="4"/>
  <c r="S1442" i="4" s="1"/>
  <c r="P1442" i="4"/>
  <c r="O1442" i="4"/>
  <c r="N1442" i="4"/>
  <c r="L1442" i="4"/>
  <c r="K1442" i="4"/>
  <c r="M1442" i="4" s="1"/>
  <c r="I1442" i="4"/>
  <c r="H1442" i="4"/>
  <c r="J1442" i="4" s="1"/>
  <c r="F1442" i="4"/>
  <c r="E1442" i="4"/>
  <c r="G1442" i="4" s="1"/>
  <c r="D1442" i="4"/>
  <c r="T1442" i="4" s="1"/>
  <c r="C1442" i="4"/>
  <c r="B1442" i="4"/>
  <c r="A1442" i="4"/>
  <c r="R1441" i="4"/>
  <c r="Q1441" i="4"/>
  <c r="S1441" i="4" s="1"/>
  <c r="O1441" i="4"/>
  <c r="N1441" i="4"/>
  <c r="P1441" i="4" s="1"/>
  <c r="M1441" i="4"/>
  <c r="L1441" i="4"/>
  <c r="K1441" i="4"/>
  <c r="I1441" i="4"/>
  <c r="H1441" i="4"/>
  <c r="F1441" i="4"/>
  <c r="E1441" i="4"/>
  <c r="G1441" i="4" s="1"/>
  <c r="C1441" i="4"/>
  <c r="B1441" i="4"/>
  <c r="D1441" i="4" s="1"/>
  <c r="A1441" i="4"/>
  <c r="R1440" i="4"/>
  <c r="S1440" i="4" s="1"/>
  <c r="Q1440" i="4"/>
  <c r="O1440" i="4"/>
  <c r="N1440" i="4"/>
  <c r="P1440" i="4" s="1"/>
  <c r="L1440" i="4"/>
  <c r="K1440" i="4"/>
  <c r="M1440" i="4" s="1"/>
  <c r="I1440" i="4"/>
  <c r="H1440" i="4"/>
  <c r="J1440" i="4" s="1"/>
  <c r="F1440" i="4"/>
  <c r="G1440" i="4" s="1"/>
  <c r="E1440" i="4"/>
  <c r="C1440" i="4"/>
  <c r="B1440" i="4"/>
  <c r="D1440" i="4" s="1"/>
  <c r="A1440" i="4"/>
  <c r="S1439" i="4"/>
  <c r="R1439" i="4"/>
  <c r="Q1439" i="4"/>
  <c r="O1439" i="4"/>
  <c r="P1439" i="4" s="1"/>
  <c r="N1439" i="4"/>
  <c r="M1439" i="4"/>
  <c r="L1439" i="4"/>
  <c r="K1439" i="4"/>
  <c r="I1439" i="4"/>
  <c r="H1439" i="4"/>
  <c r="J1439" i="4" s="1"/>
  <c r="F1439" i="4"/>
  <c r="E1439" i="4"/>
  <c r="G1439" i="4" s="1"/>
  <c r="C1439" i="4"/>
  <c r="D1439" i="4" s="1"/>
  <c r="B1439" i="4"/>
  <c r="A1439" i="4"/>
  <c r="R1438" i="4"/>
  <c r="Q1438" i="4"/>
  <c r="O1438" i="4"/>
  <c r="N1438" i="4"/>
  <c r="P1438" i="4" s="1"/>
  <c r="L1438" i="4"/>
  <c r="M1438" i="4" s="1"/>
  <c r="K1438" i="4"/>
  <c r="J1438" i="4"/>
  <c r="I1438" i="4"/>
  <c r="H1438" i="4"/>
  <c r="F1438" i="4"/>
  <c r="E1438" i="4"/>
  <c r="G1438" i="4" s="1"/>
  <c r="D1438" i="4"/>
  <c r="C1438" i="4"/>
  <c r="B1438" i="4"/>
  <c r="A1438" i="4"/>
  <c r="R1437" i="4"/>
  <c r="Q1437" i="4"/>
  <c r="S1437" i="4" s="1"/>
  <c r="O1437" i="4"/>
  <c r="N1437" i="4"/>
  <c r="L1437" i="4"/>
  <c r="K1437" i="4"/>
  <c r="M1437" i="4" s="1"/>
  <c r="I1437" i="4"/>
  <c r="J1437" i="4" s="1"/>
  <c r="H1437" i="4"/>
  <c r="G1437" i="4"/>
  <c r="F1437" i="4"/>
  <c r="E1437" i="4"/>
  <c r="C1437" i="4"/>
  <c r="B1437" i="4"/>
  <c r="D1437" i="4" s="1"/>
  <c r="A1437" i="4"/>
  <c r="R1436" i="4"/>
  <c r="S1436" i="4" s="1"/>
  <c r="Q1436" i="4"/>
  <c r="P1436" i="4"/>
  <c r="O1436" i="4"/>
  <c r="N1436" i="4"/>
  <c r="L1436" i="4"/>
  <c r="K1436" i="4"/>
  <c r="M1436" i="4" s="1"/>
  <c r="I1436" i="4"/>
  <c r="H1436" i="4"/>
  <c r="J1436" i="4" s="1"/>
  <c r="F1436" i="4"/>
  <c r="G1436" i="4" s="1"/>
  <c r="E1436" i="4"/>
  <c r="C1436" i="4"/>
  <c r="B1436" i="4"/>
  <c r="D1436" i="4" s="1"/>
  <c r="T1436" i="4" s="1"/>
  <c r="A1436" i="4"/>
  <c r="S1435" i="4"/>
  <c r="R1435" i="4"/>
  <c r="Q1435" i="4"/>
  <c r="O1435" i="4"/>
  <c r="N1435" i="4"/>
  <c r="P1435" i="4" s="1"/>
  <c r="M1435" i="4"/>
  <c r="L1435" i="4"/>
  <c r="K1435" i="4"/>
  <c r="I1435" i="4"/>
  <c r="H1435" i="4"/>
  <c r="J1435" i="4" s="1"/>
  <c r="F1435" i="4"/>
  <c r="E1435" i="4"/>
  <c r="G1435" i="4" s="1"/>
  <c r="C1435" i="4"/>
  <c r="B1435" i="4"/>
  <c r="A1435" i="4"/>
  <c r="R1434" i="4"/>
  <c r="Q1434" i="4"/>
  <c r="O1434" i="4"/>
  <c r="N1434" i="4"/>
  <c r="P1434" i="4" s="1"/>
  <c r="L1434" i="4"/>
  <c r="K1434" i="4"/>
  <c r="M1434" i="4" s="1"/>
  <c r="J1434" i="4"/>
  <c r="I1434" i="4"/>
  <c r="H1434" i="4"/>
  <c r="F1434" i="4"/>
  <c r="E1434" i="4"/>
  <c r="G1434" i="4" s="1"/>
  <c r="D1434" i="4"/>
  <c r="C1434" i="4"/>
  <c r="B1434" i="4"/>
  <c r="A1434" i="4"/>
  <c r="R1433" i="4"/>
  <c r="Q1433" i="4"/>
  <c r="S1433" i="4" s="1"/>
  <c r="O1433" i="4"/>
  <c r="N1433" i="4"/>
  <c r="L1433" i="4"/>
  <c r="K1433" i="4"/>
  <c r="M1433" i="4" s="1"/>
  <c r="I1433" i="4"/>
  <c r="H1433" i="4"/>
  <c r="J1433" i="4" s="1"/>
  <c r="G1433" i="4"/>
  <c r="F1433" i="4"/>
  <c r="E1433" i="4"/>
  <c r="C1433" i="4"/>
  <c r="D1433" i="4" s="1"/>
  <c r="B1433" i="4"/>
  <c r="A1433" i="4"/>
  <c r="R1432" i="4"/>
  <c r="Q1432" i="4"/>
  <c r="S1432" i="4" s="1"/>
  <c r="P1432" i="4"/>
  <c r="O1432" i="4"/>
  <c r="N1432" i="4"/>
  <c r="L1432" i="4"/>
  <c r="M1432" i="4" s="1"/>
  <c r="K1432" i="4"/>
  <c r="I1432" i="4"/>
  <c r="H1432" i="4"/>
  <c r="J1432" i="4" s="1"/>
  <c r="F1432" i="4"/>
  <c r="E1432" i="4"/>
  <c r="C1432" i="4"/>
  <c r="B1432" i="4"/>
  <c r="D1432" i="4" s="1"/>
  <c r="A1432" i="4"/>
  <c r="S1431" i="4"/>
  <c r="R1431" i="4"/>
  <c r="Q1431" i="4"/>
  <c r="O1431" i="4"/>
  <c r="N1431" i="4"/>
  <c r="P1431" i="4" s="1"/>
  <c r="M1431" i="4"/>
  <c r="L1431" i="4"/>
  <c r="K1431" i="4"/>
  <c r="I1431" i="4"/>
  <c r="H1431" i="4"/>
  <c r="J1431" i="4" s="1"/>
  <c r="F1431" i="4"/>
  <c r="E1431" i="4"/>
  <c r="G1431" i="4" s="1"/>
  <c r="C1431" i="4"/>
  <c r="B1431" i="4"/>
  <c r="A1431" i="4"/>
  <c r="R1430" i="4"/>
  <c r="S1430" i="4" s="1"/>
  <c r="Q1430" i="4"/>
  <c r="O1430" i="4"/>
  <c r="N1430" i="4"/>
  <c r="P1430" i="4" s="1"/>
  <c r="L1430" i="4"/>
  <c r="K1430" i="4"/>
  <c r="M1430" i="4" s="1"/>
  <c r="J1430" i="4"/>
  <c r="I1430" i="4"/>
  <c r="H1430" i="4"/>
  <c r="F1430" i="4"/>
  <c r="G1430" i="4" s="1"/>
  <c r="E1430" i="4"/>
  <c r="D1430" i="4"/>
  <c r="C1430" i="4"/>
  <c r="B1430" i="4"/>
  <c r="A1430" i="4"/>
  <c r="R1429" i="4"/>
  <c r="Q1429" i="4"/>
  <c r="S1429" i="4" s="1"/>
  <c r="O1429" i="4"/>
  <c r="P1429" i="4" s="1"/>
  <c r="N1429" i="4"/>
  <c r="L1429" i="4"/>
  <c r="K1429" i="4"/>
  <c r="M1429" i="4" s="1"/>
  <c r="I1429" i="4"/>
  <c r="H1429" i="4"/>
  <c r="J1429" i="4" s="1"/>
  <c r="G1429" i="4"/>
  <c r="F1429" i="4"/>
  <c r="E1429" i="4"/>
  <c r="C1429" i="4"/>
  <c r="D1429" i="4" s="1"/>
  <c r="B1429" i="4"/>
  <c r="A1429" i="4"/>
  <c r="R1428" i="4"/>
  <c r="Q1428" i="4"/>
  <c r="S1428" i="4" s="1"/>
  <c r="P1428" i="4"/>
  <c r="O1428" i="4"/>
  <c r="N1428" i="4"/>
  <c r="L1428" i="4"/>
  <c r="K1428" i="4"/>
  <c r="M1428" i="4" s="1"/>
  <c r="I1428" i="4"/>
  <c r="H1428" i="4"/>
  <c r="J1428" i="4" s="1"/>
  <c r="F1428" i="4"/>
  <c r="E1428" i="4"/>
  <c r="C1428" i="4"/>
  <c r="B1428" i="4"/>
  <c r="D1428" i="4" s="1"/>
  <c r="A1428" i="4"/>
  <c r="S1427" i="4"/>
  <c r="R1427" i="4"/>
  <c r="Q1427" i="4"/>
  <c r="O1427" i="4"/>
  <c r="N1427" i="4"/>
  <c r="P1427" i="4" s="1"/>
  <c r="M1427" i="4"/>
  <c r="L1427" i="4"/>
  <c r="K1427" i="4"/>
  <c r="I1427" i="4"/>
  <c r="H1427" i="4"/>
  <c r="J1427" i="4" s="1"/>
  <c r="F1427" i="4"/>
  <c r="E1427" i="4"/>
  <c r="G1427" i="4" s="1"/>
  <c r="C1427" i="4"/>
  <c r="B1427" i="4"/>
  <c r="A1427" i="4"/>
  <c r="R1426" i="4"/>
  <c r="S1426" i="4" s="1"/>
  <c r="Q1426" i="4"/>
  <c r="O1426" i="4"/>
  <c r="N1426" i="4"/>
  <c r="P1426" i="4" s="1"/>
  <c r="L1426" i="4"/>
  <c r="K1426" i="4"/>
  <c r="M1426" i="4" s="1"/>
  <c r="J1426" i="4"/>
  <c r="I1426" i="4"/>
  <c r="H1426" i="4"/>
  <c r="F1426" i="4"/>
  <c r="G1426" i="4" s="1"/>
  <c r="E1426" i="4"/>
  <c r="D1426" i="4"/>
  <c r="C1426" i="4"/>
  <c r="B1426" i="4"/>
  <c r="A1426" i="4"/>
  <c r="R1425" i="4"/>
  <c r="Q1425" i="4"/>
  <c r="S1425" i="4" s="1"/>
  <c r="O1425" i="4"/>
  <c r="P1425" i="4" s="1"/>
  <c r="N1425" i="4"/>
  <c r="L1425" i="4"/>
  <c r="K1425" i="4"/>
  <c r="M1425" i="4" s="1"/>
  <c r="I1425" i="4"/>
  <c r="H1425" i="4"/>
  <c r="J1425" i="4" s="1"/>
  <c r="G1425" i="4"/>
  <c r="F1425" i="4"/>
  <c r="E1425" i="4"/>
  <c r="C1425" i="4"/>
  <c r="D1425" i="4" s="1"/>
  <c r="B1425" i="4"/>
  <c r="A1425" i="4"/>
  <c r="R1424" i="4"/>
  <c r="Q1424" i="4"/>
  <c r="S1424" i="4" s="1"/>
  <c r="P1424" i="4"/>
  <c r="O1424" i="4"/>
  <c r="N1424" i="4"/>
  <c r="L1424" i="4"/>
  <c r="K1424" i="4"/>
  <c r="M1424" i="4" s="1"/>
  <c r="I1424" i="4"/>
  <c r="H1424" i="4"/>
  <c r="J1424" i="4" s="1"/>
  <c r="F1424" i="4"/>
  <c r="E1424" i="4"/>
  <c r="C1424" i="4"/>
  <c r="B1424" i="4"/>
  <c r="D1424" i="4" s="1"/>
  <c r="A1424" i="4"/>
  <c r="S1423" i="4"/>
  <c r="R1423" i="4"/>
  <c r="Q1423" i="4"/>
  <c r="O1423" i="4"/>
  <c r="N1423" i="4"/>
  <c r="P1423" i="4" s="1"/>
  <c r="M1423" i="4"/>
  <c r="L1423" i="4"/>
  <c r="K1423" i="4"/>
  <c r="I1423" i="4"/>
  <c r="J1423" i="4" s="1"/>
  <c r="H1423" i="4"/>
  <c r="F1423" i="4"/>
  <c r="E1423" i="4"/>
  <c r="G1423" i="4" s="1"/>
  <c r="C1423" i="4"/>
  <c r="B1423" i="4"/>
  <c r="D1423" i="4" s="1"/>
  <c r="T1423" i="4" s="1"/>
  <c r="A1423" i="4"/>
  <c r="R1422" i="4"/>
  <c r="S1422" i="4" s="1"/>
  <c r="Q1422" i="4"/>
  <c r="O1422" i="4"/>
  <c r="N1422" i="4"/>
  <c r="P1422" i="4" s="1"/>
  <c r="L1422" i="4"/>
  <c r="K1422" i="4"/>
  <c r="M1422" i="4" s="1"/>
  <c r="J1422" i="4"/>
  <c r="I1422" i="4"/>
  <c r="H1422" i="4"/>
  <c r="F1422" i="4"/>
  <c r="G1422" i="4" s="1"/>
  <c r="E1422" i="4"/>
  <c r="C1422" i="4"/>
  <c r="B1422" i="4"/>
  <c r="D1422" i="4" s="1"/>
  <c r="A1422" i="4"/>
  <c r="S1421" i="4"/>
  <c r="R1421" i="4"/>
  <c r="Q1421" i="4"/>
  <c r="O1421" i="4"/>
  <c r="P1421" i="4" s="1"/>
  <c r="N1421" i="4"/>
  <c r="L1421" i="4"/>
  <c r="K1421" i="4"/>
  <c r="M1421" i="4" s="1"/>
  <c r="I1421" i="4"/>
  <c r="H1421" i="4"/>
  <c r="J1421" i="4" s="1"/>
  <c r="G1421" i="4"/>
  <c r="F1421" i="4"/>
  <c r="E1421" i="4"/>
  <c r="C1421" i="4"/>
  <c r="D1421" i="4" s="1"/>
  <c r="T1421" i="4" s="1"/>
  <c r="B1421" i="4"/>
  <c r="A1421" i="4"/>
  <c r="R1420" i="4"/>
  <c r="Q1420" i="4"/>
  <c r="S1420" i="4" s="1"/>
  <c r="P1420" i="4"/>
  <c r="O1420" i="4"/>
  <c r="N1420" i="4"/>
  <c r="L1420" i="4"/>
  <c r="M1420" i="4" s="1"/>
  <c r="K1420" i="4"/>
  <c r="I1420" i="4"/>
  <c r="H1420" i="4"/>
  <c r="J1420" i="4" s="1"/>
  <c r="F1420" i="4"/>
  <c r="E1420" i="4"/>
  <c r="G1420" i="4" s="1"/>
  <c r="D1420" i="4"/>
  <c r="T1420" i="4" s="1"/>
  <c r="C1420" i="4"/>
  <c r="B1420" i="4"/>
  <c r="A1420" i="4"/>
  <c r="R1419" i="4"/>
  <c r="Q1419" i="4"/>
  <c r="S1419" i="4" s="1"/>
  <c r="O1419" i="4"/>
  <c r="N1419" i="4"/>
  <c r="P1419" i="4" s="1"/>
  <c r="M1419" i="4"/>
  <c r="L1419" i="4"/>
  <c r="K1419" i="4"/>
  <c r="I1419" i="4"/>
  <c r="J1419" i="4" s="1"/>
  <c r="H1419" i="4"/>
  <c r="F1419" i="4"/>
  <c r="E1419" i="4"/>
  <c r="G1419" i="4" s="1"/>
  <c r="C1419" i="4"/>
  <c r="B1419" i="4"/>
  <c r="D1419" i="4" s="1"/>
  <c r="T1419" i="4" s="1"/>
  <c r="A1419" i="4"/>
  <c r="R1418" i="4"/>
  <c r="S1418" i="4" s="1"/>
  <c r="Q1418" i="4"/>
  <c r="O1418" i="4"/>
  <c r="N1418" i="4"/>
  <c r="P1418" i="4" s="1"/>
  <c r="L1418" i="4"/>
  <c r="K1418" i="4"/>
  <c r="M1418" i="4" s="1"/>
  <c r="J1418" i="4"/>
  <c r="I1418" i="4"/>
  <c r="H1418" i="4"/>
  <c r="F1418" i="4"/>
  <c r="G1418" i="4" s="1"/>
  <c r="E1418" i="4"/>
  <c r="C1418" i="4"/>
  <c r="B1418" i="4"/>
  <c r="D1418" i="4" s="1"/>
  <c r="A1418" i="4"/>
  <c r="S1417" i="4"/>
  <c r="R1417" i="4"/>
  <c r="Q1417" i="4"/>
  <c r="O1417" i="4"/>
  <c r="P1417" i="4" s="1"/>
  <c r="N1417" i="4"/>
  <c r="L1417" i="4"/>
  <c r="K1417" i="4"/>
  <c r="M1417" i="4" s="1"/>
  <c r="I1417" i="4"/>
  <c r="H1417" i="4"/>
  <c r="J1417" i="4" s="1"/>
  <c r="G1417" i="4"/>
  <c r="F1417" i="4"/>
  <c r="E1417" i="4"/>
  <c r="C1417" i="4"/>
  <c r="D1417" i="4" s="1"/>
  <c r="T1417" i="4" s="1"/>
  <c r="B1417" i="4"/>
  <c r="A1417" i="4"/>
  <c r="R1416" i="4"/>
  <c r="Q1416" i="4"/>
  <c r="S1416" i="4" s="1"/>
  <c r="P1416" i="4"/>
  <c r="O1416" i="4"/>
  <c r="N1416" i="4"/>
  <c r="L1416" i="4"/>
  <c r="M1416" i="4" s="1"/>
  <c r="K1416" i="4"/>
  <c r="I1416" i="4"/>
  <c r="H1416" i="4"/>
  <c r="J1416" i="4" s="1"/>
  <c r="F1416" i="4"/>
  <c r="E1416" i="4"/>
  <c r="G1416" i="4" s="1"/>
  <c r="D1416" i="4"/>
  <c r="T1416" i="4" s="1"/>
  <c r="C1416" i="4"/>
  <c r="B1416" i="4"/>
  <c r="A1416" i="4"/>
  <c r="R1415" i="4"/>
  <c r="Q1415" i="4"/>
  <c r="S1415" i="4" s="1"/>
  <c r="O1415" i="4"/>
  <c r="N1415" i="4"/>
  <c r="P1415" i="4" s="1"/>
  <c r="M1415" i="4"/>
  <c r="L1415" i="4"/>
  <c r="K1415" i="4"/>
  <c r="I1415" i="4"/>
  <c r="J1415" i="4" s="1"/>
  <c r="H1415" i="4"/>
  <c r="F1415" i="4"/>
  <c r="E1415" i="4"/>
  <c r="G1415" i="4" s="1"/>
  <c r="C1415" i="4"/>
  <c r="B1415" i="4"/>
  <c r="D1415" i="4" s="1"/>
  <c r="T1415" i="4" s="1"/>
  <c r="A1415" i="4"/>
  <c r="R1414" i="4"/>
  <c r="S1414" i="4" s="1"/>
  <c r="Q1414" i="4"/>
  <c r="O1414" i="4"/>
  <c r="N1414" i="4"/>
  <c r="P1414" i="4" s="1"/>
  <c r="L1414" i="4"/>
  <c r="K1414" i="4"/>
  <c r="M1414" i="4" s="1"/>
  <c r="J1414" i="4"/>
  <c r="I1414" i="4"/>
  <c r="H1414" i="4"/>
  <c r="F1414" i="4"/>
  <c r="G1414" i="4" s="1"/>
  <c r="E1414" i="4"/>
  <c r="C1414" i="4"/>
  <c r="B1414" i="4"/>
  <c r="D1414" i="4" s="1"/>
  <c r="A1414" i="4"/>
  <c r="S1413" i="4"/>
  <c r="R1413" i="4"/>
  <c r="Q1413" i="4"/>
  <c r="O1413" i="4"/>
  <c r="P1413" i="4" s="1"/>
  <c r="N1413" i="4"/>
  <c r="L1413" i="4"/>
  <c r="K1413" i="4"/>
  <c r="M1413" i="4" s="1"/>
  <c r="I1413" i="4"/>
  <c r="H1413" i="4"/>
  <c r="J1413" i="4" s="1"/>
  <c r="G1413" i="4"/>
  <c r="F1413" i="4"/>
  <c r="E1413" i="4"/>
  <c r="C1413" i="4"/>
  <c r="D1413" i="4" s="1"/>
  <c r="T1413" i="4" s="1"/>
  <c r="B1413" i="4"/>
  <c r="A1413" i="4"/>
  <c r="R1412" i="4"/>
  <c r="Q1412" i="4"/>
  <c r="S1412" i="4" s="1"/>
  <c r="P1412" i="4"/>
  <c r="O1412" i="4"/>
  <c r="N1412" i="4"/>
  <c r="L1412" i="4"/>
  <c r="M1412" i="4" s="1"/>
  <c r="K1412" i="4"/>
  <c r="I1412" i="4"/>
  <c r="H1412" i="4"/>
  <c r="J1412" i="4" s="1"/>
  <c r="F1412" i="4"/>
  <c r="E1412" i="4"/>
  <c r="G1412" i="4" s="1"/>
  <c r="D1412" i="4"/>
  <c r="T1412" i="4" s="1"/>
  <c r="C1412" i="4"/>
  <c r="B1412" i="4"/>
  <c r="A1412" i="4"/>
  <c r="R1411" i="4"/>
  <c r="Q1411" i="4"/>
  <c r="S1411" i="4" s="1"/>
  <c r="O1411" i="4"/>
  <c r="N1411" i="4"/>
  <c r="P1411" i="4" s="1"/>
  <c r="M1411" i="4"/>
  <c r="L1411" i="4"/>
  <c r="K1411" i="4"/>
  <c r="I1411" i="4"/>
  <c r="J1411" i="4" s="1"/>
  <c r="H1411" i="4"/>
  <c r="F1411" i="4"/>
  <c r="E1411" i="4"/>
  <c r="G1411" i="4" s="1"/>
  <c r="C1411" i="4"/>
  <c r="B1411" i="4"/>
  <c r="D1411" i="4" s="1"/>
  <c r="T1411" i="4" s="1"/>
  <c r="A1411" i="4"/>
  <c r="R1410" i="4"/>
  <c r="S1410" i="4" s="1"/>
  <c r="Q1410" i="4"/>
  <c r="O1410" i="4"/>
  <c r="N1410" i="4"/>
  <c r="P1410" i="4" s="1"/>
  <c r="L1410" i="4"/>
  <c r="K1410" i="4"/>
  <c r="M1410" i="4" s="1"/>
  <c r="J1410" i="4"/>
  <c r="I1410" i="4"/>
  <c r="H1410" i="4"/>
  <c r="F1410" i="4"/>
  <c r="G1410" i="4" s="1"/>
  <c r="E1410" i="4"/>
  <c r="C1410" i="4"/>
  <c r="B1410" i="4"/>
  <c r="D1410" i="4" s="1"/>
  <c r="A1410" i="4"/>
  <c r="S1409" i="4"/>
  <c r="R1409" i="4"/>
  <c r="Q1409" i="4"/>
  <c r="P1409" i="4"/>
  <c r="O1409" i="4"/>
  <c r="N1409" i="4"/>
  <c r="L1409" i="4"/>
  <c r="K1409" i="4"/>
  <c r="M1409" i="4" s="1"/>
  <c r="I1409" i="4"/>
  <c r="H1409" i="4"/>
  <c r="J1409" i="4" s="1"/>
  <c r="G1409" i="4"/>
  <c r="F1409" i="4"/>
  <c r="E1409" i="4"/>
  <c r="C1409" i="4"/>
  <c r="D1409" i="4" s="1"/>
  <c r="T1409" i="4" s="1"/>
  <c r="B1409" i="4"/>
  <c r="A1409" i="4"/>
  <c r="R1408" i="4"/>
  <c r="Q1408" i="4"/>
  <c r="S1408" i="4" s="1"/>
  <c r="P1408" i="4"/>
  <c r="O1408" i="4"/>
  <c r="N1408" i="4"/>
  <c r="L1408" i="4"/>
  <c r="M1408" i="4" s="1"/>
  <c r="K1408" i="4"/>
  <c r="J1408" i="4"/>
  <c r="I1408" i="4"/>
  <c r="H1408" i="4"/>
  <c r="F1408" i="4"/>
  <c r="E1408" i="4"/>
  <c r="G1408" i="4" s="1"/>
  <c r="C1408" i="4"/>
  <c r="B1408" i="4"/>
  <c r="D1408" i="4" s="1"/>
  <c r="T1408" i="4" s="1"/>
  <c r="A1408" i="4"/>
  <c r="R1407" i="4"/>
  <c r="Q1407" i="4"/>
  <c r="S1407" i="4" s="1"/>
  <c r="O1407" i="4"/>
  <c r="N1407" i="4"/>
  <c r="P1407" i="4" s="1"/>
  <c r="M1407" i="4"/>
  <c r="L1407" i="4"/>
  <c r="K1407" i="4"/>
  <c r="I1407" i="4"/>
  <c r="J1407" i="4" s="1"/>
  <c r="H1407" i="4"/>
  <c r="F1407" i="4"/>
  <c r="E1407" i="4"/>
  <c r="G1407" i="4" s="1"/>
  <c r="C1407" i="4"/>
  <c r="B1407" i="4"/>
  <c r="A1407" i="4"/>
  <c r="S1406" i="4"/>
  <c r="R1406" i="4"/>
  <c r="Q1406" i="4"/>
  <c r="O1406" i="4"/>
  <c r="P1406" i="4" s="1"/>
  <c r="N1406" i="4"/>
  <c r="L1406" i="4"/>
  <c r="K1406" i="4"/>
  <c r="M1406" i="4" s="1"/>
  <c r="J1406" i="4"/>
  <c r="I1406" i="4"/>
  <c r="H1406" i="4"/>
  <c r="F1406" i="4"/>
  <c r="G1406" i="4" s="1"/>
  <c r="E1406" i="4"/>
  <c r="C1406" i="4"/>
  <c r="B1406" i="4"/>
  <c r="D1406" i="4" s="1"/>
  <c r="A1406" i="4"/>
  <c r="S1405" i="4"/>
  <c r="R1405" i="4"/>
  <c r="Q1405" i="4"/>
  <c r="O1405" i="4"/>
  <c r="P1405" i="4" s="1"/>
  <c r="N1405" i="4"/>
  <c r="L1405" i="4"/>
  <c r="K1405" i="4"/>
  <c r="M1405" i="4" s="1"/>
  <c r="I1405" i="4"/>
  <c r="H1405" i="4"/>
  <c r="J1405" i="4" s="1"/>
  <c r="G1405" i="4"/>
  <c r="F1405" i="4"/>
  <c r="E1405" i="4"/>
  <c r="C1405" i="4"/>
  <c r="D1405" i="4" s="1"/>
  <c r="B1405" i="4"/>
  <c r="A1405" i="4"/>
  <c r="R1404" i="4"/>
  <c r="Q1404" i="4"/>
  <c r="O1404" i="4"/>
  <c r="N1404" i="4"/>
  <c r="P1404" i="4" s="1"/>
  <c r="L1404" i="4"/>
  <c r="K1404" i="4"/>
  <c r="M1404" i="4" s="1"/>
  <c r="J1404" i="4"/>
  <c r="I1404" i="4"/>
  <c r="H1404" i="4"/>
  <c r="F1404" i="4"/>
  <c r="G1404" i="4" s="1"/>
  <c r="E1404" i="4"/>
  <c r="C1404" i="4"/>
  <c r="B1404" i="4"/>
  <c r="D1404" i="4" s="1"/>
  <c r="A1404" i="4"/>
  <c r="S1403" i="4"/>
  <c r="R1403" i="4"/>
  <c r="Q1403" i="4"/>
  <c r="O1403" i="4"/>
  <c r="P1403" i="4" s="1"/>
  <c r="N1403" i="4"/>
  <c r="L1403" i="4"/>
  <c r="K1403" i="4"/>
  <c r="M1403" i="4" s="1"/>
  <c r="I1403" i="4"/>
  <c r="H1403" i="4"/>
  <c r="J1403" i="4" s="1"/>
  <c r="G1403" i="4"/>
  <c r="F1403" i="4"/>
  <c r="E1403" i="4"/>
  <c r="C1403" i="4"/>
  <c r="D1403" i="4" s="1"/>
  <c r="T1403" i="4" s="1"/>
  <c r="B1403" i="4"/>
  <c r="A1403" i="4"/>
  <c r="R1402" i="4"/>
  <c r="Q1402" i="4"/>
  <c r="S1402" i="4" s="1"/>
  <c r="P1402" i="4"/>
  <c r="O1402" i="4"/>
  <c r="N1402" i="4"/>
  <c r="L1402" i="4"/>
  <c r="M1402" i="4" s="1"/>
  <c r="K1402" i="4"/>
  <c r="I1402" i="4"/>
  <c r="H1402" i="4"/>
  <c r="J1402" i="4" s="1"/>
  <c r="F1402" i="4"/>
  <c r="E1402" i="4"/>
  <c r="G1402" i="4" s="1"/>
  <c r="D1402" i="4"/>
  <c r="C1402" i="4"/>
  <c r="B1402" i="4"/>
  <c r="A1402" i="4"/>
  <c r="R1401" i="4"/>
  <c r="Q1401" i="4"/>
  <c r="S1401" i="4" s="1"/>
  <c r="O1401" i="4"/>
  <c r="N1401" i="4"/>
  <c r="P1401" i="4" s="1"/>
  <c r="M1401" i="4"/>
  <c r="L1401" i="4"/>
  <c r="K1401" i="4"/>
  <c r="I1401" i="4"/>
  <c r="J1401" i="4" s="1"/>
  <c r="H1401" i="4"/>
  <c r="F1401" i="4"/>
  <c r="E1401" i="4"/>
  <c r="G1401" i="4" s="1"/>
  <c r="C1401" i="4"/>
  <c r="B1401" i="4"/>
  <c r="D1401" i="4" s="1"/>
  <c r="T1401" i="4" s="1"/>
  <c r="A1401" i="4"/>
  <c r="R1400" i="4"/>
  <c r="S1400" i="4" s="1"/>
  <c r="Q1400" i="4"/>
  <c r="O1400" i="4"/>
  <c r="N1400" i="4"/>
  <c r="P1400" i="4" s="1"/>
  <c r="L1400" i="4"/>
  <c r="K1400" i="4"/>
  <c r="M1400" i="4" s="1"/>
  <c r="J1400" i="4"/>
  <c r="I1400" i="4"/>
  <c r="H1400" i="4"/>
  <c r="F1400" i="4"/>
  <c r="G1400" i="4" s="1"/>
  <c r="E1400" i="4"/>
  <c r="C1400" i="4"/>
  <c r="B1400" i="4"/>
  <c r="D1400" i="4" s="1"/>
  <c r="A1400" i="4"/>
  <c r="S1399" i="4"/>
  <c r="R1399" i="4"/>
  <c r="Q1399" i="4"/>
  <c r="O1399" i="4"/>
  <c r="P1399" i="4" s="1"/>
  <c r="N1399" i="4"/>
  <c r="L1399" i="4"/>
  <c r="K1399" i="4"/>
  <c r="M1399" i="4" s="1"/>
  <c r="I1399" i="4"/>
  <c r="H1399" i="4"/>
  <c r="J1399" i="4" s="1"/>
  <c r="G1399" i="4"/>
  <c r="F1399" i="4"/>
  <c r="E1399" i="4"/>
  <c r="C1399" i="4"/>
  <c r="D1399" i="4" s="1"/>
  <c r="T1399" i="4" s="1"/>
  <c r="B1399" i="4"/>
  <c r="A1399" i="4"/>
  <c r="R1398" i="4"/>
  <c r="Q1398" i="4"/>
  <c r="S1398" i="4" s="1"/>
  <c r="P1398" i="4"/>
  <c r="O1398" i="4"/>
  <c r="N1398" i="4"/>
  <c r="L1398" i="4"/>
  <c r="M1398" i="4" s="1"/>
  <c r="K1398" i="4"/>
  <c r="I1398" i="4"/>
  <c r="H1398" i="4"/>
  <c r="J1398" i="4" s="1"/>
  <c r="F1398" i="4"/>
  <c r="E1398" i="4"/>
  <c r="G1398" i="4" s="1"/>
  <c r="D1398" i="4"/>
  <c r="T1398" i="4" s="1"/>
  <c r="C1398" i="4"/>
  <c r="B1398" i="4"/>
  <c r="A1398" i="4"/>
  <c r="R1397" i="4"/>
  <c r="Q1397" i="4"/>
  <c r="S1397" i="4" s="1"/>
  <c r="O1397" i="4"/>
  <c r="N1397" i="4"/>
  <c r="P1397" i="4" s="1"/>
  <c r="M1397" i="4"/>
  <c r="L1397" i="4"/>
  <c r="K1397" i="4"/>
  <c r="I1397" i="4"/>
  <c r="J1397" i="4" s="1"/>
  <c r="H1397" i="4"/>
  <c r="F1397" i="4"/>
  <c r="E1397" i="4"/>
  <c r="G1397" i="4" s="1"/>
  <c r="C1397" i="4"/>
  <c r="B1397" i="4"/>
  <c r="D1397" i="4" s="1"/>
  <c r="T1397" i="4" s="1"/>
  <c r="A1397" i="4"/>
  <c r="R1396" i="4"/>
  <c r="S1396" i="4" s="1"/>
  <c r="Q1396" i="4"/>
  <c r="O1396" i="4"/>
  <c r="N1396" i="4"/>
  <c r="P1396" i="4" s="1"/>
  <c r="L1396" i="4"/>
  <c r="K1396" i="4"/>
  <c r="M1396" i="4" s="1"/>
  <c r="J1396" i="4"/>
  <c r="I1396" i="4"/>
  <c r="H1396" i="4"/>
  <c r="F1396" i="4"/>
  <c r="G1396" i="4" s="1"/>
  <c r="E1396" i="4"/>
  <c r="C1396" i="4"/>
  <c r="B1396" i="4"/>
  <c r="D1396" i="4" s="1"/>
  <c r="A1396" i="4"/>
  <c r="S1395" i="4"/>
  <c r="R1395" i="4"/>
  <c r="Q1395" i="4"/>
  <c r="O1395" i="4"/>
  <c r="P1395" i="4" s="1"/>
  <c r="N1395" i="4"/>
  <c r="L1395" i="4"/>
  <c r="K1395" i="4"/>
  <c r="M1395" i="4" s="1"/>
  <c r="I1395" i="4"/>
  <c r="H1395" i="4"/>
  <c r="J1395" i="4" s="1"/>
  <c r="G1395" i="4"/>
  <c r="F1395" i="4"/>
  <c r="E1395" i="4"/>
  <c r="C1395" i="4"/>
  <c r="D1395" i="4" s="1"/>
  <c r="T1395" i="4" s="1"/>
  <c r="B1395" i="4"/>
  <c r="A1395" i="4"/>
  <c r="R1394" i="4"/>
  <c r="Q1394" i="4"/>
  <c r="S1394" i="4" s="1"/>
  <c r="P1394" i="4"/>
  <c r="O1394" i="4"/>
  <c r="N1394" i="4"/>
  <c r="L1394" i="4"/>
  <c r="M1394" i="4" s="1"/>
  <c r="K1394" i="4"/>
  <c r="I1394" i="4"/>
  <c r="H1394" i="4"/>
  <c r="J1394" i="4" s="1"/>
  <c r="F1394" i="4"/>
  <c r="E1394" i="4"/>
  <c r="G1394" i="4" s="1"/>
  <c r="D1394" i="4"/>
  <c r="T1394" i="4" s="1"/>
  <c r="C1394" i="4"/>
  <c r="B1394" i="4"/>
  <c r="A1394" i="4"/>
  <c r="R1393" i="4"/>
  <c r="Q1393" i="4"/>
  <c r="S1393" i="4" s="1"/>
  <c r="O1393" i="4"/>
  <c r="N1393" i="4"/>
  <c r="P1393" i="4" s="1"/>
  <c r="M1393" i="4"/>
  <c r="L1393" i="4"/>
  <c r="K1393" i="4"/>
  <c r="I1393" i="4"/>
  <c r="J1393" i="4" s="1"/>
  <c r="H1393" i="4"/>
  <c r="F1393" i="4"/>
  <c r="E1393" i="4"/>
  <c r="G1393" i="4" s="1"/>
  <c r="C1393" i="4"/>
  <c r="B1393" i="4"/>
  <c r="D1393" i="4" s="1"/>
  <c r="T1393" i="4" s="1"/>
  <c r="A1393" i="4"/>
  <c r="R1392" i="4"/>
  <c r="S1392" i="4" s="1"/>
  <c r="Q1392" i="4"/>
  <c r="O1392" i="4"/>
  <c r="N1392" i="4"/>
  <c r="P1392" i="4" s="1"/>
  <c r="L1392" i="4"/>
  <c r="K1392" i="4"/>
  <c r="M1392" i="4" s="1"/>
  <c r="J1392" i="4"/>
  <c r="I1392" i="4"/>
  <c r="H1392" i="4"/>
  <c r="F1392" i="4"/>
  <c r="G1392" i="4" s="1"/>
  <c r="E1392" i="4"/>
  <c r="C1392" i="4"/>
  <c r="B1392" i="4"/>
  <c r="D1392" i="4" s="1"/>
  <c r="A1392" i="4"/>
  <c r="S1391" i="4"/>
  <c r="R1391" i="4"/>
  <c r="Q1391" i="4"/>
  <c r="O1391" i="4"/>
  <c r="P1391" i="4" s="1"/>
  <c r="N1391" i="4"/>
  <c r="L1391" i="4"/>
  <c r="K1391" i="4"/>
  <c r="M1391" i="4" s="1"/>
  <c r="I1391" i="4"/>
  <c r="H1391" i="4"/>
  <c r="J1391" i="4" s="1"/>
  <c r="G1391" i="4"/>
  <c r="F1391" i="4"/>
  <c r="E1391" i="4"/>
  <c r="C1391" i="4"/>
  <c r="D1391" i="4" s="1"/>
  <c r="T1391" i="4" s="1"/>
  <c r="B1391" i="4"/>
  <c r="A1391" i="4"/>
  <c r="R1390" i="4"/>
  <c r="Q1390" i="4"/>
  <c r="S1390" i="4" s="1"/>
  <c r="P1390" i="4"/>
  <c r="O1390" i="4"/>
  <c r="N1390" i="4"/>
  <c r="L1390" i="4"/>
  <c r="M1390" i="4" s="1"/>
  <c r="K1390" i="4"/>
  <c r="I1390" i="4"/>
  <c r="H1390" i="4"/>
  <c r="J1390" i="4" s="1"/>
  <c r="F1390" i="4"/>
  <c r="E1390" i="4"/>
  <c r="G1390" i="4" s="1"/>
  <c r="D1390" i="4"/>
  <c r="C1390" i="4"/>
  <c r="B1390" i="4"/>
  <c r="A1390" i="4"/>
  <c r="R1389" i="4"/>
  <c r="Q1389" i="4"/>
  <c r="S1389" i="4" s="1"/>
  <c r="O1389" i="4"/>
  <c r="N1389" i="4"/>
  <c r="P1389" i="4" s="1"/>
  <c r="M1389" i="4"/>
  <c r="L1389" i="4"/>
  <c r="K1389" i="4"/>
  <c r="I1389" i="4"/>
  <c r="J1389" i="4" s="1"/>
  <c r="H1389" i="4"/>
  <c r="F1389" i="4"/>
  <c r="E1389" i="4"/>
  <c r="G1389" i="4" s="1"/>
  <c r="C1389" i="4"/>
  <c r="B1389" i="4"/>
  <c r="D1389" i="4" s="1"/>
  <c r="T1389" i="4" s="1"/>
  <c r="A1389" i="4"/>
  <c r="R1388" i="4"/>
  <c r="S1388" i="4" s="1"/>
  <c r="Q1388" i="4"/>
  <c r="O1388" i="4"/>
  <c r="N1388" i="4"/>
  <c r="P1388" i="4" s="1"/>
  <c r="L1388" i="4"/>
  <c r="K1388" i="4"/>
  <c r="M1388" i="4" s="1"/>
  <c r="J1388" i="4"/>
  <c r="I1388" i="4"/>
  <c r="H1388" i="4"/>
  <c r="F1388" i="4"/>
  <c r="G1388" i="4" s="1"/>
  <c r="E1388" i="4"/>
  <c r="C1388" i="4"/>
  <c r="B1388" i="4"/>
  <c r="D1388" i="4" s="1"/>
  <c r="A1388" i="4"/>
  <c r="S1387" i="4"/>
  <c r="R1387" i="4"/>
  <c r="Q1387" i="4"/>
  <c r="O1387" i="4"/>
  <c r="P1387" i="4" s="1"/>
  <c r="N1387" i="4"/>
  <c r="L1387" i="4"/>
  <c r="K1387" i="4"/>
  <c r="M1387" i="4" s="1"/>
  <c r="I1387" i="4"/>
  <c r="H1387" i="4"/>
  <c r="J1387" i="4" s="1"/>
  <c r="G1387" i="4"/>
  <c r="F1387" i="4"/>
  <c r="E1387" i="4"/>
  <c r="C1387" i="4"/>
  <c r="D1387" i="4" s="1"/>
  <c r="T1387" i="4" s="1"/>
  <c r="B1387" i="4"/>
  <c r="A1387" i="4"/>
  <c r="R1386" i="4"/>
  <c r="Q1386" i="4"/>
  <c r="S1386" i="4" s="1"/>
  <c r="P1386" i="4"/>
  <c r="O1386" i="4"/>
  <c r="N1386" i="4"/>
  <c r="L1386" i="4"/>
  <c r="M1386" i="4" s="1"/>
  <c r="K1386" i="4"/>
  <c r="I1386" i="4"/>
  <c r="H1386" i="4"/>
  <c r="J1386" i="4" s="1"/>
  <c r="F1386" i="4"/>
  <c r="E1386" i="4"/>
  <c r="G1386" i="4" s="1"/>
  <c r="D1386" i="4"/>
  <c r="T1386" i="4" s="1"/>
  <c r="C1386" i="4"/>
  <c r="B1386" i="4"/>
  <c r="A1386" i="4"/>
  <c r="R1385" i="4"/>
  <c r="Q1385" i="4"/>
  <c r="S1385" i="4" s="1"/>
  <c r="O1385" i="4"/>
  <c r="N1385" i="4"/>
  <c r="P1385" i="4" s="1"/>
  <c r="M1385" i="4"/>
  <c r="L1385" i="4"/>
  <c r="K1385" i="4"/>
  <c r="I1385" i="4"/>
  <c r="J1385" i="4" s="1"/>
  <c r="H1385" i="4"/>
  <c r="F1385" i="4"/>
  <c r="E1385" i="4"/>
  <c r="G1385" i="4" s="1"/>
  <c r="C1385" i="4"/>
  <c r="B1385" i="4"/>
  <c r="D1385" i="4" s="1"/>
  <c r="T1385" i="4" s="1"/>
  <c r="A1385" i="4"/>
  <c r="R1384" i="4"/>
  <c r="S1384" i="4" s="1"/>
  <c r="Q1384" i="4"/>
  <c r="O1384" i="4"/>
  <c r="N1384" i="4"/>
  <c r="P1384" i="4" s="1"/>
  <c r="L1384" i="4"/>
  <c r="K1384" i="4"/>
  <c r="M1384" i="4" s="1"/>
  <c r="J1384" i="4"/>
  <c r="I1384" i="4"/>
  <c r="H1384" i="4"/>
  <c r="F1384" i="4"/>
  <c r="G1384" i="4" s="1"/>
  <c r="E1384" i="4"/>
  <c r="C1384" i="4"/>
  <c r="B1384" i="4"/>
  <c r="D1384" i="4" s="1"/>
  <c r="A1384" i="4"/>
  <c r="S1383" i="4"/>
  <c r="R1383" i="4"/>
  <c r="Q1383" i="4"/>
  <c r="O1383" i="4"/>
  <c r="P1383" i="4" s="1"/>
  <c r="N1383" i="4"/>
  <c r="L1383" i="4"/>
  <c r="K1383" i="4"/>
  <c r="M1383" i="4" s="1"/>
  <c r="I1383" i="4"/>
  <c r="H1383" i="4"/>
  <c r="J1383" i="4" s="1"/>
  <c r="G1383" i="4"/>
  <c r="F1383" i="4"/>
  <c r="E1383" i="4"/>
  <c r="C1383" i="4"/>
  <c r="D1383" i="4" s="1"/>
  <c r="T1383" i="4" s="1"/>
  <c r="B1383" i="4"/>
  <c r="A1383" i="4"/>
  <c r="R1382" i="4"/>
  <c r="Q1382" i="4"/>
  <c r="S1382" i="4" s="1"/>
  <c r="P1382" i="4"/>
  <c r="O1382" i="4"/>
  <c r="N1382" i="4"/>
  <c r="L1382" i="4"/>
  <c r="M1382" i="4" s="1"/>
  <c r="K1382" i="4"/>
  <c r="I1382" i="4"/>
  <c r="H1382" i="4"/>
  <c r="J1382" i="4" s="1"/>
  <c r="F1382" i="4"/>
  <c r="E1382" i="4"/>
  <c r="G1382" i="4" s="1"/>
  <c r="D1382" i="4"/>
  <c r="C1382" i="4"/>
  <c r="B1382" i="4"/>
  <c r="A1382" i="4"/>
  <c r="R1381" i="4"/>
  <c r="Q1381" i="4"/>
  <c r="S1381" i="4" s="1"/>
  <c r="O1381" i="4"/>
  <c r="N1381" i="4"/>
  <c r="P1381" i="4" s="1"/>
  <c r="M1381" i="4"/>
  <c r="L1381" i="4"/>
  <c r="K1381" i="4"/>
  <c r="I1381" i="4"/>
  <c r="J1381" i="4" s="1"/>
  <c r="H1381" i="4"/>
  <c r="F1381" i="4"/>
  <c r="E1381" i="4"/>
  <c r="G1381" i="4" s="1"/>
  <c r="C1381" i="4"/>
  <c r="B1381" i="4"/>
  <c r="D1381" i="4" s="1"/>
  <c r="T1381" i="4" s="1"/>
  <c r="A1381" i="4"/>
  <c r="R1380" i="4"/>
  <c r="S1380" i="4" s="1"/>
  <c r="Q1380" i="4"/>
  <c r="O1380" i="4"/>
  <c r="N1380" i="4"/>
  <c r="P1380" i="4" s="1"/>
  <c r="L1380" i="4"/>
  <c r="K1380" i="4"/>
  <c r="M1380" i="4" s="1"/>
  <c r="J1380" i="4"/>
  <c r="I1380" i="4"/>
  <c r="H1380" i="4"/>
  <c r="F1380" i="4"/>
  <c r="G1380" i="4" s="1"/>
  <c r="E1380" i="4"/>
  <c r="C1380" i="4"/>
  <c r="B1380" i="4"/>
  <c r="D1380" i="4" s="1"/>
  <c r="A1380" i="4"/>
  <c r="S1379" i="4"/>
  <c r="R1379" i="4"/>
  <c r="Q1379" i="4"/>
  <c r="O1379" i="4"/>
  <c r="P1379" i="4" s="1"/>
  <c r="N1379" i="4"/>
  <c r="L1379" i="4"/>
  <c r="K1379" i="4"/>
  <c r="M1379" i="4" s="1"/>
  <c r="I1379" i="4"/>
  <c r="H1379" i="4"/>
  <c r="J1379" i="4" s="1"/>
  <c r="G1379" i="4"/>
  <c r="F1379" i="4"/>
  <c r="E1379" i="4"/>
  <c r="C1379" i="4"/>
  <c r="D1379" i="4" s="1"/>
  <c r="T1379" i="4" s="1"/>
  <c r="B1379" i="4"/>
  <c r="A1379" i="4"/>
  <c r="R1378" i="4"/>
  <c r="Q1378" i="4"/>
  <c r="S1378" i="4" s="1"/>
  <c r="P1378" i="4"/>
  <c r="O1378" i="4"/>
  <c r="N1378" i="4"/>
  <c r="L1378" i="4"/>
  <c r="M1378" i="4" s="1"/>
  <c r="K1378" i="4"/>
  <c r="I1378" i="4"/>
  <c r="H1378" i="4"/>
  <c r="J1378" i="4" s="1"/>
  <c r="F1378" i="4"/>
  <c r="E1378" i="4"/>
  <c r="G1378" i="4" s="1"/>
  <c r="D1378" i="4"/>
  <c r="T1378" i="4" s="1"/>
  <c r="C1378" i="4"/>
  <c r="B1378" i="4"/>
  <c r="A1378" i="4"/>
  <c r="R1377" i="4"/>
  <c r="Q1377" i="4"/>
  <c r="S1377" i="4" s="1"/>
  <c r="O1377" i="4"/>
  <c r="N1377" i="4"/>
  <c r="P1377" i="4" s="1"/>
  <c r="M1377" i="4"/>
  <c r="L1377" i="4"/>
  <c r="K1377" i="4"/>
  <c r="I1377" i="4"/>
  <c r="J1377" i="4" s="1"/>
  <c r="H1377" i="4"/>
  <c r="F1377" i="4"/>
  <c r="E1377" i="4"/>
  <c r="G1377" i="4" s="1"/>
  <c r="C1377" i="4"/>
  <c r="B1377" i="4"/>
  <c r="D1377" i="4" s="1"/>
  <c r="T1377" i="4" s="1"/>
  <c r="A1377" i="4"/>
  <c r="R1376" i="4"/>
  <c r="S1376" i="4" s="1"/>
  <c r="Q1376" i="4"/>
  <c r="O1376" i="4"/>
  <c r="N1376" i="4"/>
  <c r="P1376" i="4" s="1"/>
  <c r="L1376" i="4"/>
  <c r="K1376" i="4"/>
  <c r="M1376" i="4" s="1"/>
  <c r="J1376" i="4"/>
  <c r="I1376" i="4"/>
  <c r="H1376" i="4"/>
  <c r="F1376" i="4"/>
  <c r="G1376" i="4" s="1"/>
  <c r="E1376" i="4"/>
  <c r="C1376" i="4"/>
  <c r="B1376" i="4"/>
  <c r="A1376" i="4"/>
  <c r="S1375" i="4"/>
  <c r="R1375" i="4"/>
  <c r="Q1375" i="4"/>
  <c r="O1375" i="4"/>
  <c r="P1375" i="4" s="1"/>
  <c r="N1375" i="4"/>
  <c r="L1375" i="4"/>
  <c r="K1375" i="4"/>
  <c r="I1375" i="4"/>
  <c r="H1375" i="4"/>
  <c r="J1375" i="4" s="1"/>
  <c r="G1375" i="4"/>
  <c r="F1375" i="4"/>
  <c r="E1375" i="4"/>
  <c r="C1375" i="4"/>
  <c r="D1375" i="4" s="1"/>
  <c r="B1375" i="4"/>
  <c r="A1375" i="4"/>
  <c r="R1374" i="4"/>
  <c r="Q1374" i="4"/>
  <c r="S1374" i="4" s="1"/>
  <c r="P1374" i="4"/>
  <c r="O1374" i="4"/>
  <c r="N1374" i="4"/>
  <c r="M1374" i="4"/>
  <c r="L1374" i="4"/>
  <c r="K1374" i="4"/>
  <c r="I1374" i="4"/>
  <c r="H1374" i="4"/>
  <c r="J1374" i="4" s="1"/>
  <c r="F1374" i="4"/>
  <c r="E1374" i="4"/>
  <c r="G1374" i="4" s="1"/>
  <c r="T1374" i="4" s="1"/>
  <c r="D1374" i="4"/>
  <c r="C1374" i="4"/>
  <c r="B1374" i="4"/>
  <c r="A1374" i="4"/>
  <c r="R1373" i="4"/>
  <c r="Q1373" i="4"/>
  <c r="O1373" i="4"/>
  <c r="N1373" i="4"/>
  <c r="P1373" i="4" s="1"/>
  <c r="M1373" i="4"/>
  <c r="L1373" i="4"/>
  <c r="K1373" i="4"/>
  <c r="I1373" i="4"/>
  <c r="J1373" i="4" s="1"/>
  <c r="H1373" i="4"/>
  <c r="F1373" i="4"/>
  <c r="E1373" i="4"/>
  <c r="C1373" i="4"/>
  <c r="B1373" i="4"/>
  <c r="D1373" i="4" s="1"/>
  <c r="A1373" i="4"/>
  <c r="R1372" i="4"/>
  <c r="S1372" i="4" s="1"/>
  <c r="Q1372" i="4"/>
  <c r="O1372" i="4"/>
  <c r="N1372" i="4"/>
  <c r="L1372" i="4"/>
  <c r="K1372" i="4"/>
  <c r="J1372" i="4"/>
  <c r="I1372" i="4"/>
  <c r="H1372" i="4"/>
  <c r="F1372" i="4"/>
  <c r="G1372" i="4" s="1"/>
  <c r="E1372" i="4"/>
  <c r="C1372" i="4"/>
  <c r="B1372" i="4"/>
  <c r="D1372" i="4" s="1"/>
  <c r="A1372" i="4"/>
  <c r="S1371" i="4"/>
  <c r="R1371" i="4"/>
  <c r="Q1371" i="4"/>
  <c r="O1371" i="4"/>
  <c r="P1371" i="4" s="1"/>
  <c r="N1371" i="4"/>
  <c r="L1371" i="4"/>
  <c r="K1371" i="4"/>
  <c r="M1371" i="4" s="1"/>
  <c r="I1371" i="4"/>
  <c r="H1371" i="4"/>
  <c r="J1371" i="4" s="1"/>
  <c r="G1371" i="4"/>
  <c r="F1371" i="4"/>
  <c r="E1371" i="4"/>
  <c r="D1371" i="4"/>
  <c r="C1371" i="4"/>
  <c r="B1371" i="4"/>
  <c r="A1371" i="4"/>
  <c r="S1370" i="4"/>
  <c r="R1370" i="4"/>
  <c r="Q1370" i="4"/>
  <c r="O1370" i="4"/>
  <c r="P1370" i="4" s="1"/>
  <c r="N1370" i="4"/>
  <c r="L1370" i="4"/>
  <c r="K1370" i="4"/>
  <c r="M1370" i="4" s="1"/>
  <c r="I1370" i="4"/>
  <c r="H1370" i="4"/>
  <c r="J1370" i="4" s="1"/>
  <c r="G1370" i="4"/>
  <c r="F1370" i="4"/>
  <c r="E1370" i="4"/>
  <c r="C1370" i="4"/>
  <c r="D1370" i="4" s="1"/>
  <c r="B1370" i="4"/>
  <c r="A1370" i="4"/>
  <c r="R1369" i="4"/>
  <c r="Q1369" i="4"/>
  <c r="S1369" i="4" s="1"/>
  <c r="P1369" i="4"/>
  <c r="O1369" i="4"/>
  <c r="N1369" i="4"/>
  <c r="L1369" i="4"/>
  <c r="M1369" i="4" s="1"/>
  <c r="K1369" i="4"/>
  <c r="I1369" i="4"/>
  <c r="H1369" i="4"/>
  <c r="J1369" i="4" s="1"/>
  <c r="F1369" i="4"/>
  <c r="E1369" i="4"/>
  <c r="G1369" i="4" s="1"/>
  <c r="D1369" i="4"/>
  <c r="T1369" i="4" s="1"/>
  <c r="C1369" i="4"/>
  <c r="B1369" i="4"/>
  <c r="A1369" i="4"/>
  <c r="R1368" i="4"/>
  <c r="Q1368" i="4"/>
  <c r="S1368" i="4" s="1"/>
  <c r="O1368" i="4"/>
  <c r="N1368" i="4"/>
  <c r="P1368" i="4" s="1"/>
  <c r="M1368" i="4"/>
  <c r="L1368" i="4"/>
  <c r="K1368" i="4"/>
  <c r="I1368" i="4"/>
  <c r="J1368" i="4" s="1"/>
  <c r="H1368" i="4"/>
  <c r="F1368" i="4"/>
  <c r="E1368" i="4"/>
  <c r="G1368" i="4" s="1"/>
  <c r="C1368" i="4"/>
  <c r="B1368" i="4"/>
  <c r="D1368" i="4" s="1"/>
  <c r="A1368" i="4"/>
  <c r="R1367" i="4"/>
  <c r="S1367" i="4" s="1"/>
  <c r="Q1367" i="4"/>
  <c r="O1367" i="4"/>
  <c r="N1367" i="4"/>
  <c r="P1367" i="4" s="1"/>
  <c r="L1367" i="4"/>
  <c r="K1367" i="4"/>
  <c r="M1367" i="4" s="1"/>
  <c r="J1367" i="4"/>
  <c r="I1367" i="4"/>
  <c r="H1367" i="4"/>
  <c r="F1367" i="4"/>
  <c r="G1367" i="4" s="1"/>
  <c r="E1367" i="4"/>
  <c r="C1367" i="4"/>
  <c r="B1367" i="4"/>
  <c r="D1367" i="4" s="1"/>
  <c r="A1367" i="4"/>
  <c r="S1366" i="4"/>
  <c r="R1366" i="4"/>
  <c r="Q1366" i="4"/>
  <c r="O1366" i="4"/>
  <c r="P1366" i="4" s="1"/>
  <c r="N1366" i="4"/>
  <c r="L1366" i="4"/>
  <c r="K1366" i="4"/>
  <c r="M1366" i="4" s="1"/>
  <c r="I1366" i="4"/>
  <c r="H1366" i="4"/>
  <c r="J1366" i="4" s="1"/>
  <c r="G1366" i="4"/>
  <c r="F1366" i="4"/>
  <c r="E1366" i="4"/>
  <c r="C1366" i="4"/>
  <c r="D1366" i="4" s="1"/>
  <c r="B1366" i="4"/>
  <c r="A1366" i="4"/>
  <c r="R1365" i="4"/>
  <c r="Q1365" i="4"/>
  <c r="S1365" i="4" s="1"/>
  <c r="P1365" i="4"/>
  <c r="O1365" i="4"/>
  <c r="N1365" i="4"/>
  <c r="L1365" i="4"/>
  <c r="M1365" i="4" s="1"/>
  <c r="K1365" i="4"/>
  <c r="I1365" i="4"/>
  <c r="H1365" i="4"/>
  <c r="J1365" i="4" s="1"/>
  <c r="F1365" i="4"/>
  <c r="E1365" i="4"/>
  <c r="G1365" i="4" s="1"/>
  <c r="D1365" i="4"/>
  <c r="T1365" i="4" s="1"/>
  <c r="C1365" i="4"/>
  <c r="B1365" i="4"/>
  <c r="A1365" i="4"/>
  <c r="R1364" i="4"/>
  <c r="Q1364" i="4"/>
  <c r="S1364" i="4" s="1"/>
  <c r="O1364" i="4"/>
  <c r="P1364" i="4" s="1"/>
  <c r="N1364" i="4"/>
  <c r="M1364" i="4"/>
  <c r="L1364" i="4"/>
  <c r="K1364" i="4"/>
  <c r="I1364" i="4"/>
  <c r="H1364" i="4"/>
  <c r="F1364" i="4"/>
  <c r="E1364" i="4"/>
  <c r="G1364" i="4" s="1"/>
  <c r="C1364" i="4"/>
  <c r="D1364" i="4" s="1"/>
  <c r="B1364" i="4"/>
  <c r="A1364" i="4"/>
  <c r="R1363" i="4"/>
  <c r="Q1363" i="4"/>
  <c r="S1363" i="4" s="1"/>
  <c r="O1363" i="4"/>
  <c r="N1363" i="4"/>
  <c r="P1363" i="4" s="1"/>
  <c r="L1363" i="4"/>
  <c r="M1363" i="4" s="1"/>
  <c r="K1363" i="4"/>
  <c r="J1363" i="4"/>
  <c r="I1363" i="4"/>
  <c r="H1363" i="4"/>
  <c r="F1363" i="4"/>
  <c r="E1363" i="4"/>
  <c r="C1363" i="4"/>
  <c r="B1363" i="4"/>
  <c r="D1363" i="4" s="1"/>
  <c r="A1363" i="4"/>
  <c r="S1362" i="4"/>
  <c r="R1362" i="4"/>
  <c r="Q1362" i="4"/>
  <c r="O1362" i="4"/>
  <c r="N1362" i="4"/>
  <c r="L1362" i="4"/>
  <c r="K1362" i="4"/>
  <c r="M1362" i="4" s="1"/>
  <c r="I1362" i="4"/>
  <c r="J1362" i="4" s="1"/>
  <c r="H1362" i="4"/>
  <c r="G1362" i="4"/>
  <c r="F1362" i="4"/>
  <c r="E1362" i="4"/>
  <c r="C1362" i="4"/>
  <c r="B1362" i="4"/>
  <c r="A1362" i="4"/>
  <c r="R1361" i="4"/>
  <c r="S1361" i="4" s="1"/>
  <c r="Q1361" i="4"/>
  <c r="P1361" i="4"/>
  <c r="O1361" i="4"/>
  <c r="N1361" i="4"/>
  <c r="L1361" i="4"/>
  <c r="K1361" i="4"/>
  <c r="M1361" i="4" s="1"/>
  <c r="I1361" i="4"/>
  <c r="H1361" i="4"/>
  <c r="J1361" i="4" s="1"/>
  <c r="F1361" i="4"/>
  <c r="G1361" i="4" s="1"/>
  <c r="E1361" i="4"/>
  <c r="D1361" i="4"/>
  <c r="T1361" i="4" s="1"/>
  <c r="C1361" i="4"/>
  <c r="B1361" i="4"/>
  <c r="A1361" i="4"/>
  <c r="R1360" i="4"/>
  <c r="Q1360" i="4"/>
  <c r="S1360" i="4" s="1"/>
  <c r="O1360" i="4"/>
  <c r="P1360" i="4" s="1"/>
  <c r="N1360" i="4"/>
  <c r="M1360" i="4"/>
  <c r="L1360" i="4"/>
  <c r="K1360" i="4"/>
  <c r="I1360" i="4"/>
  <c r="H1360" i="4"/>
  <c r="F1360" i="4"/>
  <c r="E1360" i="4"/>
  <c r="G1360" i="4" s="1"/>
  <c r="C1360" i="4"/>
  <c r="D1360" i="4" s="1"/>
  <c r="B1360" i="4"/>
  <c r="A1360" i="4"/>
  <c r="R1359" i="4"/>
  <c r="Q1359" i="4"/>
  <c r="S1359" i="4" s="1"/>
  <c r="O1359" i="4"/>
  <c r="N1359" i="4"/>
  <c r="P1359" i="4" s="1"/>
  <c r="L1359" i="4"/>
  <c r="M1359" i="4" s="1"/>
  <c r="K1359" i="4"/>
  <c r="J1359" i="4"/>
  <c r="I1359" i="4"/>
  <c r="H1359" i="4"/>
  <c r="F1359" i="4"/>
  <c r="E1359" i="4"/>
  <c r="C1359" i="4"/>
  <c r="B1359" i="4"/>
  <c r="D1359" i="4" s="1"/>
  <c r="A1359" i="4"/>
  <c r="S1358" i="4"/>
  <c r="R1358" i="4"/>
  <c r="Q1358" i="4"/>
  <c r="O1358" i="4"/>
  <c r="N1358" i="4"/>
  <c r="L1358" i="4"/>
  <c r="K1358" i="4"/>
  <c r="M1358" i="4" s="1"/>
  <c r="I1358" i="4"/>
  <c r="J1358" i="4" s="1"/>
  <c r="H1358" i="4"/>
  <c r="G1358" i="4"/>
  <c r="F1358" i="4"/>
  <c r="E1358" i="4"/>
  <c r="C1358" i="4"/>
  <c r="B1358" i="4"/>
  <c r="A1358" i="4"/>
  <c r="R1357" i="4"/>
  <c r="S1357" i="4" s="1"/>
  <c r="Q1357" i="4"/>
  <c r="P1357" i="4"/>
  <c r="O1357" i="4"/>
  <c r="N1357" i="4"/>
  <c r="L1357" i="4"/>
  <c r="K1357" i="4"/>
  <c r="M1357" i="4" s="1"/>
  <c r="I1357" i="4"/>
  <c r="H1357" i="4"/>
  <c r="J1357" i="4" s="1"/>
  <c r="F1357" i="4"/>
  <c r="G1357" i="4" s="1"/>
  <c r="E1357" i="4"/>
  <c r="D1357" i="4"/>
  <c r="T1357" i="4" s="1"/>
  <c r="C1357" i="4"/>
  <c r="B1357" i="4"/>
  <c r="A1357" i="4"/>
  <c r="R1356" i="4"/>
  <c r="Q1356" i="4"/>
  <c r="S1356" i="4" s="1"/>
  <c r="O1356" i="4"/>
  <c r="P1356" i="4" s="1"/>
  <c r="N1356" i="4"/>
  <c r="M1356" i="4"/>
  <c r="L1356" i="4"/>
  <c r="K1356" i="4"/>
  <c r="I1356" i="4"/>
  <c r="H1356" i="4"/>
  <c r="F1356" i="4"/>
  <c r="E1356" i="4"/>
  <c r="G1356" i="4" s="1"/>
  <c r="C1356" i="4"/>
  <c r="D1356" i="4" s="1"/>
  <c r="B1356" i="4"/>
  <c r="A1356" i="4"/>
  <c r="R1355" i="4"/>
  <c r="Q1355" i="4"/>
  <c r="S1355" i="4" s="1"/>
  <c r="O1355" i="4"/>
  <c r="N1355" i="4"/>
  <c r="P1355" i="4" s="1"/>
  <c r="L1355" i="4"/>
  <c r="M1355" i="4" s="1"/>
  <c r="K1355" i="4"/>
  <c r="J1355" i="4"/>
  <c r="I1355" i="4"/>
  <c r="H1355" i="4"/>
  <c r="F1355" i="4"/>
  <c r="E1355" i="4"/>
  <c r="C1355" i="4"/>
  <c r="B1355" i="4"/>
  <c r="D1355" i="4" s="1"/>
  <c r="A1355" i="4"/>
  <c r="S1354" i="4"/>
  <c r="R1354" i="4"/>
  <c r="Q1354" i="4"/>
  <c r="O1354" i="4"/>
  <c r="N1354" i="4"/>
  <c r="L1354" i="4"/>
  <c r="K1354" i="4"/>
  <c r="M1354" i="4" s="1"/>
  <c r="I1354" i="4"/>
  <c r="H1354" i="4"/>
  <c r="J1354" i="4" s="1"/>
  <c r="G1354" i="4"/>
  <c r="F1354" i="4"/>
  <c r="E1354" i="4"/>
  <c r="C1354" i="4"/>
  <c r="B1354" i="4"/>
  <c r="A1354" i="4"/>
  <c r="R1353" i="4"/>
  <c r="Q1353" i="4"/>
  <c r="S1353" i="4" s="1"/>
  <c r="P1353" i="4"/>
  <c r="O1353" i="4"/>
  <c r="N1353" i="4"/>
  <c r="L1353" i="4"/>
  <c r="K1353" i="4"/>
  <c r="M1353" i="4" s="1"/>
  <c r="I1353" i="4"/>
  <c r="H1353" i="4"/>
  <c r="J1353" i="4" s="1"/>
  <c r="F1353" i="4"/>
  <c r="E1353" i="4"/>
  <c r="G1353" i="4" s="1"/>
  <c r="D1353" i="4"/>
  <c r="T1353" i="4" s="1"/>
  <c r="C1353" i="4"/>
  <c r="B1353" i="4"/>
  <c r="A1353" i="4"/>
  <c r="R1352" i="4"/>
  <c r="Q1352" i="4"/>
  <c r="S1352" i="4" s="1"/>
  <c r="O1352" i="4"/>
  <c r="N1352" i="4"/>
  <c r="P1352" i="4" s="1"/>
  <c r="M1352" i="4"/>
  <c r="L1352" i="4"/>
  <c r="K1352" i="4"/>
  <c r="I1352" i="4"/>
  <c r="H1352" i="4"/>
  <c r="F1352" i="4"/>
  <c r="E1352" i="4"/>
  <c r="G1352" i="4" s="1"/>
  <c r="C1352" i="4"/>
  <c r="B1352" i="4"/>
  <c r="D1352" i="4" s="1"/>
  <c r="A1352" i="4"/>
  <c r="R1351" i="4"/>
  <c r="Q1351" i="4"/>
  <c r="S1351" i="4" s="1"/>
  <c r="O1351" i="4"/>
  <c r="N1351" i="4"/>
  <c r="P1351" i="4" s="1"/>
  <c r="L1351" i="4"/>
  <c r="K1351" i="4"/>
  <c r="M1351" i="4" s="1"/>
  <c r="J1351" i="4"/>
  <c r="I1351" i="4"/>
  <c r="H1351" i="4"/>
  <c r="F1351" i="4"/>
  <c r="E1351" i="4"/>
  <c r="C1351" i="4"/>
  <c r="B1351" i="4"/>
  <c r="D1351" i="4" s="1"/>
  <c r="A1351" i="4"/>
  <c r="S1350" i="4"/>
  <c r="R1350" i="4"/>
  <c r="Q1350" i="4"/>
  <c r="O1350" i="4"/>
  <c r="N1350" i="4"/>
  <c r="L1350" i="4"/>
  <c r="K1350" i="4"/>
  <c r="M1350" i="4" s="1"/>
  <c r="I1350" i="4"/>
  <c r="H1350" i="4"/>
  <c r="J1350" i="4" s="1"/>
  <c r="G1350" i="4"/>
  <c r="F1350" i="4"/>
  <c r="E1350" i="4"/>
  <c r="C1350" i="4"/>
  <c r="B1350" i="4"/>
  <c r="A1350" i="4"/>
  <c r="R1349" i="4"/>
  <c r="Q1349" i="4"/>
  <c r="S1349" i="4" s="1"/>
  <c r="P1349" i="4"/>
  <c r="O1349" i="4"/>
  <c r="N1349" i="4"/>
  <c r="L1349" i="4"/>
  <c r="K1349" i="4"/>
  <c r="M1349" i="4" s="1"/>
  <c r="I1349" i="4"/>
  <c r="H1349" i="4"/>
  <c r="J1349" i="4" s="1"/>
  <c r="F1349" i="4"/>
  <c r="E1349" i="4"/>
  <c r="G1349" i="4" s="1"/>
  <c r="D1349" i="4"/>
  <c r="T1349" i="4" s="1"/>
  <c r="C1349" i="4"/>
  <c r="B1349" i="4"/>
  <c r="A1349" i="4"/>
  <c r="R1348" i="4"/>
  <c r="Q1348" i="4"/>
  <c r="S1348" i="4" s="1"/>
  <c r="O1348" i="4"/>
  <c r="N1348" i="4"/>
  <c r="P1348" i="4" s="1"/>
  <c r="M1348" i="4"/>
  <c r="L1348" i="4"/>
  <c r="K1348" i="4"/>
  <c r="I1348" i="4"/>
  <c r="H1348" i="4"/>
  <c r="F1348" i="4"/>
  <c r="E1348" i="4"/>
  <c r="G1348" i="4" s="1"/>
  <c r="C1348" i="4"/>
  <c r="B1348" i="4"/>
  <c r="D1348" i="4" s="1"/>
  <c r="A1348" i="4"/>
  <c r="R1347" i="4"/>
  <c r="Q1347" i="4"/>
  <c r="S1347" i="4" s="1"/>
  <c r="O1347" i="4"/>
  <c r="N1347" i="4"/>
  <c r="P1347" i="4" s="1"/>
  <c r="L1347" i="4"/>
  <c r="K1347" i="4"/>
  <c r="M1347" i="4" s="1"/>
  <c r="J1347" i="4"/>
  <c r="I1347" i="4"/>
  <c r="H1347" i="4"/>
  <c r="F1347" i="4"/>
  <c r="E1347" i="4"/>
  <c r="C1347" i="4"/>
  <c r="B1347" i="4"/>
  <c r="D1347" i="4" s="1"/>
  <c r="A1347" i="4"/>
  <c r="S1346" i="4"/>
  <c r="R1346" i="4"/>
  <c r="Q1346" i="4"/>
  <c r="O1346" i="4"/>
  <c r="N1346" i="4"/>
  <c r="L1346" i="4"/>
  <c r="K1346" i="4"/>
  <c r="M1346" i="4" s="1"/>
  <c r="I1346" i="4"/>
  <c r="H1346" i="4"/>
  <c r="J1346" i="4" s="1"/>
  <c r="G1346" i="4"/>
  <c r="F1346" i="4"/>
  <c r="E1346" i="4"/>
  <c r="C1346" i="4"/>
  <c r="B1346" i="4"/>
  <c r="A1346" i="4"/>
  <c r="R1345" i="4"/>
  <c r="Q1345" i="4"/>
  <c r="S1345" i="4" s="1"/>
  <c r="P1345" i="4"/>
  <c r="O1345" i="4"/>
  <c r="N1345" i="4"/>
  <c r="L1345" i="4"/>
  <c r="K1345" i="4"/>
  <c r="M1345" i="4" s="1"/>
  <c r="I1345" i="4"/>
  <c r="H1345" i="4"/>
  <c r="J1345" i="4" s="1"/>
  <c r="F1345" i="4"/>
  <c r="E1345" i="4"/>
  <c r="G1345" i="4" s="1"/>
  <c r="D1345" i="4"/>
  <c r="T1345" i="4" s="1"/>
  <c r="C1345" i="4"/>
  <c r="B1345" i="4"/>
  <c r="A1345" i="4"/>
  <c r="R1344" i="4"/>
  <c r="Q1344" i="4"/>
  <c r="S1344" i="4" s="1"/>
  <c r="O1344" i="4"/>
  <c r="N1344" i="4"/>
  <c r="P1344" i="4" s="1"/>
  <c r="M1344" i="4"/>
  <c r="L1344" i="4"/>
  <c r="K1344" i="4"/>
  <c r="I1344" i="4"/>
  <c r="H1344" i="4"/>
  <c r="F1344" i="4"/>
  <c r="E1344" i="4"/>
  <c r="G1344" i="4" s="1"/>
  <c r="C1344" i="4"/>
  <c r="D1344" i="4" s="1"/>
  <c r="B1344" i="4"/>
  <c r="A1344" i="4"/>
  <c r="R1343" i="4"/>
  <c r="Q1343" i="4"/>
  <c r="S1343" i="4" s="1"/>
  <c r="O1343" i="4"/>
  <c r="N1343" i="4"/>
  <c r="P1343" i="4" s="1"/>
  <c r="L1343" i="4"/>
  <c r="K1343" i="4"/>
  <c r="M1343" i="4" s="1"/>
  <c r="J1343" i="4"/>
  <c r="I1343" i="4"/>
  <c r="H1343" i="4"/>
  <c r="F1343" i="4"/>
  <c r="E1343" i="4"/>
  <c r="C1343" i="4"/>
  <c r="B1343" i="4"/>
  <c r="D1343" i="4" s="1"/>
  <c r="A1343" i="4"/>
  <c r="S1342" i="4"/>
  <c r="R1342" i="4"/>
  <c r="Q1342" i="4"/>
  <c r="O1342" i="4"/>
  <c r="N1342" i="4"/>
  <c r="L1342" i="4"/>
  <c r="K1342" i="4"/>
  <c r="M1342" i="4" s="1"/>
  <c r="I1342" i="4"/>
  <c r="J1342" i="4" s="1"/>
  <c r="H1342" i="4"/>
  <c r="G1342" i="4"/>
  <c r="F1342" i="4"/>
  <c r="E1342" i="4"/>
  <c r="C1342" i="4"/>
  <c r="B1342" i="4"/>
  <c r="A1342" i="4"/>
  <c r="R1341" i="4"/>
  <c r="S1341" i="4" s="1"/>
  <c r="Q1341" i="4"/>
  <c r="P1341" i="4"/>
  <c r="O1341" i="4"/>
  <c r="N1341" i="4"/>
  <c r="L1341" i="4"/>
  <c r="K1341" i="4"/>
  <c r="M1341" i="4" s="1"/>
  <c r="I1341" i="4"/>
  <c r="H1341" i="4"/>
  <c r="J1341" i="4" s="1"/>
  <c r="F1341" i="4"/>
  <c r="E1341" i="4"/>
  <c r="G1341" i="4" s="1"/>
  <c r="D1341" i="4"/>
  <c r="T1341" i="4" s="1"/>
  <c r="C1341" i="4"/>
  <c r="B1341" i="4"/>
  <c r="A1341" i="4"/>
  <c r="R1340" i="4"/>
  <c r="Q1340" i="4"/>
  <c r="S1340" i="4" s="1"/>
  <c r="O1340" i="4"/>
  <c r="N1340" i="4"/>
  <c r="P1340" i="4" s="1"/>
  <c r="M1340" i="4"/>
  <c r="L1340" i="4"/>
  <c r="K1340" i="4"/>
  <c r="I1340" i="4"/>
  <c r="H1340" i="4"/>
  <c r="F1340" i="4"/>
  <c r="E1340" i="4"/>
  <c r="G1340" i="4" s="1"/>
  <c r="C1340" i="4"/>
  <c r="B1340" i="4"/>
  <c r="D1340" i="4" s="1"/>
  <c r="A1340" i="4"/>
  <c r="R1339" i="4"/>
  <c r="Q1339" i="4"/>
  <c r="S1339" i="4" s="1"/>
  <c r="O1339" i="4"/>
  <c r="N1339" i="4"/>
  <c r="P1339" i="4" s="1"/>
  <c r="L1339" i="4"/>
  <c r="K1339" i="4"/>
  <c r="M1339" i="4" s="1"/>
  <c r="J1339" i="4"/>
  <c r="I1339" i="4"/>
  <c r="H1339" i="4"/>
  <c r="F1339" i="4"/>
  <c r="G1339" i="4" s="1"/>
  <c r="E1339" i="4"/>
  <c r="C1339" i="4"/>
  <c r="B1339" i="4"/>
  <c r="D1339" i="4" s="1"/>
  <c r="A1339" i="4"/>
  <c r="S1338" i="4"/>
  <c r="R1338" i="4"/>
  <c r="Q1338" i="4"/>
  <c r="O1338" i="4"/>
  <c r="N1338" i="4"/>
  <c r="L1338" i="4"/>
  <c r="K1338" i="4"/>
  <c r="M1338" i="4" s="1"/>
  <c r="I1338" i="4"/>
  <c r="H1338" i="4"/>
  <c r="J1338" i="4" s="1"/>
  <c r="G1338" i="4"/>
  <c r="F1338" i="4"/>
  <c r="E1338" i="4"/>
  <c r="C1338" i="4"/>
  <c r="B1338" i="4"/>
  <c r="A1338" i="4"/>
  <c r="R1337" i="4"/>
  <c r="S1337" i="4" s="1"/>
  <c r="Q1337" i="4"/>
  <c r="P1337" i="4"/>
  <c r="O1337" i="4"/>
  <c r="N1337" i="4"/>
  <c r="L1337" i="4"/>
  <c r="K1337" i="4"/>
  <c r="M1337" i="4" s="1"/>
  <c r="I1337" i="4"/>
  <c r="H1337" i="4"/>
  <c r="J1337" i="4" s="1"/>
  <c r="F1337" i="4"/>
  <c r="E1337" i="4"/>
  <c r="G1337" i="4" s="1"/>
  <c r="D1337" i="4"/>
  <c r="T1337" i="4" s="1"/>
  <c r="C1337" i="4"/>
  <c r="B1337" i="4"/>
  <c r="A1337" i="4"/>
  <c r="R1336" i="4"/>
  <c r="Q1336" i="4"/>
  <c r="S1336" i="4" s="1"/>
  <c r="O1336" i="4"/>
  <c r="N1336" i="4"/>
  <c r="P1336" i="4" s="1"/>
  <c r="M1336" i="4"/>
  <c r="L1336" i="4"/>
  <c r="K1336" i="4"/>
  <c r="I1336" i="4"/>
  <c r="H1336" i="4"/>
  <c r="F1336" i="4"/>
  <c r="E1336" i="4"/>
  <c r="G1336" i="4" s="1"/>
  <c r="C1336" i="4"/>
  <c r="D1336" i="4" s="1"/>
  <c r="B1336" i="4"/>
  <c r="A1336" i="4"/>
  <c r="R1335" i="4"/>
  <c r="Q1335" i="4"/>
  <c r="S1335" i="4" s="1"/>
  <c r="O1335" i="4"/>
  <c r="N1335" i="4"/>
  <c r="P1335" i="4" s="1"/>
  <c r="L1335" i="4"/>
  <c r="K1335" i="4"/>
  <c r="M1335" i="4" s="1"/>
  <c r="J1335" i="4"/>
  <c r="I1335" i="4"/>
  <c r="H1335" i="4"/>
  <c r="F1335" i="4"/>
  <c r="E1335" i="4"/>
  <c r="C1335" i="4"/>
  <c r="B1335" i="4"/>
  <c r="D1335" i="4" s="1"/>
  <c r="A1335" i="4"/>
  <c r="S1334" i="4"/>
  <c r="R1334" i="4"/>
  <c r="Q1334" i="4"/>
  <c r="O1334" i="4"/>
  <c r="N1334" i="4"/>
  <c r="L1334" i="4"/>
  <c r="K1334" i="4"/>
  <c r="M1334" i="4" s="1"/>
  <c r="I1334" i="4"/>
  <c r="H1334" i="4"/>
  <c r="J1334" i="4" s="1"/>
  <c r="G1334" i="4"/>
  <c r="F1334" i="4"/>
  <c r="E1334" i="4"/>
  <c r="C1334" i="4"/>
  <c r="B1334" i="4"/>
  <c r="A1334" i="4"/>
  <c r="R1333" i="4"/>
  <c r="Q1333" i="4"/>
  <c r="S1333" i="4" s="1"/>
  <c r="P1333" i="4"/>
  <c r="O1333" i="4"/>
  <c r="N1333" i="4"/>
  <c r="L1333" i="4"/>
  <c r="K1333" i="4"/>
  <c r="M1333" i="4" s="1"/>
  <c r="I1333" i="4"/>
  <c r="H1333" i="4"/>
  <c r="J1333" i="4" s="1"/>
  <c r="F1333" i="4"/>
  <c r="E1333" i="4"/>
  <c r="G1333" i="4" s="1"/>
  <c r="D1333" i="4"/>
  <c r="T1333" i="4" s="1"/>
  <c r="C1333" i="4"/>
  <c r="B1333" i="4"/>
  <c r="A1333" i="4"/>
  <c r="R1332" i="4"/>
  <c r="Q1332" i="4"/>
  <c r="S1332" i="4" s="1"/>
  <c r="O1332" i="4"/>
  <c r="N1332" i="4"/>
  <c r="P1332" i="4" s="1"/>
  <c r="M1332" i="4"/>
  <c r="L1332" i="4"/>
  <c r="K1332" i="4"/>
  <c r="I1332" i="4"/>
  <c r="H1332" i="4"/>
  <c r="F1332" i="4"/>
  <c r="E1332" i="4"/>
  <c r="G1332" i="4" s="1"/>
  <c r="C1332" i="4"/>
  <c r="B1332" i="4"/>
  <c r="D1332" i="4" s="1"/>
  <c r="A1332" i="4"/>
  <c r="R1331" i="4"/>
  <c r="S1331" i="4" s="1"/>
  <c r="Q1331" i="4"/>
  <c r="O1331" i="4"/>
  <c r="N1331" i="4"/>
  <c r="P1331" i="4" s="1"/>
  <c r="L1331" i="4"/>
  <c r="K1331" i="4"/>
  <c r="M1331" i="4" s="1"/>
  <c r="J1331" i="4"/>
  <c r="I1331" i="4"/>
  <c r="H1331" i="4"/>
  <c r="F1331" i="4"/>
  <c r="E1331" i="4"/>
  <c r="C1331" i="4"/>
  <c r="B1331" i="4"/>
  <c r="D1331" i="4" s="1"/>
  <c r="A1331" i="4"/>
  <c r="S1330" i="4"/>
  <c r="R1330" i="4"/>
  <c r="Q1330" i="4"/>
  <c r="O1330" i="4"/>
  <c r="N1330" i="4"/>
  <c r="L1330" i="4"/>
  <c r="K1330" i="4"/>
  <c r="M1330" i="4" s="1"/>
  <c r="I1330" i="4"/>
  <c r="H1330" i="4"/>
  <c r="J1330" i="4" s="1"/>
  <c r="G1330" i="4"/>
  <c r="F1330" i="4"/>
  <c r="E1330" i="4"/>
  <c r="C1330" i="4"/>
  <c r="D1330" i="4" s="1"/>
  <c r="B1330" i="4"/>
  <c r="A1330" i="4"/>
  <c r="R1329" i="4"/>
  <c r="Q1329" i="4"/>
  <c r="S1329" i="4" s="1"/>
  <c r="P1329" i="4"/>
  <c r="O1329" i="4"/>
  <c r="N1329" i="4"/>
  <c r="L1329" i="4"/>
  <c r="K1329" i="4"/>
  <c r="M1329" i="4" s="1"/>
  <c r="I1329" i="4"/>
  <c r="H1329" i="4"/>
  <c r="J1329" i="4" s="1"/>
  <c r="F1329" i="4"/>
  <c r="E1329" i="4"/>
  <c r="G1329" i="4" s="1"/>
  <c r="D1329" i="4"/>
  <c r="T1329" i="4" s="1"/>
  <c r="C1329" i="4"/>
  <c r="B1329" i="4"/>
  <c r="A1329" i="4"/>
  <c r="R1328" i="4"/>
  <c r="Q1328" i="4"/>
  <c r="S1328" i="4" s="1"/>
  <c r="O1328" i="4"/>
  <c r="N1328" i="4"/>
  <c r="P1328" i="4" s="1"/>
  <c r="M1328" i="4"/>
  <c r="L1328" i="4"/>
  <c r="K1328" i="4"/>
  <c r="I1328" i="4"/>
  <c r="H1328" i="4"/>
  <c r="F1328" i="4"/>
  <c r="E1328" i="4"/>
  <c r="G1328" i="4" s="1"/>
  <c r="C1328" i="4"/>
  <c r="B1328" i="4"/>
  <c r="D1328" i="4" s="1"/>
  <c r="A1328" i="4"/>
  <c r="R1327" i="4"/>
  <c r="S1327" i="4" s="1"/>
  <c r="Q1327" i="4"/>
  <c r="O1327" i="4"/>
  <c r="N1327" i="4"/>
  <c r="P1327" i="4" s="1"/>
  <c r="L1327" i="4"/>
  <c r="K1327" i="4"/>
  <c r="M1327" i="4" s="1"/>
  <c r="J1327" i="4"/>
  <c r="I1327" i="4"/>
  <c r="H1327" i="4"/>
  <c r="F1327" i="4"/>
  <c r="G1327" i="4" s="1"/>
  <c r="E1327" i="4"/>
  <c r="C1327" i="4"/>
  <c r="B1327" i="4"/>
  <c r="D1327" i="4" s="1"/>
  <c r="A1327" i="4"/>
  <c r="S1326" i="4"/>
  <c r="R1326" i="4"/>
  <c r="Q1326" i="4"/>
  <c r="O1326" i="4"/>
  <c r="P1326" i="4" s="1"/>
  <c r="N1326" i="4"/>
  <c r="L1326" i="4"/>
  <c r="K1326" i="4"/>
  <c r="M1326" i="4" s="1"/>
  <c r="I1326" i="4"/>
  <c r="H1326" i="4"/>
  <c r="J1326" i="4" s="1"/>
  <c r="G1326" i="4"/>
  <c r="F1326" i="4"/>
  <c r="E1326" i="4"/>
  <c r="C1326" i="4"/>
  <c r="D1326" i="4" s="1"/>
  <c r="B1326" i="4"/>
  <c r="A1326" i="4"/>
  <c r="R1325" i="4"/>
  <c r="Q1325" i="4"/>
  <c r="S1325" i="4" s="1"/>
  <c r="P1325" i="4"/>
  <c r="O1325" i="4"/>
  <c r="N1325" i="4"/>
  <c r="L1325" i="4"/>
  <c r="K1325" i="4"/>
  <c r="M1325" i="4" s="1"/>
  <c r="I1325" i="4"/>
  <c r="H1325" i="4"/>
  <c r="J1325" i="4" s="1"/>
  <c r="F1325" i="4"/>
  <c r="E1325" i="4"/>
  <c r="G1325" i="4" s="1"/>
  <c r="D1325" i="4"/>
  <c r="T1325" i="4" s="1"/>
  <c r="C1325" i="4"/>
  <c r="B1325" i="4"/>
  <c r="A1325" i="4"/>
  <c r="R1324" i="4"/>
  <c r="Q1324" i="4"/>
  <c r="S1324" i="4" s="1"/>
  <c r="O1324" i="4"/>
  <c r="N1324" i="4"/>
  <c r="P1324" i="4" s="1"/>
  <c r="M1324" i="4"/>
  <c r="L1324" i="4"/>
  <c r="K1324" i="4"/>
  <c r="I1324" i="4"/>
  <c r="H1324" i="4"/>
  <c r="F1324" i="4"/>
  <c r="E1324" i="4"/>
  <c r="G1324" i="4" s="1"/>
  <c r="C1324" i="4"/>
  <c r="B1324" i="4"/>
  <c r="D1324" i="4" s="1"/>
  <c r="A1324" i="4"/>
  <c r="R1323" i="4"/>
  <c r="S1323" i="4" s="1"/>
  <c r="Q1323" i="4"/>
  <c r="O1323" i="4"/>
  <c r="N1323" i="4"/>
  <c r="P1323" i="4" s="1"/>
  <c r="L1323" i="4"/>
  <c r="K1323" i="4"/>
  <c r="M1323" i="4" s="1"/>
  <c r="J1323" i="4"/>
  <c r="I1323" i="4"/>
  <c r="H1323" i="4"/>
  <c r="F1323" i="4"/>
  <c r="G1323" i="4" s="1"/>
  <c r="E1323" i="4"/>
  <c r="C1323" i="4"/>
  <c r="B1323" i="4"/>
  <c r="D1323" i="4" s="1"/>
  <c r="A1323" i="4"/>
  <c r="S1322" i="4"/>
  <c r="R1322" i="4"/>
  <c r="Q1322" i="4"/>
  <c r="O1322" i="4"/>
  <c r="P1322" i="4" s="1"/>
  <c r="N1322" i="4"/>
  <c r="L1322" i="4"/>
  <c r="K1322" i="4"/>
  <c r="M1322" i="4" s="1"/>
  <c r="I1322" i="4"/>
  <c r="H1322" i="4"/>
  <c r="J1322" i="4" s="1"/>
  <c r="G1322" i="4"/>
  <c r="F1322" i="4"/>
  <c r="E1322" i="4"/>
  <c r="C1322" i="4"/>
  <c r="B1322" i="4"/>
  <c r="A1322" i="4"/>
  <c r="R1321" i="4"/>
  <c r="Q1321" i="4"/>
  <c r="S1321" i="4" s="1"/>
  <c r="P1321" i="4"/>
  <c r="O1321" i="4"/>
  <c r="N1321" i="4"/>
  <c r="L1321" i="4"/>
  <c r="K1321" i="4"/>
  <c r="M1321" i="4" s="1"/>
  <c r="I1321" i="4"/>
  <c r="H1321" i="4"/>
  <c r="J1321" i="4" s="1"/>
  <c r="F1321" i="4"/>
  <c r="E1321" i="4"/>
  <c r="G1321" i="4" s="1"/>
  <c r="D1321" i="4"/>
  <c r="T1321" i="4" s="1"/>
  <c r="C1321" i="4"/>
  <c r="B1321" i="4"/>
  <c r="A1321" i="4"/>
  <c r="R1320" i="4"/>
  <c r="Q1320" i="4"/>
  <c r="S1320" i="4" s="1"/>
  <c r="O1320" i="4"/>
  <c r="N1320" i="4"/>
  <c r="P1320" i="4" s="1"/>
  <c r="M1320" i="4"/>
  <c r="L1320" i="4"/>
  <c r="K1320" i="4"/>
  <c r="I1320" i="4"/>
  <c r="H1320" i="4"/>
  <c r="F1320" i="4"/>
  <c r="E1320" i="4"/>
  <c r="G1320" i="4" s="1"/>
  <c r="C1320" i="4"/>
  <c r="B1320" i="4"/>
  <c r="D1320" i="4" s="1"/>
  <c r="A1320" i="4"/>
  <c r="R1319" i="4"/>
  <c r="Q1319" i="4"/>
  <c r="S1319" i="4" s="1"/>
  <c r="O1319" i="4"/>
  <c r="N1319" i="4"/>
  <c r="P1319" i="4" s="1"/>
  <c r="L1319" i="4"/>
  <c r="K1319" i="4"/>
  <c r="M1319" i="4" s="1"/>
  <c r="J1319" i="4"/>
  <c r="I1319" i="4"/>
  <c r="H1319" i="4"/>
  <c r="F1319" i="4"/>
  <c r="E1319" i="4"/>
  <c r="C1319" i="4"/>
  <c r="B1319" i="4"/>
  <c r="D1319" i="4" s="1"/>
  <c r="A1319" i="4"/>
  <c r="S1318" i="4"/>
  <c r="R1318" i="4"/>
  <c r="Q1318" i="4"/>
  <c r="O1318" i="4"/>
  <c r="N1318" i="4"/>
  <c r="L1318" i="4"/>
  <c r="K1318" i="4"/>
  <c r="M1318" i="4" s="1"/>
  <c r="I1318" i="4"/>
  <c r="H1318" i="4"/>
  <c r="J1318" i="4" s="1"/>
  <c r="G1318" i="4"/>
  <c r="F1318" i="4"/>
  <c r="E1318" i="4"/>
  <c r="C1318" i="4"/>
  <c r="B1318" i="4"/>
  <c r="A1318" i="4"/>
  <c r="R1317" i="4"/>
  <c r="Q1317" i="4"/>
  <c r="S1317" i="4" s="1"/>
  <c r="P1317" i="4"/>
  <c r="O1317" i="4"/>
  <c r="N1317" i="4"/>
  <c r="L1317" i="4"/>
  <c r="K1317" i="4"/>
  <c r="M1317" i="4" s="1"/>
  <c r="I1317" i="4"/>
  <c r="H1317" i="4"/>
  <c r="J1317" i="4" s="1"/>
  <c r="F1317" i="4"/>
  <c r="E1317" i="4"/>
  <c r="G1317" i="4" s="1"/>
  <c r="D1317" i="4"/>
  <c r="T1317" i="4" s="1"/>
  <c r="C1317" i="4"/>
  <c r="B1317" i="4"/>
  <c r="A1317" i="4"/>
  <c r="R1316" i="4"/>
  <c r="Q1316" i="4"/>
  <c r="S1316" i="4" s="1"/>
  <c r="O1316" i="4"/>
  <c r="N1316" i="4"/>
  <c r="P1316" i="4" s="1"/>
  <c r="M1316" i="4"/>
  <c r="L1316" i="4"/>
  <c r="K1316" i="4"/>
  <c r="I1316" i="4"/>
  <c r="H1316" i="4"/>
  <c r="F1316" i="4"/>
  <c r="E1316" i="4"/>
  <c r="G1316" i="4" s="1"/>
  <c r="C1316" i="4"/>
  <c r="B1316" i="4"/>
  <c r="D1316" i="4" s="1"/>
  <c r="A1316" i="4"/>
  <c r="R1315" i="4"/>
  <c r="Q1315" i="4"/>
  <c r="S1315" i="4" s="1"/>
  <c r="O1315" i="4"/>
  <c r="N1315" i="4"/>
  <c r="P1315" i="4" s="1"/>
  <c r="L1315" i="4"/>
  <c r="K1315" i="4"/>
  <c r="M1315" i="4" s="1"/>
  <c r="J1315" i="4"/>
  <c r="I1315" i="4"/>
  <c r="H1315" i="4"/>
  <c r="F1315" i="4"/>
  <c r="E1315" i="4"/>
  <c r="C1315" i="4"/>
  <c r="B1315" i="4"/>
  <c r="D1315" i="4" s="1"/>
  <c r="A1315" i="4"/>
  <c r="S1314" i="4"/>
  <c r="R1314" i="4"/>
  <c r="Q1314" i="4"/>
  <c r="O1314" i="4"/>
  <c r="N1314" i="4"/>
  <c r="L1314" i="4"/>
  <c r="K1314" i="4"/>
  <c r="M1314" i="4" s="1"/>
  <c r="I1314" i="4"/>
  <c r="H1314" i="4"/>
  <c r="J1314" i="4" s="1"/>
  <c r="G1314" i="4"/>
  <c r="F1314" i="4"/>
  <c r="E1314" i="4"/>
  <c r="C1314" i="4"/>
  <c r="B1314" i="4"/>
  <c r="A1314" i="4"/>
  <c r="R1313" i="4"/>
  <c r="Q1313" i="4"/>
  <c r="S1313" i="4" s="1"/>
  <c r="P1313" i="4"/>
  <c r="O1313" i="4"/>
  <c r="N1313" i="4"/>
  <c r="L1313" i="4"/>
  <c r="K1313" i="4"/>
  <c r="M1313" i="4" s="1"/>
  <c r="I1313" i="4"/>
  <c r="H1313" i="4"/>
  <c r="J1313" i="4" s="1"/>
  <c r="F1313" i="4"/>
  <c r="G1313" i="4" s="1"/>
  <c r="E1313" i="4"/>
  <c r="D1313" i="4"/>
  <c r="T1313" i="4" s="1"/>
  <c r="C1313" i="4"/>
  <c r="B1313" i="4"/>
  <c r="A1313" i="4"/>
  <c r="R1312" i="4"/>
  <c r="Q1312" i="4"/>
  <c r="S1312" i="4" s="1"/>
  <c r="O1312" i="4"/>
  <c r="N1312" i="4"/>
  <c r="P1312" i="4" s="1"/>
  <c r="M1312" i="4"/>
  <c r="L1312" i="4"/>
  <c r="K1312" i="4"/>
  <c r="I1312" i="4"/>
  <c r="H1312" i="4"/>
  <c r="F1312" i="4"/>
  <c r="E1312" i="4"/>
  <c r="G1312" i="4" s="1"/>
  <c r="C1312" i="4"/>
  <c r="B1312" i="4"/>
  <c r="D1312" i="4" s="1"/>
  <c r="A1312" i="4"/>
  <c r="R1311" i="4"/>
  <c r="S1311" i="4" s="1"/>
  <c r="Q1311" i="4"/>
  <c r="O1311" i="4"/>
  <c r="N1311" i="4"/>
  <c r="P1311" i="4" s="1"/>
  <c r="L1311" i="4"/>
  <c r="K1311" i="4"/>
  <c r="M1311" i="4" s="1"/>
  <c r="J1311" i="4"/>
  <c r="I1311" i="4"/>
  <c r="H1311" i="4"/>
  <c r="F1311" i="4"/>
  <c r="G1311" i="4" s="1"/>
  <c r="E1311" i="4"/>
  <c r="C1311" i="4"/>
  <c r="B1311" i="4"/>
  <c r="D1311" i="4" s="1"/>
  <c r="A1311" i="4"/>
  <c r="S1310" i="4"/>
  <c r="R1310" i="4"/>
  <c r="Q1310" i="4"/>
  <c r="O1310" i="4"/>
  <c r="P1310" i="4" s="1"/>
  <c r="N1310" i="4"/>
  <c r="L1310" i="4"/>
  <c r="K1310" i="4"/>
  <c r="M1310" i="4" s="1"/>
  <c r="I1310" i="4"/>
  <c r="H1310" i="4"/>
  <c r="G1310" i="4"/>
  <c r="F1310" i="4"/>
  <c r="E1310" i="4"/>
  <c r="C1310" i="4"/>
  <c r="D1310" i="4" s="1"/>
  <c r="B1310" i="4"/>
  <c r="A1310" i="4"/>
  <c r="R1309" i="4"/>
  <c r="Q1309" i="4"/>
  <c r="S1309" i="4" s="1"/>
  <c r="P1309" i="4"/>
  <c r="O1309" i="4"/>
  <c r="N1309" i="4"/>
  <c r="L1309" i="4"/>
  <c r="K1309" i="4"/>
  <c r="I1309" i="4"/>
  <c r="H1309" i="4"/>
  <c r="J1309" i="4" s="1"/>
  <c r="F1309" i="4"/>
  <c r="E1309" i="4"/>
  <c r="C1309" i="4"/>
  <c r="B1309" i="4"/>
  <c r="D1309" i="4" s="1"/>
  <c r="A1309" i="4"/>
  <c r="S1308" i="4"/>
  <c r="R1308" i="4"/>
  <c r="Q1308" i="4"/>
  <c r="O1308" i="4"/>
  <c r="N1308" i="4"/>
  <c r="P1308" i="4" s="1"/>
  <c r="M1308" i="4"/>
  <c r="L1308" i="4"/>
  <c r="K1308" i="4"/>
  <c r="I1308" i="4"/>
  <c r="H1308" i="4"/>
  <c r="F1308" i="4"/>
  <c r="E1308" i="4"/>
  <c r="G1308" i="4" s="1"/>
  <c r="C1308" i="4"/>
  <c r="B1308" i="4"/>
  <c r="A1308" i="4"/>
  <c r="R1307" i="4"/>
  <c r="Q1307" i="4"/>
  <c r="O1307" i="4"/>
  <c r="N1307" i="4"/>
  <c r="P1307" i="4" s="1"/>
  <c r="L1307" i="4"/>
  <c r="K1307" i="4"/>
  <c r="J1307" i="4"/>
  <c r="I1307" i="4"/>
  <c r="H1307" i="4"/>
  <c r="F1307" i="4"/>
  <c r="E1307" i="4"/>
  <c r="G1307" i="4" s="1"/>
  <c r="D1307" i="4"/>
  <c r="C1307" i="4"/>
  <c r="B1307" i="4"/>
  <c r="A1307" i="4"/>
  <c r="R1306" i="4"/>
  <c r="Q1306" i="4"/>
  <c r="S1306" i="4" s="1"/>
  <c r="O1306" i="4"/>
  <c r="N1306" i="4"/>
  <c r="L1306" i="4"/>
  <c r="K1306" i="4"/>
  <c r="M1306" i="4" s="1"/>
  <c r="I1306" i="4"/>
  <c r="H1306" i="4"/>
  <c r="G1306" i="4"/>
  <c r="F1306" i="4"/>
  <c r="E1306" i="4"/>
  <c r="C1306" i="4"/>
  <c r="B1306" i="4"/>
  <c r="D1306" i="4" s="1"/>
  <c r="A1306" i="4"/>
  <c r="R1305" i="4"/>
  <c r="Q1305" i="4"/>
  <c r="S1305" i="4" s="1"/>
  <c r="P1305" i="4"/>
  <c r="O1305" i="4"/>
  <c r="N1305" i="4"/>
  <c r="L1305" i="4"/>
  <c r="K1305" i="4"/>
  <c r="I1305" i="4"/>
  <c r="H1305" i="4"/>
  <c r="J1305" i="4" s="1"/>
  <c r="F1305" i="4"/>
  <c r="E1305" i="4"/>
  <c r="C1305" i="4"/>
  <c r="B1305" i="4"/>
  <c r="D1305" i="4" s="1"/>
  <c r="A1305" i="4"/>
  <c r="S1304" i="4"/>
  <c r="R1304" i="4"/>
  <c r="Q1304" i="4"/>
  <c r="O1304" i="4"/>
  <c r="N1304" i="4"/>
  <c r="P1304" i="4" s="1"/>
  <c r="M1304" i="4"/>
  <c r="L1304" i="4"/>
  <c r="K1304" i="4"/>
  <c r="I1304" i="4"/>
  <c r="H1304" i="4"/>
  <c r="F1304" i="4"/>
  <c r="E1304" i="4"/>
  <c r="G1304" i="4" s="1"/>
  <c r="C1304" i="4"/>
  <c r="B1304" i="4"/>
  <c r="A1304" i="4"/>
  <c r="R1303" i="4"/>
  <c r="S1303" i="4" s="1"/>
  <c r="Q1303" i="4"/>
  <c r="O1303" i="4"/>
  <c r="N1303" i="4"/>
  <c r="P1303" i="4" s="1"/>
  <c r="L1303" i="4"/>
  <c r="K1303" i="4"/>
  <c r="J1303" i="4"/>
  <c r="I1303" i="4"/>
  <c r="H1303" i="4"/>
  <c r="F1303" i="4"/>
  <c r="G1303" i="4" s="1"/>
  <c r="E1303" i="4"/>
  <c r="D1303" i="4"/>
  <c r="C1303" i="4"/>
  <c r="B1303" i="4"/>
  <c r="A1303" i="4"/>
  <c r="R1302" i="4"/>
  <c r="Q1302" i="4"/>
  <c r="S1302" i="4" s="1"/>
  <c r="O1302" i="4"/>
  <c r="P1302" i="4" s="1"/>
  <c r="N1302" i="4"/>
  <c r="L1302" i="4"/>
  <c r="K1302" i="4"/>
  <c r="M1302" i="4" s="1"/>
  <c r="I1302" i="4"/>
  <c r="H1302" i="4"/>
  <c r="G1302" i="4"/>
  <c r="F1302" i="4"/>
  <c r="E1302" i="4"/>
  <c r="C1302" i="4"/>
  <c r="D1302" i="4" s="1"/>
  <c r="B1302" i="4"/>
  <c r="A1302" i="4"/>
  <c r="R1301" i="4"/>
  <c r="Q1301" i="4"/>
  <c r="S1301" i="4" s="1"/>
  <c r="P1301" i="4"/>
  <c r="O1301" i="4"/>
  <c r="N1301" i="4"/>
  <c r="L1301" i="4"/>
  <c r="K1301" i="4"/>
  <c r="I1301" i="4"/>
  <c r="H1301" i="4"/>
  <c r="J1301" i="4" s="1"/>
  <c r="F1301" i="4"/>
  <c r="E1301" i="4"/>
  <c r="C1301" i="4"/>
  <c r="B1301" i="4"/>
  <c r="D1301" i="4" s="1"/>
  <c r="A1301" i="4"/>
  <c r="S1300" i="4"/>
  <c r="R1300" i="4"/>
  <c r="Q1300" i="4"/>
  <c r="O1300" i="4"/>
  <c r="N1300" i="4"/>
  <c r="P1300" i="4" s="1"/>
  <c r="M1300" i="4"/>
  <c r="L1300" i="4"/>
  <c r="K1300" i="4"/>
  <c r="I1300" i="4"/>
  <c r="H1300" i="4"/>
  <c r="F1300" i="4"/>
  <c r="E1300" i="4"/>
  <c r="G1300" i="4" s="1"/>
  <c r="C1300" i="4"/>
  <c r="B1300" i="4"/>
  <c r="A1300" i="4"/>
  <c r="R1299" i="4"/>
  <c r="Q1299" i="4"/>
  <c r="S1299" i="4" s="1"/>
  <c r="P1299" i="4"/>
  <c r="O1299" i="4"/>
  <c r="N1299" i="4"/>
  <c r="L1299" i="4"/>
  <c r="M1299" i="4" s="1"/>
  <c r="K1299" i="4"/>
  <c r="I1299" i="4"/>
  <c r="H1299" i="4"/>
  <c r="J1299" i="4" s="1"/>
  <c r="F1299" i="4"/>
  <c r="E1299" i="4"/>
  <c r="G1299" i="4" s="1"/>
  <c r="T1299" i="4" s="1"/>
  <c r="D1299" i="4"/>
  <c r="C1299" i="4"/>
  <c r="B1299" i="4"/>
  <c r="A1299" i="4"/>
  <c r="R1298" i="4"/>
  <c r="Q1298" i="4"/>
  <c r="S1298" i="4" s="1"/>
  <c r="O1298" i="4"/>
  <c r="N1298" i="4"/>
  <c r="P1298" i="4" s="1"/>
  <c r="M1298" i="4"/>
  <c r="L1298" i="4"/>
  <c r="K1298" i="4"/>
  <c r="I1298" i="4"/>
  <c r="J1298" i="4" s="1"/>
  <c r="H1298" i="4"/>
  <c r="F1298" i="4"/>
  <c r="E1298" i="4"/>
  <c r="C1298" i="4"/>
  <c r="B1298" i="4"/>
  <c r="D1298" i="4" s="1"/>
  <c r="A1298" i="4"/>
  <c r="R1297" i="4"/>
  <c r="S1297" i="4" s="1"/>
  <c r="Q1297" i="4"/>
  <c r="O1297" i="4"/>
  <c r="N1297" i="4"/>
  <c r="L1297" i="4"/>
  <c r="K1297" i="4"/>
  <c r="M1297" i="4" s="1"/>
  <c r="J1297" i="4"/>
  <c r="I1297" i="4"/>
  <c r="H1297" i="4"/>
  <c r="G1297" i="4"/>
  <c r="F1297" i="4"/>
  <c r="E1297" i="4"/>
  <c r="C1297" i="4"/>
  <c r="B1297" i="4"/>
  <c r="D1297" i="4" s="1"/>
  <c r="A1297" i="4"/>
  <c r="S1296" i="4"/>
  <c r="R1296" i="4"/>
  <c r="Q1296" i="4"/>
  <c r="O1296" i="4"/>
  <c r="P1296" i="4" s="1"/>
  <c r="N1296" i="4"/>
  <c r="L1296" i="4"/>
  <c r="K1296" i="4"/>
  <c r="I1296" i="4"/>
  <c r="H1296" i="4"/>
  <c r="J1296" i="4" s="1"/>
  <c r="G1296" i="4"/>
  <c r="F1296" i="4"/>
  <c r="E1296" i="4"/>
  <c r="C1296" i="4"/>
  <c r="D1296" i="4" s="1"/>
  <c r="B1296" i="4"/>
  <c r="A1296" i="4"/>
  <c r="T1295" i="4"/>
  <c r="R1295" i="4"/>
  <c r="Q1295" i="4"/>
  <c r="S1295" i="4" s="1"/>
  <c r="P1295" i="4"/>
  <c r="O1295" i="4"/>
  <c r="N1295" i="4"/>
  <c r="L1295" i="4"/>
  <c r="M1295" i="4" s="1"/>
  <c r="K1295" i="4"/>
  <c r="I1295" i="4"/>
  <c r="H1295" i="4"/>
  <c r="J1295" i="4" s="1"/>
  <c r="F1295" i="4"/>
  <c r="E1295" i="4"/>
  <c r="G1295" i="4" s="1"/>
  <c r="D1295" i="4"/>
  <c r="C1295" i="4"/>
  <c r="B1295" i="4"/>
  <c r="A1295" i="4"/>
  <c r="R1294" i="4"/>
  <c r="Q1294" i="4"/>
  <c r="S1294" i="4" s="1"/>
  <c r="O1294" i="4"/>
  <c r="N1294" i="4"/>
  <c r="P1294" i="4" s="1"/>
  <c r="M1294" i="4"/>
  <c r="L1294" i="4"/>
  <c r="K1294" i="4"/>
  <c r="I1294" i="4"/>
  <c r="J1294" i="4" s="1"/>
  <c r="H1294" i="4"/>
  <c r="F1294" i="4"/>
  <c r="E1294" i="4"/>
  <c r="C1294" i="4"/>
  <c r="B1294" i="4"/>
  <c r="D1294" i="4" s="1"/>
  <c r="A1294" i="4"/>
  <c r="R1293" i="4"/>
  <c r="S1293" i="4" s="1"/>
  <c r="Q1293" i="4"/>
  <c r="O1293" i="4"/>
  <c r="N1293" i="4"/>
  <c r="L1293" i="4"/>
  <c r="K1293" i="4"/>
  <c r="M1293" i="4" s="1"/>
  <c r="J1293" i="4"/>
  <c r="I1293" i="4"/>
  <c r="H1293" i="4"/>
  <c r="F1293" i="4"/>
  <c r="G1293" i="4" s="1"/>
  <c r="E1293" i="4"/>
  <c r="C1293" i="4"/>
  <c r="B1293" i="4"/>
  <c r="D1293" i="4" s="1"/>
  <c r="A1293" i="4"/>
  <c r="S1292" i="4"/>
  <c r="R1292" i="4"/>
  <c r="Q1292" i="4"/>
  <c r="O1292" i="4"/>
  <c r="P1292" i="4" s="1"/>
  <c r="N1292" i="4"/>
  <c r="L1292" i="4"/>
  <c r="K1292" i="4"/>
  <c r="I1292" i="4"/>
  <c r="H1292" i="4"/>
  <c r="J1292" i="4" s="1"/>
  <c r="G1292" i="4"/>
  <c r="F1292" i="4"/>
  <c r="E1292" i="4"/>
  <c r="D1292" i="4"/>
  <c r="C1292" i="4"/>
  <c r="B1292" i="4"/>
  <c r="A1292" i="4"/>
  <c r="R1291" i="4"/>
  <c r="Q1291" i="4"/>
  <c r="S1291" i="4" s="1"/>
  <c r="P1291" i="4"/>
  <c r="O1291" i="4"/>
  <c r="N1291" i="4"/>
  <c r="L1291" i="4"/>
  <c r="M1291" i="4" s="1"/>
  <c r="K1291" i="4"/>
  <c r="I1291" i="4"/>
  <c r="H1291" i="4"/>
  <c r="J1291" i="4" s="1"/>
  <c r="F1291" i="4"/>
  <c r="E1291" i="4"/>
  <c r="G1291" i="4" s="1"/>
  <c r="T1291" i="4" s="1"/>
  <c r="D1291" i="4"/>
  <c r="C1291" i="4"/>
  <c r="B1291" i="4"/>
  <c r="A1291" i="4"/>
  <c r="R1290" i="4"/>
  <c r="Q1290" i="4"/>
  <c r="S1290" i="4" s="1"/>
  <c r="O1290" i="4"/>
  <c r="N1290" i="4"/>
  <c r="P1290" i="4" s="1"/>
  <c r="M1290" i="4"/>
  <c r="L1290" i="4"/>
  <c r="K1290" i="4"/>
  <c r="I1290" i="4"/>
  <c r="J1290" i="4" s="1"/>
  <c r="H1290" i="4"/>
  <c r="F1290" i="4"/>
  <c r="E1290" i="4"/>
  <c r="C1290" i="4"/>
  <c r="B1290" i="4"/>
  <c r="D1290" i="4" s="1"/>
  <c r="A1290" i="4"/>
  <c r="R1289" i="4"/>
  <c r="S1289" i="4" s="1"/>
  <c r="Q1289" i="4"/>
  <c r="O1289" i="4"/>
  <c r="N1289" i="4"/>
  <c r="L1289" i="4"/>
  <c r="K1289" i="4"/>
  <c r="M1289" i="4" s="1"/>
  <c r="J1289" i="4"/>
  <c r="I1289" i="4"/>
  <c r="H1289" i="4"/>
  <c r="F1289" i="4"/>
  <c r="G1289" i="4" s="1"/>
  <c r="E1289" i="4"/>
  <c r="C1289" i="4"/>
  <c r="B1289" i="4"/>
  <c r="D1289" i="4" s="1"/>
  <c r="A1289" i="4"/>
  <c r="S1288" i="4"/>
  <c r="R1288" i="4"/>
  <c r="Q1288" i="4"/>
  <c r="O1288" i="4"/>
  <c r="P1288" i="4" s="1"/>
  <c r="N1288" i="4"/>
  <c r="L1288" i="4"/>
  <c r="K1288" i="4"/>
  <c r="I1288" i="4"/>
  <c r="H1288" i="4"/>
  <c r="J1288" i="4" s="1"/>
  <c r="G1288" i="4"/>
  <c r="F1288" i="4"/>
  <c r="E1288" i="4"/>
  <c r="C1288" i="4"/>
  <c r="D1288" i="4" s="1"/>
  <c r="B1288" i="4"/>
  <c r="A1288" i="4"/>
  <c r="T1287" i="4"/>
  <c r="R1287" i="4"/>
  <c r="Q1287" i="4"/>
  <c r="S1287" i="4" s="1"/>
  <c r="P1287" i="4"/>
  <c r="O1287" i="4"/>
  <c r="N1287" i="4"/>
  <c r="L1287" i="4"/>
  <c r="M1287" i="4" s="1"/>
  <c r="K1287" i="4"/>
  <c r="I1287" i="4"/>
  <c r="H1287" i="4"/>
  <c r="J1287" i="4" s="1"/>
  <c r="F1287" i="4"/>
  <c r="E1287" i="4"/>
  <c r="G1287" i="4" s="1"/>
  <c r="D1287" i="4"/>
  <c r="C1287" i="4"/>
  <c r="B1287" i="4"/>
  <c r="A1287" i="4"/>
  <c r="R1286" i="4"/>
  <c r="Q1286" i="4"/>
  <c r="S1286" i="4" s="1"/>
  <c r="O1286" i="4"/>
  <c r="N1286" i="4"/>
  <c r="P1286" i="4" s="1"/>
  <c r="M1286" i="4"/>
  <c r="L1286" i="4"/>
  <c r="K1286" i="4"/>
  <c r="I1286" i="4"/>
  <c r="J1286" i="4" s="1"/>
  <c r="H1286" i="4"/>
  <c r="F1286" i="4"/>
  <c r="E1286" i="4"/>
  <c r="C1286" i="4"/>
  <c r="B1286" i="4"/>
  <c r="D1286" i="4" s="1"/>
  <c r="A1286" i="4"/>
  <c r="R1285" i="4"/>
  <c r="S1285" i="4" s="1"/>
  <c r="Q1285" i="4"/>
  <c r="O1285" i="4"/>
  <c r="N1285" i="4"/>
  <c r="L1285" i="4"/>
  <c r="K1285" i="4"/>
  <c r="M1285" i="4" s="1"/>
  <c r="J1285" i="4"/>
  <c r="I1285" i="4"/>
  <c r="H1285" i="4"/>
  <c r="F1285" i="4"/>
  <c r="G1285" i="4" s="1"/>
  <c r="E1285" i="4"/>
  <c r="C1285" i="4"/>
  <c r="B1285" i="4"/>
  <c r="D1285" i="4" s="1"/>
  <c r="A1285" i="4"/>
  <c r="S1284" i="4"/>
  <c r="R1284" i="4"/>
  <c r="Q1284" i="4"/>
  <c r="O1284" i="4"/>
  <c r="P1284" i="4" s="1"/>
  <c r="N1284" i="4"/>
  <c r="L1284" i="4"/>
  <c r="K1284" i="4"/>
  <c r="I1284" i="4"/>
  <c r="H1284" i="4"/>
  <c r="J1284" i="4" s="1"/>
  <c r="G1284" i="4"/>
  <c r="F1284" i="4"/>
  <c r="E1284" i="4"/>
  <c r="C1284" i="4"/>
  <c r="D1284" i="4" s="1"/>
  <c r="B1284" i="4"/>
  <c r="A1284" i="4"/>
  <c r="R1283" i="4"/>
  <c r="Q1283" i="4"/>
  <c r="O1283" i="4"/>
  <c r="N1283" i="4"/>
  <c r="P1283" i="4" s="1"/>
  <c r="L1283" i="4"/>
  <c r="M1283" i="4" s="1"/>
  <c r="K1283" i="4"/>
  <c r="J1283" i="4"/>
  <c r="I1283" i="4"/>
  <c r="H1283" i="4"/>
  <c r="F1283" i="4"/>
  <c r="E1283" i="4"/>
  <c r="C1283" i="4"/>
  <c r="B1283" i="4"/>
  <c r="D1283" i="4" s="1"/>
  <c r="A1283" i="4"/>
  <c r="R1282" i="4"/>
  <c r="Q1282" i="4"/>
  <c r="S1282" i="4" s="1"/>
  <c r="O1282" i="4"/>
  <c r="N1282" i="4"/>
  <c r="P1282" i="4" s="1"/>
  <c r="M1282" i="4"/>
  <c r="L1282" i="4"/>
  <c r="K1282" i="4"/>
  <c r="I1282" i="4"/>
  <c r="J1282" i="4" s="1"/>
  <c r="H1282" i="4"/>
  <c r="F1282" i="4"/>
  <c r="E1282" i="4"/>
  <c r="G1282" i="4" s="1"/>
  <c r="C1282" i="4"/>
  <c r="B1282" i="4"/>
  <c r="A1282" i="4"/>
  <c r="S1281" i="4"/>
  <c r="R1281" i="4"/>
  <c r="Q1281" i="4"/>
  <c r="O1281" i="4"/>
  <c r="P1281" i="4" s="1"/>
  <c r="N1281" i="4"/>
  <c r="L1281" i="4"/>
  <c r="K1281" i="4"/>
  <c r="M1281" i="4" s="1"/>
  <c r="J1281" i="4"/>
  <c r="I1281" i="4"/>
  <c r="H1281" i="4"/>
  <c r="F1281" i="4"/>
  <c r="G1281" i="4" s="1"/>
  <c r="E1281" i="4"/>
  <c r="C1281" i="4"/>
  <c r="B1281" i="4"/>
  <c r="A1281" i="4"/>
  <c r="S1280" i="4"/>
  <c r="R1280" i="4"/>
  <c r="Q1280" i="4"/>
  <c r="O1280" i="4"/>
  <c r="P1280" i="4" s="1"/>
  <c r="N1280" i="4"/>
  <c r="L1280" i="4"/>
  <c r="K1280" i="4"/>
  <c r="I1280" i="4"/>
  <c r="H1280" i="4"/>
  <c r="J1280" i="4" s="1"/>
  <c r="G1280" i="4"/>
  <c r="F1280" i="4"/>
  <c r="E1280" i="4"/>
  <c r="C1280" i="4"/>
  <c r="D1280" i="4" s="1"/>
  <c r="B1280" i="4"/>
  <c r="A1280" i="4"/>
  <c r="R1279" i="4"/>
  <c r="Q1279" i="4"/>
  <c r="O1279" i="4"/>
  <c r="N1279" i="4"/>
  <c r="P1279" i="4" s="1"/>
  <c r="L1279" i="4"/>
  <c r="M1279" i="4" s="1"/>
  <c r="K1279" i="4"/>
  <c r="J1279" i="4"/>
  <c r="I1279" i="4"/>
  <c r="H1279" i="4"/>
  <c r="F1279" i="4"/>
  <c r="E1279" i="4"/>
  <c r="C1279" i="4"/>
  <c r="B1279" i="4"/>
  <c r="D1279" i="4" s="1"/>
  <c r="A1279" i="4"/>
  <c r="R1278" i="4"/>
  <c r="Q1278" i="4"/>
  <c r="S1278" i="4" s="1"/>
  <c r="O1278" i="4"/>
  <c r="N1278" i="4"/>
  <c r="P1278" i="4" s="1"/>
  <c r="M1278" i="4"/>
  <c r="L1278" i="4"/>
  <c r="K1278" i="4"/>
  <c r="J1278" i="4"/>
  <c r="I1278" i="4"/>
  <c r="H1278" i="4"/>
  <c r="F1278" i="4"/>
  <c r="E1278" i="4"/>
  <c r="G1278" i="4" s="1"/>
  <c r="C1278" i="4"/>
  <c r="B1278" i="4"/>
  <c r="A1278" i="4"/>
  <c r="S1277" i="4"/>
  <c r="R1277" i="4"/>
  <c r="Q1277" i="4"/>
  <c r="P1277" i="4"/>
  <c r="O1277" i="4"/>
  <c r="N1277" i="4"/>
  <c r="L1277" i="4"/>
  <c r="K1277" i="4"/>
  <c r="M1277" i="4" s="1"/>
  <c r="T1277" i="4" s="1"/>
  <c r="I1277" i="4"/>
  <c r="H1277" i="4"/>
  <c r="J1277" i="4" s="1"/>
  <c r="G1277" i="4"/>
  <c r="F1277" i="4"/>
  <c r="E1277" i="4"/>
  <c r="C1277" i="4"/>
  <c r="D1277" i="4" s="1"/>
  <c r="B1277" i="4"/>
  <c r="A1277" i="4"/>
  <c r="R1276" i="4"/>
  <c r="Q1276" i="4"/>
  <c r="S1276" i="4" s="1"/>
  <c r="P1276" i="4"/>
  <c r="O1276" i="4"/>
  <c r="N1276" i="4"/>
  <c r="L1276" i="4"/>
  <c r="M1276" i="4" s="1"/>
  <c r="T1276" i="4" s="1"/>
  <c r="K1276" i="4"/>
  <c r="I1276" i="4"/>
  <c r="H1276" i="4"/>
  <c r="J1276" i="4" s="1"/>
  <c r="G1276" i="4"/>
  <c r="F1276" i="4"/>
  <c r="E1276" i="4"/>
  <c r="C1276" i="4"/>
  <c r="D1276" i="4" s="1"/>
  <c r="B1276" i="4"/>
  <c r="A1276" i="4"/>
  <c r="R1275" i="4"/>
  <c r="Q1275" i="4"/>
  <c r="P1275" i="4"/>
  <c r="O1275" i="4"/>
  <c r="N1275" i="4"/>
  <c r="L1275" i="4"/>
  <c r="M1275" i="4" s="1"/>
  <c r="K1275" i="4"/>
  <c r="I1275" i="4"/>
  <c r="H1275" i="4"/>
  <c r="J1275" i="4" s="1"/>
  <c r="F1275" i="4"/>
  <c r="E1275" i="4"/>
  <c r="G1275" i="4" s="1"/>
  <c r="C1275" i="4"/>
  <c r="B1275" i="4"/>
  <c r="D1275" i="4" s="1"/>
  <c r="A1275" i="4"/>
  <c r="R1274" i="4"/>
  <c r="Q1274" i="4"/>
  <c r="S1274" i="4" s="1"/>
  <c r="O1274" i="4"/>
  <c r="N1274" i="4"/>
  <c r="P1274" i="4" s="1"/>
  <c r="M1274" i="4"/>
  <c r="L1274" i="4"/>
  <c r="K1274" i="4"/>
  <c r="J1274" i="4"/>
  <c r="I1274" i="4"/>
  <c r="H1274" i="4"/>
  <c r="F1274" i="4"/>
  <c r="E1274" i="4"/>
  <c r="G1274" i="4" s="1"/>
  <c r="C1274" i="4"/>
  <c r="B1274" i="4"/>
  <c r="A1274" i="4"/>
  <c r="S1273" i="4"/>
  <c r="R1273" i="4"/>
  <c r="Q1273" i="4"/>
  <c r="P1273" i="4"/>
  <c r="O1273" i="4"/>
  <c r="N1273" i="4"/>
  <c r="L1273" i="4"/>
  <c r="K1273" i="4"/>
  <c r="M1273" i="4" s="1"/>
  <c r="I1273" i="4"/>
  <c r="H1273" i="4"/>
  <c r="J1273" i="4" s="1"/>
  <c r="G1273" i="4"/>
  <c r="F1273" i="4"/>
  <c r="E1273" i="4"/>
  <c r="D1273" i="4"/>
  <c r="T1273" i="4" s="1"/>
  <c r="C1273" i="4"/>
  <c r="B1273" i="4"/>
  <c r="A1273" i="4"/>
  <c r="R1272" i="4"/>
  <c r="Q1272" i="4"/>
  <c r="S1272" i="4" s="1"/>
  <c r="P1272" i="4"/>
  <c r="O1272" i="4"/>
  <c r="N1272" i="4"/>
  <c r="M1272" i="4"/>
  <c r="L1272" i="4"/>
  <c r="K1272" i="4"/>
  <c r="I1272" i="4"/>
  <c r="H1272" i="4"/>
  <c r="J1272" i="4" s="1"/>
  <c r="G1272" i="4"/>
  <c r="F1272" i="4"/>
  <c r="E1272" i="4"/>
  <c r="D1272" i="4"/>
  <c r="T1272" i="4" s="1"/>
  <c r="C1272" i="4"/>
  <c r="B1272" i="4"/>
  <c r="A1272" i="4"/>
  <c r="R1271" i="4"/>
  <c r="Q1271" i="4"/>
  <c r="P1271" i="4"/>
  <c r="O1271" i="4"/>
  <c r="N1271" i="4"/>
  <c r="L1271" i="4"/>
  <c r="M1271" i="4" s="1"/>
  <c r="K1271" i="4"/>
  <c r="J1271" i="4"/>
  <c r="I1271" i="4"/>
  <c r="H1271" i="4"/>
  <c r="F1271" i="4"/>
  <c r="E1271" i="4"/>
  <c r="C1271" i="4"/>
  <c r="B1271" i="4"/>
  <c r="D1271" i="4" s="1"/>
  <c r="A1271" i="4"/>
  <c r="S1270" i="4"/>
  <c r="R1270" i="4"/>
  <c r="Q1270" i="4"/>
  <c r="O1270" i="4"/>
  <c r="N1270" i="4"/>
  <c r="P1270" i="4" s="1"/>
  <c r="M1270" i="4"/>
  <c r="L1270" i="4"/>
  <c r="K1270" i="4"/>
  <c r="J1270" i="4"/>
  <c r="I1270" i="4"/>
  <c r="H1270" i="4"/>
  <c r="F1270" i="4"/>
  <c r="E1270" i="4"/>
  <c r="C1270" i="4"/>
  <c r="B1270" i="4"/>
  <c r="A1270" i="4"/>
  <c r="S1269" i="4"/>
  <c r="R1269" i="4"/>
  <c r="Q1269" i="4"/>
  <c r="P1269" i="4"/>
  <c r="O1269" i="4"/>
  <c r="N1269" i="4"/>
  <c r="L1269" i="4"/>
  <c r="K1269" i="4"/>
  <c r="I1269" i="4"/>
  <c r="H1269" i="4"/>
  <c r="J1269" i="4" s="1"/>
  <c r="G1269" i="4"/>
  <c r="F1269" i="4"/>
  <c r="E1269" i="4"/>
  <c r="C1269" i="4"/>
  <c r="D1269" i="4" s="1"/>
  <c r="B1269" i="4"/>
  <c r="A1269" i="4"/>
  <c r="R1268" i="4"/>
  <c r="Q1268" i="4"/>
  <c r="S1268" i="4" s="1"/>
  <c r="P1268" i="4"/>
  <c r="O1268" i="4"/>
  <c r="N1268" i="4"/>
  <c r="L1268" i="4"/>
  <c r="M1268" i="4" s="1"/>
  <c r="K1268" i="4"/>
  <c r="I1268" i="4"/>
  <c r="H1268" i="4"/>
  <c r="J1268" i="4" s="1"/>
  <c r="G1268" i="4"/>
  <c r="F1268" i="4"/>
  <c r="E1268" i="4"/>
  <c r="C1268" i="4"/>
  <c r="D1268" i="4" s="1"/>
  <c r="T1268" i="4" s="1"/>
  <c r="B1268" i="4"/>
  <c r="A1268" i="4"/>
  <c r="R1267" i="4"/>
  <c r="Q1267" i="4"/>
  <c r="P1267" i="4"/>
  <c r="O1267" i="4"/>
  <c r="N1267" i="4"/>
  <c r="L1267" i="4"/>
  <c r="M1267" i="4" s="1"/>
  <c r="K1267" i="4"/>
  <c r="I1267" i="4"/>
  <c r="H1267" i="4"/>
  <c r="J1267" i="4" s="1"/>
  <c r="F1267" i="4"/>
  <c r="E1267" i="4"/>
  <c r="G1267" i="4" s="1"/>
  <c r="C1267" i="4"/>
  <c r="B1267" i="4"/>
  <c r="D1267" i="4" s="1"/>
  <c r="A1267" i="4"/>
  <c r="R1266" i="4"/>
  <c r="Q1266" i="4"/>
  <c r="S1266" i="4" s="1"/>
  <c r="O1266" i="4"/>
  <c r="N1266" i="4"/>
  <c r="P1266" i="4" s="1"/>
  <c r="M1266" i="4"/>
  <c r="L1266" i="4"/>
  <c r="K1266" i="4"/>
  <c r="J1266" i="4"/>
  <c r="I1266" i="4"/>
  <c r="H1266" i="4"/>
  <c r="F1266" i="4"/>
  <c r="E1266" i="4"/>
  <c r="G1266" i="4" s="1"/>
  <c r="C1266" i="4"/>
  <c r="B1266" i="4"/>
  <c r="A1266" i="4"/>
  <c r="S1265" i="4"/>
  <c r="R1265" i="4"/>
  <c r="Q1265" i="4"/>
  <c r="P1265" i="4"/>
  <c r="O1265" i="4"/>
  <c r="N1265" i="4"/>
  <c r="L1265" i="4"/>
  <c r="K1265" i="4"/>
  <c r="M1265" i="4" s="1"/>
  <c r="I1265" i="4"/>
  <c r="H1265" i="4"/>
  <c r="J1265" i="4" s="1"/>
  <c r="G1265" i="4"/>
  <c r="F1265" i="4"/>
  <c r="E1265" i="4"/>
  <c r="D1265" i="4"/>
  <c r="T1265" i="4" s="1"/>
  <c r="C1265" i="4"/>
  <c r="B1265" i="4"/>
  <c r="A1265" i="4"/>
  <c r="R1264" i="4"/>
  <c r="Q1264" i="4"/>
  <c r="S1264" i="4" s="1"/>
  <c r="P1264" i="4"/>
  <c r="O1264" i="4"/>
  <c r="N1264" i="4"/>
  <c r="L1264" i="4"/>
  <c r="M1264" i="4" s="1"/>
  <c r="K1264" i="4"/>
  <c r="I1264" i="4"/>
  <c r="H1264" i="4"/>
  <c r="J1264" i="4" s="1"/>
  <c r="G1264" i="4"/>
  <c r="F1264" i="4"/>
  <c r="E1264" i="4"/>
  <c r="C1264" i="4"/>
  <c r="D1264" i="4" s="1"/>
  <c r="T1264" i="4" s="1"/>
  <c r="B1264" i="4"/>
  <c r="A1264" i="4"/>
  <c r="R1263" i="4"/>
  <c r="Q1263" i="4"/>
  <c r="P1263" i="4"/>
  <c r="O1263" i="4"/>
  <c r="N1263" i="4"/>
  <c r="L1263" i="4"/>
  <c r="M1263" i="4" s="1"/>
  <c r="K1263" i="4"/>
  <c r="J1263" i="4"/>
  <c r="I1263" i="4"/>
  <c r="H1263" i="4"/>
  <c r="F1263" i="4"/>
  <c r="E1263" i="4"/>
  <c r="G1263" i="4" s="1"/>
  <c r="C1263" i="4"/>
  <c r="B1263" i="4"/>
  <c r="D1263" i="4" s="1"/>
  <c r="A1263" i="4"/>
  <c r="S1262" i="4"/>
  <c r="R1262" i="4"/>
  <c r="Q1262" i="4"/>
  <c r="O1262" i="4"/>
  <c r="N1262" i="4"/>
  <c r="P1262" i="4" s="1"/>
  <c r="M1262" i="4"/>
  <c r="L1262" i="4"/>
  <c r="K1262" i="4"/>
  <c r="J1262" i="4"/>
  <c r="I1262" i="4"/>
  <c r="H1262" i="4"/>
  <c r="F1262" i="4"/>
  <c r="E1262" i="4"/>
  <c r="G1262" i="4" s="1"/>
  <c r="C1262" i="4"/>
  <c r="B1262" i="4"/>
  <c r="A1262" i="4"/>
  <c r="S1261" i="4"/>
  <c r="R1261" i="4"/>
  <c r="Q1261" i="4"/>
  <c r="P1261" i="4"/>
  <c r="O1261" i="4"/>
  <c r="N1261" i="4"/>
  <c r="L1261" i="4"/>
  <c r="K1261" i="4"/>
  <c r="M1261" i="4" s="1"/>
  <c r="T1261" i="4" s="1"/>
  <c r="I1261" i="4"/>
  <c r="H1261" i="4"/>
  <c r="J1261" i="4" s="1"/>
  <c r="G1261" i="4"/>
  <c r="F1261" i="4"/>
  <c r="E1261" i="4"/>
  <c r="C1261" i="4"/>
  <c r="D1261" i="4" s="1"/>
  <c r="B1261" i="4"/>
  <c r="A1261" i="4"/>
  <c r="R1260" i="4"/>
  <c r="Q1260" i="4"/>
  <c r="S1260" i="4" s="1"/>
  <c r="P1260" i="4"/>
  <c r="O1260" i="4"/>
  <c r="N1260" i="4"/>
  <c r="L1260" i="4"/>
  <c r="M1260" i="4" s="1"/>
  <c r="T1260" i="4" s="1"/>
  <c r="K1260" i="4"/>
  <c r="I1260" i="4"/>
  <c r="H1260" i="4"/>
  <c r="J1260" i="4" s="1"/>
  <c r="G1260" i="4"/>
  <c r="F1260" i="4"/>
  <c r="E1260" i="4"/>
  <c r="C1260" i="4"/>
  <c r="D1260" i="4" s="1"/>
  <c r="B1260" i="4"/>
  <c r="A1260" i="4"/>
  <c r="R1259" i="4"/>
  <c r="Q1259" i="4"/>
  <c r="P1259" i="4"/>
  <c r="O1259" i="4"/>
  <c r="N1259" i="4"/>
  <c r="L1259" i="4"/>
  <c r="M1259" i="4" s="1"/>
  <c r="K1259" i="4"/>
  <c r="I1259" i="4"/>
  <c r="H1259" i="4"/>
  <c r="J1259" i="4" s="1"/>
  <c r="F1259" i="4"/>
  <c r="E1259" i="4"/>
  <c r="G1259" i="4" s="1"/>
  <c r="C1259" i="4"/>
  <c r="B1259" i="4"/>
  <c r="D1259" i="4" s="1"/>
  <c r="A1259" i="4"/>
  <c r="R1258" i="4"/>
  <c r="Q1258" i="4"/>
  <c r="S1258" i="4" s="1"/>
  <c r="O1258" i="4"/>
  <c r="N1258" i="4"/>
  <c r="P1258" i="4" s="1"/>
  <c r="M1258" i="4"/>
  <c r="L1258" i="4"/>
  <c r="K1258" i="4"/>
  <c r="J1258" i="4"/>
  <c r="I1258" i="4"/>
  <c r="H1258" i="4"/>
  <c r="F1258" i="4"/>
  <c r="E1258" i="4"/>
  <c r="G1258" i="4" s="1"/>
  <c r="C1258" i="4"/>
  <c r="B1258" i="4"/>
  <c r="A1258" i="4"/>
  <c r="S1257" i="4"/>
  <c r="R1257" i="4"/>
  <c r="Q1257" i="4"/>
  <c r="P1257" i="4"/>
  <c r="O1257" i="4"/>
  <c r="N1257" i="4"/>
  <c r="L1257" i="4"/>
  <c r="K1257" i="4"/>
  <c r="M1257" i="4" s="1"/>
  <c r="I1257" i="4"/>
  <c r="H1257" i="4"/>
  <c r="J1257" i="4" s="1"/>
  <c r="G1257" i="4"/>
  <c r="F1257" i="4"/>
  <c r="E1257" i="4"/>
  <c r="D1257" i="4"/>
  <c r="T1257" i="4" s="1"/>
  <c r="C1257" i="4"/>
  <c r="B1257" i="4"/>
  <c r="A1257" i="4"/>
  <c r="R1256" i="4"/>
  <c r="Q1256" i="4"/>
  <c r="S1256" i="4" s="1"/>
  <c r="P1256" i="4"/>
  <c r="O1256" i="4"/>
  <c r="N1256" i="4"/>
  <c r="M1256" i="4"/>
  <c r="L1256" i="4"/>
  <c r="K1256" i="4"/>
  <c r="I1256" i="4"/>
  <c r="H1256" i="4"/>
  <c r="J1256" i="4" s="1"/>
  <c r="G1256" i="4"/>
  <c r="F1256" i="4"/>
  <c r="E1256" i="4"/>
  <c r="D1256" i="4"/>
  <c r="T1256" i="4" s="1"/>
  <c r="C1256" i="4"/>
  <c r="B1256" i="4"/>
  <c r="A1256" i="4"/>
  <c r="R1255" i="4"/>
  <c r="Q1255" i="4"/>
  <c r="P1255" i="4"/>
  <c r="O1255" i="4"/>
  <c r="N1255" i="4"/>
  <c r="L1255" i="4"/>
  <c r="K1255" i="4"/>
  <c r="M1255" i="4" s="1"/>
  <c r="J1255" i="4"/>
  <c r="I1255" i="4"/>
  <c r="H1255" i="4"/>
  <c r="G1255" i="4"/>
  <c r="F1255" i="4"/>
  <c r="E1255" i="4"/>
  <c r="C1255" i="4"/>
  <c r="B1255" i="4"/>
  <c r="A1255" i="4"/>
  <c r="S1254" i="4"/>
  <c r="R1254" i="4"/>
  <c r="Q1254" i="4"/>
  <c r="O1254" i="4"/>
  <c r="P1254" i="4" s="1"/>
  <c r="N1254" i="4"/>
  <c r="L1254" i="4"/>
  <c r="K1254" i="4"/>
  <c r="M1254" i="4" s="1"/>
  <c r="I1254" i="4"/>
  <c r="H1254" i="4"/>
  <c r="J1254" i="4" s="1"/>
  <c r="G1254" i="4"/>
  <c r="F1254" i="4"/>
  <c r="E1254" i="4"/>
  <c r="C1254" i="4"/>
  <c r="D1254" i="4" s="1"/>
  <c r="B1254" i="4"/>
  <c r="A1254" i="4"/>
  <c r="R1253" i="4"/>
  <c r="Q1253" i="4"/>
  <c r="O1253" i="4"/>
  <c r="N1253" i="4"/>
  <c r="P1253" i="4" s="1"/>
  <c r="L1253" i="4"/>
  <c r="M1253" i="4" s="1"/>
  <c r="K1253" i="4"/>
  <c r="J1253" i="4"/>
  <c r="I1253" i="4"/>
  <c r="H1253" i="4"/>
  <c r="F1253" i="4"/>
  <c r="E1253" i="4"/>
  <c r="G1253" i="4" s="1"/>
  <c r="C1253" i="4"/>
  <c r="B1253" i="4"/>
  <c r="D1253" i="4" s="1"/>
  <c r="A1253" i="4"/>
  <c r="R1252" i="4"/>
  <c r="S1252" i="4" s="1"/>
  <c r="Q1252" i="4"/>
  <c r="O1252" i="4"/>
  <c r="N1252" i="4"/>
  <c r="P1252" i="4" s="1"/>
  <c r="M1252" i="4"/>
  <c r="L1252" i="4"/>
  <c r="K1252" i="4"/>
  <c r="I1252" i="4"/>
  <c r="J1252" i="4" s="1"/>
  <c r="H1252" i="4"/>
  <c r="F1252" i="4"/>
  <c r="E1252" i="4"/>
  <c r="G1252" i="4" s="1"/>
  <c r="C1252" i="4"/>
  <c r="B1252" i="4"/>
  <c r="A1252" i="4"/>
  <c r="S1251" i="4"/>
  <c r="R1251" i="4"/>
  <c r="Q1251" i="4"/>
  <c r="O1251" i="4"/>
  <c r="P1251" i="4" s="1"/>
  <c r="N1251" i="4"/>
  <c r="L1251" i="4"/>
  <c r="K1251" i="4"/>
  <c r="M1251" i="4" s="1"/>
  <c r="J1251" i="4"/>
  <c r="I1251" i="4"/>
  <c r="H1251" i="4"/>
  <c r="F1251" i="4"/>
  <c r="G1251" i="4" s="1"/>
  <c r="E1251" i="4"/>
  <c r="C1251" i="4"/>
  <c r="B1251" i="4"/>
  <c r="D1251" i="4" s="1"/>
  <c r="A1251" i="4"/>
  <c r="S1250" i="4"/>
  <c r="R1250" i="4"/>
  <c r="Q1250" i="4"/>
  <c r="P1250" i="4"/>
  <c r="O1250" i="4"/>
  <c r="N1250" i="4"/>
  <c r="L1250" i="4"/>
  <c r="K1250" i="4"/>
  <c r="I1250" i="4"/>
  <c r="H1250" i="4"/>
  <c r="J1250" i="4" s="1"/>
  <c r="G1250" i="4"/>
  <c r="F1250" i="4"/>
  <c r="E1250" i="4"/>
  <c r="C1250" i="4"/>
  <c r="D1250" i="4" s="1"/>
  <c r="B1250" i="4"/>
  <c r="A1250" i="4"/>
  <c r="R1249" i="4"/>
  <c r="Q1249" i="4"/>
  <c r="O1249" i="4"/>
  <c r="N1249" i="4"/>
  <c r="P1249" i="4" s="1"/>
  <c r="L1249" i="4"/>
  <c r="M1249" i="4" s="1"/>
  <c r="K1249" i="4"/>
  <c r="J1249" i="4"/>
  <c r="I1249" i="4"/>
  <c r="H1249" i="4"/>
  <c r="F1249" i="4"/>
  <c r="E1249" i="4"/>
  <c r="G1249" i="4" s="1"/>
  <c r="C1249" i="4"/>
  <c r="B1249" i="4"/>
  <c r="D1249" i="4" s="1"/>
  <c r="A1249" i="4"/>
  <c r="S1248" i="4"/>
  <c r="R1248" i="4"/>
  <c r="Q1248" i="4"/>
  <c r="O1248" i="4"/>
  <c r="N1248" i="4"/>
  <c r="P1248" i="4" s="1"/>
  <c r="M1248" i="4"/>
  <c r="L1248" i="4"/>
  <c r="K1248" i="4"/>
  <c r="J1248" i="4"/>
  <c r="I1248" i="4"/>
  <c r="H1248" i="4"/>
  <c r="F1248" i="4"/>
  <c r="E1248" i="4"/>
  <c r="G1248" i="4" s="1"/>
  <c r="C1248" i="4"/>
  <c r="B1248" i="4"/>
  <c r="A1248" i="4"/>
  <c r="S1247" i="4"/>
  <c r="R1247" i="4"/>
  <c r="Q1247" i="4"/>
  <c r="P1247" i="4"/>
  <c r="O1247" i="4"/>
  <c r="N1247" i="4"/>
  <c r="L1247" i="4"/>
  <c r="K1247" i="4"/>
  <c r="M1247" i="4" s="1"/>
  <c r="J1247" i="4"/>
  <c r="I1247" i="4"/>
  <c r="H1247" i="4"/>
  <c r="G1247" i="4"/>
  <c r="F1247" i="4"/>
  <c r="E1247" i="4"/>
  <c r="C1247" i="4"/>
  <c r="B1247" i="4"/>
  <c r="A1247" i="4"/>
  <c r="S1246" i="4"/>
  <c r="R1246" i="4"/>
  <c r="Q1246" i="4"/>
  <c r="P1246" i="4"/>
  <c r="O1246" i="4"/>
  <c r="N1246" i="4"/>
  <c r="L1246" i="4"/>
  <c r="K1246" i="4"/>
  <c r="M1246" i="4" s="1"/>
  <c r="T1246" i="4" s="1"/>
  <c r="I1246" i="4"/>
  <c r="H1246" i="4"/>
  <c r="J1246" i="4" s="1"/>
  <c r="G1246" i="4"/>
  <c r="F1246" i="4"/>
  <c r="E1246" i="4"/>
  <c r="C1246" i="4"/>
  <c r="D1246" i="4" s="1"/>
  <c r="B1246" i="4"/>
  <c r="A1246" i="4"/>
  <c r="R1245" i="4"/>
  <c r="Q1245" i="4"/>
  <c r="O1245" i="4"/>
  <c r="N1245" i="4"/>
  <c r="P1245" i="4" s="1"/>
  <c r="L1245" i="4"/>
  <c r="M1245" i="4" s="1"/>
  <c r="K1245" i="4"/>
  <c r="J1245" i="4"/>
  <c r="I1245" i="4"/>
  <c r="H1245" i="4"/>
  <c r="F1245" i="4"/>
  <c r="E1245" i="4"/>
  <c r="G1245" i="4" s="1"/>
  <c r="C1245" i="4"/>
  <c r="B1245" i="4"/>
  <c r="D1245" i="4" s="1"/>
  <c r="A1245" i="4"/>
  <c r="S1244" i="4"/>
  <c r="R1244" i="4"/>
  <c r="Q1244" i="4"/>
  <c r="O1244" i="4"/>
  <c r="N1244" i="4"/>
  <c r="P1244" i="4" s="1"/>
  <c r="M1244" i="4"/>
  <c r="L1244" i="4"/>
  <c r="K1244" i="4"/>
  <c r="J1244" i="4"/>
  <c r="I1244" i="4"/>
  <c r="H1244" i="4"/>
  <c r="F1244" i="4"/>
  <c r="E1244" i="4"/>
  <c r="G1244" i="4" s="1"/>
  <c r="C1244" i="4"/>
  <c r="B1244" i="4"/>
  <c r="A1244" i="4"/>
  <c r="S1243" i="4"/>
  <c r="R1243" i="4"/>
  <c r="Q1243" i="4"/>
  <c r="P1243" i="4"/>
  <c r="O1243" i="4"/>
  <c r="N1243" i="4"/>
  <c r="L1243" i="4"/>
  <c r="K1243" i="4"/>
  <c r="M1243" i="4" s="1"/>
  <c r="J1243" i="4"/>
  <c r="I1243" i="4"/>
  <c r="H1243" i="4"/>
  <c r="G1243" i="4"/>
  <c r="F1243" i="4"/>
  <c r="E1243" i="4"/>
  <c r="C1243" i="4"/>
  <c r="B1243" i="4"/>
  <c r="D1243" i="4" s="1"/>
  <c r="T1243" i="4" s="1"/>
  <c r="A1243" i="4"/>
  <c r="S1242" i="4"/>
  <c r="R1242" i="4"/>
  <c r="Q1242" i="4"/>
  <c r="P1242" i="4"/>
  <c r="O1242" i="4"/>
  <c r="N1242" i="4"/>
  <c r="L1242" i="4"/>
  <c r="K1242" i="4"/>
  <c r="I1242" i="4"/>
  <c r="H1242" i="4"/>
  <c r="J1242" i="4" s="1"/>
  <c r="G1242" i="4"/>
  <c r="F1242" i="4"/>
  <c r="E1242" i="4"/>
  <c r="C1242" i="4"/>
  <c r="D1242" i="4" s="1"/>
  <c r="B1242" i="4"/>
  <c r="A1242" i="4"/>
  <c r="R1241" i="4"/>
  <c r="Q1241" i="4"/>
  <c r="O1241" i="4"/>
  <c r="N1241" i="4"/>
  <c r="P1241" i="4" s="1"/>
  <c r="L1241" i="4"/>
  <c r="M1241" i="4" s="1"/>
  <c r="K1241" i="4"/>
  <c r="J1241" i="4"/>
  <c r="I1241" i="4"/>
  <c r="H1241" i="4"/>
  <c r="F1241" i="4"/>
  <c r="E1241" i="4"/>
  <c r="G1241" i="4" s="1"/>
  <c r="C1241" i="4"/>
  <c r="B1241" i="4"/>
  <c r="D1241" i="4" s="1"/>
  <c r="A1241" i="4"/>
  <c r="S1240" i="4"/>
  <c r="R1240" i="4"/>
  <c r="Q1240" i="4"/>
  <c r="O1240" i="4"/>
  <c r="N1240" i="4"/>
  <c r="P1240" i="4" s="1"/>
  <c r="M1240" i="4"/>
  <c r="L1240" i="4"/>
  <c r="K1240" i="4"/>
  <c r="J1240" i="4"/>
  <c r="I1240" i="4"/>
  <c r="H1240" i="4"/>
  <c r="F1240" i="4"/>
  <c r="E1240" i="4"/>
  <c r="G1240" i="4" s="1"/>
  <c r="C1240" i="4"/>
  <c r="B1240" i="4"/>
  <c r="A1240" i="4"/>
  <c r="S1239" i="4"/>
  <c r="R1239" i="4"/>
  <c r="Q1239" i="4"/>
  <c r="P1239" i="4"/>
  <c r="O1239" i="4"/>
  <c r="N1239" i="4"/>
  <c r="L1239" i="4"/>
  <c r="K1239" i="4"/>
  <c r="M1239" i="4" s="1"/>
  <c r="J1239" i="4"/>
  <c r="I1239" i="4"/>
  <c r="H1239" i="4"/>
  <c r="G1239" i="4"/>
  <c r="F1239" i="4"/>
  <c r="E1239" i="4"/>
  <c r="C1239" i="4"/>
  <c r="B1239" i="4"/>
  <c r="A1239" i="4"/>
  <c r="S1238" i="4"/>
  <c r="R1238" i="4"/>
  <c r="Q1238" i="4"/>
  <c r="O1238" i="4"/>
  <c r="P1238" i="4" s="1"/>
  <c r="N1238" i="4"/>
  <c r="L1238" i="4"/>
  <c r="K1238" i="4"/>
  <c r="M1238" i="4" s="1"/>
  <c r="T1238" i="4" s="1"/>
  <c r="I1238" i="4"/>
  <c r="H1238" i="4"/>
  <c r="J1238" i="4" s="1"/>
  <c r="G1238" i="4"/>
  <c r="F1238" i="4"/>
  <c r="E1238" i="4"/>
  <c r="C1238" i="4"/>
  <c r="D1238" i="4" s="1"/>
  <c r="B1238" i="4"/>
  <c r="A1238" i="4"/>
  <c r="R1237" i="4"/>
  <c r="Q1237" i="4"/>
  <c r="O1237" i="4"/>
  <c r="N1237" i="4"/>
  <c r="P1237" i="4" s="1"/>
  <c r="L1237" i="4"/>
  <c r="M1237" i="4" s="1"/>
  <c r="K1237" i="4"/>
  <c r="J1237" i="4"/>
  <c r="I1237" i="4"/>
  <c r="H1237" i="4"/>
  <c r="F1237" i="4"/>
  <c r="E1237" i="4"/>
  <c r="G1237" i="4" s="1"/>
  <c r="C1237" i="4"/>
  <c r="B1237" i="4"/>
  <c r="D1237" i="4" s="1"/>
  <c r="A1237" i="4"/>
  <c r="R1236" i="4"/>
  <c r="S1236" i="4" s="1"/>
  <c r="Q1236" i="4"/>
  <c r="O1236" i="4"/>
  <c r="N1236" i="4"/>
  <c r="P1236" i="4" s="1"/>
  <c r="M1236" i="4"/>
  <c r="L1236" i="4"/>
  <c r="K1236" i="4"/>
  <c r="I1236" i="4"/>
  <c r="J1236" i="4" s="1"/>
  <c r="H1236" i="4"/>
  <c r="F1236" i="4"/>
  <c r="E1236" i="4"/>
  <c r="G1236" i="4" s="1"/>
  <c r="C1236" i="4"/>
  <c r="B1236" i="4"/>
  <c r="A1236" i="4"/>
  <c r="S1235" i="4"/>
  <c r="R1235" i="4"/>
  <c r="Q1235" i="4"/>
  <c r="O1235" i="4"/>
  <c r="P1235" i="4" s="1"/>
  <c r="N1235" i="4"/>
  <c r="L1235" i="4"/>
  <c r="K1235" i="4"/>
  <c r="M1235" i="4" s="1"/>
  <c r="J1235" i="4"/>
  <c r="I1235" i="4"/>
  <c r="H1235" i="4"/>
  <c r="F1235" i="4"/>
  <c r="G1235" i="4" s="1"/>
  <c r="E1235" i="4"/>
  <c r="C1235" i="4"/>
  <c r="B1235" i="4"/>
  <c r="D1235" i="4" s="1"/>
  <c r="A1235" i="4"/>
  <c r="S1234" i="4"/>
  <c r="R1234" i="4"/>
  <c r="Q1234" i="4"/>
  <c r="P1234" i="4"/>
  <c r="O1234" i="4"/>
  <c r="N1234" i="4"/>
  <c r="L1234" i="4"/>
  <c r="K1234" i="4"/>
  <c r="I1234" i="4"/>
  <c r="H1234" i="4"/>
  <c r="J1234" i="4" s="1"/>
  <c r="G1234" i="4"/>
  <c r="F1234" i="4"/>
  <c r="E1234" i="4"/>
  <c r="C1234" i="4"/>
  <c r="D1234" i="4" s="1"/>
  <c r="B1234" i="4"/>
  <c r="A1234" i="4"/>
  <c r="R1233" i="4"/>
  <c r="Q1233" i="4"/>
  <c r="O1233" i="4"/>
  <c r="N1233" i="4"/>
  <c r="P1233" i="4" s="1"/>
  <c r="L1233" i="4"/>
  <c r="M1233" i="4" s="1"/>
  <c r="K1233" i="4"/>
  <c r="J1233" i="4"/>
  <c r="I1233" i="4"/>
  <c r="H1233" i="4"/>
  <c r="F1233" i="4"/>
  <c r="E1233" i="4"/>
  <c r="G1233" i="4" s="1"/>
  <c r="C1233" i="4"/>
  <c r="B1233" i="4"/>
  <c r="D1233" i="4" s="1"/>
  <c r="A1233" i="4"/>
  <c r="S1232" i="4"/>
  <c r="R1232" i="4"/>
  <c r="Q1232" i="4"/>
  <c r="O1232" i="4"/>
  <c r="N1232" i="4"/>
  <c r="P1232" i="4" s="1"/>
  <c r="M1232" i="4"/>
  <c r="L1232" i="4"/>
  <c r="K1232" i="4"/>
  <c r="J1232" i="4"/>
  <c r="I1232" i="4"/>
  <c r="H1232" i="4"/>
  <c r="F1232" i="4"/>
  <c r="E1232" i="4"/>
  <c r="G1232" i="4" s="1"/>
  <c r="C1232" i="4"/>
  <c r="B1232" i="4"/>
  <c r="A1232" i="4"/>
  <c r="S1231" i="4"/>
  <c r="R1231" i="4"/>
  <c r="Q1231" i="4"/>
  <c r="P1231" i="4"/>
  <c r="O1231" i="4"/>
  <c r="N1231" i="4"/>
  <c r="L1231" i="4"/>
  <c r="K1231" i="4"/>
  <c r="M1231" i="4" s="1"/>
  <c r="J1231" i="4"/>
  <c r="I1231" i="4"/>
  <c r="H1231" i="4"/>
  <c r="G1231" i="4"/>
  <c r="F1231" i="4"/>
  <c r="E1231" i="4"/>
  <c r="C1231" i="4"/>
  <c r="B1231" i="4"/>
  <c r="A1231" i="4"/>
  <c r="S1230" i="4"/>
  <c r="R1230" i="4"/>
  <c r="Q1230" i="4"/>
  <c r="O1230" i="4"/>
  <c r="P1230" i="4" s="1"/>
  <c r="N1230" i="4"/>
  <c r="L1230" i="4"/>
  <c r="K1230" i="4"/>
  <c r="M1230" i="4" s="1"/>
  <c r="T1230" i="4" s="1"/>
  <c r="I1230" i="4"/>
  <c r="H1230" i="4"/>
  <c r="J1230" i="4" s="1"/>
  <c r="G1230" i="4"/>
  <c r="F1230" i="4"/>
  <c r="E1230" i="4"/>
  <c r="C1230" i="4"/>
  <c r="D1230" i="4" s="1"/>
  <c r="B1230" i="4"/>
  <c r="A1230" i="4"/>
  <c r="R1229" i="4"/>
  <c r="Q1229" i="4"/>
  <c r="O1229" i="4"/>
  <c r="N1229" i="4"/>
  <c r="P1229" i="4" s="1"/>
  <c r="L1229" i="4"/>
  <c r="M1229" i="4" s="1"/>
  <c r="K1229" i="4"/>
  <c r="J1229" i="4"/>
  <c r="I1229" i="4"/>
  <c r="H1229" i="4"/>
  <c r="F1229" i="4"/>
  <c r="E1229" i="4"/>
  <c r="G1229" i="4" s="1"/>
  <c r="C1229" i="4"/>
  <c r="B1229" i="4"/>
  <c r="D1229" i="4" s="1"/>
  <c r="A1229" i="4"/>
  <c r="R1228" i="4"/>
  <c r="S1228" i="4" s="1"/>
  <c r="Q1228" i="4"/>
  <c r="O1228" i="4"/>
  <c r="N1228" i="4"/>
  <c r="P1228" i="4" s="1"/>
  <c r="M1228" i="4"/>
  <c r="L1228" i="4"/>
  <c r="K1228" i="4"/>
  <c r="I1228" i="4"/>
  <c r="J1228" i="4" s="1"/>
  <c r="H1228" i="4"/>
  <c r="F1228" i="4"/>
  <c r="E1228" i="4"/>
  <c r="G1228" i="4" s="1"/>
  <c r="C1228" i="4"/>
  <c r="B1228" i="4"/>
  <c r="A1228" i="4"/>
  <c r="S1227" i="4"/>
  <c r="R1227" i="4"/>
  <c r="Q1227" i="4"/>
  <c r="O1227" i="4"/>
  <c r="P1227" i="4" s="1"/>
  <c r="N1227" i="4"/>
  <c r="L1227" i="4"/>
  <c r="K1227" i="4"/>
  <c r="M1227" i="4" s="1"/>
  <c r="J1227" i="4"/>
  <c r="I1227" i="4"/>
  <c r="H1227" i="4"/>
  <c r="F1227" i="4"/>
  <c r="G1227" i="4" s="1"/>
  <c r="E1227" i="4"/>
  <c r="C1227" i="4"/>
  <c r="B1227" i="4"/>
  <c r="D1227" i="4" s="1"/>
  <c r="A1227" i="4"/>
  <c r="S1226" i="4"/>
  <c r="R1226" i="4"/>
  <c r="Q1226" i="4"/>
  <c r="P1226" i="4"/>
  <c r="O1226" i="4"/>
  <c r="N1226" i="4"/>
  <c r="L1226" i="4"/>
  <c r="K1226" i="4"/>
  <c r="I1226" i="4"/>
  <c r="H1226" i="4"/>
  <c r="J1226" i="4" s="1"/>
  <c r="G1226" i="4"/>
  <c r="F1226" i="4"/>
  <c r="E1226" i="4"/>
  <c r="C1226" i="4"/>
  <c r="D1226" i="4" s="1"/>
  <c r="B1226" i="4"/>
  <c r="A1226" i="4"/>
  <c r="R1225" i="4"/>
  <c r="Q1225" i="4"/>
  <c r="O1225" i="4"/>
  <c r="N1225" i="4"/>
  <c r="P1225" i="4" s="1"/>
  <c r="L1225" i="4"/>
  <c r="M1225" i="4" s="1"/>
  <c r="K1225" i="4"/>
  <c r="J1225" i="4"/>
  <c r="I1225" i="4"/>
  <c r="H1225" i="4"/>
  <c r="F1225" i="4"/>
  <c r="E1225" i="4"/>
  <c r="G1225" i="4" s="1"/>
  <c r="C1225" i="4"/>
  <c r="B1225" i="4"/>
  <c r="D1225" i="4" s="1"/>
  <c r="A1225" i="4"/>
  <c r="S1224" i="4"/>
  <c r="R1224" i="4"/>
  <c r="Q1224" i="4"/>
  <c r="O1224" i="4"/>
  <c r="N1224" i="4"/>
  <c r="P1224" i="4" s="1"/>
  <c r="M1224" i="4"/>
  <c r="L1224" i="4"/>
  <c r="K1224" i="4"/>
  <c r="J1224" i="4"/>
  <c r="I1224" i="4"/>
  <c r="H1224" i="4"/>
  <c r="F1224" i="4"/>
  <c r="E1224" i="4"/>
  <c r="C1224" i="4"/>
  <c r="B1224" i="4"/>
  <c r="D1224" i="4" s="1"/>
  <c r="A1224" i="4"/>
  <c r="R1223" i="4"/>
  <c r="S1223" i="4" s="1"/>
  <c r="Q1223" i="4"/>
  <c r="P1223" i="4"/>
  <c r="O1223" i="4"/>
  <c r="N1223" i="4"/>
  <c r="L1223" i="4"/>
  <c r="K1223" i="4"/>
  <c r="M1223" i="4" s="1"/>
  <c r="I1223" i="4"/>
  <c r="H1223" i="4"/>
  <c r="J1223" i="4" s="1"/>
  <c r="G1223" i="4"/>
  <c r="F1223" i="4"/>
  <c r="E1223" i="4"/>
  <c r="C1223" i="4"/>
  <c r="D1223" i="4" s="1"/>
  <c r="B1223" i="4"/>
  <c r="A1223" i="4"/>
  <c r="T1222" i="4"/>
  <c r="R1222" i="4"/>
  <c r="Q1222" i="4"/>
  <c r="S1222" i="4" s="1"/>
  <c r="P1222" i="4"/>
  <c r="O1222" i="4"/>
  <c r="N1222" i="4"/>
  <c r="M1222" i="4"/>
  <c r="L1222" i="4"/>
  <c r="K1222" i="4"/>
  <c r="I1222" i="4"/>
  <c r="H1222" i="4"/>
  <c r="J1222" i="4" s="1"/>
  <c r="G1222" i="4"/>
  <c r="F1222" i="4"/>
  <c r="E1222" i="4"/>
  <c r="D1222" i="4"/>
  <c r="C1222" i="4"/>
  <c r="B1222" i="4"/>
  <c r="A1222" i="4"/>
  <c r="R1221" i="4"/>
  <c r="Q1221" i="4"/>
  <c r="S1221" i="4" s="1"/>
  <c r="P1221" i="4"/>
  <c r="O1221" i="4"/>
  <c r="N1221" i="4"/>
  <c r="L1221" i="4"/>
  <c r="M1221" i="4" s="1"/>
  <c r="K1221" i="4"/>
  <c r="I1221" i="4"/>
  <c r="H1221" i="4"/>
  <c r="J1221" i="4" s="1"/>
  <c r="F1221" i="4"/>
  <c r="E1221" i="4"/>
  <c r="C1221" i="4"/>
  <c r="B1221" i="4"/>
  <c r="D1221" i="4" s="1"/>
  <c r="A1221" i="4"/>
  <c r="S1220" i="4"/>
  <c r="R1220" i="4"/>
  <c r="Q1220" i="4"/>
  <c r="O1220" i="4"/>
  <c r="N1220" i="4"/>
  <c r="P1220" i="4" s="1"/>
  <c r="M1220" i="4"/>
  <c r="L1220" i="4"/>
  <c r="K1220" i="4"/>
  <c r="J1220" i="4"/>
  <c r="I1220" i="4"/>
  <c r="H1220" i="4"/>
  <c r="F1220" i="4"/>
  <c r="E1220" i="4"/>
  <c r="C1220" i="4"/>
  <c r="B1220" i="4"/>
  <c r="D1220" i="4" s="1"/>
  <c r="A1220" i="4"/>
  <c r="R1219" i="4"/>
  <c r="S1219" i="4" s="1"/>
  <c r="Q1219" i="4"/>
  <c r="P1219" i="4"/>
  <c r="O1219" i="4"/>
  <c r="N1219" i="4"/>
  <c r="L1219" i="4"/>
  <c r="K1219" i="4"/>
  <c r="M1219" i="4" s="1"/>
  <c r="I1219" i="4"/>
  <c r="H1219" i="4"/>
  <c r="J1219" i="4" s="1"/>
  <c r="G1219" i="4"/>
  <c r="F1219" i="4"/>
  <c r="E1219" i="4"/>
  <c r="C1219" i="4"/>
  <c r="D1219" i="4" s="1"/>
  <c r="B1219" i="4"/>
  <c r="A1219" i="4"/>
  <c r="T1218" i="4"/>
  <c r="R1218" i="4"/>
  <c r="Q1218" i="4"/>
  <c r="S1218" i="4" s="1"/>
  <c r="P1218" i="4"/>
  <c r="O1218" i="4"/>
  <c r="N1218" i="4"/>
  <c r="M1218" i="4"/>
  <c r="L1218" i="4"/>
  <c r="K1218" i="4"/>
  <c r="I1218" i="4"/>
  <c r="H1218" i="4"/>
  <c r="J1218" i="4" s="1"/>
  <c r="G1218" i="4"/>
  <c r="F1218" i="4"/>
  <c r="E1218" i="4"/>
  <c r="D1218" i="4"/>
  <c r="C1218" i="4"/>
  <c r="B1218" i="4"/>
  <c r="A1218" i="4"/>
  <c r="R1217" i="4"/>
  <c r="Q1217" i="4"/>
  <c r="S1217" i="4" s="1"/>
  <c r="P1217" i="4"/>
  <c r="O1217" i="4"/>
  <c r="N1217" i="4"/>
  <c r="L1217" i="4"/>
  <c r="M1217" i="4" s="1"/>
  <c r="K1217" i="4"/>
  <c r="I1217" i="4"/>
  <c r="H1217" i="4"/>
  <c r="J1217" i="4" s="1"/>
  <c r="F1217" i="4"/>
  <c r="E1217" i="4"/>
  <c r="C1217" i="4"/>
  <c r="B1217" i="4"/>
  <c r="D1217" i="4" s="1"/>
  <c r="A1217" i="4"/>
  <c r="S1216" i="4"/>
  <c r="R1216" i="4"/>
  <c r="Q1216" i="4"/>
  <c r="O1216" i="4"/>
  <c r="N1216" i="4"/>
  <c r="P1216" i="4" s="1"/>
  <c r="M1216" i="4"/>
  <c r="L1216" i="4"/>
  <c r="K1216" i="4"/>
  <c r="J1216" i="4"/>
  <c r="I1216" i="4"/>
  <c r="H1216" i="4"/>
  <c r="F1216" i="4"/>
  <c r="E1216" i="4"/>
  <c r="C1216" i="4"/>
  <c r="B1216" i="4"/>
  <c r="D1216" i="4" s="1"/>
  <c r="A1216" i="4"/>
  <c r="R1215" i="4"/>
  <c r="S1215" i="4" s="1"/>
  <c r="Q1215" i="4"/>
  <c r="P1215" i="4"/>
  <c r="O1215" i="4"/>
  <c r="N1215" i="4"/>
  <c r="L1215" i="4"/>
  <c r="K1215" i="4"/>
  <c r="M1215" i="4" s="1"/>
  <c r="I1215" i="4"/>
  <c r="H1215" i="4"/>
  <c r="J1215" i="4" s="1"/>
  <c r="G1215" i="4"/>
  <c r="F1215" i="4"/>
  <c r="E1215" i="4"/>
  <c r="C1215" i="4"/>
  <c r="D1215" i="4" s="1"/>
  <c r="T1215" i="4" s="1"/>
  <c r="B1215" i="4"/>
  <c r="A1215" i="4"/>
  <c r="T1214" i="4"/>
  <c r="R1214" i="4"/>
  <c r="Q1214" i="4"/>
  <c r="S1214" i="4" s="1"/>
  <c r="P1214" i="4"/>
  <c r="O1214" i="4"/>
  <c r="N1214" i="4"/>
  <c r="M1214" i="4"/>
  <c r="L1214" i="4"/>
  <c r="K1214" i="4"/>
  <c r="I1214" i="4"/>
  <c r="H1214" i="4"/>
  <c r="J1214" i="4" s="1"/>
  <c r="G1214" i="4"/>
  <c r="F1214" i="4"/>
  <c r="E1214" i="4"/>
  <c r="D1214" i="4"/>
  <c r="C1214" i="4"/>
  <c r="B1214" i="4"/>
  <c r="A1214" i="4"/>
  <c r="R1213" i="4"/>
  <c r="Q1213" i="4"/>
  <c r="S1213" i="4" s="1"/>
  <c r="P1213" i="4"/>
  <c r="O1213" i="4"/>
  <c r="N1213" i="4"/>
  <c r="L1213" i="4"/>
  <c r="M1213" i="4" s="1"/>
  <c r="K1213" i="4"/>
  <c r="I1213" i="4"/>
  <c r="H1213" i="4"/>
  <c r="J1213" i="4" s="1"/>
  <c r="F1213" i="4"/>
  <c r="E1213" i="4"/>
  <c r="C1213" i="4"/>
  <c r="B1213" i="4"/>
  <c r="D1213" i="4" s="1"/>
  <c r="A1213" i="4"/>
  <c r="S1212" i="4"/>
  <c r="R1212" i="4"/>
  <c r="Q1212" i="4"/>
  <c r="O1212" i="4"/>
  <c r="N1212" i="4"/>
  <c r="P1212" i="4" s="1"/>
  <c r="M1212" i="4"/>
  <c r="L1212" i="4"/>
  <c r="K1212" i="4"/>
  <c r="J1212" i="4"/>
  <c r="I1212" i="4"/>
  <c r="H1212" i="4"/>
  <c r="F1212" i="4"/>
  <c r="E1212" i="4"/>
  <c r="C1212" i="4"/>
  <c r="B1212" i="4"/>
  <c r="D1212" i="4" s="1"/>
  <c r="A1212" i="4"/>
  <c r="R1211" i="4"/>
  <c r="S1211" i="4" s="1"/>
  <c r="Q1211" i="4"/>
  <c r="P1211" i="4"/>
  <c r="O1211" i="4"/>
  <c r="N1211" i="4"/>
  <c r="L1211" i="4"/>
  <c r="K1211" i="4"/>
  <c r="I1211" i="4"/>
  <c r="H1211" i="4"/>
  <c r="J1211" i="4" s="1"/>
  <c r="G1211" i="4"/>
  <c r="F1211" i="4"/>
  <c r="E1211" i="4"/>
  <c r="C1211" i="4"/>
  <c r="D1211" i="4" s="1"/>
  <c r="B1211" i="4"/>
  <c r="A1211" i="4"/>
  <c r="T1210" i="4"/>
  <c r="R1210" i="4"/>
  <c r="Q1210" i="4"/>
  <c r="S1210" i="4" s="1"/>
  <c r="P1210" i="4"/>
  <c r="O1210" i="4"/>
  <c r="N1210" i="4"/>
  <c r="M1210" i="4"/>
  <c r="L1210" i="4"/>
  <c r="K1210" i="4"/>
  <c r="I1210" i="4"/>
  <c r="H1210" i="4"/>
  <c r="J1210" i="4" s="1"/>
  <c r="G1210" i="4"/>
  <c r="F1210" i="4"/>
  <c r="E1210" i="4"/>
  <c r="D1210" i="4"/>
  <c r="C1210" i="4"/>
  <c r="B1210" i="4"/>
  <c r="A1210" i="4"/>
  <c r="R1209" i="4"/>
  <c r="Q1209" i="4"/>
  <c r="S1209" i="4" s="1"/>
  <c r="P1209" i="4"/>
  <c r="O1209" i="4"/>
  <c r="N1209" i="4"/>
  <c r="L1209" i="4"/>
  <c r="M1209" i="4" s="1"/>
  <c r="K1209" i="4"/>
  <c r="I1209" i="4"/>
  <c r="H1209" i="4"/>
  <c r="J1209" i="4" s="1"/>
  <c r="F1209" i="4"/>
  <c r="E1209" i="4"/>
  <c r="C1209" i="4"/>
  <c r="B1209" i="4"/>
  <c r="D1209" i="4" s="1"/>
  <c r="A1209" i="4"/>
  <c r="S1208" i="4"/>
  <c r="R1208" i="4"/>
  <c r="Q1208" i="4"/>
  <c r="O1208" i="4"/>
  <c r="N1208" i="4"/>
  <c r="P1208" i="4" s="1"/>
  <c r="M1208" i="4"/>
  <c r="L1208" i="4"/>
  <c r="K1208" i="4"/>
  <c r="J1208" i="4"/>
  <c r="I1208" i="4"/>
  <c r="H1208" i="4"/>
  <c r="F1208" i="4"/>
  <c r="E1208" i="4"/>
  <c r="C1208" i="4"/>
  <c r="B1208" i="4"/>
  <c r="D1208" i="4" s="1"/>
  <c r="A1208" i="4"/>
  <c r="R1207" i="4"/>
  <c r="S1207" i="4" s="1"/>
  <c r="Q1207" i="4"/>
  <c r="P1207" i="4"/>
  <c r="O1207" i="4"/>
  <c r="N1207" i="4"/>
  <c r="L1207" i="4"/>
  <c r="K1207" i="4"/>
  <c r="M1207" i="4" s="1"/>
  <c r="I1207" i="4"/>
  <c r="H1207" i="4"/>
  <c r="J1207" i="4" s="1"/>
  <c r="G1207" i="4"/>
  <c r="F1207" i="4"/>
  <c r="E1207" i="4"/>
  <c r="C1207" i="4"/>
  <c r="D1207" i="4" s="1"/>
  <c r="B1207" i="4"/>
  <c r="A1207" i="4"/>
  <c r="T1206" i="4"/>
  <c r="R1206" i="4"/>
  <c r="Q1206" i="4"/>
  <c r="S1206" i="4" s="1"/>
  <c r="P1206" i="4"/>
  <c r="O1206" i="4"/>
  <c r="N1206" i="4"/>
  <c r="M1206" i="4"/>
  <c r="L1206" i="4"/>
  <c r="K1206" i="4"/>
  <c r="I1206" i="4"/>
  <c r="H1206" i="4"/>
  <c r="J1206" i="4" s="1"/>
  <c r="G1206" i="4"/>
  <c r="F1206" i="4"/>
  <c r="E1206" i="4"/>
  <c r="D1206" i="4"/>
  <c r="C1206" i="4"/>
  <c r="B1206" i="4"/>
  <c r="A1206" i="4"/>
  <c r="R1205" i="4"/>
  <c r="Q1205" i="4"/>
  <c r="S1205" i="4" s="1"/>
  <c r="P1205" i="4"/>
  <c r="O1205" i="4"/>
  <c r="N1205" i="4"/>
  <c r="L1205" i="4"/>
  <c r="M1205" i="4" s="1"/>
  <c r="K1205" i="4"/>
  <c r="I1205" i="4"/>
  <c r="H1205" i="4"/>
  <c r="J1205" i="4" s="1"/>
  <c r="F1205" i="4"/>
  <c r="E1205" i="4"/>
  <c r="C1205" i="4"/>
  <c r="B1205" i="4"/>
  <c r="D1205" i="4" s="1"/>
  <c r="A1205" i="4"/>
  <c r="S1204" i="4"/>
  <c r="R1204" i="4"/>
  <c r="Q1204" i="4"/>
  <c r="O1204" i="4"/>
  <c r="N1204" i="4"/>
  <c r="P1204" i="4" s="1"/>
  <c r="M1204" i="4"/>
  <c r="L1204" i="4"/>
  <c r="K1204" i="4"/>
  <c r="J1204" i="4"/>
  <c r="I1204" i="4"/>
  <c r="H1204" i="4"/>
  <c r="F1204" i="4"/>
  <c r="E1204" i="4"/>
  <c r="C1204" i="4"/>
  <c r="B1204" i="4"/>
  <c r="D1204" i="4" s="1"/>
  <c r="A1204" i="4"/>
  <c r="R1203" i="4"/>
  <c r="S1203" i="4" s="1"/>
  <c r="Q1203" i="4"/>
  <c r="P1203" i="4"/>
  <c r="O1203" i="4"/>
  <c r="N1203" i="4"/>
  <c r="L1203" i="4"/>
  <c r="K1203" i="4"/>
  <c r="M1203" i="4" s="1"/>
  <c r="I1203" i="4"/>
  <c r="H1203" i="4"/>
  <c r="J1203" i="4" s="1"/>
  <c r="G1203" i="4"/>
  <c r="F1203" i="4"/>
  <c r="E1203" i="4"/>
  <c r="C1203" i="4"/>
  <c r="D1203" i="4" s="1"/>
  <c r="B1203" i="4"/>
  <c r="A1203" i="4"/>
  <c r="T1202" i="4"/>
  <c r="R1202" i="4"/>
  <c r="Q1202" i="4"/>
  <c r="S1202" i="4" s="1"/>
  <c r="P1202" i="4"/>
  <c r="O1202" i="4"/>
  <c r="N1202" i="4"/>
  <c r="M1202" i="4"/>
  <c r="L1202" i="4"/>
  <c r="K1202" i="4"/>
  <c r="I1202" i="4"/>
  <c r="H1202" i="4"/>
  <c r="J1202" i="4" s="1"/>
  <c r="G1202" i="4"/>
  <c r="F1202" i="4"/>
  <c r="E1202" i="4"/>
  <c r="D1202" i="4"/>
  <c r="C1202" i="4"/>
  <c r="B1202" i="4"/>
  <c r="A1202" i="4"/>
  <c r="R1201" i="4"/>
  <c r="Q1201" i="4"/>
  <c r="S1201" i="4" s="1"/>
  <c r="P1201" i="4"/>
  <c r="O1201" i="4"/>
  <c r="N1201" i="4"/>
  <c r="L1201" i="4"/>
  <c r="M1201" i="4" s="1"/>
  <c r="K1201" i="4"/>
  <c r="I1201" i="4"/>
  <c r="H1201" i="4"/>
  <c r="J1201" i="4" s="1"/>
  <c r="F1201" i="4"/>
  <c r="E1201" i="4"/>
  <c r="C1201" i="4"/>
  <c r="B1201" i="4"/>
  <c r="D1201" i="4" s="1"/>
  <c r="A1201" i="4"/>
  <c r="S1200" i="4"/>
  <c r="R1200" i="4"/>
  <c r="Q1200" i="4"/>
  <c r="O1200" i="4"/>
  <c r="N1200" i="4"/>
  <c r="P1200" i="4" s="1"/>
  <c r="M1200" i="4"/>
  <c r="L1200" i="4"/>
  <c r="K1200" i="4"/>
  <c r="J1200" i="4"/>
  <c r="I1200" i="4"/>
  <c r="H1200" i="4"/>
  <c r="F1200" i="4"/>
  <c r="E1200" i="4"/>
  <c r="C1200" i="4"/>
  <c r="B1200" i="4"/>
  <c r="D1200" i="4" s="1"/>
  <c r="A1200" i="4"/>
  <c r="R1199" i="4"/>
  <c r="S1199" i="4" s="1"/>
  <c r="Q1199" i="4"/>
  <c r="P1199" i="4"/>
  <c r="O1199" i="4"/>
  <c r="N1199" i="4"/>
  <c r="L1199" i="4"/>
  <c r="K1199" i="4"/>
  <c r="M1199" i="4" s="1"/>
  <c r="I1199" i="4"/>
  <c r="H1199" i="4"/>
  <c r="J1199" i="4" s="1"/>
  <c r="G1199" i="4"/>
  <c r="F1199" i="4"/>
  <c r="E1199" i="4"/>
  <c r="C1199" i="4"/>
  <c r="D1199" i="4" s="1"/>
  <c r="T1199" i="4" s="1"/>
  <c r="B1199" i="4"/>
  <c r="A1199" i="4"/>
  <c r="T1198" i="4"/>
  <c r="R1198" i="4"/>
  <c r="Q1198" i="4"/>
  <c r="S1198" i="4" s="1"/>
  <c r="P1198" i="4"/>
  <c r="O1198" i="4"/>
  <c r="N1198" i="4"/>
  <c r="M1198" i="4"/>
  <c r="L1198" i="4"/>
  <c r="K1198" i="4"/>
  <c r="I1198" i="4"/>
  <c r="H1198" i="4"/>
  <c r="J1198" i="4" s="1"/>
  <c r="G1198" i="4"/>
  <c r="F1198" i="4"/>
  <c r="E1198" i="4"/>
  <c r="D1198" i="4"/>
  <c r="C1198" i="4"/>
  <c r="B1198" i="4"/>
  <c r="A1198" i="4"/>
  <c r="R1197" i="4"/>
  <c r="Q1197" i="4"/>
  <c r="S1197" i="4" s="1"/>
  <c r="P1197" i="4"/>
  <c r="O1197" i="4"/>
  <c r="N1197" i="4"/>
  <c r="L1197" i="4"/>
  <c r="M1197" i="4" s="1"/>
  <c r="K1197" i="4"/>
  <c r="I1197" i="4"/>
  <c r="H1197" i="4"/>
  <c r="J1197" i="4" s="1"/>
  <c r="F1197" i="4"/>
  <c r="E1197" i="4"/>
  <c r="C1197" i="4"/>
  <c r="B1197" i="4"/>
  <c r="D1197" i="4" s="1"/>
  <c r="A1197" i="4"/>
  <c r="S1196" i="4"/>
  <c r="R1196" i="4"/>
  <c r="Q1196" i="4"/>
  <c r="O1196" i="4"/>
  <c r="N1196" i="4"/>
  <c r="P1196" i="4" s="1"/>
  <c r="M1196" i="4"/>
  <c r="L1196" i="4"/>
  <c r="K1196" i="4"/>
  <c r="J1196" i="4"/>
  <c r="I1196" i="4"/>
  <c r="H1196" i="4"/>
  <c r="F1196" i="4"/>
  <c r="E1196" i="4"/>
  <c r="C1196" i="4"/>
  <c r="B1196" i="4"/>
  <c r="D1196" i="4" s="1"/>
  <c r="A1196" i="4"/>
  <c r="R1195" i="4"/>
  <c r="S1195" i="4" s="1"/>
  <c r="Q1195" i="4"/>
  <c r="P1195" i="4"/>
  <c r="O1195" i="4"/>
  <c r="N1195" i="4"/>
  <c r="L1195" i="4"/>
  <c r="K1195" i="4"/>
  <c r="I1195" i="4"/>
  <c r="H1195" i="4"/>
  <c r="J1195" i="4" s="1"/>
  <c r="G1195" i="4"/>
  <c r="F1195" i="4"/>
  <c r="E1195" i="4"/>
  <c r="C1195" i="4"/>
  <c r="D1195" i="4" s="1"/>
  <c r="B1195" i="4"/>
  <c r="A1195" i="4"/>
  <c r="R1194" i="4"/>
  <c r="Q1194" i="4"/>
  <c r="S1194" i="4" s="1"/>
  <c r="P1194" i="4"/>
  <c r="O1194" i="4"/>
  <c r="N1194" i="4"/>
  <c r="L1194" i="4"/>
  <c r="M1194" i="4" s="1"/>
  <c r="T1194" i="4" s="1"/>
  <c r="K1194" i="4"/>
  <c r="I1194" i="4"/>
  <c r="H1194" i="4"/>
  <c r="J1194" i="4" s="1"/>
  <c r="G1194" i="4"/>
  <c r="F1194" i="4"/>
  <c r="E1194" i="4"/>
  <c r="C1194" i="4"/>
  <c r="D1194" i="4" s="1"/>
  <c r="B1194" i="4"/>
  <c r="A1194" i="4"/>
  <c r="R1193" i="4"/>
  <c r="Q1193" i="4"/>
  <c r="S1193" i="4" s="1"/>
  <c r="P1193" i="4"/>
  <c r="O1193" i="4"/>
  <c r="N1193" i="4"/>
  <c r="L1193" i="4"/>
  <c r="M1193" i="4" s="1"/>
  <c r="K1193" i="4"/>
  <c r="I1193" i="4"/>
  <c r="H1193" i="4"/>
  <c r="J1193" i="4" s="1"/>
  <c r="F1193" i="4"/>
  <c r="E1193" i="4"/>
  <c r="C1193" i="4"/>
  <c r="B1193" i="4"/>
  <c r="D1193" i="4" s="1"/>
  <c r="A1193" i="4"/>
  <c r="R1192" i="4"/>
  <c r="S1192" i="4" s="1"/>
  <c r="Q1192" i="4"/>
  <c r="O1192" i="4"/>
  <c r="N1192" i="4"/>
  <c r="P1192" i="4" s="1"/>
  <c r="M1192" i="4"/>
  <c r="L1192" i="4"/>
  <c r="K1192" i="4"/>
  <c r="I1192" i="4"/>
  <c r="J1192" i="4" s="1"/>
  <c r="H1192" i="4"/>
  <c r="F1192" i="4"/>
  <c r="E1192" i="4"/>
  <c r="C1192" i="4"/>
  <c r="B1192" i="4"/>
  <c r="D1192" i="4" s="1"/>
  <c r="A1192" i="4"/>
  <c r="R1191" i="4"/>
  <c r="S1191" i="4" s="1"/>
  <c r="Q1191" i="4"/>
  <c r="P1191" i="4"/>
  <c r="O1191" i="4"/>
  <c r="N1191" i="4"/>
  <c r="L1191" i="4"/>
  <c r="K1191" i="4"/>
  <c r="M1191" i="4" s="1"/>
  <c r="I1191" i="4"/>
  <c r="H1191" i="4"/>
  <c r="J1191" i="4" s="1"/>
  <c r="G1191" i="4"/>
  <c r="F1191" i="4"/>
  <c r="E1191" i="4"/>
  <c r="C1191" i="4"/>
  <c r="D1191" i="4" s="1"/>
  <c r="B1191" i="4"/>
  <c r="A1191" i="4"/>
  <c r="R1190" i="4"/>
  <c r="Q1190" i="4"/>
  <c r="S1190" i="4" s="1"/>
  <c r="P1190" i="4"/>
  <c r="O1190" i="4"/>
  <c r="N1190" i="4"/>
  <c r="L1190" i="4"/>
  <c r="M1190" i="4" s="1"/>
  <c r="K1190" i="4"/>
  <c r="I1190" i="4"/>
  <c r="H1190" i="4"/>
  <c r="J1190" i="4" s="1"/>
  <c r="G1190" i="4"/>
  <c r="F1190" i="4"/>
  <c r="E1190" i="4"/>
  <c r="C1190" i="4"/>
  <c r="D1190" i="4" s="1"/>
  <c r="T1190" i="4" s="1"/>
  <c r="B1190" i="4"/>
  <c r="A1190" i="4"/>
  <c r="R1189" i="4"/>
  <c r="Q1189" i="4"/>
  <c r="S1189" i="4" s="1"/>
  <c r="P1189" i="4"/>
  <c r="O1189" i="4"/>
  <c r="N1189" i="4"/>
  <c r="L1189" i="4"/>
  <c r="M1189" i="4" s="1"/>
  <c r="K1189" i="4"/>
  <c r="I1189" i="4"/>
  <c r="H1189" i="4"/>
  <c r="J1189" i="4" s="1"/>
  <c r="F1189" i="4"/>
  <c r="E1189" i="4"/>
  <c r="C1189" i="4"/>
  <c r="B1189" i="4"/>
  <c r="D1189" i="4" s="1"/>
  <c r="A1189" i="4"/>
  <c r="R1188" i="4"/>
  <c r="S1188" i="4" s="1"/>
  <c r="Q1188" i="4"/>
  <c r="O1188" i="4"/>
  <c r="N1188" i="4"/>
  <c r="P1188" i="4" s="1"/>
  <c r="M1188" i="4"/>
  <c r="L1188" i="4"/>
  <c r="K1188" i="4"/>
  <c r="I1188" i="4"/>
  <c r="J1188" i="4" s="1"/>
  <c r="H1188" i="4"/>
  <c r="F1188" i="4"/>
  <c r="E1188" i="4"/>
  <c r="C1188" i="4"/>
  <c r="B1188" i="4"/>
  <c r="D1188" i="4" s="1"/>
  <c r="A1188" i="4"/>
  <c r="R1187" i="4"/>
  <c r="S1187" i="4" s="1"/>
  <c r="Q1187" i="4"/>
  <c r="P1187" i="4"/>
  <c r="O1187" i="4"/>
  <c r="N1187" i="4"/>
  <c r="L1187" i="4"/>
  <c r="K1187" i="4"/>
  <c r="I1187" i="4"/>
  <c r="H1187" i="4"/>
  <c r="J1187" i="4" s="1"/>
  <c r="G1187" i="4"/>
  <c r="F1187" i="4"/>
  <c r="E1187" i="4"/>
  <c r="C1187" i="4"/>
  <c r="D1187" i="4" s="1"/>
  <c r="B1187" i="4"/>
  <c r="A1187" i="4"/>
  <c r="T1186" i="4"/>
  <c r="R1186" i="4"/>
  <c r="Q1186" i="4"/>
  <c r="S1186" i="4" s="1"/>
  <c r="P1186" i="4"/>
  <c r="O1186" i="4"/>
  <c r="N1186" i="4"/>
  <c r="L1186" i="4"/>
  <c r="M1186" i="4" s="1"/>
  <c r="K1186" i="4"/>
  <c r="I1186" i="4"/>
  <c r="H1186" i="4"/>
  <c r="J1186" i="4" s="1"/>
  <c r="G1186" i="4"/>
  <c r="F1186" i="4"/>
  <c r="E1186" i="4"/>
  <c r="C1186" i="4"/>
  <c r="D1186" i="4" s="1"/>
  <c r="B1186" i="4"/>
  <c r="A1186" i="4"/>
  <c r="R1185" i="4"/>
  <c r="Q1185" i="4"/>
  <c r="S1185" i="4" s="1"/>
  <c r="P1185" i="4"/>
  <c r="O1185" i="4"/>
  <c r="N1185" i="4"/>
  <c r="L1185" i="4"/>
  <c r="M1185" i="4" s="1"/>
  <c r="K1185" i="4"/>
  <c r="I1185" i="4"/>
  <c r="H1185" i="4"/>
  <c r="J1185" i="4" s="1"/>
  <c r="F1185" i="4"/>
  <c r="E1185" i="4"/>
  <c r="C1185" i="4"/>
  <c r="B1185" i="4"/>
  <c r="D1185" i="4" s="1"/>
  <c r="A1185" i="4"/>
  <c r="R1184" i="4"/>
  <c r="S1184" i="4" s="1"/>
  <c r="Q1184" i="4"/>
  <c r="O1184" i="4"/>
  <c r="N1184" i="4"/>
  <c r="P1184" i="4" s="1"/>
  <c r="M1184" i="4"/>
  <c r="L1184" i="4"/>
  <c r="K1184" i="4"/>
  <c r="I1184" i="4"/>
  <c r="J1184" i="4" s="1"/>
  <c r="H1184" i="4"/>
  <c r="F1184" i="4"/>
  <c r="E1184" i="4"/>
  <c r="C1184" i="4"/>
  <c r="B1184" i="4"/>
  <c r="D1184" i="4" s="1"/>
  <c r="A1184" i="4"/>
  <c r="R1183" i="4"/>
  <c r="S1183" i="4" s="1"/>
  <c r="Q1183" i="4"/>
  <c r="P1183" i="4"/>
  <c r="O1183" i="4"/>
  <c r="N1183" i="4"/>
  <c r="L1183" i="4"/>
  <c r="K1183" i="4"/>
  <c r="M1183" i="4" s="1"/>
  <c r="I1183" i="4"/>
  <c r="H1183" i="4"/>
  <c r="J1183" i="4" s="1"/>
  <c r="G1183" i="4"/>
  <c r="F1183" i="4"/>
  <c r="E1183" i="4"/>
  <c r="C1183" i="4"/>
  <c r="D1183" i="4" s="1"/>
  <c r="T1183" i="4" s="1"/>
  <c r="B1183" i="4"/>
  <c r="A1183" i="4"/>
  <c r="R1182" i="4"/>
  <c r="Q1182" i="4"/>
  <c r="S1182" i="4" s="1"/>
  <c r="P1182" i="4"/>
  <c r="O1182" i="4"/>
  <c r="N1182" i="4"/>
  <c r="L1182" i="4"/>
  <c r="M1182" i="4" s="1"/>
  <c r="K1182" i="4"/>
  <c r="I1182" i="4"/>
  <c r="H1182" i="4"/>
  <c r="J1182" i="4" s="1"/>
  <c r="G1182" i="4"/>
  <c r="F1182" i="4"/>
  <c r="E1182" i="4"/>
  <c r="C1182" i="4"/>
  <c r="D1182" i="4" s="1"/>
  <c r="T1182" i="4" s="1"/>
  <c r="B1182" i="4"/>
  <c r="A1182" i="4"/>
  <c r="R1181" i="4"/>
  <c r="Q1181" i="4"/>
  <c r="S1181" i="4" s="1"/>
  <c r="O1181" i="4"/>
  <c r="P1181" i="4" s="1"/>
  <c r="N1181" i="4"/>
  <c r="L1181" i="4"/>
  <c r="K1181" i="4"/>
  <c r="I1181" i="4"/>
  <c r="H1181" i="4"/>
  <c r="J1181" i="4" s="1"/>
  <c r="G1181" i="4"/>
  <c r="F1181" i="4"/>
  <c r="E1181" i="4"/>
  <c r="D1181" i="4"/>
  <c r="C1181" i="4"/>
  <c r="B1181" i="4"/>
  <c r="A1181" i="4"/>
  <c r="R1180" i="4"/>
  <c r="Q1180" i="4"/>
  <c r="S1180" i="4" s="1"/>
  <c r="P1180" i="4"/>
  <c r="O1180" i="4"/>
  <c r="N1180" i="4"/>
  <c r="L1180" i="4"/>
  <c r="M1180" i="4" s="1"/>
  <c r="K1180" i="4"/>
  <c r="I1180" i="4"/>
  <c r="H1180" i="4"/>
  <c r="J1180" i="4" s="1"/>
  <c r="F1180" i="4"/>
  <c r="E1180" i="4"/>
  <c r="G1180" i="4" s="1"/>
  <c r="T1180" i="4" s="1"/>
  <c r="D1180" i="4"/>
  <c r="C1180" i="4"/>
  <c r="B1180" i="4"/>
  <c r="A1180" i="4"/>
  <c r="R1179" i="4"/>
  <c r="Q1179" i="4"/>
  <c r="S1179" i="4" s="1"/>
  <c r="O1179" i="4"/>
  <c r="N1179" i="4"/>
  <c r="P1179" i="4" s="1"/>
  <c r="M1179" i="4"/>
  <c r="L1179" i="4"/>
  <c r="K1179" i="4"/>
  <c r="I1179" i="4"/>
  <c r="J1179" i="4" s="1"/>
  <c r="H1179" i="4"/>
  <c r="F1179" i="4"/>
  <c r="E1179" i="4"/>
  <c r="C1179" i="4"/>
  <c r="B1179" i="4"/>
  <c r="D1179" i="4" s="1"/>
  <c r="A1179" i="4"/>
  <c r="R1178" i="4"/>
  <c r="S1178" i="4" s="1"/>
  <c r="Q1178" i="4"/>
  <c r="O1178" i="4"/>
  <c r="N1178" i="4"/>
  <c r="L1178" i="4"/>
  <c r="K1178" i="4"/>
  <c r="M1178" i="4" s="1"/>
  <c r="J1178" i="4"/>
  <c r="I1178" i="4"/>
  <c r="H1178" i="4"/>
  <c r="G1178" i="4"/>
  <c r="F1178" i="4"/>
  <c r="E1178" i="4"/>
  <c r="C1178" i="4"/>
  <c r="B1178" i="4"/>
  <c r="D1178" i="4" s="1"/>
  <c r="A1178" i="4"/>
  <c r="S1177" i="4"/>
  <c r="R1177" i="4"/>
  <c r="Q1177" i="4"/>
  <c r="O1177" i="4"/>
  <c r="P1177" i="4" s="1"/>
  <c r="N1177" i="4"/>
  <c r="L1177" i="4"/>
  <c r="K1177" i="4"/>
  <c r="I1177" i="4"/>
  <c r="H1177" i="4"/>
  <c r="J1177" i="4" s="1"/>
  <c r="G1177" i="4"/>
  <c r="F1177" i="4"/>
  <c r="E1177" i="4"/>
  <c r="D1177" i="4"/>
  <c r="C1177" i="4"/>
  <c r="B1177" i="4"/>
  <c r="A1177" i="4"/>
  <c r="R1176" i="4"/>
  <c r="Q1176" i="4"/>
  <c r="S1176" i="4" s="1"/>
  <c r="P1176" i="4"/>
  <c r="O1176" i="4"/>
  <c r="N1176" i="4"/>
  <c r="L1176" i="4"/>
  <c r="M1176" i="4" s="1"/>
  <c r="K1176" i="4"/>
  <c r="I1176" i="4"/>
  <c r="H1176" i="4"/>
  <c r="J1176" i="4" s="1"/>
  <c r="F1176" i="4"/>
  <c r="E1176" i="4"/>
  <c r="G1176" i="4" s="1"/>
  <c r="T1176" i="4" s="1"/>
  <c r="D1176" i="4"/>
  <c r="C1176" i="4"/>
  <c r="B1176" i="4"/>
  <c r="A1176" i="4"/>
  <c r="R1175" i="4"/>
  <c r="Q1175" i="4"/>
  <c r="S1175" i="4" s="1"/>
  <c r="O1175" i="4"/>
  <c r="N1175" i="4"/>
  <c r="P1175" i="4" s="1"/>
  <c r="M1175" i="4"/>
  <c r="L1175" i="4"/>
  <c r="K1175" i="4"/>
  <c r="I1175" i="4"/>
  <c r="J1175" i="4" s="1"/>
  <c r="H1175" i="4"/>
  <c r="F1175" i="4"/>
  <c r="E1175" i="4"/>
  <c r="C1175" i="4"/>
  <c r="B1175" i="4"/>
  <c r="D1175" i="4" s="1"/>
  <c r="A1175" i="4"/>
  <c r="R1174" i="4"/>
  <c r="S1174" i="4" s="1"/>
  <c r="Q1174" i="4"/>
  <c r="O1174" i="4"/>
  <c r="N1174" i="4"/>
  <c r="L1174" i="4"/>
  <c r="K1174" i="4"/>
  <c r="M1174" i="4" s="1"/>
  <c r="J1174" i="4"/>
  <c r="I1174" i="4"/>
  <c r="H1174" i="4"/>
  <c r="G1174" i="4"/>
  <c r="F1174" i="4"/>
  <c r="E1174" i="4"/>
  <c r="C1174" i="4"/>
  <c r="B1174" i="4"/>
  <c r="D1174" i="4" s="1"/>
  <c r="A1174" i="4"/>
  <c r="S1173" i="4"/>
  <c r="R1173" i="4"/>
  <c r="Q1173" i="4"/>
  <c r="O1173" i="4"/>
  <c r="P1173" i="4" s="1"/>
  <c r="N1173" i="4"/>
  <c r="L1173" i="4"/>
  <c r="K1173" i="4"/>
  <c r="I1173" i="4"/>
  <c r="H1173" i="4"/>
  <c r="J1173" i="4" s="1"/>
  <c r="G1173" i="4"/>
  <c r="F1173" i="4"/>
  <c r="E1173" i="4"/>
  <c r="D1173" i="4"/>
  <c r="C1173" i="4"/>
  <c r="B1173" i="4"/>
  <c r="A1173" i="4"/>
  <c r="R1172" i="4"/>
  <c r="Q1172" i="4"/>
  <c r="S1172" i="4" s="1"/>
  <c r="P1172" i="4"/>
  <c r="O1172" i="4"/>
  <c r="N1172" i="4"/>
  <c r="L1172" i="4"/>
  <c r="M1172" i="4" s="1"/>
  <c r="K1172" i="4"/>
  <c r="I1172" i="4"/>
  <c r="H1172" i="4"/>
  <c r="J1172" i="4" s="1"/>
  <c r="F1172" i="4"/>
  <c r="E1172" i="4"/>
  <c r="G1172" i="4" s="1"/>
  <c r="T1172" i="4" s="1"/>
  <c r="D1172" i="4"/>
  <c r="C1172" i="4"/>
  <c r="B1172" i="4"/>
  <c r="A1172" i="4"/>
  <c r="R1171" i="4"/>
  <c r="Q1171" i="4"/>
  <c r="S1171" i="4" s="1"/>
  <c r="O1171" i="4"/>
  <c r="N1171" i="4"/>
  <c r="P1171" i="4" s="1"/>
  <c r="M1171" i="4"/>
  <c r="L1171" i="4"/>
  <c r="K1171" i="4"/>
  <c r="I1171" i="4"/>
  <c r="J1171" i="4" s="1"/>
  <c r="H1171" i="4"/>
  <c r="F1171" i="4"/>
  <c r="E1171" i="4"/>
  <c r="C1171" i="4"/>
  <c r="B1171" i="4"/>
  <c r="D1171" i="4" s="1"/>
  <c r="A1171" i="4"/>
  <c r="R1170" i="4"/>
  <c r="S1170" i="4" s="1"/>
  <c r="Q1170" i="4"/>
  <c r="O1170" i="4"/>
  <c r="N1170" i="4"/>
  <c r="L1170" i="4"/>
  <c r="K1170" i="4"/>
  <c r="M1170" i="4" s="1"/>
  <c r="J1170" i="4"/>
  <c r="I1170" i="4"/>
  <c r="H1170" i="4"/>
  <c r="G1170" i="4"/>
  <c r="F1170" i="4"/>
  <c r="E1170" i="4"/>
  <c r="C1170" i="4"/>
  <c r="B1170" i="4"/>
  <c r="D1170" i="4" s="1"/>
  <c r="A1170" i="4"/>
  <c r="S1169" i="4"/>
  <c r="R1169" i="4"/>
  <c r="Q1169" i="4"/>
  <c r="O1169" i="4"/>
  <c r="P1169" i="4" s="1"/>
  <c r="N1169" i="4"/>
  <c r="L1169" i="4"/>
  <c r="K1169" i="4"/>
  <c r="I1169" i="4"/>
  <c r="H1169" i="4"/>
  <c r="J1169" i="4" s="1"/>
  <c r="G1169" i="4"/>
  <c r="F1169" i="4"/>
  <c r="E1169" i="4"/>
  <c r="D1169" i="4"/>
  <c r="C1169" i="4"/>
  <c r="B1169" i="4"/>
  <c r="A1169" i="4"/>
  <c r="R1168" i="4"/>
  <c r="Q1168" i="4"/>
  <c r="S1168" i="4" s="1"/>
  <c r="P1168" i="4"/>
  <c r="O1168" i="4"/>
  <c r="N1168" i="4"/>
  <c r="L1168" i="4"/>
  <c r="M1168" i="4" s="1"/>
  <c r="K1168" i="4"/>
  <c r="I1168" i="4"/>
  <c r="H1168" i="4"/>
  <c r="J1168" i="4" s="1"/>
  <c r="F1168" i="4"/>
  <c r="E1168" i="4"/>
  <c r="G1168" i="4" s="1"/>
  <c r="T1168" i="4" s="1"/>
  <c r="D1168" i="4"/>
  <c r="C1168" i="4"/>
  <c r="B1168" i="4"/>
  <c r="A1168" i="4"/>
  <c r="R1167" i="4"/>
  <c r="Q1167" i="4"/>
  <c r="S1167" i="4" s="1"/>
  <c r="O1167" i="4"/>
  <c r="N1167" i="4"/>
  <c r="P1167" i="4" s="1"/>
  <c r="M1167" i="4"/>
  <c r="L1167" i="4"/>
  <c r="K1167" i="4"/>
  <c r="I1167" i="4"/>
  <c r="J1167" i="4" s="1"/>
  <c r="H1167" i="4"/>
  <c r="F1167" i="4"/>
  <c r="E1167" i="4"/>
  <c r="C1167" i="4"/>
  <c r="B1167" i="4"/>
  <c r="D1167" i="4" s="1"/>
  <c r="A1167" i="4"/>
  <c r="R1166" i="4"/>
  <c r="S1166" i="4" s="1"/>
  <c r="Q1166" i="4"/>
  <c r="O1166" i="4"/>
  <c r="N1166" i="4"/>
  <c r="L1166" i="4"/>
  <c r="K1166" i="4"/>
  <c r="M1166" i="4" s="1"/>
  <c r="J1166" i="4"/>
  <c r="I1166" i="4"/>
  <c r="H1166" i="4"/>
  <c r="G1166" i="4"/>
  <c r="F1166" i="4"/>
  <c r="E1166" i="4"/>
  <c r="C1166" i="4"/>
  <c r="B1166" i="4"/>
  <c r="D1166" i="4" s="1"/>
  <c r="A1166" i="4"/>
  <c r="S1165" i="4"/>
  <c r="R1165" i="4"/>
  <c r="Q1165" i="4"/>
  <c r="O1165" i="4"/>
  <c r="P1165" i="4" s="1"/>
  <c r="N1165" i="4"/>
  <c r="L1165" i="4"/>
  <c r="K1165" i="4"/>
  <c r="I1165" i="4"/>
  <c r="H1165" i="4"/>
  <c r="J1165" i="4" s="1"/>
  <c r="G1165" i="4"/>
  <c r="F1165" i="4"/>
  <c r="E1165" i="4"/>
  <c r="D1165" i="4"/>
  <c r="C1165" i="4"/>
  <c r="B1165" i="4"/>
  <c r="A1165" i="4"/>
  <c r="R1164" i="4"/>
  <c r="Q1164" i="4"/>
  <c r="S1164" i="4" s="1"/>
  <c r="P1164" i="4"/>
  <c r="O1164" i="4"/>
  <c r="N1164" i="4"/>
  <c r="L1164" i="4"/>
  <c r="M1164" i="4" s="1"/>
  <c r="K1164" i="4"/>
  <c r="I1164" i="4"/>
  <c r="H1164" i="4"/>
  <c r="J1164" i="4" s="1"/>
  <c r="F1164" i="4"/>
  <c r="E1164" i="4"/>
  <c r="G1164" i="4" s="1"/>
  <c r="T1164" i="4" s="1"/>
  <c r="D1164" i="4"/>
  <c r="C1164" i="4"/>
  <c r="B1164" i="4"/>
  <c r="A1164" i="4"/>
  <c r="R1163" i="4"/>
  <c r="Q1163" i="4"/>
  <c r="S1163" i="4" s="1"/>
  <c r="O1163" i="4"/>
  <c r="N1163" i="4"/>
  <c r="P1163" i="4" s="1"/>
  <c r="M1163" i="4"/>
  <c r="L1163" i="4"/>
  <c r="K1163" i="4"/>
  <c r="I1163" i="4"/>
  <c r="J1163" i="4" s="1"/>
  <c r="H1163" i="4"/>
  <c r="F1163" i="4"/>
  <c r="E1163" i="4"/>
  <c r="C1163" i="4"/>
  <c r="B1163" i="4"/>
  <c r="D1163" i="4" s="1"/>
  <c r="A1163" i="4"/>
  <c r="R1162" i="4"/>
  <c r="S1162" i="4" s="1"/>
  <c r="Q1162" i="4"/>
  <c r="O1162" i="4"/>
  <c r="N1162" i="4"/>
  <c r="L1162" i="4"/>
  <c r="K1162" i="4"/>
  <c r="M1162" i="4" s="1"/>
  <c r="J1162" i="4"/>
  <c r="I1162" i="4"/>
  <c r="H1162" i="4"/>
  <c r="G1162" i="4"/>
  <c r="F1162" i="4"/>
  <c r="E1162" i="4"/>
  <c r="C1162" i="4"/>
  <c r="B1162" i="4"/>
  <c r="D1162" i="4" s="1"/>
  <c r="A1162" i="4"/>
  <c r="S1161" i="4"/>
  <c r="R1161" i="4"/>
  <c r="Q1161" i="4"/>
  <c r="O1161" i="4"/>
  <c r="P1161" i="4" s="1"/>
  <c r="N1161" i="4"/>
  <c r="L1161" i="4"/>
  <c r="K1161" i="4"/>
  <c r="I1161" i="4"/>
  <c r="H1161" i="4"/>
  <c r="J1161" i="4" s="1"/>
  <c r="G1161" i="4"/>
  <c r="F1161" i="4"/>
  <c r="E1161" i="4"/>
  <c r="D1161" i="4"/>
  <c r="C1161" i="4"/>
  <c r="B1161" i="4"/>
  <c r="A1161" i="4"/>
  <c r="R1160" i="4"/>
  <c r="Q1160" i="4"/>
  <c r="S1160" i="4" s="1"/>
  <c r="P1160" i="4"/>
  <c r="O1160" i="4"/>
  <c r="N1160" i="4"/>
  <c r="L1160" i="4"/>
  <c r="M1160" i="4" s="1"/>
  <c r="K1160" i="4"/>
  <c r="I1160" i="4"/>
  <c r="H1160" i="4"/>
  <c r="J1160" i="4" s="1"/>
  <c r="F1160" i="4"/>
  <c r="E1160" i="4"/>
  <c r="G1160" i="4" s="1"/>
  <c r="T1160" i="4" s="1"/>
  <c r="D1160" i="4"/>
  <c r="C1160" i="4"/>
  <c r="B1160" i="4"/>
  <c r="A1160" i="4"/>
  <c r="R1159" i="4"/>
  <c r="Q1159" i="4"/>
  <c r="S1159" i="4" s="1"/>
  <c r="O1159" i="4"/>
  <c r="N1159" i="4"/>
  <c r="P1159" i="4" s="1"/>
  <c r="M1159" i="4"/>
  <c r="L1159" i="4"/>
  <c r="K1159" i="4"/>
  <c r="I1159" i="4"/>
  <c r="J1159" i="4" s="1"/>
  <c r="H1159" i="4"/>
  <c r="F1159" i="4"/>
  <c r="E1159" i="4"/>
  <c r="C1159" i="4"/>
  <c r="B1159" i="4"/>
  <c r="D1159" i="4" s="1"/>
  <c r="A1159" i="4"/>
  <c r="R1158" i="4"/>
  <c r="S1158" i="4" s="1"/>
  <c r="Q1158" i="4"/>
  <c r="O1158" i="4"/>
  <c r="N1158" i="4"/>
  <c r="L1158" i="4"/>
  <c r="K1158" i="4"/>
  <c r="M1158" i="4" s="1"/>
  <c r="J1158" i="4"/>
  <c r="I1158" i="4"/>
  <c r="H1158" i="4"/>
  <c r="G1158" i="4"/>
  <c r="F1158" i="4"/>
  <c r="E1158" i="4"/>
  <c r="C1158" i="4"/>
  <c r="B1158" i="4"/>
  <c r="D1158" i="4" s="1"/>
  <c r="A1158" i="4"/>
  <c r="S1157" i="4"/>
  <c r="R1157" i="4"/>
  <c r="Q1157" i="4"/>
  <c r="O1157" i="4"/>
  <c r="P1157" i="4" s="1"/>
  <c r="N1157" i="4"/>
  <c r="L1157" i="4"/>
  <c r="K1157" i="4"/>
  <c r="I1157" i="4"/>
  <c r="H1157" i="4"/>
  <c r="J1157" i="4" s="1"/>
  <c r="G1157" i="4"/>
  <c r="F1157" i="4"/>
  <c r="E1157" i="4"/>
  <c r="D1157" i="4"/>
  <c r="C1157" i="4"/>
  <c r="B1157" i="4"/>
  <c r="A1157" i="4"/>
  <c r="R1156" i="4"/>
  <c r="Q1156" i="4"/>
  <c r="S1156" i="4" s="1"/>
  <c r="P1156" i="4"/>
  <c r="O1156" i="4"/>
  <c r="N1156" i="4"/>
  <c r="L1156" i="4"/>
  <c r="M1156" i="4" s="1"/>
  <c r="K1156" i="4"/>
  <c r="I1156" i="4"/>
  <c r="H1156" i="4"/>
  <c r="J1156" i="4" s="1"/>
  <c r="F1156" i="4"/>
  <c r="E1156" i="4"/>
  <c r="G1156" i="4" s="1"/>
  <c r="T1156" i="4" s="1"/>
  <c r="D1156" i="4"/>
  <c r="C1156" i="4"/>
  <c r="B1156" i="4"/>
  <c r="A1156" i="4"/>
  <c r="R1155" i="4"/>
  <c r="Q1155" i="4"/>
  <c r="S1155" i="4" s="1"/>
  <c r="O1155" i="4"/>
  <c r="N1155" i="4"/>
  <c r="P1155" i="4" s="1"/>
  <c r="M1155" i="4"/>
  <c r="L1155" i="4"/>
  <c r="K1155" i="4"/>
  <c r="I1155" i="4"/>
  <c r="J1155" i="4" s="1"/>
  <c r="H1155" i="4"/>
  <c r="F1155" i="4"/>
  <c r="E1155" i="4"/>
  <c r="C1155" i="4"/>
  <c r="B1155" i="4"/>
  <c r="D1155" i="4" s="1"/>
  <c r="A1155" i="4"/>
  <c r="R1154" i="4"/>
  <c r="S1154" i="4" s="1"/>
  <c r="Q1154" i="4"/>
  <c r="O1154" i="4"/>
  <c r="N1154" i="4"/>
  <c r="L1154" i="4"/>
  <c r="K1154" i="4"/>
  <c r="M1154" i="4" s="1"/>
  <c r="J1154" i="4"/>
  <c r="I1154" i="4"/>
  <c r="H1154" i="4"/>
  <c r="G1154" i="4"/>
  <c r="F1154" i="4"/>
  <c r="E1154" i="4"/>
  <c r="C1154" i="4"/>
  <c r="B1154" i="4"/>
  <c r="D1154" i="4" s="1"/>
  <c r="A1154" i="4"/>
  <c r="S1153" i="4"/>
  <c r="R1153" i="4"/>
  <c r="Q1153" i="4"/>
  <c r="O1153" i="4"/>
  <c r="P1153" i="4" s="1"/>
  <c r="N1153" i="4"/>
  <c r="L1153" i="4"/>
  <c r="K1153" i="4"/>
  <c r="I1153" i="4"/>
  <c r="H1153" i="4"/>
  <c r="J1153" i="4" s="1"/>
  <c r="G1153" i="4"/>
  <c r="F1153" i="4"/>
  <c r="E1153" i="4"/>
  <c r="D1153" i="4"/>
  <c r="C1153" i="4"/>
  <c r="B1153" i="4"/>
  <c r="A1153" i="4"/>
  <c r="R1152" i="4"/>
  <c r="Q1152" i="4"/>
  <c r="S1152" i="4" s="1"/>
  <c r="P1152" i="4"/>
  <c r="O1152" i="4"/>
  <c r="N1152" i="4"/>
  <c r="L1152" i="4"/>
  <c r="M1152" i="4" s="1"/>
  <c r="K1152" i="4"/>
  <c r="I1152" i="4"/>
  <c r="H1152" i="4"/>
  <c r="J1152" i="4" s="1"/>
  <c r="F1152" i="4"/>
  <c r="E1152" i="4"/>
  <c r="G1152" i="4" s="1"/>
  <c r="T1152" i="4" s="1"/>
  <c r="D1152" i="4"/>
  <c r="C1152" i="4"/>
  <c r="B1152" i="4"/>
  <c r="A1152" i="4"/>
  <c r="R1151" i="4"/>
  <c r="Q1151" i="4"/>
  <c r="S1151" i="4" s="1"/>
  <c r="O1151" i="4"/>
  <c r="N1151" i="4"/>
  <c r="P1151" i="4" s="1"/>
  <c r="M1151" i="4"/>
  <c r="L1151" i="4"/>
  <c r="K1151" i="4"/>
  <c r="I1151" i="4"/>
  <c r="J1151" i="4" s="1"/>
  <c r="H1151" i="4"/>
  <c r="F1151" i="4"/>
  <c r="E1151" i="4"/>
  <c r="C1151" i="4"/>
  <c r="B1151" i="4"/>
  <c r="D1151" i="4" s="1"/>
  <c r="A1151" i="4"/>
  <c r="R1150" i="4"/>
  <c r="S1150" i="4" s="1"/>
  <c r="Q1150" i="4"/>
  <c r="O1150" i="4"/>
  <c r="N1150" i="4"/>
  <c r="L1150" i="4"/>
  <c r="K1150" i="4"/>
  <c r="M1150" i="4" s="1"/>
  <c r="J1150" i="4"/>
  <c r="I1150" i="4"/>
  <c r="H1150" i="4"/>
  <c r="G1150" i="4"/>
  <c r="F1150" i="4"/>
  <c r="E1150" i="4"/>
  <c r="C1150" i="4"/>
  <c r="B1150" i="4"/>
  <c r="D1150" i="4" s="1"/>
  <c r="A1150" i="4"/>
  <c r="S1149" i="4"/>
  <c r="R1149" i="4"/>
  <c r="Q1149" i="4"/>
  <c r="O1149" i="4"/>
  <c r="P1149" i="4" s="1"/>
  <c r="N1149" i="4"/>
  <c r="L1149" i="4"/>
  <c r="K1149" i="4"/>
  <c r="I1149" i="4"/>
  <c r="H1149" i="4"/>
  <c r="J1149" i="4" s="1"/>
  <c r="G1149" i="4"/>
  <c r="F1149" i="4"/>
  <c r="E1149" i="4"/>
  <c r="D1149" i="4"/>
  <c r="C1149" i="4"/>
  <c r="B1149" i="4"/>
  <c r="A1149" i="4"/>
  <c r="R1148" i="4"/>
  <c r="Q1148" i="4"/>
  <c r="S1148" i="4" s="1"/>
  <c r="P1148" i="4"/>
  <c r="O1148" i="4"/>
  <c r="N1148" i="4"/>
  <c r="L1148" i="4"/>
  <c r="M1148" i="4" s="1"/>
  <c r="K1148" i="4"/>
  <c r="I1148" i="4"/>
  <c r="H1148" i="4"/>
  <c r="J1148" i="4" s="1"/>
  <c r="F1148" i="4"/>
  <c r="E1148" i="4"/>
  <c r="G1148" i="4" s="1"/>
  <c r="T1148" i="4" s="1"/>
  <c r="D1148" i="4"/>
  <c r="C1148" i="4"/>
  <c r="B1148" i="4"/>
  <c r="A1148" i="4"/>
  <c r="R1147" i="4"/>
  <c r="Q1147" i="4"/>
  <c r="S1147" i="4" s="1"/>
  <c r="O1147" i="4"/>
  <c r="N1147" i="4"/>
  <c r="P1147" i="4" s="1"/>
  <c r="M1147" i="4"/>
  <c r="L1147" i="4"/>
  <c r="K1147" i="4"/>
  <c r="I1147" i="4"/>
  <c r="J1147" i="4" s="1"/>
  <c r="H1147" i="4"/>
  <c r="F1147" i="4"/>
  <c r="E1147" i="4"/>
  <c r="C1147" i="4"/>
  <c r="B1147" i="4"/>
  <c r="D1147" i="4" s="1"/>
  <c r="A1147" i="4"/>
  <c r="R1146" i="4"/>
  <c r="S1146" i="4" s="1"/>
  <c r="Q1146" i="4"/>
  <c r="O1146" i="4"/>
  <c r="N1146" i="4"/>
  <c r="L1146" i="4"/>
  <c r="K1146" i="4"/>
  <c r="M1146" i="4" s="1"/>
  <c r="J1146" i="4"/>
  <c r="I1146" i="4"/>
  <c r="H1146" i="4"/>
  <c r="G1146" i="4"/>
  <c r="F1146" i="4"/>
  <c r="E1146" i="4"/>
  <c r="C1146" i="4"/>
  <c r="B1146" i="4"/>
  <c r="D1146" i="4" s="1"/>
  <c r="A1146" i="4"/>
  <c r="S1145" i="4"/>
  <c r="R1145" i="4"/>
  <c r="Q1145" i="4"/>
  <c r="O1145" i="4"/>
  <c r="P1145" i="4" s="1"/>
  <c r="N1145" i="4"/>
  <c r="L1145" i="4"/>
  <c r="K1145" i="4"/>
  <c r="I1145" i="4"/>
  <c r="H1145" i="4"/>
  <c r="J1145" i="4" s="1"/>
  <c r="G1145" i="4"/>
  <c r="F1145" i="4"/>
  <c r="E1145" i="4"/>
  <c r="D1145" i="4"/>
  <c r="C1145" i="4"/>
  <c r="B1145" i="4"/>
  <c r="A1145" i="4"/>
  <c r="R1144" i="4"/>
  <c r="Q1144" i="4"/>
  <c r="S1144" i="4" s="1"/>
  <c r="P1144" i="4"/>
  <c r="O1144" i="4"/>
  <c r="N1144" i="4"/>
  <c r="L1144" i="4"/>
  <c r="M1144" i="4" s="1"/>
  <c r="K1144" i="4"/>
  <c r="I1144" i="4"/>
  <c r="H1144" i="4"/>
  <c r="J1144" i="4" s="1"/>
  <c r="F1144" i="4"/>
  <c r="E1144" i="4"/>
  <c r="G1144" i="4" s="1"/>
  <c r="T1144" i="4" s="1"/>
  <c r="D1144" i="4"/>
  <c r="C1144" i="4"/>
  <c r="B1144" i="4"/>
  <c r="A1144" i="4"/>
  <c r="R1143" i="4"/>
  <c r="Q1143" i="4"/>
  <c r="S1143" i="4" s="1"/>
  <c r="O1143" i="4"/>
  <c r="N1143" i="4"/>
  <c r="P1143" i="4" s="1"/>
  <c r="M1143" i="4"/>
  <c r="L1143" i="4"/>
  <c r="K1143" i="4"/>
  <c r="I1143" i="4"/>
  <c r="J1143" i="4" s="1"/>
  <c r="H1143" i="4"/>
  <c r="F1143" i="4"/>
  <c r="E1143" i="4"/>
  <c r="C1143" i="4"/>
  <c r="B1143" i="4"/>
  <c r="D1143" i="4" s="1"/>
  <c r="A1143" i="4"/>
  <c r="R1142" i="4"/>
  <c r="S1142" i="4" s="1"/>
  <c r="Q1142" i="4"/>
  <c r="O1142" i="4"/>
  <c r="N1142" i="4"/>
  <c r="L1142" i="4"/>
  <c r="K1142" i="4"/>
  <c r="M1142" i="4" s="1"/>
  <c r="J1142" i="4"/>
  <c r="I1142" i="4"/>
  <c r="H1142" i="4"/>
  <c r="G1142" i="4"/>
  <c r="F1142" i="4"/>
  <c r="E1142" i="4"/>
  <c r="C1142" i="4"/>
  <c r="B1142" i="4"/>
  <c r="D1142" i="4" s="1"/>
  <c r="A1142" i="4"/>
  <c r="S1141" i="4"/>
  <c r="R1141" i="4"/>
  <c r="Q1141" i="4"/>
  <c r="O1141" i="4"/>
  <c r="P1141" i="4" s="1"/>
  <c r="N1141" i="4"/>
  <c r="L1141" i="4"/>
  <c r="K1141" i="4"/>
  <c r="I1141" i="4"/>
  <c r="H1141" i="4"/>
  <c r="J1141" i="4" s="1"/>
  <c r="G1141" i="4"/>
  <c r="F1141" i="4"/>
  <c r="E1141" i="4"/>
  <c r="D1141" i="4"/>
  <c r="C1141" i="4"/>
  <c r="B1141" i="4"/>
  <c r="A1141" i="4"/>
  <c r="R1140" i="4"/>
  <c r="Q1140" i="4"/>
  <c r="S1140" i="4" s="1"/>
  <c r="P1140" i="4"/>
  <c r="O1140" i="4"/>
  <c r="N1140" i="4"/>
  <c r="L1140" i="4"/>
  <c r="M1140" i="4" s="1"/>
  <c r="K1140" i="4"/>
  <c r="I1140" i="4"/>
  <c r="H1140" i="4"/>
  <c r="J1140" i="4" s="1"/>
  <c r="F1140" i="4"/>
  <c r="E1140" i="4"/>
  <c r="G1140" i="4" s="1"/>
  <c r="T1140" i="4" s="1"/>
  <c r="D1140" i="4"/>
  <c r="C1140" i="4"/>
  <c r="B1140" i="4"/>
  <c r="A1140" i="4"/>
  <c r="R1139" i="4"/>
  <c r="Q1139" i="4"/>
  <c r="S1139" i="4" s="1"/>
  <c r="O1139" i="4"/>
  <c r="N1139" i="4"/>
  <c r="P1139" i="4" s="1"/>
  <c r="M1139" i="4"/>
  <c r="L1139" i="4"/>
  <c r="K1139" i="4"/>
  <c r="I1139" i="4"/>
  <c r="J1139" i="4" s="1"/>
  <c r="H1139" i="4"/>
  <c r="F1139" i="4"/>
  <c r="E1139" i="4"/>
  <c r="C1139" i="4"/>
  <c r="B1139" i="4"/>
  <c r="D1139" i="4" s="1"/>
  <c r="A1139" i="4"/>
  <c r="R1138" i="4"/>
  <c r="S1138" i="4" s="1"/>
  <c r="Q1138" i="4"/>
  <c r="O1138" i="4"/>
  <c r="N1138" i="4"/>
  <c r="L1138" i="4"/>
  <c r="K1138" i="4"/>
  <c r="M1138" i="4" s="1"/>
  <c r="J1138" i="4"/>
  <c r="I1138" i="4"/>
  <c r="H1138" i="4"/>
  <c r="G1138" i="4"/>
  <c r="F1138" i="4"/>
  <c r="E1138" i="4"/>
  <c r="C1138" i="4"/>
  <c r="B1138" i="4"/>
  <c r="D1138" i="4" s="1"/>
  <c r="A1138" i="4"/>
  <c r="S1137" i="4"/>
  <c r="R1137" i="4"/>
  <c r="Q1137" i="4"/>
  <c r="O1137" i="4"/>
  <c r="P1137" i="4" s="1"/>
  <c r="N1137" i="4"/>
  <c r="L1137" i="4"/>
  <c r="K1137" i="4"/>
  <c r="I1137" i="4"/>
  <c r="H1137" i="4"/>
  <c r="J1137" i="4" s="1"/>
  <c r="G1137" i="4"/>
  <c r="F1137" i="4"/>
  <c r="E1137" i="4"/>
  <c r="D1137" i="4"/>
  <c r="C1137" i="4"/>
  <c r="B1137" i="4"/>
  <c r="A1137" i="4"/>
  <c r="R1136" i="4"/>
  <c r="Q1136" i="4"/>
  <c r="S1136" i="4" s="1"/>
  <c r="P1136" i="4"/>
  <c r="O1136" i="4"/>
  <c r="N1136" i="4"/>
  <c r="L1136" i="4"/>
  <c r="M1136" i="4" s="1"/>
  <c r="K1136" i="4"/>
  <c r="I1136" i="4"/>
  <c r="H1136" i="4"/>
  <c r="J1136" i="4" s="1"/>
  <c r="F1136" i="4"/>
  <c r="E1136" i="4"/>
  <c r="G1136" i="4" s="1"/>
  <c r="T1136" i="4" s="1"/>
  <c r="D1136" i="4"/>
  <c r="C1136" i="4"/>
  <c r="B1136" i="4"/>
  <c r="A1136" i="4"/>
  <c r="R1135" i="4"/>
  <c r="Q1135" i="4"/>
  <c r="S1135" i="4" s="1"/>
  <c r="O1135" i="4"/>
  <c r="N1135" i="4"/>
  <c r="P1135" i="4" s="1"/>
  <c r="M1135" i="4"/>
  <c r="L1135" i="4"/>
  <c r="K1135" i="4"/>
  <c r="I1135" i="4"/>
  <c r="J1135" i="4" s="1"/>
  <c r="H1135" i="4"/>
  <c r="F1135" i="4"/>
  <c r="E1135" i="4"/>
  <c r="C1135" i="4"/>
  <c r="B1135" i="4"/>
  <c r="D1135" i="4" s="1"/>
  <c r="A1135" i="4"/>
  <c r="R1134" i="4"/>
  <c r="S1134" i="4" s="1"/>
  <c r="Q1134" i="4"/>
  <c r="O1134" i="4"/>
  <c r="N1134" i="4"/>
  <c r="L1134" i="4"/>
  <c r="K1134" i="4"/>
  <c r="M1134" i="4" s="1"/>
  <c r="J1134" i="4"/>
  <c r="I1134" i="4"/>
  <c r="H1134" i="4"/>
  <c r="G1134" i="4"/>
  <c r="F1134" i="4"/>
  <c r="E1134" i="4"/>
  <c r="C1134" i="4"/>
  <c r="B1134" i="4"/>
  <c r="D1134" i="4" s="1"/>
  <c r="A1134" i="4"/>
  <c r="S1133" i="4"/>
  <c r="R1133" i="4"/>
  <c r="Q1133" i="4"/>
  <c r="O1133" i="4"/>
  <c r="P1133" i="4" s="1"/>
  <c r="N1133" i="4"/>
  <c r="L1133" i="4"/>
  <c r="K1133" i="4"/>
  <c r="I1133" i="4"/>
  <c r="H1133" i="4"/>
  <c r="J1133" i="4" s="1"/>
  <c r="G1133" i="4"/>
  <c r="F1133" i="4"/>
  <c r="E1133" i="4"/>
  <c r="D1133" i="4"/>
  <c r="C1133" i="4"/>
  <c r="B1133" i="4"/>
  <c r="A1133" i="4"/>
  <c r="R1132" i="4"/>
  <c r="Q1132" i="4"/>
  <c r="S1132" i="4" s="1"/>
  <c r="P1132" i="4"/>
  <c r="O1132" i="4"/>
  <c r="N1132" i="4"/>
  <c r="L1132" i="4"/>
  <c r="M1132" i="4" s="1"/>
  <c r="K1132" i="4"/>
  <c r="I1132" i="4"/>
  <c r="H1132" i="4"/>
  <c r="J1132" i="4" s="1"/>
  <c r="F1132" i="4"/>
  <c r="E1132" i="4"/>
  <c r="G1132" i="4" s="1"/>
  <c r="T1132" i="4" s="1"/>
  <c r="D1132" i="4"/>
  <c r="C1132" i="4"/>
  <c r="B1132" i="4"/>
  <c r="A1132" i="4"/>
  <c r="R1131" i="4"/>
  <c r="Q1131" i="4"/>
  <c r="S1131" i="4" s="1"/>
  <c r="O1131" i="4"/>
  <c r="N1131" i="4"/>
  <c r="P1131" i="4" s="1"/>
  <c r="M1131" i="4"/>
  <c r="L1131" i="4"/>
  <c r="K1131" i="4"/>
  <c r="I1131" i="4"/>
  <c r="J1131" i="4" s="1"/>
  <c r="H1131" i="4"/>
  <c r="F1131" i="4"/>
  <c r="E1131" i="4"/>
  <c r="C1131" i="4"/>
  <c r="B1131" i="4"/>
  <c r="D1131" i="4" s="1"/>
  <c r="A1131" i="4"/>
  <c r="R1130" i="4"/>
  <c r="S1130" i="4" s="1"/>
  <c r="Q1130" i="4"/>
  <c r="O1130" i="4"/>
  <c r="N1130" i="4"/>
  <c r="L1130" i="4"/>
  <c r="K1130" i="4"/>
  <c r="M1130" i="4" s="1"/>
  <c r="J1130" i="4"/>
  <c r="I1130" i="4"/>
  <c r="H1130" i="4"/>
  <c r="G1130" i="4"/>
  <c r="F1130" i="4"/>
  <c r="E1130" i="4"/>
  <c r="C1130" i="4"/>
  <c r="B1130" i="4"/>
  <c r="D1130" i="4" s="1"/>
  <c r="A1130" i="4"/>
  <c r="S1129" i="4"/>
  <c r="R1129" i="4"/>
  <c r="Q1129" i="4"/>
  <c r="O1129" i="4"/>
  <c r="P1129" i="4" s="1"/>
  <c r="N1129" i="4"/>
  <c r="L1129" i="4"/>
  <c r="K1129" i="4"/>
  <c r="I1129" i="4"/>
  <c r="H1129" i="4"/>
  <c r="J1129" i="4" s="1"/>
  <c r="G1129" i="4"/>
  <c r="F1129" i="4"/>
  <c r="E1129" i="4"/>
  <c r="D1129" i="4"/>
  <c r="C1129" i="4"/>
  <c r="B1129" i="4"/>
  <c r="A1129" i="4"/>
  <c r="R1128" i="4"/>
  <c r="Q1128" i="4"/>
  <c r="S1128" i="4" s="1"/>
  <c r="P1128" i="4"/>
  <c r="O1128" i="4"/>
  <c r="N1128" i="4"/>
  <c r="L1128" i="4"/>
  <c r="M1128" i="4" s="1"/>
  <c r="K1128" i="4"/>
  <c r="I1128" i="4"/>
  <c r="H1128" i="4"/>
  <c r="J1128" i="4" s="1"/>
  <c r="F1128" i="4"/>
  <c r="E1128" i="4"/>
  <c r="G1128" i="4" s="1"/>
  <c r="T1128" i="4" s="1"/>
  <c r="D1128" i="4"/>
  <c r="C1128" i="4"/>
  <c r="B1128" i="4"/>
  <c r="A1128" i="4"/>
  <c r="R1127" i="4"/>
  <c r="Q1127" i="4"/>
  <c r="S1127" i="4" s="1"/>
  <c r="O1127" i="4"/>
  <c r="N1127" i="4"/>
  <c r="P1127" i="4" s="1"/>
  <c r="M1127" i="4"/>
  <c r="L1127" i="4"/>
  <c r="K1127" i="4"/>
  <c r="I1127" i="4"/>
  <c r="J1127" i="4" s="1"/>
  <c r="H1127" i="4"/>
  <c r="F1127" i="4"/>
  <c r="E1127" i="4"/>
  <c r="C1127" i="4"/>
  <c r="B1127" i="4"/>
  <c r="D1127" i="4" s="1"/>
  <c r="A1127" i="4"/>
  <c r="R1126" i="4"/>
  <c r="S1126" i="4" s="1"/>
  <c r="Q1126" i="4"/>
  <c r="O1126" i="4"/>
  <c r="N1126" i="4"/>
  <c r="L1126" i="4"/>
  <c r="K1126" i="4"/>
  <c r="M1126" i="4" s="1"/>
  <c r="J1126" i="4"/>
  <c r="I1126" i="4"/>
  <c r="H1126" i="4"/>
  <c r="G1126" i="4"/>
  <c r="F1126" i="4"/>
  <c r="E1126" i="4"/>
  <c r="C1126" i="4"/>
  <c r="B1126" i="4"/>
  <c r="D1126" i="4" s="1"/>
  <c r="A1126" i="4"/>
  <c r="S1125" i="4"/>
  <c r="R1125" i="4"/>
  <c r="Q1125" i="4"/>
  <c r="O1125" i="4"/>
  <c r="P1125" i="4" s="1"/>
  <c r="N1125" i="4"/>
  <c r="L1125" i="4"/>
  <c r="K1125" i="4"/>
  <c r="I1125" i="4"/>
  <c r="H1125" i="4"/>
  <c r="J1125" i="4" s="1"/>
  <c r="G1125" i="4"/>
  <c r="F1125" i="4"/>
  <c r="E1125" i="4"/>
  <c r="D1125" i="4"/>
  <c r="C1125" i="4"/>
  <c r="B1125" i="4"/>
  <c r="A1125" i="4"/>
  <c r="R1124" i="4"/>
  <c r="Q1124" i="4"/>
  <c r="S1124" i="4" s="1"/>
  <c r="P1124" i="4"/>
  <c r="O1124" i="4"/>
  <c r="N1124" i="4"/>
  <c r="L1124" i="4"/>
  <c r="M1124" i="4" s="1"/>
  <c r="K1124" i="4"/>
  <c r="I1124" i="4"/>
  <c r="H1124" i="4"/>
  <c r="J1124" i="4" s="1"/>
  <c r="F1124" i="4"/>
  <c r="E1124" i="4"/>
  <c r="G1124" i="4" s="1"/>
  <c r="T1124" i="4" s="1"/>
  <c r="D1124" i="4"/>
  <c r="C1124" i="4"/>
  <c r="B1124" i="4"/>
  <c r="A1124" i="4"/>
  <c r="R1123" i="4"/>
  <c r="Q1123" i="4"/>
  <c r="S1123" i="4" s="1"/>
  <c r="O1123" i="4"/>
  <c r="N1123" i="4"/>
  <c r="P1123" i="4" s="1"/>
  <c r="M1123" i="4"/>
  <c r="L1123" i="4"/>
  <c r="K1123" i="4"/>
  <c r="I1123" i="4"/>
  <c r="J1123" i="4" s="1"/>
  <c r="H1123" i="4"/>
  <c r="F1123" i="4"/>
  <c r="E1123" i="4"/>
  <c r="C1123" i="4"/>
  <c r="B1123" i="4"/>
  <c r="D1123" i="4" s="1"/>
  <c r="A1123" i="4"/>
  <c r="R1122" i="4"/>
  <c r="S1122" i="4" s="1"/>
  <c r="Q1122" i="4"/>
  <c r="O1122" i="4"/>
  <c r="N1122" i="4"/>
  <c r="L1122" i="4"/>
  <c r="K1122" i="4"/>
  <c r="M1122" i="4" s="1"/>
  <c r="J1122" i="4"/>
  <c r="I1122" i="4"/>
  <c r="H1122" i="4"/>
  <c r="G1122" i="4"/>
  <c r="F1122" i="4"/>
  <c r="E1122" i="4"/>
  <c r="C1122" i="4"/>
  <c r="B1122" i="4"/>
  <c r="D1122" i="4" s="1"/>
  <c r="A1122" i="4"/>
  <c r="S1121" i="4"/>
  <c r="R1121" i="4"/>
  <c r="Q1121" i="4"/>
  <c r="O1121" i="4"/>
  <c r="P1121" i="4" s="1"/>
  <c r="N1121" i="4"/>
  <c r="L1121" i="4"/>
  <c r="K1121" i="4"/>
  <c r="I1121" i="4"/>
  <c r="H1121" i="4"/>
  <c r="J1121" i="4" s="1"/>
  <c r="G1121" i="4"/>
  <c r="F1121" i="4"/>
  <c r="E1121" i="4"/>
  <c r="D1121" i="4"/>
  <c r="C1121" i="4"/>
  <c r="B1121" i="4"/>
  <c r="A1121" i="4"/>
  <c r="R1120" i="4"/>
  <c r="Q1120" i="4"/>
  <c r="S1120" i="4" s="1"/>
  <c r="P1120" i="4"/>
  <c r="O1120" i="4"/>
  <c r="N1120" i="4"/>
  <c r="L1120" i="4"/>
  <c r="M1120" i="4" s="1"/>
  <c r="K1120" i="4"/>
  <c r="I1120" i="4"/>
  <c r="H1120" i="4"/>
  <c r="J1120" i="4" s="1"/>
  <c r="F1120" i="4"/>
  <c r="E1120" i="4"/>
  <c r="G1120" i="4" s="1"/>
  <c r="T1120" i="4" s="1"/>
  <c r="D1120" i="4"/>
  <c r="C1120" i="4"/>
  <c r="B1120" i="4"/>
  <c r="A1120" i="4"/>
  <c r="R1119" i="4"/>
  <c r="Q1119" i="4"/>
  <c r="S1119" i="4" s="1"/>
  <c r="O1119" i="4"/>
  <c r="N1119" i="4"/>
  <c r="P1119" i="4" s="1"/>
  <c r="M1119" i="4"/>
  <c r="L1119" i="4"/>
  <c r="K1119" i="4"/>
  <c r="I1119" i="4"/>
  <c r="J1119" i="4" s="1"/>
  <c r="H1119" i="4"/>
  <c r="F1119" i="4"/>
  <c r="E1119" i="4"/>
  <c r="C1119" i="4"/>
  <c r="B1119" i="4"/>
  <c r="D1119" i="4" s="1"/>
  <c r="A1119" i="4"/>
  <c r="R1118" i="4"/>
  <c r="S1118" i="4" s="1"/>
  <c r="Q1118" i="4"/>
  <c r="O1118" i="4"/>
  <c r="N1118" i="4"/>
  <c r="L1118" i="4"/>
  <c r="K1118" i="4"/>
  <c r="M1118" i="4" s="1"/>
  <c r="J1118" i="4"/>
  <c r="I1118" i="4"/>
  <c r="H1118" i="4"/>
  <c r="G1118" i="4"/>
  <c r="F1118" i="4"/>
  <c r="E1118" i="4"/>
  <c r="C1118" i="4"/>
  <c r="B1118" i="4"/>
  <c r="D1118" i="4" s="1"/>
  <c r="A1118" i="4"/>
  <c r="S1117" i="4"/>
  <c r="R1117" i="4"/>
  <c r="Q1117" i="4"/>
  <c r="O1117" i="4"/>
  <c r="P1117" i="4" s="1"/>
  <c r="N1117" i="4"/>
  <c r="L1117" i="4"/>
  <c r="K1117" i="4"/>
  <c r="I1117" i="4"/>
  <c r="H1117" i="4"/>
  <c r="J1117" i="4" s="1"/>
  <c r="G1117" i="4"/>
  <c r="F1117" i="4"/>
  <c r="E1117" i="4"/>
  <c r="D1117" i="4"/>
  <c r="C1117" i="4"/>
  <c r="B1117" i="4"/>
  <c r="A1117" i="4"/>
  <c r="R1116" i="4"/>
  <c r="Q1116" i="4"/>
  <c r="S1116" i="4" s="1"/>
  <c r="P1116" i="4"/>
  <c r="O1116" i="4"/>
  <c r="N1116" i="4"/>
  <c r="L1116" i="4"/>
  <c r="M1116" i="4" s="1"/>
  <c r="K1116" i="4"/>
  <c r="I1116" i="4"/>
  <c r="H1116" i="4"/>
  <c r="J1116" i="4" s="1"/>
  <c r="F1116" i="4"/>
  <c r="E1116" i="4"/>
  <c r="G1116" i="4" s="1"/>
  <c r="T1116" i="4" s="1"/>
  <c r="D1116" i="4"/>
  <c r="C1116" i="4"/>
  <c r="B1116" i="4"/>
  <c r="A1116" i="4"/>
  <c r="R1115" i="4"/>
  <c r="Q1115" i="4"/>
  <c r="S1115" i="4" s="1"/>
  <c r="O1115" i="4"/>
  <c r="N1115" i="4"/>
  <c r="P1115" i="4" s="1"/>
  <c r="M1115" i="4"/>
  <c r="L1115" i="4"/>
  <c r="K1115" i="4"/>
  <c r="I1115" i="4"/>
  <c r="J1115" i="4" s="1"/>
  <c r="H1115" i="4"/>
  <c r="F1115" i="4"/>
  <c r="E1115" i="4"/>
  <c r="C1115" i="4"/>
  <c r="B1115" i="4"/>
  <c r="D1115" i="4" s="1"/>
  <c r="A1115" i="4"/>
  <c r="R1114" i="4"/>
  <c r="S1114" i="4" s="1"/>
  <c r="Q1114" i="4"/>
  <c r="O1114" i="4"/>
  <c r="N1114" i="4"/>
  <c r="L1114" i="4"/>
  <c r="K1114" i="4"/>
  <c r="M1114" i="4" s="1"/>
  <c r="J1114" i="4"/>
  <c r="I1114" i="4"/>
  <c r="H1114" i="4"/>
  <c r="G1114" i="4"/>
  <c r="F1114" i="4"/>
  <c r="E1114" i="4"/>
  <c r="C1114" i="4"/>
  <c r="B1114" i="4"/>
  <c r="D1114" i="4" s="1"/>
  <c r="A1114" i="4"/>
  <c r="S1113" i="4"/>
  <c r="R1113" i="4"/>
  <c r="Q1113" i="4"/>
  <c r="O1113" i="4"/>
  <c r="P1113" i="4" s="1"/>
  <c r="N1113" i="4"/>
  <c r="L1113" i="4"/>
  <c r="K1113" i="4"/>
  <c r="I1113" i="4"/>
  <c r="H1113" i="4"/>
  <c r="J1113" i="4" s="1"/>
  <c r="G1113" i="4"/>
  <c r="F1113" i="4"/>
  <c r="E1113" i="4"/>
  <c r="D1113" i="4"/>
  <c r="C1113" i="4"/>
  <c r="B1113" i="4"/>
  <c r="A1113" i="4"/>
  <c r="R1112" i="4"/>
  <c r="Q1112" i="4"/>
  <c r="S1112" i="4" s="1"/>
  <c r="P1112" i="4"/>
  <c r="O1112" i="4"/>
  <c r="N1112" i="4"/>
  <c r="L1112" i="4"/>
  <c r="M1112" i="4" s="1"/>
  <c r="K1112" i="4"/>
  <c r="I1112" i="4"/>
  <c r="H1112" i="4"/>
  <c r="J1112" i="4" s="1"/>
  <c r="F1112" i="4"/>
  <c r="E1112" i="4"/>
  <c r="G1112" i="4" s="1"/>
  <c r="T1112" i="4" s="1"/>
  <c r="D1112" i="4"/>
  <c r="C1112" i="4"/>
  <c r="B1112" i="4"/>
  <c r="A1112" i="4"/>
  <c r="R1111" i="4"/>
  <c r="Q1111" i="4"/>
  <c r="S1111" i="4" s="1"/>
  <c r="O1111" i="4"/>
  <c r="N1111" i="4"/>
  <c r="P1111" i="4" s="1"/>
  <c r="M1111" i="4"/>
  <c r="L1111" i="4"/>
  <c r="K1111" i="4"/>
  <c r="I1111" i="4"/>
  <c r="J1111" i="4" s="1"/>
  <c r="H1111" i="4"/>
  <c r="F1111" i="4"/>
  <c r="E1111" i="4"/>
  <c r="C1111" i="4"/>
  <c r="B1111" i="4"/>
  <c r="D1111" i="4" s="1"/>
  <c r="A1111" i="4"/>
  <c r="R1110" i="4"/>
  <c r="S1110" i="4" s="1"/>
  <c r="Q1110" i="4"/>
  <c r="O1110" i="4"/>
  <c r="N1110" i="4"/>
  <c r="L1110" i="4"/>
  <c r="K1110" i="4"/>
  <c r="M1110" i="4" s="1"/>
  <c r="J1110" i="4"/>
  <c r="I1110" i="4"/>
  <c r="H1110" i="4"/>
  <c r="G1110" i="4"/>
  <c r="F1110" i="4"/>
  <c r="E1110" i="4"/>
  <c r="C1110" i="4"/>
  <c r="B1110" i="4"/>
  <c r="D1110" i="4" s="1"/>
  <c r="A1110" i="4"/>
  <c r="S1109" i="4"/>
  <c r="R1109" i="4"/>
  <c r="Q1109" i="4"/>
  <c r="O1109" i="4"/>
  <c r="P1109" i="4" s="1"/>
  <c r="N1109" i="4"/>
  <c r="L1109" i="4"/>
  <c r="K1109" i="4"/>
  <c r="I1109" i="4"/>
  <c r="H1109" i="4"/>
  <c r="J1109" i="4" s="1"/>
  <c r="G1109" i="4"/>
  <c r="F1109" i="4"/>
  <c r="E1109" i="4"/>
  <c r="D1109" i="4"/>
  <c r="C1109" i="4"/>
  <c r="B1109" i="4"/>
  <c r="A1109" i="4"/>
  <c r="R1108" i="4"/>
  <c r="Q1108" i="4"/>
  <c r="S1108" i="4" s="1"/>
  <c r="P1108" i="4"/>
  <c r="O1108" i="4"/>
  <c r="N1108" i="4"/>
  <c r="L1108" i="4"/>
  <c r="M1108" i="4" s="1"/>
  <c r="K1108" i="4"/>
  <c r="I1108" i="4"/>
  <c r="H1108" i="4"/>
  <c r="J1108" i="4" s="1"/>
  <c r="F1108" i="4"/>
  <c r="E1108" i="4"/>
  <c r="G1108" i="4" s="1"/>
  <c r="T1108" i="4" s="1"/>
  <c r="D1108" i="4"/>
  <c r="C1108" i="4"/>
  <c r="B1108" i="4"/>
  <c r="A1108" i="4"/>
  <c r="R1107" i="4"/>
  <c r="Q1107" i="4"/>
  <c r="S1107" i="4" s="1"/>
  <c r="O1107" i="4"/>
  <c r="N1107" i="4"/>
  <c r="P1107" i="4" s="1"/>
  <c r="M1107" i="4"/>
  <c r="L1107" i="4"/>
  <c r="K1107" i="4"/>
  <c r="I1107" i="4"/>
  <c r="J1107" i="4" s="1"/>
  <c r="H1107" i="4"/>
  <c r="F1107" i="4"/>
  <c r="E1107" i="4"/>
  <c r="C1107" i="4"/>
  <c r="B1107" i="4"/>
  <c r="D1107" i="4" s="1"/>
  <c r="A1107" i="4"/>
  <c r="R1106" i="4"/>
  <c r="S1106" i="4" s="1"/>
  <c r="Q1106" i="4"/>
  <c r="O1106" i="4"/>
  <c r="N1106" i="4"/>
  <c r="L1106" i="4"/>
  <c r="K1106" i="4"/>
  <c r="M1106" i="4" s="1"/>
  <c r="J1106" i="4"/>
  <c r="I1106" i="4"/>
  <c r="H1106" i="4"/>
  <c r="G1106" i="4"/>
  <c r="F1106" i="4"/>
  <c r="E1106" i="4"/>
  <c r="C1106" i="4"/>
  <c r="B1106" i="4"/>
  <c r="D1106" i="4" s="1"/>
  <c r="A1106" i="4"/>
  <c r="S1105" i="4"/>
  <c r="R1105" i="4"/>
  <c r="Q1105" i="4"/>
  <c r="O1105" i="4"/>
  <c r="P1105" i="4" s="1"/>
  <c r="N1105" i="4"/>
  <c r="L1105" i="4"/>
  <c r="K1105" i="4"/>
  <c r="I1105" i="4"/>
  <c r="H1105" i="4"/>
  <c r="J1105" i="4" s="1"/>
  <c r="G1105" i="4"/>
  <c r="F1105" i="4"/>
  <c r="E1105" i="4"/>
  <c r="D1105" i="4"/>
  <c r="C1105" i="4"/>
  <c r="B1105" i="4"/>
  <c r="A1105" i="4"/>
  <c r="R1104" i="4"/>
  <c r="Q1104" i="4"/>
  <c r="S1104" i="4" s="1"/>
  <c r="P1104" i="4"/>
  <c r="O1104" i="4"/>
  <c r="N1104" i="4"/>
  <c r="L1104" i="4"/>
  <c r="M1104" i="4" s="1"/>
  <c r="K1104" i="4"/>
  <c r="I1104" i="4"/>
  <c r="H1104" i="4"/>
  <c r="J1104" i="4" s="1"/>
  <c r="F1104" i="4"/>
  <c r="E1104" i="4"/>
  <c r="G1104" i="4" s="1"/>
  <c r="T1104" i="4" s="1"/>
  <c r="D1104" i="4"/>
  <c r="C1104" i="4"/>
  <c r="B1104" i="4"/>
  <c r="A1104" i="4"/>
  <c r="R1103" i="4"/>
  <c r="Q1103" i="4"/>
  <c r="S1103" i="4" s="1"/>
  <c r="O1103" i="4"/>
  <c r="N1103" i="4"/>
  <c r="P1103" i="4" s="1"/>
  <c r="M1103" i="4"/>
  <c r="L1103" i="4"/>
  <c r="K1103" i="4"/>
  <c r="I1103" i="4"/>
  <c r="J1103" i="4" s="1"/>
  <c r="H1103" i="4"/>
  <c r="F1103" i="4"/>
  <c r="E1103" i="4"/>
  <c r="C1103" i="4"/>
  <c r="B1103" i="4"/>
  <c r="D1103" i="4" s="1"/>
  <c r="A1103" i="4"/>
  <c r="R1102" i="4"/>
  <c r="S1102" i="4" s="1"/>
  <c r="Q1102" i="4"/>
  <c r="O1102" i="4"/>
  <c r="N1102" i="4"/>
  <c r="L1102" i="4"/>
  <c r="K1102" i="4"/>
  <c r="M1102" i="4" s="1"/>
  <c r="J1102" i="4"/>
  <c r="I1102" i="4"/>
  <c r="H1102" i="4"/>
  <c r="G1102" i="4"/>
  <c r="F1102" i="4"/>
  <c r="E1102" i="4"/>
  <c r="C1102" i="4"/>
  <c r="B1102" i="4"/>
  <c r="D1102" i="4" s="1"/>
  <c r="A1102" i="4"/>
  <c r="S1101" i="4"/>
  <c r="R1101" i="4"/>
  <c r="Q1101" i="4"/>
  <c r="O1101" i="4"/>
  <c r="P1101" i="4" s="1"/>
  <c r="N1101" i="4"/>
  <c r="L1101" i="4"/>
  <c r="K1101" i="4"/>
  <c r="I1101" i="4"/>
  <c r="H1101" i="4"/>
  <c r="J1101" i="4" s="1"/>
  <c r="G1101" i="4"/>
  <c r="F1101" i="4"/>
  <c r="E1101" i="4"/>
  <c r="D1101" i="4"/>
  <c r="C1101" i="4"/>
  <c r="B1101" i="4"/>
  <c r="A1101" i="4"/>
  <c r="R1100" i="4"/>
  <c r="Q1100" i="4"/>
  <c r="S1100" i="4" s="1"/>
  <c r="P1100" i="4"/>
  <c r="O1100" i="4"/>
  <c r="N1100" i="4"/>
  <c r="L1100" i="4"/>
  <c r="M1100" i="4" s="1"/>
  <c r="K1100" i="4"/>
  <c r="I1100" i="4"/>
  <c r="H1100" i="4"/>
  <c r="J1100" i="4" s="1"/>
  <c r="F1100" i="4"/>
  <c r="E1100" i="4"/>
  <c r="G1100" i="4" s="1"/>
  <c r="T1100" i="4" s="1"/>
  <c r="D1100" i="4"/>
  <c r="C1100" i="4"/>
  <c r="B1100" i="4"/>
  <c r="A1100" i="4"/>
  <c r="R1099" i="4"/>
  <c r="Q1099" i="4"/>
  <c r="S1099" i="4" s="1"/>
  <c r="O1099" i="4"/>
  <c r="N1099" i="4"/>
  <c r="P1099" i="4" s="1"/>
  <c r="M1099" i="4"/>
  <c r="L1099" i="4"/>
  <c r="K1099" i="4"/>
  <c r="I1099" i="4"/>
  <c r="J1099" i="4" s="1"/>
  <c r="H1099" i="4"/>
  <c r="F1099" i="4"/>
  <c r="E1099" i="4"/>
  <c r="C1099" i="4"/>
  <c r="B1099" i="4"/>
  <c r="D1099" i="4" s="1"/>
  <c r="A1099" i="4"/>
  <c r="R1098" i="4"/>
  <c r="S1098" i="4" s="1"/>
  <c r="Q1098" i="4"/>
  <c r="O1098" i="4"/>
  <c r="N1098" i="4"/>
  <c r="L1098" i="4"/>
  <c r="K1098" i="4"/>
  <c r="M1098" i="4" s="1"/>
  <c r="J1098" i="4"/>
  <c r="I1098" i="4"/>
  <c r="H1098" i="4"/>
  <c r="G1098" i="4"/>
  <c r="F1098" i="4"/>
  <c r="E1098" i="4"/>
  <c r="C1098" i="4"/>
  <c r="B1098" i="4"/>
  <c r="D1098" i="4" s="1"/>
  <c r="A1098" i="4"/>
  <c r="S1097" i="4"/>
  <c r="R1097" i="4"/>
  <c r="Q1097" i="4"/>
  <c r="O1097" i="4"/>
  <c r="P1097" i="4" s="1"/>
  <c r="N1097" i="4"/>
  <c r="L1097" i="4"/>
  <c r="K1097" i="4"/>
  <c r="I1097" i="4"/>
  <c r="H1097" i="4"/>
  <c r="J1097" i="4" s="1"/>
  <c r="G1097" i="4"/>
  <c r="F1097" i="4"/>
  <c r="E1097" i="4"/>
  <c r="D1097" i="4"/>
  <c r="C1097" i="4"/>
  <c r="B1097" i="4"/>
  <c r="A1097" i="4"/>
  <c r="R1096" i="4"/>
  <c r="Q1096" i="4"/>
  <c r="S1096" i="4" s="1"/>
  <c r="P1096" i="4"/>
  <c r="O1096" i="4"/>
  <c r="N1096" i="4"/>
  <c r="L1096" i="4"/>
  <c r="M1096" i="4" s="1"/>
  <c r="K1096" i="4"/>
  <c r="I1096" i="4"/>
  <c r="H1096" i="4"/>
  <c r="J1096" i="4" s="1"/>
  <c r="F1096" i="4"/>
  <c r="E1096" i="4"/>
  <c r="G1096" i="4" s="1"/>
  <c r="T1096" i="4" s="1"/>
  <c r="D1096" i="4"/>
  <c r="C1096" i="4"/>
  <c r="B1096" i="4"/>
  <c r="A1096" i="4"/>
  <c r="R1095" i="4"/>
  <c r="Q1095" i="4"/>
  <c r="S1095" i="4" s="1"/>
  <c r="O1095" i="4"/>
  <c r="N1095" i="4"/>
  <c r="P1095" i="4" s="1"/>
  <c r="M1095" i="4"/>
  <c r="L1095" i="4"/>
  <c r="K1095" i="4"/>
  <c r="I1095" i="4"/>
  <c r="J1095" i="4" s="1"/>
  <c r="H1095" i="4"/>
  <c r="F1095" i="4"/>
  <c r="E1095" i="4"/>
  <c r="C1095" i="4"/>
  <c r="B1095" i="4"/>
  <c r="D1095" i="4" s="1"/>
  <c r="A1095" i="4"/>
  <c r="R1094" i="4"/>
  <c r="S1094" i="4" s="1"/>
  <c r="Q1094" i="4"/>
  <c r="O1094" i="4"/>
  <c r="N1094" i="4"/>
  <c r="L1094" i="4"/>
  <c r="K1094" i="4"/>
  <c r="M1094" i="4" s="1"/>
  <c r="J1094" i="4"/>
  <c r="I1094" i="4"/>
  <c r="H1094" i="4"/>
  <c r="G1094" i="4"/>
  <c r="F1094" i="4"/>
  <c r="E1094" i="4"/>
  <c r="C1094" i="4"/>
  <c r="B1094" i="4"/>
  <c r="D1094" i="4" s="1"/>
  <c r="A1094" i="4"/>
  <c r="S1093" i="4"/>
  <c r="R1093" i="4"/>
  <c r="Q1093" i="4"/>
  <c r="O1093" i="4"/>
  <c r="P1093" i="4" s="1"/>
  <c r="N1093" i="4"/>
  <c r="L1093" i="4"/>
  <c r="K1093" i="4"/>
  <c r="I1093" i="4"/>
  <c r="H1093" i="4"/>
  <c r="J1093" i="4" s="1"/>
  <c r="G1093" i="4"/>
  <c r="F1093" i="4"/>
  <c r="E1093" i="4"/>
  <c r="D1093" i="4"/>
  <c r="C1093" i="4"/>
  <c r="B1093" i="4"/>
  <c r="A1093" i="4"/>
  <c r="R1092" i="4"/>
  <c r="Q1092" i="4"/>
  <c r="S1092" i="4" s="1"/>
  <c r="P1092" i="4"/>
  <c r="O1092" i="4"/>
  <c r="N1092" i="4"/>
  <c r="L1092" i="4"/>
  <c r="M1092" i="4" s="1"/>
  <c r="K1092" i="4"/>
  <c r="I1092" i="4"/>
  <c r="H1092" i="4"/>
  <c r="J1092" i="4" s="1"/>
  <c r="F1092" i="4"/>
  <c r="E1092" i="4"/>
  <c r="G1092" i="4" s="1"/>
  <c r="T1092" i="4" s="1"/>
  <c r="D1092" i="4"/>
  <c r="C1092" i="4"/>
  <c r="B1092" i="4"/>
  <c r="A1092" i="4"/>
  <c r="R1091" i="4"/>
  <c r="Q1091" i="4"/>
  <c r="S1091" i="4" s="1"/>
  <c r="O1091" i="4"/>
  <c r="N1091" i="4"/>
  <c r="P1091" i="4" s="1"/>
  <c r="L1091" i="4"/>
  <c r="M1091" i="4" s="1"/>
  <c r="K1091" i="4"/>
  <c r="I1091" i="4"/>
  <c r="H1091" i="4"/>
  <c r="J1091" i="4" s="1"/>
  <c r="F1091" i="4"/>
  <c r="E1091" i="4"/>
  <c r="C1091" i="4"/>
  <c r="B1091" i="4"/>
  <c r="D1091" i="4" s="1"/>
  <c r="A1091" i="4"/>
  <c r="S1090" i="4"/>
  <c r="R1090" i="4"/>
  <c r="Q1090" i="4"/>
  <c r="O1090" i="4"/>
  <c r="N1090" i="4"/>
  <c r="P1090" i="4" s="1"/>
  <c r="M1090" i="4"/>
  <c r="L1090" i="4"/>
  <c r="K1090" i="4"/>
  <c r="J1090" i="4"/>
  <c r="I1090" i="4"/>
  <c r="H1090" i="4"/>
  <c r="F1090" i="4"/>
  <c r="E1090" i="4"/>
  <c r="G1090" i="4" s="1"/>
  <c r="C1090" i="4"/>
  <c r="B1090" i="4"/>
  <c r="D1090" i="4" s="1"/>
  <c r="A1090" i="4"/>
  <c r="R1089" i="4"/>
  <c r="S1089" i="4" s="1"/>
  <c r="Q1089" i="4"/>
  <c r="P1089" i="4"/>
  <c r="O1089" i="4"/>
  <c r="N1089" i="4"/>
  <c r="L1089" i="4"/>
  <c r="K1089" i="4"/>
  <c r="I1089" i="4"/>
  <c r="H1089" i="4"/>
  <c r="J1089" i="4" s="1"/>
  <c r="G1089" i="4"/>
  <c r="F1089" i="4"/>
  <c r="E1089" i="4"/>
  <c r="C1089" i="4"/>
  <c r="D1089" i="4" s="1"/>
  <c r="B1089" i="4"/>
  <c r="A1089" i="4"/>
  <c r="R1088" i="4"/>
  <c r="Q1088" i="4"/>
  <c r="S1088" i="4" s="1"/>
  <c r="P1088" i="4"/>
  <c r="O1088" i="4"/>
  <c r="N1088" i="4"/>
  <c r="M1088" i="4"/>
  <c r="L1088" i="4"/>
  <c r="K1088" i="4"/>
  <c r="I1088" i="4"/>
  <c r="H1088" i="4"/>
  <c r="J1088" i="4" s="1"/>
  <c r="G1088" i="4"/>
  <c r="F1088" i="4"/>
  <c r="E1088" i="4"/>
  <c r="D1088" i="4"/>
  <c r="T1088" i="4" s="1"/>
  <c r="C1088" i="4"/>
  <c r="B1088" i="4"/>
  <c r="A1088" i="4"/>
  <c r="R1087" i="4"/>
  <c r="Q1087" i="4"/>
  <c r="S1087" i="4" s="1"/>
  <c r="P1087" i="4"/>
  <c r="O1087" i="4"/>
  <c r="N1087" i="4"/>
  <c r="L1087" i="4"/>
  <c r="M1087" i="4" s="1"/>
  <c r="K1087" i="4"/>
  <c r="I1087" i="4"/>
  <c r="H1087" i="4"/>
  <c r="J1087" i="4" s="1"/>
  <c r="F1087" i="4"/>
  <c r="E1087" i="4"/>
  <c r="C1087" i="4"/>
  <c r="B1087" i="4"/>
  <c r="D1087" i="4" s="1"/>
  <c r="A1087" i="4"/>
  <c r="S1086" i="4"/>
  <c r="R1086" i="4"/>
  <c r="Q1086" i="4"/>
  <c r="O1086" i="4"/>
  <c r="N1086" i="4"/>
  <c r="P1086" i="4" s="1"/>
  <c r="M1086" i="4"/>
  <c r="L1086" i="4"/>
  <c r="K1086" i="4"/>
  <c r="J1086" i="4"/>
  <c r="I1086" i="4"/>
  <c r="H1086" i="4"/>
  <c r="F1086" i="4"/>
  <c r="E1086" i="4"/>
  <c r="G1086" i="4" s="1"/>
  <c r="C1086" i="4"/>
  <c r="B1086" i="4"/>
  <c r="D1086" i="4" s="1"/>
  <c r="A1086" i="4"/>
  <c r="R1085" i="4"/>
  <c r="S1085" i="4" s="1"/>
  <c r="Q1085" i="4"/>
  <c r="P1085" i="4"/>
  <c r="O1085" i="4"/>
  <c r="N1085" i="4"/>
  <c r="L1085" i="4"/>
  <c r="K1085" i="4"/>
  <c r="I1085" i="4"/>
  <c r="H1085" i="4"/>
  <c r="J1085" i="4" s="1"/>
  <c r="G1085" i="4"/>
  <c r="F1085" i="4"/>
  <c r="E1085" i="4"/>
  <c r="C1085" i="4"/>
  <c r="D1085" i="4" s="1"/>
  <c r="B1085" i="4"/>
  <c r="A1085" i="4"/>
  <c r="R1084" i="4"/>
  <c r="Q1084" i="4"/>
  <c r="S1084" i="4" s="1"/>
  <c r="P1084" i="4"/>
  <c r="O1084" i="4"/>
  <c r="N1084" i="4"/>
  <c r="M1084" i="4"/>
  <c r="L1084" i="4"/>
  <c r="K1084" i="4"/>
  <c r="I1084" i="4"/>
  <c r="H1084" i="4"/>
  <c r="J1084" i="4" s="1"/>
  <c r="G1084" i="4"/>
  <c r="F1084" i="4"/>
  <c r="E1084" i="4"/>
  <c r="D1084" i="4"/>
  <c r="T1084" i="4" s="1"/>
  <c r="C1084" i="4"/>
  <c r="B1084" i="4"/>
  <c r="A1084" i="4"/>
  <c r="R1083" i="4"/>
  <c r="Q1083" i="4"/>
  <c r="S1083" i="4" s="1"/>
  <c r="P1083" i="4"/>
  <c r="O1083" i="4"/>
  <c r="N1083" i="4"/>
  <c r="L1083" i="4"/>
  <c r="M1083" i="4" s="1"/>
  <c r="K1083" i="4"/>
  <c r="I1083" i="4"/>
  <c r="H1083" i="4"/>
  <c r="J1083" i="4" s="1"/>
  <c r="F1083" i="4"/>
  <c r="E1083" i="4"/>
  <c r="C1083" i="4"/>
  <c r="B1083" i="4"/>
  <c r="D1083" i="4" s="1"/>
  <c r="A1083" i="4"/>
  <c r="S1082" i="4"/>
  <c r="R1082" i="4"/>
  <c r="Q1082" i="4"/>
  <c r="O1082" i="4"/>
  <c r="N1082" i="4"/>
  <c r="P1082" i="4" s="1"/>
  <c r="M1082" i="4"/>
  <c r="L1082" i="4"/>
  <c r="K1082" i="4"/>
  <c r="J1082" i="4"/>
  <c r="I1082" i="4"/>
  <c r="H1082" i="4"/>
  <c r="F1082" i="4"/>
  <c r="E1082" i="4"/>
  <c r="G1082" i="4" s="1"/>
  <c r="C1082" i="4"/>
  <c r="B1082" i="4"/>
  <c r="D1082" i="4" s="1"/>
  <c r="A1082" i="4"/>
  <c r="R1081" i="4"/>
  <c r="S1081" i="4" s="1"/>
  <c r="Q1081" i="4"/>
  <c r="P1081" i="4"/>
  <c r="O1081" i="4"/>
  <c r="N1081" i="4"/>
  <c r="L1081" i="4"/>
  <c r="K1081" i="4"/>
  <c r="I1081" i="4"/>
  <c r="H1081" i="4"/>
  <c r="J1081" i="4" s="1"/>
  <c r="G1081" i="4"/>
  <c r="F1081" i="4"/>
  <c r="E1081" i="4"/>
  <c r="C1081" i="4"/>
  <c r="D1081" i="4" s="1"/>
  <c r="B1081" i="4"/>
  <c r="A1081" i="4"/>
  <c r="R1080" i="4"/>
  <c r="Q1080" i="4"/>
  <c r="S1080" i="4" s="1"/>
  <c r="P1080" i="4"/>
  <c r="O1080" i="4"/>
  <c r="N1080" i="4"/>
  <c r="M1080" i="4"/>
  <c r="L1080" i="4"/>
  <c r="K1080" i="4"/>
  <c r="I1080" i="4"/>
  <c r="H1080" i="4"/>
  <c r="J1080" i="4" s="1"/>
  <c r="G1080" i="4"/>
  <c r="F1080" i="4"/>
  <c r="E1080" i="4"/>
  <c r="D1080" i="4"/>
  <c r="T1080" i="4" s="1"/>
  <c r="C1080" i="4"/>
  <c r="B1080" i="4"/>
  <c r="A1080" i="4"/>
  <c r="R1079" i="4"/>
  <c r="Q1079" i="4"/>
  <c r="S1079" i="4" s="1"/>
  <c r="P1079" i="4"/>
  <c r="O1079" i="4"/>
  <c r="N1079" i="4"/>
  <c r="L1079" i="4"/>
  <c r="M1079" i="4" s="1"/>
  <c r="K1079" i="4"/>
  <c r="I1079" i="4"/>
  <c r="H1079" i="4"/>
  <c r="J1079" i="4" s="1"/>
  <c r="F1079" i="4"/>
  <c r="E1079" i="4"/>
  <c r="C1079" i="4"/>
  <c r="B1079" i="4"/>
  <c r="D1079" i="4" s="1"/>
  <c r="A1079" i="4"/>
  <c r="S1078" i="4"/>
  <c r="R1078" i="4"/>
  <c r="Q1078" i="4"/>
  <c r="O1078" i="4"/>
  <c r="N1078" i="4"/>
  <c r="P1078" i="4" s="1"/>
  <c r="M1078" i="4"/>
  <c r="L1078" i="4"/>
  <c r="K1078" i="4"/>
  <c r="J1078" i="4"/>
  <c r="I1078" i="4"/>
  <c r="H1078" i="4"/>
  <c r="F1078" i="4"/>
  <c r="E1078" i="4"/>
  <c r="G1078" i="4" s="1"/>
  <c r="C1078" i="4"/>
  <c r="B1078" i="4"/>
  <c r="D1078" i="4" s="1"/>
  <c r="A1078" i="4"/>
  <c r="R1077" i="4"/>
  <c r="S1077" i="4" s="1"/>
  <c r="Q1077" i="4"/>
  <c r="P1077" i="4"/>
  <c r="O1077" i="4"/>
  <c r="N1077" i="4"/>
  <c r="L1077" i="4"/>
  <c r="K1077" i="4"/>
  <c r="I1077" i="4"/>
  <c r="H1077" i="4"/>
  <c r="J1077" i="4" s="1"/>
  <c r="G1077" i="4"/>
  <c r="F1077" i="4"/>
  <c r="E1077" i="4"/>
  <c r="C1077" i="4"/>
  <c r="D1077" i="4" s="1"/>
  <c r="B1077" i="4"/>
  <c r="A1077" i="4"/>
  <c r="R1076" i="4"/>
  <c r="Q1076" i="4"/>
  <c r="S1076" i="4" s="1"/>
  <c r="P1076" i="4"/>
  <c r="O1076" i="4"/>
  <c r="N1076" i="4"/>
  <c r="M1076" i="4"/>
  <c r="L1076" i="4"/>
  <c r="K1076" i="4"/>
  <c r="I1076" i="4"/>
  <c r="H1076" i="4"/>
  <c r="J1076" i="4" s="1"/>
  <c r="G1076" i="4"/>
  <c r="F1076" i="4"/>
  <c r="E1076" i="4"/>
  <c r="D1076" i="4"/>
  <c r="T1076" i="4" s="1"/>
  <c r="C1076" i="4"/>
  <c r="B1076" i="4"/>
  <c r="A1076" i="4"/>
  <c r="R1075" i="4"/>
  <c r="Q1075" i="4"/>
  <c r="S1075" i="4" s="1"/>
  <c r="P1075" i="4"/>
  <c r="O1075" i="4"/>
  <c r="N1075" i="4"/>
  <c r="L1075" i="4"/>
  <c r="M1075" i="4" s="1"/>
  <c r="K1075" i="4"/>
  <c r="I1075" i="4"/>
  <c r="H1075" i="4"/>
  <c r="J1075" i="4" s="1"/>
  <c r="F1075" i="4"/>
  <c r="E1075" i="4"/>
  <c r="C1075" i="4"/>
  <c r="B1075" i="4"/>
  <c r="D1075" i="4" s="1"/>
  <c r="A1075" i="4"/>
  <c r="S1074" i="4"/>
  <c r="R1074" i="4"/>
  <c r="Q1074" i="4"/>
  <c r="O1074" i="4"/>
  <c r="N1074" i="4"/>
  <c r="P1074" i="4" s="1"/>
  <c r="M1074" i="4"/>
  <c r="L1074" i="4"/>
  <c r="K1074" i="4"/>
  <c r="J1074" i="4"/>
  <c r="I1074" i="4"/>
  <c r="H1074" i="4"/>
  <c r="F1074" i="4"/>
  <c r="E1074" i="4"/>
  <c r="G1074" i="4" s="1"/>
  <c r="C1074" i="4"/>
  <c r="B1074" i="4"/>
  <c r="D1074" i="4" s="1"/>
  <c r="A1074" i="4"/>
  <c r="R1073" i="4"/>
  <c r="S1073" i="4" s="1"/>
  <c r="Q1073" i="4"/>
  <c r="P1073" i="4"/>
  <c r="O1073" i="4"/>
  <c r="N1073" i="4"/>
  <c r="L1073" i="4"/>
  <c r="K1073" i="4"/>
  <c r="I1073" i="4"/>
  <c r="H1073" i="4"/>
  <c r="J1073" i="4" s="1"/>
  <c r="G1073" i="4"/>
  <c r="F1073" i="4"/>
  <c r="E1073" i="4"/>
  <c r="C1073" i="4"/>
  <c r="D1073" i="4" s="1"/>
  <c r="B1073" i="4"/>
  <c r="A1073" i="4"/>
  <c r="R1072" i="4"/>
  <c r="Q1072" i="4"/>
  <c r="S1072" i="4" s="1"/>
  <c r="P1072" i="4"/>
  <c r="O1072" i="4"/>
  <c r="N1072" i="4"/>
  <c r="M1072" i="4"/>
  <c r="L1072" i="4"/>
  <c r="K1072" i="4"/>
  <c r="I1072" i="4"/>
  <c r="H1072" i="4"/>
  <c r="J1072" i="4" s="1"/>
  <c r="F1072" i="4"/>
  <c r="E1072" i="4"/>
  <c r="G1072" i="4" s="1"/>
  <c r="D1072" i="4"/>
  <c r="C1072" i="4"/>
  <c r="B1072" i="4"/>
  <c r="A1072" i="4"/>
  <c r="R1071" i="4"/>
  <c r="Q1071" i="4"/>
  <c r="O1071" i="4"/>
  <c r="N1071" i="4"/>
  <c r="P1071" i="4" s="1"/>
  <c r="M1071" i="4"/>
  <c r="L1071" i="4"/>
  <c r="K1071" i="4"/>
  <c r="I1071" i="4"/>
  <c r="J1071" i="4" s="1"/>
  <c r="H1071" i="4"/>
  <c r="F1071" i="4"/>
  <c r="E1071" i="4"/>
  <c r="C1071" i="4"/>
  <c r="B1071" i="4"/>
  <c r="D1071" i="4" s="1"/>
  <c r="A1071" i="4"/>
  <c r="R1070" i="4"/>
  <c r="S1070" i="4" s="1"/>
  <c r="Q1070" i="4"/>
  <c r="O1070" i="4"/>
  <c r="N1070" i="4"/>
  <c r="L1070" i="4"/>
  <c r="K1070" i="4"/>
  <c r="M1070" i="4" s="1"/>
  <c r="J1070" i="4"/>
  <c r="I1070" i="4"/>
  <c r="H1070" i="4"/>
  <c r="F1070" i="4"/>
  <c r="G1070" i="4" s="1"/>
  <c r="E1070" i="4"/>
  <c r="C1070" i="4"/>
  <c r="B1070" i="4"/>
  <c r="A1070" i="4"/>
  <c r="S1069" i="4"/>
  <c r="R1069" i="4"/>
  <c r="Q1069" i="4"/>
  <c r="O1069" i="4"/>
  <c r="P1069" i="4" s="1"/>
  <c r="N1069" i="4"/>
  <c r="L1069" i="4"/>
  <c r="K1069" i="4"/>
  <c r="I1069" i="4"/>
  <c r="H1069" i="4"/>
  <c r="J1069" i="4" s="1"/>
  <c r="G1069" i="4"/>
  <c r="F1069" i="4"/>
  <c r="E1069" i="4"/>
  <c r="C1069" i="4"/>
  <c r="D1069" i="4" s="1"/>
  <c r="B1069" i="4"/>
  <c r="A1069" i="4"/>
  <c r="R1068" i="4"/>
  <c r="Q1068" i="4"/>
  <c r="S1068" i="4" s="1"/>
  <c r="P1068" i="4"/>
  <c r="O1068" i="4"/>
  <c r="N1068" i="4"/>
  <c r="M1068" i="4"/>
  <c r="L1068" i="4"/>
  <c r="K1068" i="4"/>
  <c r="I1068" i="4"/>
  <c r="H1068" i="4"/>
  <c r="J1068" i="4" s="1"/>
  <c r="F1068" i="4"/>
  <c r="E1068" i="4"/>
  <c r="G1068" i="4" s="1"/>
  <c r="D1068" i="4"/>
  <c r="C1068" i="4"/>
  <c r="B1068" i="4"/>
  <c r="A1068" i="4"/>
  <c r="R1067" i="4"/>
  <c r="Q1067" i="4"/>
  <c r="O1067" i="4"/>
  <c r="N1067" i="4"/>
  <c r="P1067" i="4" s="1"/>
  <c r="M1067" i="4"/>
  <c r="L1067" i="4"/>
  <c r="K1067" i="4"/>
  <c r="I1067" i="4"/>
  <c r="J1067" i="4" s="1"/>
  <c r="H1067" i="4"/>
  <c r="F1067" i="4"/>
  <c r="E1067" i="4"/>
  <c r="C1067" i="4"/>
  <c r="B1067" i="4"/>
  <c r="D1067" i="4" s="1"/>
  <c r="A1067" i="4"/>
  <c r="R1066" i="4"/>
  <c r="S1066" i="4" s="1"/>
  <c r="Q1066" i="4"/>
  <c r="O1066" i="4"/>
  <c r="N1066" i="4"/>
  <c r="L1066" i="4"/>
  <c r="K1066" i="4"/>
  <c r="M1066" i="4" s="1"/>
  <c r="J1066" i="4"/>
  <c r="I1066" i="4"/>
  <c r="H1066" i="4"/>
  <c r="F1066" i="4"/>
  <c r="G1066" i="4" s="1"/>
  <c r="E1066" i="4"/>
  <c r="C1066" i="4"/>
  <c r="B1066" i="4"/>
  <c r="A1066" i="4"/>
  <c r="S1065" i="4"/>
  <c r="R1065" i="4"/>
  <c r="Q1065" i="4"/>
  <c r="O1065" i="4"/>
  <c r="P1065" i="4" s="1"/>
  <c r="N1065" i="4"/>
  <c r="L1065" i="4"/>
  <c r="K1065" i="4"/>
  <c r="I1065" i="4"/>
  <c r="H1065" i="4"/>
  <c r="J1065" i="4" s="1"/>
  <c r="G1065" i="4"/>
  <c r="F1065" i="4"/>
  <c r="E1065" i="4"/>
  <c r="C1065" i="4"/>
  <c r="D1065" i="4" s="1"/>
  <c r="B1065" i="4"/>
  <c r="A1065" i="4"/>
  <c r="R1064" i="4"/>
  <c r="Q1064" i="4"/>
  <c r="S1064" i="4" s="1"/>
  <c r="P1064" i="4"/>
  <c r="O1064" i="4"/>
  <c r="N1064" i="4"/>
  <c r="M1064" i="4"/>
  <c r="L1064" i="4"/>
  <c r="K1064" i="4"/>
  <c r="I1064" i="4"/>
  <c r="H1064" i="4"/>
  <c r="J1064" i="4" s="1"/>
  <c r="F1064" i="4"/>
  <c r="E1064" i="4"/>
  <c r="G1064" i="4" s="1"/>
  <c r="T1064" i="4" s="1"/>
  <c r="D1064" i="4"/>
  <c r="C1064" i="4"/>
  <c r="B1064" i="4"/>
  <c r="A1064" i="4"/>
  <c r="R1063" i="4"/>
  <c r="Q1063" i="4"/>
  <c r="O1063" i="4"/>
  <c r="N1063" i="4"/>
  <c r="P1063" i="4" s="1"/>
  <c r="M1063" i="4"/>
  <c r="L1063" i="4"/>
  <c r="K1063" i="4"/>
  <c r="I1063" i="4"/>
  <c r="J1063" i="4" s="1"/>
  <c r="H1063" i="4"/>
  <c r="F1063" i="4"/>
  <c r="E1063" i="4"/>
  <c r="C1063" i="4"/>
  <c r="B1063" i="4"/>
  <c r="D1063" i="4" s="1"/>
  <c r="A1063" i="4"/>
  <c r="R1062" i="4"/>
  <c r="S1062" i="4" s="1"/>
  <c r="Q1062" i="4"/>
  <c r="O1062" i="4"/>
  <c r="N1062" i="4"/>
  <c r="L1062" i="4"/>
  <c r="K1062" i="4"/>
  <c r="M1062" i="4" s="1"/>
  <c r="J1062" i="4"/>
  <c r="I1062" i="4"/>
  <c r="H1062" i="4"/>
  <c r="F1062" i="4"/>
  <c r="G1062" i="4" s="1"/>
  <c r="E1062" i="4"/>
  <c r="C1062" i="4"/>
  <c r="B1062" i="4"/>
  <c r="A1062" i="4"/>
  <c r="S1061" i="4"/>
  <c r="R1061" i="4"/>
  <c r="Q1061" i="4"/>
  <c r="O1061" i="4"/>
  <c r="P1061" i="4" s="1"/>
  <c r="N1061" i="4"/>
  <c r="L1061" i="4"/>
  <c r="K1061" i="4"/>
  <c r="I1061" i="4"/>
  <c r="H1061" i="4"/>
  <c r="J1061" i="4" s="1"/>
  <c r="G1061" i="4"/>
  <c r="F1061" i="4"/>
  <c r="E1061" i="4"/>
  <c r="C1061" i="4"/>
  <c r="D1061" i="4" s="1"/>
  <c r="B1061" i="4"/>
  <c r="A1061" i="4"/>
  <c r="R1060" i="4"/>
  <c r="Q1060" i="4"/>
  <c r="S1060" i="4" s="1"/>
  <c r="P1060" i="4"/>
  <c r="O1060" i="4"/>
  <c r="N1060" i="4"/>
  <c r="M1060" i="4"/>
  <c r="L1060" i="4"/>
  <c r="K1060" i="4"/>
  <c r="I1060" i="4"/>
  <c r="H1060" i="4"/>
  <c r="J1060" i="4" s="1"/>
  <c r="F1060" i="4"/>
  <c r="E1060" i="4"/>
  <c r="G1060" i="4" s="1"/>
  <c r="T1060" i="4" s="1"/>
  <c r="D1060" i="4"/>
  <c r="C1060" i="4"/>
  <c r="B1060" i="4"/>
  <c r="A1060" i="4"/>
  <c r="R1059" i="4"/>
  <c r="Q1059" i="4"/>
  <c r="O1059" i="4"/>
  <c r="N1059" i="4"/>
  <c r="P1059" i="4" s="1"/>
  <c r="M1059" i="4"/>
  <c r="L1059" i="4"/>
  <c r="K1059" i="4"/>
  <c r="I1059" i="4"/>
  <c r="J1059" i="4" s="1"/>
  <c r="H1059" i="4"/>
  <c r="F1059" i="4"/>
  <c r="E1059" i="4"/>
  <c r="C1059" i="4"/>
  <c r="B1059" i="4"/>
  <c r="D1059" i="4" s="1"/>
  <c r="A1059" i="4"/>
  <c r="R1058" i="4"/>
  <c r="S1058" i="4" s="1"/>
  <c r="Q1058" i="4"/>
  <c r="O1058" i="4"/>
  <c r="N1058" i="4"/>
  <c r="L1058" i="4"/>
  <c r="K1058" i="4"/>
  <c r="M1058" i="4" s="1"/>
  <c r="J1058" i="4"/>
  <c r="I1058" i="4"/>
  <c r="H1058" i="4"/>
  <c r="F1058" i="4"/>
  <c r="G1058" i="4" s="1"/>
  <c r="E1058" i="4"/>
  <c r="C1058" i="4"/>
  <c r="B1058" i="4"/>
  <c r="A1058" i="4"/>
  <c r="S1057" i="4"/>
  <c r="R1057" i="4"/>
  <c r="Q1057" i="4"/>
  <c r="O1057" i="4"/>
  <c r="P1057" i="4" s="1"/>
  <c r="N1057" i="4"/>
  <c r="L1057" i="4"/>
  <c r="K1057" i="4"/>
  <c r="I1057" i="4"/>
  <c r="H1057" i="4"/>
  <c r="J1057" i="4" s="1"/>
  <c r="G1057" i="4"/>
  <c r="F1057" i="4"/>
  <c r="E1057" i="4"/>
  <c r="C1057" i="4"/>
  <c r="D1057" i="4" s="1"/>
  <c r="B1057" i="4"/>
  <c r="A1057" i="4"/>
  <c r="R1056" i="4"/>
  <c r="Q1056" i="4"/>
  <c r="S1056" i="4" s="1"/>
  <c r="P1056" i="4"/>
  <c r="O1056" i="4"/>
  <c r="N1056" i="4"/>
  <c r="M1056" i="4"/>
  <c r="L1056" i="4"/>
  <c r="K1056" i="4"/>
  <c r="I1056" i="4"/>
  <c r="H1056" i="4"/>
  <c r="J1056" i="4" s="1"/>
  <c r="F1056" i="4"/>
  <c r="E1056" i="4"/>
  <c r="G1056" i="4" s="1"/>
  <c r="D1056" i="4"/>
  <c r="C1056" i="4"/>
  <c r="B1056" i="4"/>
  <c r="A1056" i="4"/>
  <c r="R1055" i="4"/>
  <c r="Q1055" i="4"/>
  <c r="O1055" i="4"/>
  <c r="N1055" i="4"/>
  <c r="P1055" i="4" s="1"/>
  <c r="M1055" i="4"/>
  <c r="L1055" i="4"/>
  <c r="K1055" i="4"/>
  <c r="I1055" i="4"/>
  <c r="J1055" i="4" s="1"/>
  <c r="H1055" i="4"/>
  <c r="F1055" i="4"/>
  <c r="E1055" i="4"/>
  <c r="C1055" i="4"/>
  <c r="B1055" i="4"/>
  <c r="D1055" i="4" s="1"/>
  <c r="A1055" i="4"/>
  <c r="R1054" i="4"/>
  <c r="S1054" i="4" s="1"/>
  <c r="Q1054" i="4"/>
  <c r="O1054" i="4"/>
  <c r="N1054" i="4"/>
  <c r="L1054" i="4"/>
  <c r="K1054" i="4"/>
  <c r="M1054" i="4" s="1"/>
  <c r="J1054" i="4"/>
  <c r="I1054" i="4"/>
  <c r="H1054" i="4"/>
  <c r="F1054" i="4"/>
  <c r="G1054" i="4" s="1"/>
  <c r="E1054" i="4"/>
  <c r="C1054" i="4"/>
  <c r="B1054" i="4"/>
  <c r="A1054" i="4"/>
  <c r="S1053" i="4"/>
  <c r="R1053" i="4"/>
  <c r="Q1053" i="4"/>
  <c r="O1053" i="4"/>
  <c r="P1053" i="4" s="1"/>
  <c r="N1053" i="4"/>
  <c r="L1053" i="4"/>
  <c r="K1053" i="4"/>
  <c r="I1053" i="4"/>
  <c r="H1053" i="4"/>
  <c r="J1053" i="4" s="1"/>
  <c r="G1053" i="4"/>
  <c r="F1053" i="4"/>
  <c r="E1053" i="4"/>
  <c r="C1053" i="4"/>
  <c r="D1053" i="4" s="1"/>
  <c r="B1053" i="4"/>
  <c r="A1053" i="4"/>
  <c r="R1052" i="4"/>
  <c r="Q1052" i="4"/>
  <c r="S1052" i="4" s="1"/>
  <c r="P1052" i="4"/>
  <c r="O1052" i="4"/>
  <c r="N1052" i="4"/>
  <c r="M1052" i="4"/>
  <c r="L1052" i="4"/>
  <c r="K1052" i="4"/>
  <c r="I1052" i="4"/>
  <c r="H1052" i="4"/>
  <c r="J1052" i="4" s="1"/>
  <c r="F1052" i="4"/>
  <c r="E1052" i="4"/>
  <c r="G1052" i="4" s="1"/>
  <c r="D1052" i="4"/>
  <c r="C1052" i="4"/>
  <c r="B1052" i="4"/>
  <c r="A1052" i="4"/>
  <c r="R1051" i="4"/>
  <c r="Q1051" i="4"/>
  <c r="O1051" i="4"/>
  <c r="N1051" i="4"/>
  <c r="P1051" i="4" s="1"/>
  <c r="M1051" i="4"/>
  <c r="L1051" i="4"/>
  <c r="K1051" i="4"/>
  <c r="I1051" i="4"/>
  <c r="J1051" i="4" s="1"/>
  <c r="H1051" i="4"/>
  <c r="F1051" i="4"/>
  <c r="E1051" i="4"/>
  <c r="C1051" i="4"/>
  <c r="B1051" i="4"/>
  <c r="D1051" i="4" s="1"/>
  <c r="A1051" i="4"/>
  <c r="R1050" i="4"/>
  <c r="S1050" i="4" s="1"/>
  <c r="Q1050" i="4"/>
  <c r="O1050" i="4"/>
  <c r="N1050" i="4"/>
  <c r="L1050" i="4"/>
  <c r="K1050" i="4"/>
  <c r="M1050" i="4" s="1"/>
  <c r="J1050" i="4"/>
  <c r="I1050" i="4"/>
  <c r="H1050" i="4"/>
  <c r="F1050" i="4"/>
  <c r="G1050" i="4" s="1"/>
  <c r="E1050" i="4"/>
  <c r="C1050" i="4"/>
  <c r="B1050" i="4"/>
  <c r="A1050" i="4"/>
  <c r="S1049" i="4"/>
  <c r="R1049" i="4"/>
  <c r="Q1049" i="4"/>
  <c r="O1049" i="4"/>
  <c r="P1049" i="4" s="1"/>
  <c r="N1049" i="4"/>
  <c r="L1049" i="4"/>
  <c r="K1049" i="4"/>
  <c r="I1049" i="4"/>
  <c r="H1049" i="4"/>
  <c r="J1049" i="4" s="1"/>
  <c r="G1049" i="4"/>
  <c r="F1049" i="4"/>
  <c r="E1049" i="4"/>
  <c r="C1049" i="4"/>
  <c r="D1049" i="4" s="1"/>
  <c r="B1049" i="4"/>
  <c r="A1049" i="4"/>
  <c r="R1048" i="4"/>
  <c r="Q1048" i="4"/>
  <c r="S1048" i="4" s="1"/>
  <c r="P1048" i="4"/>
  <c r="O1048" i="4"/>
  <c r="N1048" i="4"/>
  <c r="M1048" i="4"/>
  <c r="L1048" i="4"/>
  <c r="K1048" i="4"/>
  <c r="I1048" i="4"/>
  <c r="H1048" i="4"/>
  <c r="J1048" i="4" s="1"/>
  <c r="F1048" i="4"/>
  <c r="E1048" i="4"/>
  <c r="G1048" i="4" s="1"/>
  <c r="T1048" i="4" s="1"/>
  <c r="D1048" i="4"/>
  <c r="C1048" i="4"/>
  <c r="B1048" i="4"/>
  <c r="A1048" i="4"/>
  <c r="R1047" i="4"/>
  <c r="Q1047" i="4"/>
  <c r="O1047" i="4"/>
  <c r="N1047" i="4"/>
  <c r="P1047" i="4" s="1"/>
  <c r="M1047" i="4"/>
  <c r="L1047" i="4"/>
  <c r="K1047" i="4"/>
  <c r="I1047" i="4"/>
  <c r="J1047" i="4" s="1"/>
  <c r="H1047" i="4"/>
  <c r="F1047" i="4"/>
  <c r="E1047" i="4"/>
  <c r="C1047" i="4"/>
  <c r="B1047" i="4"/>
  <c r="D1047" i="4" s="1"/>
  <c r="A1047" i="4"/>
  <c r="R1046" i="4"/>
  <c r="S1046" i="4" s="1"/>
  <c r="Q1046" i="4"/>
  <c r="O1046" i="4"/>
  <c r="N1046" i="4"/>
  <c r="L1046" i="4"/>
  <c r="K1046" i="4"/>
  <c r="M1046" i="4" s="1"/>
  <c r="J1046" i="4"/>
  <c r="I1046" i="4"/>
  <c r="H1046" i="4"/>
  <c r="F1046" i="4"/>
  <c r="G1046" i="4" s="1"/>
  <c r="E1046" i="4"/>
  <c r="C1046" i="4"/>
  <c r="B1046" i="4"/>
  <c r="A1046" i="4"/>
  <c r="S1045" i="4"/>
  <c r="R1045" i="4"/>
  <c r="Q1045" i="4"/>
  <c r="O1045" i="4"/>
  <c r="P1045" i="4" s="1"/>
  <c r="N1045" i="4"/>
  <c r="L1045" i="4"/>
  <c r="K1045" i="4"/>
  <c r="I1045" i="4"/>
  <c r="H1045" i="4"/>
  <c r="J1045" i="4" s="1"/>
  <c r="G1045" i="4"/>
  <c r="F1045" i="4"/>
  <c r="E1045" i="4"/>
  <c r="C1045" i="4"/>
  <c r="D1045" i="4" s="1"/>
  <c r="B1045" i="4"/>
  <c r="A1045" i="4"/>
  <c r="R1044" i="4"/>
  <c r="Q1044" i="4"/>
  <c r="S1044" i="4" s="1"/>
  <c r="P1044" i="4"/>
  <c r="O1044" i="4"/>
  <c r="N1044" i="4"/>
  <c r="M1044" i="4"/>
  <c r="L1044" i="4"/>
  <c r="K1044" i="4"/>
  <c r="I1044" i="4"/>
  <c r="H1044" i="4"/>
  <c r="J1044" i="4" s="1"/>
  <c r="F1044" i="4"/>
  <c r="E1044" i="4"/>
  <c r="G1044" i="4" s="1"/>
  <c r="T1044" i="4" s="1"/>
  <c r="D1044" i="4"/>
  <c r="C1044" i="4"/>
  <c r="B1044" i="4"/>
  <c r="A1044" i="4"/>
  <c r="R1043" i="4"/>
  <c r="Q1043" i="4"/>
  <c r="O1043" i="4"/>
  <c r="N1043" i="4"/>
  <c r="P1043" i="4" s="1"/>
  <c r="M1043" i="4"/>
  <c r="L1043" i="4"/>
  <c r="K1043" i="4"/>
  <c r="I1043" i="4"/>
  <c r="J1043" i="4" s="1"/>
  <c r="H1043" i="4"/>
  <c r="F1043" i="4"/>
  <c r="E1043" i="4"/>
  <c r="C1043" i="4"/>
  <c r="B1043" i="4"/>
  <c r="D1043" i="4" s="1"/>
  <c r="A1043" i="4"/>
  <c r="R1042" i="4"/>
  <c r="S1042" i="4" s="1"/>
  <c r="Q1042" i="4"/>
  <c r="O1042" i="4"/>
  <c r="N1042" i="4"/>
  <c r="L1042" i="4"/>
  <c r="K1042" i="4"/>
  <c r="M1042" i="4" s="1"/>
  <c r="J1042" i="4"/>
  <c r="I1042" i="4"/>
  <c r="H1042" i="4"/>
  <c r="F1042" i="4"/>
  <c r="G1042" i="4" s="1"/>
  <c r="E1042" i="4"/>
  <c r="C1042" i="4"/>
  <c r="B1042" i="4"/>
  <c r="A1042" i="4"/>
  <c r="S1041" i="4"/>
  <c r="R1041" i="4"/>
  <c r="Q1041" i="4"/>
  <c r="O1041" i="4"/>
  <c r="P1041" i="4" s="1"/>
  <c r="N1041" i="4"/>
  <c r="L1041" i="4"/>
  <c r="K1041" i="4"/>
  <c r="I1041" i="4"/>
  <c r="H1041" i="4"/>
  <c r="J1041" i="4" s="1"/>
  <c r="G1041" i="4"/>
  <c r="F1041" i="4"/>
  <c r="E1041" i="4"/>
  <c r="C1041" i="4"/>
  <c r="D1041" i="4" s="1"/>
  <c r="B1041" i="4"/>
  <c r="A1041" i="4"/>
  <c r="R1040" i="4"/>
  <c r="Q1040" i="4"/>
  <c r="S1040" i="4" s="1"/>
  <c r="P1040" i="4"/>
  <c r="O1040" i="4"/>
  <c r="N1040" i="4"/>
  <c r="M1040" i="4"/>
  <c r="L1040" i="4"/>
  <c r="K1040" i="4"/>
  <c r="I1040" i="4"/>
  <c r="H1040" i="4"/>
  <c r="J1040" i="4" s="1"/>
  <c r="F1040" i="4"/>
  <c r="E1040" i="4"/>
  <c r="G1040" i="4" s="1"/>
  <c r="D1040" i="4"/>
  <c r="C1040" i="4"/>
  <c r="B1040" i="4"/>
  <c r="A1040" i="4"/>
  <c r="R1039" i="4"/>
  <c r="Q1039" i="4"/>
  <c r="O1039" i="4"/>
  <c r="N1039" i="4"/>
  <c r="P1039" i="4" s="1"/>
  <c r="M1039" i="4"/>
  <c r="L1039" i="4"/>
  <c r="K1039" i="4"/>
  <c r="I1039" i="4"/>
  <c r="J1039" i="4" s="1"/>
  <c r="H1039" i="4"/>
  <c r="F1039" i="4"/>
  <c r="E1039" i="4"/>
  <c r="C1039" i="4"/>
  <c r="B1039" i="4"/>
  <c r="D1039" i="4" s="1"/>
  <c r="A1039" i="4"/>
  <c r="R1038" i="4"/>
  <c r="S1038" i="4" s="1"/>
  <c r="Q1038" i="4"/>
  <c r="O1038" i="4"/>
  <c r="N1038" i="4"/>
  <c r="L1038" i="4"/>
  <c r="K1038" i="4"/>
  <c r="M1038" i="4" s="1"/>
  <c r="J1038" i="4"/>
  <c r="I1038" i="4"/>
  <c r="H1038" i="4"/>
  <c r="F1038" i="4"/>
  <c r="G1038" i="4" s="1"/>
  <c r="E1038" i="4"/>
  <c r="C1038" i="4"/>
  <c r="B1038" i="4"/>
  <c r="A1038" i="4"/>
  <c r="S1037" i="4"/>
  <c r="R1037" i="4"/>
  <c r="Q1037" i="4"/>
  <c r="O1037" i="4"/>
  <c r="P1037" i="4" s="1"/>
  <c r="N1037" i="4"/>
  <c r="L1037" i="4"/>
  <c r="K1037" i="4"/>
  <c r="I1037" i="4"/>
  <c r="H1037" i="4"/>
  <c r="J1037" i="4" s="1"/>
  <c r="G1037" i="4"/>
  <c r="F1037" i="4"/>
  <c r="E1037" i="4"/>
  <c r="C1037" i="4"/>
  <c r="D1037" i="4" s="1"/>
  <c r="B1037" i="4"/>
  <c r="A1037" i="4"/>
  <c r="R1036" i="4"/>
  <c r="Q1036" i="4"/>
  <c r="S1036" i="4" s="1"/>
  <c r="P1036" i="4"/>
  <c r="O1036" i="4"/>
  <c r="N1036" i="4"/>
  <c r="M1036" i="4"/>
  <c r="L1036" i="4"/>
  <c r="K1036" i="4"/>
  <c r="I1036" i="4"/>
  <c r="H1036" i="4"/>
  <c r="J1036" i="4" s="1"/>
  <c r="F1036" i="4"/>
  <c r="E1036" i="4"/>
  <c r="G1036" i="4" s="1"/>
  <c r="D1036" i="4"/>
  <c r="C1036" i="4"/>
  <c r="B1036" i="4"/>
  <c r="A1036" i="4"/>
  <c r="R1035" i="4"/>
  <c r="Q1035" i="4"/>
  <c r="O1035" i="4"/>
  <c r="N1035" i="4"/>
  <c r="P1035" i="4" s="1"/>
  <c r="M1035" i="4"/>
  <c r="L1035" i="4"/>
  <c r="K1035" i="4"/>
  <c r="I1035" i="4"/>
  <c r="J1035" i="4" s="1"/>
  <c r="H1035" i="4"/>
  <c r="F1035" i="4"/>
  <c r="E1035" i="4"/>
  <c r="C1035" i="4"/>
  <c r="B1035" i="4"/>
  <c r="D1035" i="4" s="1"/>
  <c r="A1035" i="4"/>
  <c r="R1034" i="4"/>
  <c r="S1034" i="4" s="1"/>
  <c r="Q1034" i="4"/>
  <c r="O1034" i="4"/>
  <c r="N1034" i="4"/>
  <c r="L1034" i="4"/>
  <c r="K1034" i="4"/>
  <c r="M1034" i="4" s="1"/>
  <c r="J1034" i="4"/>
  <c r="I1034" i="4"/>
  <c r="H1034" i="4"/>
  <c r="F1034" i="4"/>
  <c r="G1034" i="4" s="1"/>
  <c r="E1034" i="4"/>
  <c r="C1034" i="4"/>
  <c r="B1034" i="4"/>
  <c r="A1034" i="4"/>
  <c r="S1033" i="4"/>
  <c r="R1033" i="4"/>
  <c r="Q1033" i="4"/>
  <c r="O1033" i="4"/>
  <c r="P1033" i="4" s="1"/>
  <c r="N1033" i="4"/>
  <c r="L1033" i="4"/>
  <c r="K1033" i="4"/>
  <c r="I1033" i="4"/>
  <c r="H1033" i="4"/>
  <c r="J1033" i="4" s="1"/>
  <c r="G1033" i="4"/>
  <c r="F1033" i="4"/>
  <c r="E1033" i="4"/>
  <c r="C1033" i="4"/>
  <c r="D1033" i="4" s="1"/>
  <c r="B1033" i="4"/>
  <c r="A1033" i="4"/>
  <c r="R1032" i="4"/>
  <c r="Q1032" i="4"/>
  <c r="S1032" i="4" s="1"/>
  <c r="P1032" i="4"/>
  <c r="O1032" i="4"/>
  <c r="N1032" i="4"/>
  <c r="M1032" i="4"/>
  <c r="L1032" i="4"/>
  <c r="K1032" i="4"/>
  <c r="I1032" i="4"/>
  <c r="H1032" i="4"/>
  <c r="J1032" i="4" s="1"/>
  <c r="F1032" i="4"/>
  <c r="E1032" i="4"/>
  <c r="G1032" i="4" s="1"/>
  <c r="T1032" i="4" s="1"/>
  <c r="D1032" i="4"/>
  <c r="C1032" i="4"/>
  <c r="B1032" i="4"/>
  <c r="A1032" i="4"/>
  <c r="R1031" i="4"/>
  <c r="Q1031" i="4"/>
  <c r="O1031" i="4"/>
  <c r="N1031" i="4"/>
  <c r="P1031" i="4" s="1"/>
  <c r="M1031" i="4"/>
  <c r="L1031" i="4"/>
  <c r="K1031" i="4"/>
  <c r="I1031" i="4"/>
  <c r="J1031" i="4" s="1"/>
  <c r="H1031" i="4"/>
  <c r="F1031" i="4"/>
  <c r="E1031" i="4"/>
  <c r="C1031" i="4"/>
  <c r="B1031" i="4"/>
  <c r="D1031" i="4" s="1"/>
  <c r="A1031" i="4"/>
  <c r="R1030" i="4"/>
  <c r="S1030" i="4" s="1"/>
  <c r="Q1030" i="4"/>
  <c r="O1030" i="4"/>
  <c r="N1030" i="4"/>
  <c r="L1030" i="4"/>
  <c r="K1030" i="4"/>
  <c r="M1030" i="4" s="1"/>
  <c r="J1030" i="4"/>
  <c r="I1030" i="4"/>
  <c r="H1030" i="4"/>
  <c r="F1030" i="4"/>
  <c r="G1030" i="4" s="1"/>
  <c r="E1030" i="4"/>
  <c r="C1030" i="4"/>
  <c r="B1030" i="4"/>
  <c r="A1030" i="4"/>
  <c r="S1029" i="4"/>
  <c r="R1029" i="4"/>
  <c r="Q1029" i="4"/>
  <c r="O1029" i="4"/>
  <c r="P1029" i="4" s="1"/>
  <c r="N1029" i="4"/>
  <c r="L1029" i="4"/>
  <c r="K1029" i="4"/>
  <c r="I1029" i="4"/>
  <c r="H1029" i="4"/>
  <c r="J1029" i="4" s="1"/>
  <c r="G1029" i="4"/>
  <c r="F1029" i="4"/>
  <c r="E1029" i="4"/>
  <c r="C1029" i="4"/>
  <c r="D1029" i="4" s="1"/>
  <c r="B1029" i="4"/>
  <c r="A1029" i="4"/>
  <c r="R1028" i="4"/>
  <c r="Q1028" i="4"/>
  <c r="S1028" i="4" s="1"/>
  <c r="P1028" i="4"/>
  <c r="O1028" i="4"/>
  <c r="N1028" i="4"/>
  <c r="M1028" i="4"/>
  <c r="L1028" i="4"/>
  <c r="K1028" i="4"/>
  <c r="I1028" i="4"/>
  <c r="H1028" i="4"/>
  <c r="J1028" i="4" s="1"/>
  <c r="F1028" i="4"/>
  <c r="E1028" i="4"/>
  <c r="G1028" i="4" s="1"/>
  <c r="T1028" i="4" s="1"/>
  <c r="D1028" i="4"/>
  <c r="C1028" i="4"/>
  <c r="B1028" i="4"/>
  <c r="A1028" i="4"/>
  <c r="R1027" i="4"/>
  <c r="Q1027" i="4"/>
  <c r="O1027" i="4"/>
  <c r="N1027" i="4"/>
  <c r="P1027" i="4" s="1"/>
  <c r="M1027" i="4"/>
  <c r="L1027" i="4"/>
  <c r="K1027" i="4"/>
  <c r="I1027" i="4"/>
  <c r="J1027" i="4" s="1"/>
  <c r="H1027" i="4"/>
  <c r="F1027" i="4"/>
  <c r="E1027" i="4"/>
  <c r="C1027" i="4"/>
  <c r="B1027" i="4"/>
  <c r="D1027" i="4" s="1"/>
  <c r="A1027" i="4"/>
  <c r="R1026" i="4"/>
  <c r="S1026" i="4" s="1"/>
  <c r="Q1026" i="4"/>
  <c r="O1026" i="4"/>
  <c r="N1026" i="4"/>
  <c r="L1026" i="4"/>
  <c r="K1026" i="4"/>
  <c r="M1026" i="4" s="1"/>
  <c r="J1026" i="4"/>
  <c r="I1026" i="4"/>
  <c r="H1026" i="4"/>
  <c r="F1026" i="4"/>
  <c r="G1026" i="4" s="1"/>
  <c r="E1026" i="4"/>
  <c r="C1026" i="4"/>
  <c r="B1026" i="4"/>
  <c r="A1026" i="4"/>
  <c r="S1025" i="4"/>
  <c r="R1025" i="4"/>
  <c r="Q1025" i="4"/>
  <c r="O1025" i="4"/>
  <c r="P1025" i="4" s="1"/>
  <c r="N1025" i="4"/>
  <c r="L1025" i="4"/>
  <c r="K1025" i="4"/>
  <c r="I1025" i="4"/>
  <c r="H1025" i="4"/>
  <c r="J1025" i="4" s="1"/>
  <c r="G1025" i="4"/>
  <c r="F1025" i="4"/>
  <c r="E1025" i="4"/>
  <c r="C1025" i="4"/>
  <c r="D1025" i="4" s="1"/>
  <c r="B1025" i="4"/>
  <c r="A1025" i="4"/>
  <c r="R1024" i="4"/>
  <c r="Q1024" i="4"/>
  <c r="S1024" i="4" s="1"/>
  <c r="P1024" i="4"/>
  <c r="O1024" i="4"/>
  <c r="N1024" i="4"/>
  <c r="M1024" i="4"/>
  <c r="L1024" i="4"/>
  <c r="K1024" i="4"/>
  <c r="I1024" i="4"/>
  <c r="H1024" i="4"/>
  <c r="J1024" i="4" s="1"/>
  <c r="F1024" i="4"/>
  <c r="E1024" i="4"/>
  <c r="G1024" i="4" s="1"/>
  <c r="D1024" i="4"/>
  <c r="C1024" i="4"/>
  <c r="B1024" i="4"/>
  <c r="A1024" i="4"/>
  <c r="R1023" i="4"/>
  <c r="Q1023" i="4"/>
  <c r="O1023" i="4"/>
  <c r="N1023" i="4"/>
  <c r="P1023" i="4" s="1"/>
  <c r="M1023" i="4"/>
  <c r="L1023" i="4"/>
  <c r="K1023" i="4"/>
  <c r="I1023" i="4"/>
  <c r="J1023" i="4" s="1"/>
  <c r="H1023" i="4"/>
  <c r="F1023" i="4"/>
  <c r="E1023" i="4"/>
  <c r="C1023" i="4"/>
  <c r="B1023" i="4"/>
  <c r="D1023" i="4" s="1"/>
  <c r="A1023" i="4"/>
  <c r="R1022" i="4"/>
  <c r="S1022" i="4" s="1"/>
  <c r="Q1022" i="4"/>
  <c r="O1022" i="4"/>
  <c r="N1022" i="4"/>
  <c r="L1022" i="4"/>
  <c r="K1022" i="4"/>
  <c r="M1022" i="4" s="1"/>
  <c r="J1022" i="4"/>
  <c r="I1022" i="4"/>
  <c r="H1022" i="4"/>
  <c r="F1022" i="4"/>
  <c r="G1022" i="4" s="1"/>
  <c r="E1022" i="4"/>
  <c r="C1022" i="4"/>
  <c r="B1022" i="4"/>
  <c r="A1022" i="4"/>
  <c r="S1021" i="4"/>
  <c r="R1021" i="4"/>
  <c r="Q1021" i="4"/>
  <c r="O1021" i="4"/>
  <c r="P1021" i="4" s="1"/>
  <c r="N1021" i="4"/>
  <c r="L1021" i="4"/>
  <c r="K1021" i="4"/>
  <c r="I1021" i="4"/>
  <c r="H1021" i="4"/>
  <c r="J1021" i="4" s="1"/>
  <c r="G1021" i="4"/>
  <c r="F1021" i="4"/>
  <c r="E1021" i="4"/>
  <c r="C1021" i="4"/>
  <c r="D1021" i="4" s="1"/>
  <c r="B1021" i="4"/>
  <c r="A1021" i="4"/>
  <c r="R1020" i="4"/>
  <c r="Q1020" i="4"/>
  <c r="S1020" i="4" s="1"/>
  <c r="P1020" i="4"/>
  <c r="O1020" i="4"/>
  <c r="N1020" i="4"/>
  <c r="M1020" i="4"/>
  <c r="L1020" i="4"/>
  <c r="K1020" i="4"/>
  <c r="I1020" i="4"/>
  <c r="H1020" i="4"/>
  <c r="J1020" i="4" s="1"/>
  <c r="F1020" i="4"/>
  <c r="E1020" i="4"/>
  <c r="G1020" i="4" s="1"/>
  <c r="D1020" i="4"/>
  <c r="C1020" i="4"/>
  <c r="B1020" i="4"/>
  <c r="A1020" i="4"/>
  <c r="R1019" i="4"/>
  <c r="Q1019" i="4"/>
  <c r="O1019" i="4"/>
  <c r="N1019" i="4"/>
  <c r="P1019" i="4" s="1"/>
  <c r="M1019" i="4"/>
  <c r="L1019" i="4"/>
  <c r="K1019" i="4"/>
  <c r="I1019" i="4"/>
  <c r="J1019" i="4" s="1"/>
  <c r="H1019" i="4"/>
  <c r="F1019" i="4"/>
  <c r="E1019" i="4"/>
  <c r="C1019" i="4"/>
  <c r="B1019" i="4"/>
  <c r="D1019" i="4" s="1"/>
  <c r="A1019" i="4"/>
  <c r="R1018" i="4"/>
  <c r="S1018" i="4" s="1"/>
  <c r="Q1018" i="4"/>
  <c r="O1018" i="4"/>
  <c r="N1018" i="4"/>
  <c r="L1018" i="4"/>
  <c r="K1018" i="4"/>
  <c r="M1018" i="4" s="1"/>
  <c r="J1018" i="4"/>
  <c r="I1018" i="4"/>
  <c r="H1018" i="4"/>
  <c r="F1018" i="4"/>
  <c r="G1018" i="4" s="1"/>
  <c r="E1018" i="4"/>
  <c r="C1018" i="4"/>
  <c r="B1018" i="4"/>
  <c r="A1018" i="4"/>
  <c r="S1017" i="4"/>
  <c r="R1017" i="4"/>
  <c r="Q1017" i="4"/>
  <c r="O1017" i="4"/>
  <c r="P1017" i="4" s="1"/>
  <c r="N1017" i="4"/>
  <c r="L1017" i="4"/>
  <c r="K1017" i="4"/>
  <c r="I1017" i="4"/>
  <c r="H1017" i="4"/>
  <c r="J1017" i="4" s="1"/>
  <c r="G1017" i="4"/>
  <c r="F1017" i="4"/>
  <c r="E1017" i="4"/>
  <c r="C1017" i="4"/>
  <c r="D1017" i="4" s="1"/>
  <c r="B1017" i="4"/>
  <c r="A1017" i="4"/>
  <c r="R1016" i="4"/>
  <c r="Q1016" i="4"/>
  <c r="S1016" i="4" s="1"/>
  <c r="P1016" i="4"/>
  <c r="O1016" i="4"/>
  <c r="N1016" i="4"/>
  <c r="M1016" i="4"/>
  <c r="L1016" i="4"/>
  <c r="K1016" i="4"/>
  <c r="I1016" i="4"/>
  <c r="H1016" i="4"/>
  <c r="J1016" i="4" s="1"/>
  <c r="F1016" i="4"/>
  <c r="E1016" i="4"/>
  <c r="G1016" i="4" s="1"/>
  <c r="T1016" i="4" s="1"/>
  <c r="D1016" i="4"/>
  <c r="C1016" i="4"/>
  <c r="B1016" i="4"/>
  <c r="A1016" i="4"/>
  <c r="R1015" i="4"/>
  <c r="Q1015" i="4"/>
  <c r="O1015" i="4"/>
  <c r="N1015" i="4"/>
  <c r="P1015" i="4" s="1"/>
  <c r="M1015" i="4"/>
  <c r="L1015" i="4"/>
  <c r="K1015" i="4"/>
  <c r="I1015" i="4"/>
  <c r="J1015" i="4" s="1"/>
  <c r="H1015" i="4"/>
  <c r="F1015" i="4"/>
  <c r="E1015" i="4"/>
  <c r="C1015" i="4"/>
  <c r="B1015" i="4"/>
  <c r="D1015" i="4" s="1"/>
  <c r="A1015" i="4"/>
  <c r="R1014" i="4"/>
  <c r="S1014" i="4" s="1"/>
  <c r="Q1014" i="4"/>
  <c r="O1014" i="4"/>
  <c r="N1014" i="4"/>
  <c r="L1014" i="4"/>
  <c r="K1014" i="4"/>
  <c r="M1014" i="4" s="1"/>
  <c r="J1014" i="4"/>
  <c r="I1014" i="4"/>
  <c r="H1014" i="4"/>
  <c r="F1014" i="4"/>
  <c r="G1014" i="4" s="1"/>
  <c r="E1014" i="4"/>
  <c r="C1014" i="4"/>
  <c r="B1014" i="4"/>
  <c r="A1014" i="4"/>
  <c r="S1013" i="4"/>
  <c r="R1013" i="4"/>
  <c r="Q1013" i="4"/>
  <c r="O1013" i="4"/>
  <c r="P1013" i="4" s="1"/>
  <c r="N1013" i="4"/>
  <c r="L1013" i="4"/>
  <c r="K1013" i="4"/>
  <c r="I1013" i="4"/>
  <c r="H1013" i="4"/>
  <c r="J1013" i="4" s="1"/>
  <c r="G1013" i="4"/>
  <c r="F1013" i="4"/>
  <c r="E1013" i="4"/>
  <c r="C1013" i="4"/>
  <c r="D1013" i="4" s="1"/>
  <c r="B1013" i="4"/>
  <c r="A1013" i="4"/>
  <c r="R1012" i="4"/>
  <c r="Q1012" i="4"/>
  <c r="S1012" i="4" s="1"/>
  <c r="P1012" i="4"/>
  <c r="O1012" i="4"/>
  <c r="N1012" i="4"/>
  <c r="M1012" i="4"/>
  <c r="L1012" i="4"/>
  <c r="K1012" i="4"/>
  <c r="I1012" i="4"/>
  <c r="H1012" i="4"/>
  <c r="J1012" i="4" s="1"/>
  <c r="F1012" i="4"/>
  <c r="E1012" i="4"/>
  <c r="G1012" i="4" s="1"/>
  <c r="T1012" i="4" s="1"/>
  <c r="D1012" i="4"/>
  <c r="C1012" i="4"/>
  <c r="B1012" i="4"/>
  <c r="A1012" i="4"/>
  <c r="R1011" i="4"/>
  <c r="Q1011" i="4"/>
  <c r="O1011" i="4"/>
  <c r="N1011" i="4"/>
  <c r="P1011" i="4" s="1"/>
  <c r="M1011" i="4"/>
  <c r="L1011" i="4"/>
  <c r="K1011" i="4"/>
  <c r="I1011" i="4"/>
  <c r="J1011" i="4" s="1"/>
  <c r="H1011" i="4"/>
  <c r="F1011" i="4"/>
  <c r="E1011" i="4"/>
  <c r="C1011" i="4"/>
  <c r="B1011" i="4"/>
  <c r="D1011" i="4" s="1"/>
  <c r="A1011" i="4"/>
  <c r="R1010" i="4"/>
  <c r="S1010" i="4" s="1"/>
  <c r="Q1010" i="4"/>
  <c r="O1010" i="4"/>
  <c r="N1010" i="4"/>
  <c r="L1010" i="4"/>
  <c r="K1010" i="4"/>
  <c r="M1010" i="4" s="1"/>
  <c r="J1010" i="4"/>
  <c r="I1010" i="4"/>
  <c r="H1010" i="4"/>
  <c r="F1010" i="4"/>
  <c r="G1010" i="4" s="1"/>
  <c r="E1010" i="4"/>
  <c r="C1010" i="4"/>
  <c r="B1010" i="4"/>
  <c r="A1010" i="4"/>
  <c r="S1009" i="4"/>
  <c r="R1009" i="4"/>
  <c r="Q1009" i="4"/>
  <c r="O1009" i="4"/>
  <c r="P1009" i="4" s="1"/>
  <c r="N1009" i="4"/>
  <c r="L1009" i="4"/>
  <c r="K1009" i="4"/>
  <c r="I1009" i="4"/>
  <c r="H1009" i="4"/>
  <c r="J1009" i="4" s="1"/>
  <c r="G1009" i="4"/>
  <c r="F1009" i="4"/>
  <c r="E1009" i="4"/>
  <c r="C1009" i="4"/>
  <c r="D1009" i="4" s="1"/>
  <c r="B1009" i="4"/>
  <c r="A1009" i="4"/>
  <c r="R1008" i="4"/>
  <c r="Q1008" i="4"/>
  <c r="S1008" i="4" s="1"/>
  <c r="P1008" i="4"/>
  <c r="O1008" i="4"/>
  <c r="N1008" i="4"/>
  <c r="M1008" i="4"/>
  <c r="L1008" i="4"/>
  <c r="K1008" i="4"/>
  <c r="I1008" i="4"/>
  <c r="H1008" i="4"/>
  <c r="J1008" i="4" s="1"/>
  <c r="F1008" i="4"/>
  <c r="E1008" i="4"/>
  <c r="G1008" i="4" s="1"/>
  <c r="D1008" i="4"/>
  <c r="C1008" i="4"/>
  <c r="B1008" i="4"/>
  <c r="A1008" i="4"/>
  <c r="R1007" i="4"/>
  <c r="Q1007" i="4"/>
  <c r="O1007" i="4"/>
  <c r="N1007" i="4"/>
  <c r="P1007" i="4" s="1"/>
  <c r="M1007" i="4"/>
  <c r="L1007" i="4"/>
  <c r="K1007" i="4"/>
  <c r="I1007" i="4"/>
  <c r="J1007" i="4" s="1"/>
  <c r="H1007" i="4"/>
  <c r="F1007" i="4"/>
  <c r="E1007" i="4"/>
  <c r="C1007" i="4"/>
  <c r="B1007" i="4"/>
  <c r="D1007" i="4" s="1"/>
  <c r="A1007" i="4"/>
  <c r="R1006" i="4"/>
  <c r="S1006" i="4" s="1"/>
  <c r="Q1006" i="4"/>
  <c r="O1006" i="4"/>
  <c r="N1006" i="4"/>
  <c r="L1006" i="4"/>
  <c r="K1006" i="4"/>
  <c r="M1006" i="4" s="1"/>
  <c r="J1006" i="4"/>
  <c r="I1006" i="4"/>
  <c r="H1006" i="4"/>
  <c r="F1006" i="4"/>
  <c r="G1006" i="4" s="1"/>
  <c r="E1006" i="4"/>
  <c r="C1006" i="4"/>
  <c r="B1006" i="4"/>
  <c r="A1006" i="4"/>
  <c r="S1005" i="4"/>
  <c r="R1005" i="4"/>
  <c r="Q1005" i="4"/>
  <c r="O1005" i="4"/>
  <c r="P1005" i="4" s="1"/>
  <c r="N1005" i="4"/>
  <c r="L1005" i="4"/>
  <c r="K1005" i="4"/>
  <c r="I1005" i="4"/>
  <c r="H1005" i="4"/>
  <c r="J1005" i="4" s="1"/>
  <c r="G1005" i="4"/>
  <c r="F1005" i="4"/>
  <c r="E1005" i="4"/>
  <c r="C1005" i="4"/>
  <c r="D1005" i="4" s="1"/>
  <c r="B1005" i="4"/>
  <c r="A1005" i="4"/>
  <c r="R1004" i="4"/>
  <c r="Q1004" i="4"/>
  <c r="S1004" i="4" s="1"/>
  <c r="P1004" i="4"/>
  <c r="O1004" i="4"/>
  <c r="N1004" i="4"/>
  <c r="M1004" i="4"/>
  <c r="L1004" i="4"/>
  <c r="K1004" i="4"/>
  <c r="I1004" i="4"/>
  <c r="H1004" i="4"/>
  <c r="J1004" i="4" s="1"/>
  <c r="F1004" i="4"/>
  <c r="E1004" i="4"/>
  <c r="G1004" i="4" s="1"/>
  <c r="D1004" i="4"/>
  <c r="C1004" i="4"/>
  <c r="B1004" i="4"/>
  <c r="A1004" i="4"/>
  <c r="R1003" i="4"/>
  <c r="Q1003" i="4"/>
  <c r="O1003" i="4"/>
  <c r="N1003" i="4"/>
  <c r="P1003" i="4" s="1"/>
  <c r="M1003" i="4"/>
  <c r="L1003" i="4"/>
  <c r="K1003" i="4"/>
  <c r="I1003" i="4"/>
  <c r="J1003" i="4" s="1"/>
  <c r="H1003" i="4"/>
  <c r="F1003" i="4"/>
  <c r="E1003" i="4"/>
  <c r="C1003" i="4"/>
  <c r="B1003" i="4"/>
  <c r="D1003" i="4" s="1"/>
  <c r="A1003" i="4"/>
  <c r="R1002" i="4"/>
  <c r="S1002" i="4" s="1"/>
  <c r="Q1002" i="4"/>
  <c r="O1002" i="4"/>
  <c r="N1002" i="4"/>
  <c r="L1002" i="4"/>
  <c r="K1002" i="4"/>
  <c r="M1002" i="4" s="1"/>
  <c r="J1002" i="4"/>
  <c r="I1002" i="4"/>
  <c r="H1002" i="4"/>
  <c r="F1002" i="4"/>
  <c r="G1002" i="4" s="1"/>
  <c r="E1002" i="4"/>
  <c r="C1002" i="4"/>
  <c r="B1002" i="4"/>
  <c r="A1002" i="4"/>
  <c r="S1001" i="4"/>
  <c r="R1001" i="4"/>
  <c r="Q1001" i="4"/>
  <c r="O1001" i="4"/>
  <c r="P1001" i="4" s="1"/>
  <c r="N1001" i="4"/>
  <c r="L1001" i="4"/>
  <c r="K1001" i="4"/>
  <c r="I1001" i="4"/>
  <c r="H1001" i="4"/>
  <c r="J1001" i="4" s="1"/>
  <c r="G1001" i="4"/>
  <c r="F1001" i="4"/>
  <c r="E1001" i="4"/>
  <c r="C1001" i="4"/>
  <c r="D1001" i="4" s="1"/>
  <c r="B1001" i="4"/>
  <c r="A1001" i="4"/>
  <c r="R1000" i="4"/>
  <c r="Q1000" i="4"/>
  <c r="S1000" i="4" s="1"/>
  <c r="P1000" i="4"/>
  <c r="O1000" i="4"/>
  <c r="N1000" i="4"/>
  <c r="M1000" i="4"/>
  <c r="L1000" i="4"/>
  <c r="K1000" i="4"/>
  <c r="I1000" i="4"/>
  <c r="H1000" i="4"/>
  <c r="J1000" i="4" s="1"/>
  <c r="F1000" i="4"/>
  <c r="E1000" i="4"/>
  <c r="G1000" i="4" s="1"/>
  <c r="T1000" i="4" s="1"/>
  <c r="D1000" i="4"/>
  <c r="C1000" i="4"/>
  <c r="B1000" i="4"/>
  <c r="A1000" i="4"/>
  <c r="R999" i="4"/>
  <c r="Q999" i="4"/>
  <c r="O999" i="4"/>
  <c r="N999" i="4"/>
  <c r="P999" i="4" s="1"/>
  <c r="M999" i="4"/>
  <c r="L999" i="4"/>
  <c r="K999" i="4"/>
  <c r="I999" i="4"/>
  <c r="J999" i="4" s="1"/>
  <c r="H999" i="4"/>
  <c r="F999" i="4"/>
  <c r="E999" i="4"/>
  <c r="C999" i="4"/>
  <c r="B999" i="4"/>
  <c r="D999" i="4" s="1"/>
  <c r="A999" i="4"/>
  <c r="R998" i="4"/>
  <c r="S998" i="4" s="1"/>
  <c r="Q998" i="4"/>
  <c r="O998" i="4"/>
  <c r="N998" i="4"/>
  <c r="L998" i="4"/>
  <c r="K998" i="4"/>
  <c r="M998" i="4" s="1"/>
  <c r="J998" i="4"/>
  <c r="I998" i="4"/>
  <c r="H998" i="4"/>
  <c r="F998" i="4"/>
  <c r="G998" i="4" s="1"/>
  <c r="E998" i="4"/>
  <c r="C998" i="4"/>
  <c r="B998" i="4"/>
  <c r="A998" i="4"/>
  <c r="S997" i="4"/>
  <c r="R997" i="4"/>
  <c r="Q997" i="4"/>
  <c r="O997" i="4"/>
  <c r="P997" i="4" s="1"/>
  <c r="N997" i="4"/>
  <c r="L997" i="4"/>
  <c r="K997" i="4"/>
  <c r="I997" i="4"/>
  <c r="H997" i="4"/>
  <c r="J997" i="4" s="1"/>
  <c r="G997" i="4"/>
  <c r="F997" i="4"/>
  <c r="E997" i="4"/>
  <c r="C997" i="4"/>
  <c r="D997" i="4" s="1"/>
  <c r="B997" i="4"/>
  <c r="A997" i="4"/>
  <c r="R996" i="4"/>
  <c r="Q996" i="4"/>
  <c r="S996" i="4" s="1"/>
  <c r="P996" i="4"/>
  <c r="O996" i="4"/>
  <c r="N996" i="4"/>
  <c r="M996" i="4"/>
  <c r="L996" i="4"/>
  <c r="K996" i="4"/>
  <c r="I996" i="4"/>
  <c r="H996" i="4"/>
  <c r="J996" i="4" s="1"/>
  <c r="F996" i="4"/>
  <c r="E996" i="4"/>
  <c r="G996" i="4" s="1"/>
  <c r="T996" i="4" s="1"/>
  <c r="D996" i="4"/>
  <c r="C996" i="4"/>
  <c r="B996" i="4"/>
  <c r="A996" i="4"/>
  <c r="R995" i="4"/>
  <c r="Q995" i="4"/>
  <c r="O995" i="4"/>
  <c r="N995" i="4"/>
  <c r="P995" i="4" s="1"/>
  <c r="M995" i="4"/>
  <c r="L995" i="4"/>
  <c r="K995" i="4"/>
  <c r="I995" i="4"/>
  <c r="J995" i="4" s="1"/>
  <c r="H995" i="4"/>
  <c r="F995" i="4"/>
  <c r="E995" i="4"/>
  <c r="C995" i="4"/>
  <c r="B995" i="4"/>
  <c r="D995" i="4" s="1"/>
  <c r="A995" i="4"/>
  <c r="R994" i="4"/>
  <c r="S994" i="4" s="1"/>
  <c r="Q994" i="4"/>
  <c r="O994" i="4"/>
  <c r="N994" i="4"/>
  <c r="L994" i="4"/>
  <c r="K994" i="4"/>
  <c r="M994" i="4" s="1"/>
  <c r="J994" i="4"/>
  <c r="I994" i="4"/>
  <c r="H994" i="4"/>
  <c r="F994" i="4"/>
  <c r="G994" i="4" s="1"/>
  <c r="E994" i="4"/>
  <c r="C994" i="4"/>
  <c r="B994" i="4"/>
  <c r="A994" i="4"/>
  <c r="S993" i="4"/>
  <c r="R993" i="4"/>
  <c r="Q993" i="4"/>
  <c r="O993" i="4"/>
  <c r="P993" i="4" s="1"/>
  <c r="N993" i="4"/>
  <c r="L993" i="4"/>
  <c r="K993" i="4"/>
  <c r="I993" i="4"/>
  <c r="H993" i="4"/>
  <c r="J993" i="4" s="1"/>
  <c r="G993" i="4"/>
  <c r="F993" i="4"/>
  <c r="E993" i="4"/>
  <c r="C993" i="4"/>
  <c r="D993" i="4" s="1"/>
  <c r="B993" i="4"/>
  <c r="A993" i="4"/>
  <c r="R992" i="4"/>
  <c r="Q992" i="4"/>
  <c r="S992" i="4" s="1"/>
  <c r="P992" i="4"/>
  <c r="O992" i="4"/>
  <c r="N992" i="4"/>
  <c r="M992" i="4"/>
  <c r="L992" i="4"/>
  <c r="K992" i="4"/>
  <c r="I992" i="4"/>
  <c r="H992" i="4"/>
  <c r="J992" i="4" s="1"/>
  <c r="F992" i="4"/>
  <c r="E992" i="4"/>
  <c r="G992" i="4" s="1"/>
  <c r="D992" i="4"/>
  <c r="C992" i="4"/>
  <c r="B992" i="4"/>
  <c r="A992" i="4"/>
  <c r="R991" i="4"/>
  <c r="Q991" i="4"/>
  <c r="O991" i="4"/>
  <c r="N991" i="4"/>
  <c r="P991" i="4" s="1"/>
  <c r="M991" i="4"/>
  <c r="L991" i="4"/>
  <c r="K991" i="4"/>
  <c r="I991" i="4"/>
  <c r="J991" i="4" s="1"/>
  <c r="H991" i="4"/>
  <c r="F991" i="4"/>
  <c r="E991" i="4"/>
  <c r="G991" i="4" s="1"/>
  <c r="C991" i="4"/>
  <c r="B991" i="4"/>
  <c r="D991" i="4" s="1"/>
  <c r="A991" i="4"/>
  <c r="R990" i="4"/>
  <c r="S990" i="4" s="1"/>
  <c r="Q990" i="4"/>
  <c r="O990" i="4"/>
  <c r="N990" i="4"/>
  <c r="P990" i="4" s="1"/>
  <c r="L990" i="4"/>
  <c r="K990" i="4"/>
  <c r="M990" i="4" s="1"/>
  <c r="J990" i="4"/>
  <c r="I990" i="4"/>
  <c r="H990" i="4"/>
  <c r="F990" i="4"/>
  <c r="G990" i="4" s="1"/>
  <c r="E990" i="4"/>
  <c r="C990" i="4"/>
  <c r="B990" i="4"/>
  <c r="A990" i="4"/>
  <c r="S989" i="4"/>
  <c r="R989" i="4"/>
  <c r="Q989" i="4"/>
  <c r="O989" i="4"/>
  <c r="P989" i="4" s="1"/>
  <c r="N989" i="4"/>
  <c r="L989" i="4"/>
  <c r="K989" i="4"/>
  <c r="M989" i="4" s="1"/>
  <c r="I989" i="4"/>
  <c r="H989" i="4"/>
  <c r="J989" i="4" s="1"/>
  <c r="G989" i="4"/>
  <c r="F989" i="4"/>
  <c r="E989" i="4"/>
  <c r="C989" i="4"/>
  <c r="D989" i="4" s="1"/>
  <c r="T989" i="4" s="1"/>
  <c r="B989" i="4"/>
  <c r="A989" i="4"/>
  <c r="R988" i="4"/>
  <c r="Q988" i="4"/>
  <c r="S988" i="4" s="1"/>
  <c r="P988" i="4"/>
  <c r="O988" i="4"/>
  <c r="N988" i="4"/>
  <c r="M988" i="4"/>
  <c r="L988" i="4"/>
  <c r="K988" i="4"/>
  <c r="I988" i="4"/>
  <c r="H988" i="4"/>
  <c r="J988" i="4" s="1"/>
  <c r="F988" i="4"/>
  <c r="E988" i="4"/>
  <c r="G988" i="4" s="1"/>
  <c r="D988" i="4"/>
  <c r="C988" i="4"/>
  <c r="B988" i="4"/>
  <c r="A988" i="4"/>
  <c r="R987" i="4"/>
  <c r="Q987" i="4"/>
  <c r="O987" i="4"/>
  <c r="N987" i="4"/>
  <c r="P987" i="4" s="1"/>
  <c r="M987" i="4"/>
  <c r="L987" i="4"/>
  <c r="K987" i="4"/>
  <c r="I987" i="4"/>
  <c r="J987" i="4" s="1"/>
  <c r="H987" i="4"/>
  <c r="F987" i="4"/>
  <c r="E987" i="4"/>
  <c r="G987" i="4" s="1"/>
  <c r="C987" i="4"/>
  <c r="B987" i="4"/>
  <c r="D987" i="4" s="1"/>
  <c r="A987" i="4"/>
  <c r="R986" i="4"/>
  <c r="S986" i="4" s="1"/>
  <c r="Q986" i="4"/>
  <c r="O986" i="4"/>
  <c r="N986" i="4"/>
  <c r="P986" i="4" s="1"/>
  <c r="L986" i="4"/>
  <c r="K986" i="4"/>
  <c r="M986" i="4" s="1"/>
  <c r="J986" i="4"/>
  <c r="I986" i="4"/>
  <c r="H986" i="4"/>
  <c r="F986" i="4"/>
  <c r="G986" i="4" s="1"/>
  <c r="E986" i="4"/>
  <c r="C986" i="4"/>
  <c r="B986" i="4"/>
  <c r="A986" i="4"/>
  <c r="S985" i="4"/>
  <c r="R985" i="4"/>
  <c r="Q985" i="4"/>
  <c r="O985" i="4"/>
  <c r="P985" i="4" s="1"/>
  <c r="N985" i="4"/>
  <c r="L985" i="4"/>
  <c r="K985" i="4"/>
  <c r="M985" i="4" s="1"/>
  <c r="I985" i="4"/>
  <c r="H985" i="4"/>
  <c r="J985" i="4" s="1"/>
  <c r="G985" i="4"/>
  <c r="F985" i="4"/>
  <c r="E985" i="4"/>
  <c r="C985" i="4"/>
  <c r="D985" i="4" s="1"/>
  <c r="B985" i="4"/>
  <c r="A985" i="4"/>
  <c r="R984" i="4"/>
  <c r="Q984" i="4"/>
  <c r="S984" i="4" s="1"/>
  <c r="P984" i="4"/>
  <c r="O984" i="4"/>
  <c r="N984" i="4"/>
  <c r="M984" i="4"/>
  <c r="L984" i="4"/>
  <c r="K984" i="4"/>
  <c r="I984" i="4"/>
  <c r="H984" i="4"/>
  <c r="J984" i="4" s="1"/>
  <c r="F984" i="4"/>
  <c r="E984" i="4"/>
  <c r="G984" i="4" s="1"/>
  <c r="D984" i="4"/>
  <c r="T984" i="4" s="1"/>
  <c r="C984" i="4"/>
  <c r="B984" i="4"/>
  <c r="A984" i="4"/>
  <c r="R983" i="4"/>
  <c r="Q983" i="4"/>
  <c r="O983" i="4"/>
  <c r="N983" i="4"/>
  <c r="P983" i="4" s="1"/>
  <c r="M983" i="4"/>
  <c r="L983" i="4"/>
  <c r="K983" i="4"/>
  <c r="I983" i="4"/>
  <c r="J983" i="4" s="1"/>
  <c r="H983" i="4"/>
  <c r="F983" i="4"/>
  <c r="E983" i="4"/>
  <c r="G983" i="4" s="1"/>
  <c r="C983" i="4"/>
  <c r="B983" i="4"/>
  <c r="D983" i="4" s="1"/>
  <c r="A983" i="4"/>
  <c r="R982" i="4"/>
  <c r="S982" i="4" s="1"/>
  <c r="Q982" i="4"/>
  <c r="O982" i="4"/>
  <c r="N982" i="4"/>
  <c r="P982" i="4" s="1"/>
  <c r="L982" i="4"/>
  <c r="K982" i="4"/>
  <c r="M982" i="4" s="1"/>
  <c r="J982" i="4"/>
  <c r="I982" i="4"/>
  <c r="H982" i="4"/>
  <c r="F982" i="4"/>
  <c r="G982" i="4" s="1"/>
  <c r="E982" i="4"/>
  <c r="C982" i="4"/>
  <c r="B982" i="4"/>
  <c r="A982" i="4"/>
  <c r="S981" i="4"/>
  <c r="R981" i="4"/>
  <c r="Q981" i="4"/>
  <c r="O981" i="4"/>
  <c r="P981" i="4" s="1"/>
  <c r="N981" i="4"/>
  <c r="L981" i="4"/>
  <c r="K981" i="4"/>
  <c r="M981" i="4" s="1"/>
  <c r="I981" i="4"/>
  <c r="H981" i="4"/>
  <c r="J981" i="4" s="1"/>
  <c r="G981" i="4"/>
  <c r="F981" i="4"/>
  <c r="E981" i="4"/>
  <c r="C981" i="4"/>
  <c r="D981" i="4" s="1"/>
  <c r="B981" i="4"/>
  <c r="A981" i="4"/>
  <c r="R980" i="4"/>
  <c r="Q980" i="4"/>
  <c r="S980" i="4" s="1"/>
  <c r="P980" i="4"/>
  <c r="O980" i="4"/>
  <c r="N980" i="4"/>
  <c r="M980" i="4"/>
  <c r="L980" i="4"/>
  <c r="K980" i="4"/>
  <c r="I980" i="4"/>
  <c r="H980" i="4"/>
  <c r="J980" i="4" s="1"/>
  <c r="F980" i="4"/>
  <c r="E980" i="4"/>
  <c r="G980" i="4" s="1"/>
  <c r="D980" i="4"/>
  <c r="T980" i="4" s="1"/>
  <c r="C980" i="4"/>
  <c r="B980" i="4"/>
  <c r="A980" i="4"/>
  <c r="R979" i="4"/>
  <c r="Q979" i="4"/>
  <c r="O979" i="4"/>
  <c r="N979" i="4"/>
  <c r="P979" i="4" s="1"/>
  <c r="M979" i="4"/>
  <c r="L979" i="4"/>
  <c r="K979" i="4"/>
  <c r="I979" i="4"/>
  <c r="J979" i="4" s="1"/>
  <c r="H979" i="4"/>
  <c r="F979" i="4"/>
  <c r="E979" i="4"/>
  <c r="G979" i="4" s="1"/>
  <c r="C979" i="4"/>
  <c r="B979" i="4"/>
  <c r="D979" i="4" s="1"/>
  <c r="A979" i="4"/>
  <c r="R978" i="4"/>
  <c r="S978" i="4" s="1"/>
  <c r="Q978" i="4"/>
  <c r="O978" i="4"/>
  <c r="N978" i="4"/>
  <c r="P978" i="4" s="1"/>
  <c r="L978" i="4"/>
  <c r="K978" i="4"/>
  <c r="M978" i="4" s="1"/>
  <c r="J978" i="4"/>
  <c r="I978" i="4"/>
  <c r="H978" i="4"/>
  <c r="F978" i="4"/>
  <c r="G978" i="4" s="1"/>
  <c r="E978" i="4"/>
  <c r="C978" i="4"/>
  <c r="B978" i="4"/>
  <c r="A978" i="4"/>
  <c r="S977" i="4"/>
  <c r="R977" i="4"/>
  <c r="Q977" i="4"/>
  <c r="O977" i="4"/>
  <c r="P977" i="4" s="1"/>
  <c r="N977" i="4"/>
  <c r="L977" i="4"/>
  <c r="K977" i="4"/>
  <c r="M977" i="4" s="1"/>
  <c r="I977" i="4"/>
  <c r="H977" i="4"/>
  <c r="J977" i="4" s="1"/>
  <c r="G977" i="4"/>
  <c r="F977" i="4"/>
  <c r="E977" i="4"/>
  <c r="C977" i="4"/>
  <c r="D977" i="4" s="1"/>
  <c r="T977" i="4" s="1"/>
  <c r="B977" i="4"/>
  <c r="A977" i="4"/>
  <c r="R976" i="4"/>
  <c r="Q976" i="4"/>
  <c r="S976" i="4" s="1"/>
  <c r="P976" i="4"/>
  <c r="O976" i="4"/>
  <c r="N976" i="4"/>
  <c r="M976" i="4"/>
  <c r="L976" i="4"/>
  <c r="K976" i="4"/>
  <c r="I976" i="4"/>
  <c r="H976" i="4"/>
  <c r="J976" i="4" s="1"/>
  <c r="F976" i="4"/>
  <c r="E976" i="4"/>
  <c r="G976" i="4" s="1"/>
  <c r="D976" i="4"/>
  <c r="C976" i="4"/>
  <c r="B976" i="4"/>
  <c r="A976" i="4"/>
  <c r="R975" i="4"/>
  <c r="Q975" i="4"/>
  <c r="O975" i="4"/>
  <c r="N975" i="4"/>
  <c r="P975" i="4" s="1"/>
  <c r="M975" i="4"/>
  <c r="L975" i="4"/>
  <c r="K975" i="4"/>
  <c r="I975" i="4"/>
  <c r="J975" i="4" s="1"/>
  <c r="H975" i="4"/>
  <c r="F975" i="4"/>
  <c r="E975" i="4"/>
  <c r="G975" i="4" s="1"/>
  <c r="C975" i="4"/>
  <c r="B975" i="4"/>
  <c r="D975" i="4" s="1"/>
  <c r="A975" i="4"/>
  <c r="R974" i="4"/>
  <c r="S974" i="4" s="1"/>
  <c r="Q974" i="4"/>
  <c r="O974" i="4"/>
  <c r="N974" i="4"/>
  <c r="P974" i="4" s="1"/>
  <c r="L974" i="4"/>
  <c r="K974" i="4"/>
  <c r="M974" i="4" s="1"/>
  <c r="J974" i="4"/>
  <c r="I974" i="4"/>
  <c r="H974" i="4"/>
  <c r="F974" i="4"/>
  <c r="G974" i="4" s="1"/>
  <c r="E974" i="4"/>
  <c r="C974" i="4"/>
  <c r="B974" i="4"/>
  <c r="A974" i="4"/>
  <c r="S973" i="4"/>
  <c r="R973" i="4"/>
  <c r="Q973" i="4"/>
  <c r="O973" i="4"/>
  <c r="P973" i="4" s="1"/>
  <c r="N973" i="4"/>
  <c r="L973" i="4"/>
  <c r="K973" i="4"/>
  <c r="M973" i="4" s="1"/>
  <c r="I973" i="4"/>
  <c r="H973" i="4"/>
  <c r="J973" i="4" s="1"/>
  <c r="G973" i="4"/>
  <c r="F973" i="4"/>
  <c r="E973" i="4"/>
  <c r="C973" i="4"/>
  <c r="D973" i="4" s="1"/>
  <c r="T973" i="4" s="1"/>
  <c r="B973" i="4"/>
  <c r="A973" i="4"/>
  <c r="R972" i="4"/>
  <c r="Q972" i="4"/>
  <c r="S972" i="4" s="1"/>
  <c r="P972" i="4"/>
  <c r="O972" i="4"/>
  <c r="N972" i="4"/>
  <c r="M972" i="4"/>
  <c r="L972" i="4"/>
  <c r="K972" i="4"/>
  <c r="I972" i="4"/>
  <c r="H972" i="4"/>
  <c r="J972" i="4" s="1"/>
  <c r="F972" i="4"/>
  <c r="E972" i="4"/>
  <c r="G972" i="4" s="1"/>
  <c r="D972" i="4"/>
  <c r="C972" i="4"/>
  <c r="B972" i="4"/>
  <c r="A972" i="4"/>
  <c r="R971" i="4"/>
  <c r="Q971" i="4"/>
  <c r="O971" i="4"/>
  <c r="N971" i="4"/>
  <c r="P971" i="4" s="1"/>
  <c r="M971" i="4"/>
  <c r="L971" i="4"/>
  <c r="K971" i="4"/>
  <c r="I971" i="4"/>
  <c r="J971" i="4" s="1"/>
  <c r="H971" i="4"/>
  <c r="F971" i="4"/>
  <c r="E971" i="4"/>
  <c r="G971" i="4" s="1"/>
  <c r="C971" i="4"/>
  <c r="B971" i="4"/>
  <c r="D971" i="4" s="1"/>
  <c r="A971" i="4"/>
  <c r="R970" i="4"/>
  <c r="S970" i="4" s="1"/>
  <c r="Q970" i="4"/>
  <c r="O970" i="4"/>
  <c r="N970" i="4"/>
  <c r="P970" i="4" s="1"/>
  <c r="L970" i="4"/>
  <c r="K970" i="4"/>
  <c r="M970" i="4" s="1"/>
  <c r="J970" i="4"/>
  <c r="I970" i="4"/>
  <c r="H970" i="4"/>
  <c r="F970" i="4"/>
  <c r="G970" i="4" s="1"/>
  <c r="E970" i="4"/>
  <c r="C970" i="4"/>
  <c r="B970" i="4"/>
  <c r="A970" i="4"/>
  <c r="S969" i="4"/>
  <c r="R969" i="4"/>
  <c r="Q969" i="4"/>
  <c r="O969" i="4"/>
  <c r="P969" i="4" s="1"/>
  <c r="N969" i="4"/>
  <c r="L969" i="4"/>
  <c r="K969" i="4"/>
  <c r="M969" i="4" s="1"/>
  <c r="I969" i="4"/>
  <c r="H969" i="4"/>
  <c r="J969" i="4" s="1"/>
  <c r="G969" i="4"/>
  <c r="F969" i="4"/>
  <c r="E969" i="4"/>
  <c r="C969" i="4"/>
  <c r="D969" i="4" s="1"/>
  <c r="B969" i="4"/>
  <c r="A969" i="4"/>
  <c r="R968" i="4"/>
  <c r="Q968" i="4"/>
  <c r="S968" i="4" s="1"/>
  <c r="O968" i="4"/>
  <c r="N968" i="4"/>
  <c r="P968" i="4" s="1"/>
  <c r="M968" i="4"/>
  <c r="L968" i="4"/>
  <c r="K968" i="4"/>
  <c r="I968" i="4"/>
  <c r="J968" i="4" s="1"/>
  <c r="H968" i="4"/>
  <c r="F968" i="4"/>
  <c r="E968" i="4"/>
  <c r="G968" i="4" s="1"/>
  <c r="D968" i="4"/>
  <c r="T968" i="4" s="1"/>
  <c r="C968" i="4"/>
  <c r="B968" i="4"/>
  <c r="A968" i="4"/>
  <c r="R967" i="4"/>
  <c r="Q967" i="4"/>
  <c r="S967" i="4" s="1"/>
  <c r="O967" i="4"/>
  <c r="N967" i="4"/>
  <c r="L967" i="4"/>
  <c r="K967" i="4"/>
  <c r="M967" i="4" s="1"/>
  <c r="I967" i="4"/>
  <c r="J967" i="4" s="1"/>
  <c r="H967" i="4"/>
  <c r="G967" i="4"/>
  <c r="F967" i="4"/>
  <c r="E967" i="4"/>
  <c r="C967" i="4"/>
  <c r="B967" i="4"/>
  <c r="D967" i="4" s="1"/>
  <c r="A967" i="4"/>
  <c r="R966" i="4"/>
  <c r="S966" i="4" s="1"/>
  <c r="Q966" i="4"/>
  <c r="O966" i="4"/>
  <c r="N966" i="4"/>
  <c r="P966" i="4" s="1"/>
  <c r="L966" i="4"/>
  <c r="K966" i="4"/>
  <c r="M966" i="4" s="1"/>
  <c r="J966" i="4"/>
  <c r="I966" i="4"/>
  <c r="H966" i="4"/>
  <c r="F966" i="4"/>
  <c r="G966" i="4" s="1"/>
  <c r="E966" i="4"/>
  <c r="C966" i="4"/>
  <c r="B966" i="4"/>
  <c r="D966" i="4" s="1"/>
  <c r="T966" i="4" s="1"/>
  <c r="A966" i="4"/>
  <c r="S965" i="4"/>
  <c r="R965" i="4"/>
  <c r="Q965" i="4"/>
  <c r="O965" i="4"/>
  <c r="P965" i="4" s="1"/>
  <c r="N965" i="4"/>
  <c r="L965" i="4"/>
  <c r="K965" i="4"/>
  <c r="M965" i="4" s="1"/>
  <c r="I965" i="4"/>
  <c r="H965" i="4"/>
  <c r="F965" i="4"/>
  <c r="E965" i="4"/>
  <c r="G965" i="4" s="1"/>
  <c r="C965" i="4"/>
  <c r="D965" i="4" s="1"/>
  <c r="B965" i="4"/>
  <c r="A965" i="4"/>
  <c r="R964" i="4"/>
  <c r="Q964" i="4"/>
  <c r="S964" i="4" s="1"/>
  <c r="O964" i="4"/>
  <c r="N964" i="4"/>
  <c r="P964" i="4" s="1"/>
  <c r="M964" i="4"/>
  <c r="L964" i="4"/>
  <c r="K964" i="4"/>
  <c r="I964" i="4"/>
  <c r="J964" i="4" s="1"/>
  <c r="H964" i="4"/>
  <c r="F964" i="4"/>
  <c r="E964" i="4"/>
  <c r="G964" i="4" s="1"/>
  <c r="D964" i="4"/>
  <c r="C964" i="4"/>
  <c r="B964" i="4"/>
  <c r="A964" i="4"/>
  <c r="R963" i="4"/>
  <c r="Q963" i="4"/>
  <c r="S963" i="4" s="1"/>
  <c r="O963" i="4"/>
  <c r="N963" i="4"/>
  <c r="L963" i="4"/>
  <c r="K963" i="4"/>
  <c r="M963" i="4" s="1"/>
  <c r="I963" i="4"/>
  <c r="J963" i="4" s="1"/>
  <c r="H963" i="4"/>
  <c r="G963" i="4"/>
  <c r="F963" i="4"/>
  <c r="E963" i="4"/>
  <c r="C963" i="4"/>
  <c r="B963" i="4"/>
  <c r="D963" i="4" s="1"/>
  <c r="A963" i="4"/>
  <c r="R962" i="4"/>
  <c r="S962" i="4" s="1"/>
  <c r="Q962" i="4"/>
  <c r="O962" i="4"/>
  <c r="N962" i="4"/>
  <c r="P962" i="4" s="1"/>
  <c r="L962" i="4"/>
  <c r="K962" i="4"/>
  <c r="M962" i="4" s="1"/>
  <c r="J962" i="4"/>
  <c r="I962" i="4"/>
  <c r="H962" i="4"/>
  <c r="F962" i="4"/>
  <c r="G962" i="4" s="1"/>
  <c r="E962" i="4"/>
  <c r="C962" i="4"/>
  <c r="B962" i="4"/>
  <c r="D962" i="4" s="1"/>
  <c r="A962" i="4"/>
  <c r="S961" i="4"/>
  <c r="R961" i="4"/>
  <c r="Q961" i="4"/>
  <c r="O961" i="4"/>
  <c r="P961" i="4" s="1"/>
  <c r="N961" i="4"/>
  <c r="L961" i="4"/>
  <c r="K961" i="4"/>
  <c r="M961" i="4" s="1"/>
  <c r="I961" i="4"/>
  <c r="H961" i="4"/>
  <c r="F961" i="4"/>
  <c r="E961" i="4"/>
  <c r="G961" i="4" s="1"/>
  <c r="C961" i="4"/>
  <c r="D961" i="4" s="1"/>
  <c r="B961" i="4"/>
  <c r="A961" i="4"/>
  <c r="R960" i="4"/>
  <c r="Q960" i="4"/>
  <c r="S960" i="4" s="1"/>
  <c r="O960" i="4"/>
  <c r="N960" i="4"/>
  <c r="P960" i="4" s="1"/>
  <c r="M960" i="4"/>
  <c r="L960" i="4"/>
  <c r="K960" i="4"/>
  <c r="I960" i="4"/>
  <c r="J960" i="4" s="1"/>
  <c r="H960" i="4"/>
  <c r="F960" i="4"/>
  <c r="E960" i="4"/>
  <c r="G960" i="4" s="1"/>
  <c r="D960" i="4"/>
  <c r="T960" i="4" s="1"/>
  <c r="C960" i="4"/>
  <c r="B960" i="4"/>
  <c r="A960" i="4"/>
  <c r="R959" i="4"/>
  <c r="Q959" i="4"/>
  <c r="S959" i="4" s="1"/>
  <c r="O959" i="4"/>
  <c r="N959" i="4"/>
  <c r="L959" i="4"/>
  <c r="K959" i="4"/>
  <c r="M959" i="4" s="1"/>
  <c r="I959" i="4"/>
  <c r="J959" i="4" s="1"/>
  <c r="H959" i="4"/>
  <c r="G959" i="4"/>
  <c r="F959" i="4"/>
  <c r="E959" i="4"/>
  <c r="C959" i="4"/>
  <c r="B959" i="4"/>
  <c r="D959" i="4" s="1"/>
  <c r="A959" i="4"/>
  <c r="R958" i="4"/>
  <c r="S958" i="4" s="1"/>
  <c r="Q958" i="4"/>
  <c r="O958" i="4"/>
  <c r="N958" i="4"/>
  <c r="P958" i="4" s="1"/>
  <c r="L958" i="4"/>
  <c r="K958" i="4"/>
  <c r="M958" i="4" s="1"/>
  <c r="J958" i="4"/>
  <c r="I958" i="4"/>
  <c r="H958" i="4"/>
  <c r="F958" i="4"/>
  <c r="G958" i="4" s="1"/>
  <c r="E958" i="4"/>
  <c r="C958" i="4"/>
  <c r="B958" i="4"/>
  <c r="D958" i="4" s="1"/>
  <c r="T958" i="4" s="1"/>
  <c r="A958" i="4"/>
  <c r="S957" i="4"/>
  <c r="R957" i="4"/>
  <c r="Q957" i="4"/>
  <c r="O957" i="4"/>
  <c r="P957" i="4" s="1"/>
  <c r="N957" i="4"/>
  <c r="L957" i="4"/>
  <c r="K957" i="4"/>
  <c r="M957" i="4" s="1"/>
  <c r="I957" i="4"/>
  <c r="H957" i="4"/>
  <c r="F957" i="4"/>
  <c r="E957" i="4"/>
  <c r="G957" i="4" s="1"/>
  <c r="C957" i="4"/>
  <c r="D957" i="4" s="1"/>
  <c r="B957" i="4"/>
  <c r="A957" i="4"/>
  <c r="R956" i="4"/>
  <c r="Q956" i="4"/>
  <c r="S956" i="4" s="1"/>
  <c r="O956" i="4"/>
  <c r="N956" i="4"/>
  <c r="P956" i="4" s="1"/>
  <c r="M956" i="4"/>
  <c r="L956" i="4"/>
  <c r="K956" i="4"/>
  <c r="I956" i="4"/>
  <c r="J956" i="4" s="1"/>
  <c r="H956" i="4"/>
  <c r="F956" i="4"/>
  <c r="E956" i="4"/>
  <c r="G956" i="4" s="1"/>
  <c r="D956" i="4"/>
  <c r="C956" i="4"/>
  <c r="B956" i="4"/>
  <c r="A956" i="4"/>
  <c r="R955" i="4"/>
  <c r="Q955" i="4"/>
  <c r="S955" i="4" s="1"/>
  <c r="O955" i="4"/>
  <c r="N955" i="4"/>
  <c r="L955" i="4"/>
  <c r="K955" i="4"/>
  <c r="M955" i="4" s="1"/>
  <c r="I955" i="4"/>
  <c r="J955" i="4" s="1"/>
  <c r="H955" i="4"/>
  <c r="G955" i="4"/>
  <c r="F955" i="4"/>
  <c r="E955" i="4"/>
  <c r="C955" i="4"/>
  <c r="B955" i="4"/>
  <c r="D955" i="4" s="1"/>
  <c r="A955" i="4"/>
  <c r="R954" i="4"/>
  <c r="S954" i="4" s="1"/>
  <c r="Q954" i="4"/>
  <c r="O954" i="4"/>
  <c r="N954" i="4"/>
  <c r="P954" i="4" s="1"/>
  <c r="L954" i="4"/>
  <c r="K954" i="4"/>
  <c r="M954" i="4" s="1"/>
  <c r="J954" i="4"/>
  <c r="I954" i="4"/>
  <c r="H954" i="4"/>
  <c r="F954" i="4"/>
  <c r="G954" i="4" s="1"/>
  <c r="E954" i="4"/>
  <c r="C954" i="4"/>
  <c r="B954" i="4"/>
  <c r="D954" i="4" s="1"/>
  <c r="A954" i="4"/>
  <c r="S953" i="4"/>
  <c r="R953" i="4"/>
  <c r="Q953" i="4"/>
  <c r="O953" i="4"/>
  <c r="P953" i="4" s="1"/>
  <c r="N953" i="4"/>
  <c r="L953" i="4"/>
  <c r="K953" i="4"/>
  <c r="M953" i="4" s="1"/>
  <c r="I953" i="4"/>
  <c r="H953" i="4"/>
  <c r="F953" i="4"/>
  <c r="E953" i="4"/>
  <c r="G953" i="4" s="1"/>
  <c r="C953" i="4"/>
  <c r="D953" i="4" s="1"/>
  <c r="B953" i="4"/>
  <c r="A953" i="4"/>
  <c r="R952" i="4"/>
  <c r="Q952" i="4"/>
  <c r="S952" i="4" s="1"/>
  <c r="O952" i="4"/>
  <c r="N952" i="4"/>
  <c r="P952" i="4" s="1"/>
  <c r="M952" i="4"/>
  <c r="L952" i="4"/>
  <c r="K952" i="4"/>
  <c r="I952" i="4"/>
  <c r="J952" i="4" s="1"/>
  <c r="H952" i="4"/>
  <c r="F952" i="4"/>
  <c r="E952" i="4"/>
  <c r="G952" i="4" s="1"/>
  <c r="D952" i="4"/>
  <c r="T952" i="4" s="1"/>
  <c r="C952" i="4"/>
  <c r="B952" i="4"/>
  <c r="A952" i="4"/>
  <c r="R951" i="4"/>
  <c r="Q951" i="4"/>
  <c r="S951" i="4" s="1"/>
  <c r="O951" i="4"/>
  <c r="N951" i="4"/>
  <c r="L951" i="4"/>
  <c r="K951" i="4"/>
  <c r="M951" i="4" s="1"/>
  <c r="I951" i="4"/>
  <c r="J951" i="4" s="1"/>
  <c r="H951" i="4"/>
  <c r="G951" i="4"/>
  <c r="F951" i="4"/>
  <c r="E951" i="4"/>
  <c r="C951" i="4"/>
  <c r="B951" i="4"/>
  <c r="D951" i="4" s="1"/>
  <c r="A951" i="4"/>
  <c r="R950" i="4"/>
  <c r="S950" i="4" s="1"/>
  <c r="Q950" i="4"/>
  <c r="O950" i="4"/>
  <c r="N950" i="4"/>
  <c r="P950" i="4" s="1"/>
  <c r="L950" i="4"/>
  <c r="K950" i="4"/>
  <c r="M950" i="4" s="1"/>
  <c r="J950" i="4"/>
  <c r="I950" i="4"/>
  <c r="H950" i="4"/>
  <c r="F950" i="4"/>
  <c r="G950" i="4" s="1"/>
  <c r="E950" i="4"/>
  <c r="C950" i="4"/>
  <c r="B950" i="4"/>
  <c r="D950" i="4" s="1"/>
  <c r="A950" i="4"/>
  <c r="R949" i="4"/>
  <c r="Q949" i="4"/>
  <c r="S949" i="4" s="1"/>
  <c r="O949" i="4"/>
  <c r="P949" i="4" s="1"/>
  <c r="N949" i="4"/>
  <c r="M949" i="4"/>
  <c r="L949" i="4"/>
  <c r="K949" i="4"/>
  <c r="I949" i="4"/>
  <c r="H949" i="4"/>
  <c r="F949" i="4"/>
  <c r="E949" i="4"/>
  <c r="G949" i="4" s="1"/>
  <c r="D949" i="4"/>
  <c r="C949" i="4"/>
  <c r="B949" i="4"/>
  <c r="A949" i="4"/>
  <c r="R948" i="4"/>
  <c r="Q948" i="4"/>
  <c r="S948" i="4" s="1"/>
  <c r="P948" i="4"/>
  <c r="O948" i="4"/>
  <c r="N948" i="4"/>
  <c r="L948" i="4"/>
  <c r="M948" i="4" s="1"/>
  <c r="K948" i="4"/>
  <c r="I948" i="4"/>
  <c r="H948" i="4"/>
  <c r="F948" i="4"/>
  <c r="E948" i="4"/>
  <c r="G948" i="4" s="1"/>
  <c r="D948" i="4"/>
  <c r="C948" i="4"/>
  <c r="B948" i="4"/>
  <c r="A948" i="4"/>
  <c r="S947" i="4"/>
  <c r="R947" i="4"/>
  <c r="Q947" i="4"/>
  <c r="O947" i="4"/>
  <c r="N947" i="4"/>
  <c r="L947" i="4"/>
  <c r="K947" i="4"/>
  <c r="M947" i="4" s="1"/>
  <c r="J947" i="4"/>
  <c r="I947" i="4"/>
  <c r="H947" i="4"/>
  <c r="G947" i="4"/>
  <c r="F947" i="4"/>
  <c r="E947" i="4"/>
  <c r="C947" i="4"/>
  <c r="B947" i="4"/>
  <c r="D947" i="4" s="1"/>
  <c r="A947" i="4"/>
  <c r="R946" i="4"/>
  <c r="S946" i="4" s="1"/>
  <c r="Q946" i="4"/>
  <c r="O946" i="4"/>
  <c r="N946" i="4"/>
  <c r="P946" i="4" s="1"/>
  <c r="L946" i="4"/>
  <c r="K946" i="4"/>
  <c r="I946" i="4"/>
  <c r="H946" i="4"/>
  <c r="J946" i="4" s="1"/>
  <c r="F946" i="4"/>
  <c r="G946" i="4" s="1"/>
  <c r="E946" i="4"/>
  <c r="D946" i="4"/>
  <c r="C946" i="4"/>
  <c r="B946" i="4"/>
  <c r="A946" i="4"/>
  <c r="R945" i="4"/>
  <c r="Q945" i="4"/>
  <c r="S945" i="4" s="1"/>
  <c r="O945" i="4"/>
  <c r="P945" i="4" s="1"/>
  <c r="N945" i="4"/>
  <c r="M945" i="4"/>
  <c r="L945" i="4"/>
  <c r="K945" i="4"/>
  <c r="I945" i="4"/>
  <c r="H945" i="4"/>
  <c r="F945" i="4"/>
  <c r="E945" i="4"/>
  <c r="G945" i="4" s="1"/>
  <c r="D945" i="4"/>
  <c r="C945" i="4"/>
  <c r="B945" i="4"/>
  <c r="A945" i="4"/>
  <c r="R944" i="4"/>
  <c r="Q944" i="4"/>
  <c r="S944" i="4" s="1"/>
  <c r="P944" i="4"/>
  <c r="O944" i="4"/>
  <c r="N944" i="4"/>
  <c r="L944" i="4"/>
  <c r="M944" i="4" s="1"/>
  <c r="K944" i="4"/>
  <c r="I944" i="4"/>
  <c r="H944" i="4"/>
  <c r="F944" i="4"/>
  <c r="E944" i="4"/>
  <c r="G944" i="4" s="1"/>
  <c r="D944" i="4"/>
  <c r="C944" i="4"/>
  <c r="B944" i="4"/>
  <c r="A944" i="4"/>
  <c r="S943" i="4"/>
  <c r="R943" i="4"/>
  <c r="Q943" i="4"/>
  <c r="O943" i="4"/>
  <c r="N943" i="4"/>
  <c r="L943" i="4"/>
  <c r="K943" i="4"/>
  <c r="M943" i="4" s="1"/>
  <c r="J943" i="4"/>
  <c r="I943" i="4"/>
  <c r="H943" i="4"/>
  <c r="G943" i="4"/>
  <c r="F943" i="4"/>
  <c r="E943" i="4"/>
  <c r="C943" i="4"/>
  <c r="B943" i="4"/>
  <c r="D943" i="4" s="1"/>
  <c r="A943" i="4"/>
  <c r="R942" i="4"/>
  <c r="S942" i="4" s="1"/>
  <c r="Q942" i="4"/>
  <c r="O942" i="4"/>
  <c r="N942" i="4"/>
  <c r="P942" i="4" s="1"/>
  <c r="L942" i="4"/>
  <c r="K942" i="4"/>
  <c r="I942" i="4"/>
  <c r="H942" i="4"/>
  <c r="J942" i="4" s="1"/>
  <c r="F942" i="4"/>
  <c r="G942" i="4" s="1"/>
  <c r="E942" i="4"/>
  <c r="D942" i="4"/>
  <c r="C942" i="4"/>
  <c r="B942" i="4"/>
  <c r="A942" i="4"/>
  <c r="R941" i="4"/>
  <c r="Q941" i="4"/>
  <c r="S941" i="4" s="1"/>
  <c r="O941" i="4"/>
  <c r="P941" i="4" s="1"/>
  <c r="N941" i="4"/>
  <c r="M941" i="4"/>
  <c r="L941" i="4"/>
  <c r="K941" i="4"/>
  <c r="I941" i="4"/>
  <c r="H941" i="4"/>
  <c r="F941" i="4"/>
  <c r="E941" i="4"/>
  <c r="G941" i="4" s="1"/>
  <c r="D941" i="4"/>
  <c r="C941" i="4"/>
  <c r="B941" i="4"/>
  <c r="A941" i="4"/>
  <c r="R940" i="4"/>
  <c r="Q940" i="4"/>
  <c r="S940" i="4" s="1"/>
  <c r="P940" i="4"/>
  <c r="O940" i="4"/>
  <c r="N940" i="4"/>
  <c r="L940" i="4"/>
  <c r="M940" i="4" s="1"/>
  <c r="K940" i="4"/>
  <c r="I940" i="4"/>
  <c r="H940" i="4"/>
  <c r="F940" i="4"/>
  <c r="E940" i="4"/>
  <c r="G940" i="4" s="1"/>
  <c r="D940" i="4"/>
  <c r="C940" i="4"/>
  <c r="B940" i="4"/>
  <c r="A940" i="4"/>
  <c r="S939" i="4"/>
  <c r="R939" i="4"/>
  <c r="Q939" i="4"/>
  <c r="O939" i="4"/>
  <c r="N939" i="4"/>
  <c r="L939" i="4"/>
  <c r="K939" i="4"/>
  <c r="M939" i="4" s="1"/>
  <c r="J939" i="4"/>
  <c r="I939" i="4"/>
  <c r="H939" i="4"/>
  <c r="G939" i="4"/>
  <c r="F939" i="4"/>
  <c r="E939" i="4"/>
  <c r="C939" i="4"/>
  <c r="B939" i="4"/>
  <c r="D939" i="4" s="1"/>
  <c r="A939" i="4"/>
  <c r="R938" i="4"/>
  <c r="S938" i="4" s="1"/>
  <c r="Q938" i="4"/>
  <c r="O938" i="4"/>
  <c r="N938" i="4"/>
  <c r="P938" i="4" s="1"/>
  <c r="L938" i="4"/>
  <c r="K938" i="4"/>
  <c r="I938" i="4"/>
  <c r="H938" i="4"/>
  <c r="J938" i="4" s="1"/>
  <c r="F938" i="4"/>
  <c r="G938" i="4" s="1"/>
  <c r="E938" i="4"/>
  <c r="D938" i="4"/>
  <c r="C938" i="4"/>
  <c r="B938" i="4"/>
  <c r="A938" i="4"/>
  <c r="R937" i="4"/>
  <c r="Q937" i="4"/>
  <c r="S937" i="4" s="1"/>
  <c r="O937" i="4"/>
  <c r="P937" i="4" s="1"/>
  <c r="N937" i="4"/>
  <c r="M937" i="4"/>
  <c r="L937" i="4"/>
  <c r="K937" i="4"/>
  <c r="I937" i="4"/>
  <c r="H937" i="4"/>
  <c r="F937" i="4"/>
  <c r="E937" i="4"/>
  <c r="G937" i="4" s="1"/>
  <c r="D937" i="4"/>
  <c r="C937" i="4"/>
  <c r="B937" i="4"/>
  <c r="A937" i="4"/>
  <c r="R936" i="4"/>
  <c r="Q936" i="4"/>
  <c r="S936" i="4" s="1"/>
  <c r="P936" i="4"/>
  <c r="O936" i="4"/>
  <c r="N936" i="4"/>
  <c r="L936" i="4"/>
  <c r="M936" i="4" s="1"/>
  <c r="K936" i="4"/>
  <c r="I936" i="4"/>
  <c r="H936" i="4"/>
  <c r="F936" i="4"/>
  <c r="E936" i="4"/>
  <c r="G936" i="4" s="1"/>
  <c r="D936" i="4"/>
  <c r="C936" i="4"/>
  <c r="B936" i="4"/>
  <c r="A936" i="4"/>
  <c r="S935" i="4"/>
  <c r="R935" i="4"/>
  <c r="Q935" i="4"/>
  <c r="O935" i="4"/>
  <c r="N935" i="4"/>
  <c r="L935" i="4"/>
  <c r="K935" i="4"/>
  <c r="M935" i="4" s="1"/>
  <c r="J935" i="4"/>
  <c r="I935" i="4"/>
  <c r="H935" i="4"/>
  <c r="G935" i="4"/>
  <c r="F935" i="4"/>
  <c r="E935" i="4"/>
  <c r="C935" i="4"/>
  <c r="B935" i="4"/>
  <c r="D935" i="4" s="1"/>
  <c r="A935" i="4"/>
  <c r="R934" i="4"/>
  <c r="S934" i="4" s="1"/>
  <c r="Q934" i="4"/>
  <c r="O934" i="4"/>
  <c r="N934" i="4"/>
  <c r="P934" i="4" s="1"/>
  <c r="L934" i="4"/>
  <c r="K934" i="4"/>
  <c r="I934" i="4"/>
  <c r="H934" i="4"/>
  <c r="J934" i="4" s="1"/>
  <c r="F934" i="4"/>
  <c r="G934" i="4" s="1"/>
  <c r="E934" i="4"/>
  <c r="D934" i="4"/>
  <c r="C934" i="4"/>
  <c r="B934" i="4"/>
  <c r="A934" i="4"/>
  <c r="R933" i="4"/>
  <c r="Q933" i="4"/>
  <c r="S933" i="4" s="1"/>
  <c r="O933" i="4"/>
  <c r="P933" i="4" s="1"/>
  <c r="N933" i="4"/>
  <c r="M933" i="4"/>
  <c r="L933" i="4"/>
  <c r="K933" i="4"/>
  <c r="I933" i="4"/>
  <c r="H933" i="4"/>
  <c r="F933" i="4"/>
  <c r="E933" i="4"/>
  <c r="G933" i="4" s="1"/>
  <c r="D933" i="4"/>
  <c r="C933" i="4"/>
  <c r="B933" i="4"/>
  <c r="A933" i="4"/>
  <c r="R932" i="4"/>
  <c r="Q932" i="4"/>
  <c r="S932" i="4" s="1"/>
  <c r="P932" i="4"/>
  <c r="O932" i="4"/>
  <c r="N932" i="4"/>
  <c r="L932" i="4"/>
  <c r="M932" i="4" s="1"/>
  <c r="K932" i="4"/>
  <c r="I932" i="4"/>
  <c r="H932" i="4"/>
  <c r="F932" i="4"/>
  <c r="E932" i="4"/>
  <c r="G932" i="4" s="1"/>
  <c r="D932" i="4"/>
  <c r="C932" i="4"/>
  <c r="B932" i="4"/>
  <c r="A932" i="4"/>
  <c r="S931" i="4"/>
  <c r="R931" i="4"/>
  <c r="Q931" i="4"/>
  <c r="O931" i="4"/>
  <c r="N931" i="4"/>
  <c r="L931" i="4"/>
  <c r="K931" i="4"/>
  <c r="M931" i="4" s="1"/>
  <c r="J931" i="4"/>
  <c r="I931" i="4"/>
  <c r="H931" i="4"/>
  <c r="G931" i="4"/>
  <c r="F931" i="4"/>
  <c r="E931" i="4"/>
  <c r="C931" i="4"/>
  <c r="B931" i="4"/>
  <c r="D931" i="4" s="1"/>
  <c r="A931" i="4"/>
  <c r="R930" i="4"/>
  <c r="S930" i="4" s="1"/>
  <c r="Q930" i="4"/>
  <c r="O930" i="4"/>
  <c r="N930" i="4"/>
  <c r="P930" i="4" s="1"/>
  <c r="L930" i="4"/>
  <c r="K930" i="4"/>
  <c r="I930" i="4"/>
  <c r="H930" i="4"/>
  <c r="J930" i="4" s="1"/>
  <c r="F930" i="4"/>
  <c r="G930" i="4" s="1"/>
  <c r="E930" i="4"/>
  <c r="D930" i="4"/>
  <c r="C930" i="4"/>
  <c r="B930" i="4"/>
  <c r="A930" i="4"/>
  <c r="R929" i="4"/>
  <c r="Q929" i="4"/>
  <c r="S929" i="4" s="1"/>
  <c r="O929" i="4"/>
  <c r="P929" i="4" s="1"/>
  <c r="N929" i="4"/>
  <c r="M929" i="4"/>
  <c r="L929" i="4"/>
  <c r="K929" i="4"/>
  <c r="I929" i="4"/>
  <c r="H929" i="4"/>
  <c r="F929" i="4"/>
  <c r="E929" i="4"/>
  <c r="G929" i="4" s="1"/>
  <c r="D929" i="4"/>
  <c r="C929" i="4"/>
  <c r="B929" i="4"/>
  <c r="A929" i="4"/>
  <c r="R928" i="4"/>
  <c r="Q928" i="4"/>
  <c r="S928" i="4" s="1"/>
  <c r="P928" i="4"/>
  <c r="O928" i="4"/>
  <c r="N928" i="4"/>
  <c r="L928" i="4"/>
  <c r="M928" i="4" s="1"/>
  <c r="K928" i="4"/>
  <c r="I928" i="4"/>
  <c r="H928" i="4"/>
  <c r="F928" i="4"/>
  <c r="E928" i="4"/>
  <c r="G928" i="4" s="1"/>
  <c r="D928" i="4"/>
  <c r="C928" i="4"/>
  <c r="B928" i="4"/>
  <c r="A928" i="4"/>
  <c r="S927" i="4"/>
  <c r="R927" i="4"/>
  <c r="Q927" i="4"/>
  <c r="O927" i="4"/>
  <c r="N927" i="4"/>
  <c r="L927" i="4"/>
  <c r="K927" i="4"/>
  <c r="M927" i="4" s="1"/>
  <c r="J927" i="4"/>
  <c r="I927" i="4"/>
  <c r="H927" i="4"/>
  <c r="G927" i="4"/>
  <c r="F927" i="4"/>
  <c r="E927" i="4"/>
  <c r="C927" i="4"/>
  <c r="B927" i="4"/>
  <c r="D927" i="4" s="1"/>
  <c r="A927" i="4"/>
  <c r="R926" i="4"/>
  <c r="S926" i="4" s="1"/>
  <c r="Q926" i="4"/>
  <c r="O926" i="4"/>
  <c r="N926" i="4"/>
  <c r="P926" i="4" s="1"/>
  <c r="L926" i="4"/>
  <c r="K926" i="4"/>
  <c r="I926" i="4"/>
  <c r="H926" i="4"/>
  <c r="J926" i="4" s="1"/>
  <c r="F926" i="4"/>
  <c r="G926" i="4" s="1"/>
  <c r="E926" i="4"/>
  <c r="D926" i="4"/>
  <c r="C926" i="4"/>
  <c r="B926" i="4"/>
  <c r="A926" i="4"/>
  <c r="R925" i="4"/>
  <c r="Q925" i="4"/>
  <c r="S925" i="4" s="1"/>
  <c r="O925" i="4"/>
  <c r="P925" i="4" s="1"/>
  <c r="N925" i="4"/>
  <c r="M925" i="4"/>
  <c r="L925" i="4"/>
  <c r="K925" i="4"/>
  <c r="I925" i="4"/>
  <c r="H925" i="4"/>
  <c r="F925" i="4"/>
  <c r="E925" i="4"/>
  <c r="G925" i="4" s="1"/>
  <c r="D925" i="4"/>
  <c r="C925" i="4"/>
  <c r="B925" i="4"/>
  <c r="A925" i="4"/>
  <c r="R924" i="4"/>
  <c r="Q924" i="4"/>
  <c r="S924" i="4" s="1"/>
  <c r="P924" i="4"/>
  <c r="O924" i="4"/>
  <c r="N924" i="4"/>
  <c r="L924" i="4"/>
  <c r="M924" i="4" s="1"/>
  <c r="K924" i="4"/>
  <c r="I924" i="4"/>
  <c r="H924" i="4"/>
  <c r="F924" i="4"/>
  <c r="E924" i="4"/>
  <c r="G924" i="4" s="1"/>
  <c r="D924" i="4"/>
  <c r="C924" i="4"/>
  <c r="B924" i="4"/>
  <c r="A924" i="4"/>
  <c r="S923" i="4"/>
  <c r="R923" i="4"/>
  <c r="Q923" i="4"/>
  <c r="O923" i="4"/>
  <c r="N923" i="4"/>
  <c r="L923" i="4"/>
  <c r="K923" i="4"/>
  <c r="M923" i="4" s="1"/>
  <c r="J923" i="4"/>
  <c r="I923" i="4"/>
  <c r="H923" i="4"/>
  <c r="G923" i="4"/>
  <c r="F923" i="4"/>
  <c r="E923" i="4"/>
  <c r="C923" i="4"/>
  <c r="B923" i="4"/>
  <c r="D923" i="4" s="1"/>
  <c r="A923" i="4"/>
  <c r="R922" i="4"/>
  <c r="S922" i="4" s="1"/>
  <c r="Q922" i="4"/>
  <c r="O922" i="4"/>
  <c r="N922" i="4"/>
  <c r="P922" i="4" s="1"/>
  <c r="L922" i="4"/>
  <c r="K922" i="4"/>
  <c r="I922" i="4"/>
  <c r="H922" i="4"/>
  <c r="J922" i="4" s="1"/>
  <c r="F922" i="4"/>
  <c r="G922" i="4" s="1"/>
  <c r="E922" i="4"/>
  <c r="D922" i="4"/>
  <c r="C922" i="4"/>
  <c r="B922" i="4"/>
  <c r="A922" i="4"/>
  <c r="R921" i="4"/>
  <c r="Q921" i="4"/>
  <c r="S921" i="4" s="1"/>
  <c r="O921" i="4"/>
  <c r="P921" i="4" s="1"/>
  <c r="N921" i="4"/>
  <c r="M921" i="4"/>
  <c r="L921" i="4"/>
  <c r="K921" i="4"/>
  <c r="I921" i="4"/>
  <c r="H921" i="4"/>
  <c r="F921" i="4"/>
  <c r="E921" i="4"/>
  <c r="G921" i="4" s="1"/>
  <c r="D921" i="4"/>
  <c r="C921" i="4"/>
  <c r="B921" i="4"/>
  <c r="A921" i="4"/>
  <c r="R920" i="4"/>
  <c r="Q920" i="4"/>
  <c r="S920" i="4" s="1"/>
  <c r="P920" i="4"/>
  <c r="O920" i="4"/>
  <c r="N920" i="4"/>
  <c r="L920" i="4"/>
  <c r="M920" i="4" s="1"/>
  <c r="K920" i="4"/>
  <c r="I920" i="4"/>
  <c r="H920" i="4"/>
  <c r="F920" i="4"/>
  <c r="E920" i="4"/>
  <c r="G920" i="4" s="1"/>
  <c r="D920" i="4"/>
  <c r="C920" i="4"/>
  <c r="B920" i="4"/>
  <c r="A920" i="4"/>
  <c r="S919" i="4"/>
  <c r="R919" i="4"/>
  <c r="Q919" i="4"/>
  <c r="O919" i="4"/>
  <c r="N919" i="4"/>
  <c r="L919" i="4"/>
  <c r="K919" i="4"/>
  <c r="M919" i="4" s="1"/>
  <c r="J919" i="4"/>
  <c r="I919" i="4"/>
  <c r="H919" i="4"/>
  <c r="G919" i="4"/>
  <c r="F919" i="4"/>
  <c r="E919" i="4"/>
  <c r="C919" i="4"/>
  <c r="B919" i="4"/>
  <c r="D919" i="4" s="1"/>
  <c r="A919" i="4"/>
  <c r="R918" i="4"/>
  <c r="S918" i="4" s="1"/>
  <c r="Q918" i="4"/>
  <c r="O918" i="4"/>
  <c r="N918" i="4"/>
  <c r="P918" i="4" s="1"/>
  <c r="L918" i="4"/>
  <c r="K918" i="4"/>
  <c r="I918" i="4"/>
  <c r="H918" i="4"/>
  <c r="J918" i="4" s="1"/>
  <c r="F918" i="4"/>
  <c r="G918" i="4" s="1"/>
  <c r="E918" i="4"/>
  <c r="D918" i="4"/>
  <c r="C918" i="4"/>
  <c r="B918" i="4"/>
  <c r="A918" i="4"/>
  <c r="R917" i="4"/>
  <c r="Q917" i="4"/>
  <c r="S917" i="4" s="1"/>
  <c r="O917" i="4"/>
  <c r="P917" i="4" s="1"/>
  <c r="N917" i="4"/>
  <c r="M917" i="4"/>
  <c r="L917" i="4"/>
  <c r="K917" i="4"/>
  <c r="I917" i="4"/>
  <c r="H917" i="4"/>
  <c r="F917" i="4"/>
  <c r="E917" i="4"/>
  <c r="G917" i="4" s="1"/>
  <c r="D917" i="4"/>
  <c r="C917" i="4"/>
  <c r="B917" i="4"/>
  <c r="A917" i="4"/>
  <c r="R916" i="4"/>
  <c r="Q916" i="4"/>
  <c r="S916" i="4" s="1"/>
  <c r="P916" i="4"/>
  <c r="O916" i="4"/>
  <c r="N916" i="4"/>
  <c r="L916" i="4"/>
  <c r="M916" i="4" s="1"/>
  <c r="K916" i="4"/>
  <c r="I916" i="4"/>
  <c r="H916" i="4"/>
  <c r="F916" i="4"/>
  <c r="E916" i="4"/>
  <c r="G916" i="4" s="1"/>
  <c r="D916" i="4"/>
  <c r="C916" i="4"/>
  <c r="B916" i="4"/>
  <c r="A916" i="4"/>
  <c r="S915" i="4"/>
  <c r="R915" i="4"/>
  <c r="Q915" i="4"/>
  <c r="O915" i="4"/>
  <c r="N915" i="4"/>
  <c r="L915" i="4"/>
  <c r="K915" i="4"/>
  <c r="M915" i="4" s="1"/>
  <c r="J915" i="4"/>
  <c r="I915" i="4"/>
  <c r="H915" i="4"/>
  <c r="G915" i="4"/>
  <c r="F915" i="4"/>
  <c r="E915" i="4"/>
  <c r="C915" i="4"/>
  <c r="B915" i="4"/>
  <c r="D915" i="4" s="1"/>
  <c r="A915" i="4"/>
  <c r="R914" i="4"/>
  <c r="S914" i="4" s="1"/>
  <c r="Q914" i="4"/>
  <c r="O914" i="4"/>
  <c r="N914" i="4"/>
  <c r="P914" i="4" s="1"/>
  <c r="L914" i="4"/>
  <c r="K914" i="4"/>
  <c r="I914" i="4"/>
  <c r="H914" i="4"/>
  <c r="J914" i="4" s="1"/>
  <c r="F914" i="4"/>
  <c r="G914" i="4" s="1"/>
  <c r="E914" i="4"/>
  <c r="D914" i="4"/>
  <c r="C914" i="4"/>
  <c r="B914" i="4"/>
  <c r="A914" i="4"/>
  <c r="R913" i="4"/>
  <c r="Q913" i="4"/>
  <c r="S913" i="4" s="1"/>
  <c r="O913" i="4"/>
  <c r="P913" i="4" s="1"/>
  <c r="N913" i="4"/>
  <c r="M913" i="4"/>
  <c r="L913" i="4"/>
  <c r="K913" i="4"/>
  <c r="I913" i="4"/>
  <c r="H913" i="4"/>
  <c r="F913" i="4"/>
  <c r="E913" i="4"/>
  <c r="G913" i="4" s="1"/>
  <c r="D913" i="4"/>
  <c r="C913" i="4"/>
  <c r="B913" i="4"/>
  <c r="A913" i="4"/>
  <c r="R912" i="4"/>
  <c r="Q912" i="4"/>
  <c r="S912" i="4" s="1"/>
  <c r="P912" i="4"/>
  <c r="O912" i="4"/>
  <c r="N912" i="4"/>
  <c r="L912" i="4"/>
  <c r="M912" i="4" s="1"/>
  <c r="K912" i="4"/>
  <c r="I912" i="4"/>
  <c r="H912" i="4"/>
  <c r="F912" i="4"/>
  <c r="E912" i="4"/>
  <c r="G912" i="4" s="1"/>
  <c r="D912" i="4"/>
  <c r="C912" i="4"/>
  <c r="B912" i="4"/>
  <c r="A912" i="4"/>
  <c r="S911" i="4"/>
  <c r="R911" i="4"/>
  <c r="Q911" i="4"/>
  <c r="O911" i="4"/>
  <c r="N911" i="4"/>
  <c r="L911" i="4"/>
  <c r="K911" i="4"/>
  <c r="M911" i="4" s="1"/>
  <c r="J911" i="4"/>
  <c r="I911" i="4"/>
  <c r="H911" i="4"/>
  <c r="G911" i="4"/>
  <c r="F911" i="4"/>
  <c r="E911" i="4"/>
  <c r="C911" i="4"/>
  <c r="B911" i="4"/>
  <c r="D911" i="4" s="1"/>
  <c r="A911" i="4"/>
  <c r="R910" i="4"/>
  <c r="S910" i="4" s="1"/>
  <c r="Q910" i="4"/>
  <c r="O910" i="4"/>
  <c r="N910" i="4"/>
  <c r="P910" i="4" s="1"/>
  <c r="L910" i="4"/>
  <c r="K910" i="4"/>
  <c r="I910" i="4"/>
  <c r="H910" i="4"/>
  <c r="J910" i="4" s="1"/>
  <c r="F910" i="4"/>
  <c r="G910" i="4" s="1"/>
  <c r="E910" i="4"/>
  <c r="D910" i="4"/>
  <c r="C910" i="4"/>
  <c r="B910" i="4"/>
  <c r="A910" i="4"/>
  <c r="R909" i="4"/>
  <c r="Q909" i="4"/>
  <c r="S909" i="4" s="1"/>
  <c r="O909" i="4"/>
  <c r="P909" i="4" s="1"/>
  <c r="N909" i="4"/>
  <c r="M909" i="4"/>
  <c r="L909" i="4"/>
  <c r="K909" i="4"/>
  <c r="I909" i="4"/>
  <c r="H909" i="4"/>
  <c r="F909" i="4"/>
  <c r="E909" i="4"/>
  <c r="G909" i="4" s="1"/>
  <c r="D909" i="4"/>
  <c r="C909" i="4"/>
  <c r="B909" i="4"/>
  <c r="A909" i="4"/>
  <c r="R908" i="4"/>
  <c r="Q908" i="4"/>
  <c r="S908" i="4" s="1"/>
  <c r="P908" i="4"/>
  <c r="O908" i="4"/>
  <c r="N908" i="4"/>
  <c r="L908" i="4"/>
  <c r="M908" i="4" s="1"/>
  <c r="K908" i="4"/>
  <c r="I908" i="4"/>
  <c r="H908" i="4"/>
  <c r="F908" i="4"/>
  <c r="E908" i="4"/>
  <c r="G908" i="4" s="1"/>
  <c r="D908" i="4"/>
  <c r="C908" i="4"/>
  <c r="B908" i="4"/>
  <c r="A908" i="4"/>
  <c r="S907" i="4"/>
  <c r="R907" i="4"/>
  <c r="Q907" i="4"/>
  <c r="O907" i="4"/>
  <c r="N907" i="4"/>
  <c r="L907" i="4"/>
  <c r="K907" i="4"/>
  <c r="M907" i="4" s="1"/>
  <c r="J907" i="4"/>
  <c r="I907" i="4"/>
  <c r="H907" i="4"/>
  <c r="G907" i="4"/>
  <c r="F907" i="4"/>
  <c r="E907" i="4"/>
  <c r="C907" i="4"/>
  <c r="B907" i="4"/>
  <c r="D907" i="4" s="1"/>
  <c r="A907" i="4"/>
  <c r="R906" i="4"/>
  <c r="S906" i="4" s="1"/>
  <c r="Q906" i="4"/>
  <c r="O906" i="4"/>
  <c r="N906" i="4"/>
  <c r="P906" i="4" s="1"/>
  <c r="L906" i="4"/>
  <c r="K906" i="4"/>
  <c r="I906" i="4"/>
  <c r="H906" i="4"/>
  <c r="J906" i="4" s="1"/>
  <c r="F906" i="4"/>
  <c r="G906" i="4" s="1"/>
  <c r="E906" i="4"/>
  <c r="D906" i="4"/>
  <c r="C906" i="4"/>
  <c r="B906" i="4"/>
  <c r="A906" i="4"/>
  <c r="R905" i="4"/>
  <c r="Q905" i="4"/>
  <c r="S905" i="4" s="1"/>
  <c r="O905" i="4"/>
  <c r="P905" i="4" s="1"/>
  <c r="N905" i="4"/>
  <c r="M905" i="4"/>
  <c r="L905" i="4"/>
  <c r="K905" i="4"/>
  <c r="I905" i="4"/>
  <c r="H905" i="4"/>
  <c r="F905" i="4"/>
  <c r="E905" i="4"/>
  <c r="G905" i="4" s="1"/>
  <c r="D905" i="4"/>
  <c r="C905" i="4"/>
  <c r="B905" i="4"/>
  <c r="A905" i="4"/>
  <c r="R904" i="4"/>
  <c r="Q904" i="4"/>
  <c r="S904" i="4" s="1"/>
  <c r="P904" i="4"/>
  <c r="O904" i="4"/>
  <c r="N904" i="4"/>
  <c r="L904" i="4"/>
  <c r="M904" i="4" s="1"/>
  <c r="K904" i="4"/>
  <c r="I904" i="4"/>
  <c r="H904" i="4"/>
  <c r="F904" i="4"/>
  <c r="E904" i="4"/>
  <c r="G904" i="4" s="1"/>
  <c r="D904" i="4"/>
  <c r="C904" i="4"/>
  <c r="B904" i="4"/>
  <c r="A904" i="4"/>
  <c r="S903" i="4"/>
  <c r="R903" i="4"/>
  <c r="Q903" i="4"/>
  <c r="O903" i="4"/>
  <c r="N903" i="4"/>
  <c r="L903" i="4"/>
  <c r="K903" i="4"/>
  <c r="M903" i="4" s="1"/>
  <c r="J903" i="4"/>
  <c r="I903" i="4"/>
  <c r="H903" i="4"/>
  <c r="G903" i="4"/>
  <c r="F903" i="4"/>
  <c r="E903" i="4"/>
  <c r="C903" i="4"/>
  <c r="B903" i="4"/>
  <c r="D903" i="4" s="1"/>
  <c r="A903" i="4"/>
  <c r="R902" i="4"/>
  <c r="S902" i="4" s="1"/>
  <c r="Q902" i="4"/>
  <c r="O902" i="4"/>
  <c r="N902" i="4"/>
  <c r="P902" i="4" s="1"/>
  <c r="L902" i="4"/>
  <c r="K902" i="4"/>
  <c r="I902" i="4"/>
  <c r="H902" i="4"/>
  <c r="J902" i="4" s="1"/>
  <c r="F902" i="4"/>
  <c r="G902" i="4" s="1"/>
  <c r="E902" i="4"/>
  <c r="D902" i="4"/>
  <c r="C902" i="4"/>
  <c r="B902" i="4"/>
  <c r="A902" i="4"/>
  <c r="R901" i="4"/>
  <c r="Q901" i="4"/>
  <c r="S901" i="4" s="1"/>
  <c r="O901" i="4"/>
  <c r="P901" i="4" s="1"/>
  <c r="N901" i="4"/>
  <c r="M901" i="4"/>
  <c r="L901" i="4"/>
  <c r="K901" i="4"/>
  <c r="I901" i="4"/>
  <c r="H901" i="4"/>
  <c r="F901" i="4"/>
  <c r="E901" i="4"/>
  <c r="G901" i="4" s="1"/>
  <c r="D901" i="4"/>
  <c r="C901" i="4"/>
  <c r="B901" i="4"/>
  <c r="A901" i="4"/>
  <c r="R900" i="4"/>
  <c r="Q900" i="4"/>
  <c r="S900" i="4" s="1"/>
  <c r="P900" i="4"/>
  <c r="O900" i="4"/>
  <c r="N900" i="4"/>
  <c r="L900" i="4"/>
  <c r="M900" i="4" s="1"/>
  <c r="K900" i="4"/>
  <c r="I900" i="4"/>
  <c r="H900" i="4"/>
  <c r="F900" i="4"/>
  <c r="E900" i="4"/>
  <c r="G900" i="4" s="1"/>
  <c r="D900" i="4"/>
  <c r="C900" i="4"/>
  <c r="B900" i="4"/>
  <c r="A900" i="4"/>
  <c r="S899" i="4"/>
  <c r="R899" i="4"/>
  <c r="Q899" i="4"/>
  <c r="O899" i="4"/>
  <c r="N899" i="4"/>
  <c r="L899" i="4"/>
  <c r="K899" i="4"/>
  <c r="M899" i="4" s="1"/>
  <c r="J899" i="4"/>
  <c r="I899" i="4"/>
  <c r="H899" i="4"/>
  <c r="G899" i="4"/>
  <c r="F899" i="4"/>
  <c r="E899" i="4"/>
  <c r="C899" i="4"/>
  <c r="B899" i="4"/>
  <c r="D899" i="4" s="1"/>
  <c r="A899" i="4"/>
  <c r="R898" i="4"/>
  <c r="S898" i="4" s="1"/>
  <c r="Q898" i="4"/>
  <c r="O898" i="4"/>
  <c r="N898" i="4"/>
  <c r="P898" i="4" s="1"/>
  <c r="L898" i="4"/>
  <c r="K898" i="4"/>
  <c r="I898" i="4"/>
  <c r="H898" i="4"/>
  <c r="J898" i="4" s="1"/>
  <c r="F898" i="4"/>
  <c r="G898" i="4" s="1"/>
  <c r="E898" i="4"/>
  <c r="D898" i="4"/>
  <c r="C898" i="4"/>
  <c r="B898" i="4"/>
  <c r="A898" i="4"/>
  <c r="R897" i="4"/>
  <c r="Q897" i="4"/>
  <c r="S897" i="4" s="1"/>
  <c r="O897" i="4"/>
  <c r="P897" i="4" s="1"/>
  <c r="N897" i="4"/>
  <c r="M897" i="4"/>
  <c r="L897" i="4"/>
  <c r="K897" i="4"/>
  <c r="I897" i="4"/>
  <c r="H897" i="4"/>
  <c r="F897" i="4"/>
  <c r="E897" i="4"/>
  <c r="G897" i="4" s="1"/>
  <c r="D897" i="4"/>
  <c r="C897" i="4"/>
  <c r="B897" i="4"/>
  <c r="A897" i="4"/>
  <c r="R896" i="4"/>
  <c r="Q896" i="4"/>
  <c r="S896" i="4" s="1"/>
  <c r="P896" i="4"/>
  <c r="O896" i="4"/>
  <c r="N896" i="4"/>
  <c r="L896" i="4"/>
  <c r="M896" i="4" s="1"/>
  <c r="K896" i="4"/>
  <c r="I896" i="4"/>
  <c r="H896" i="4"/>
  <c r="F896" i="4"/>
  <c r="E896" i="4"/>
  <c r="G896" i="4" s="1"/>
  <c r="D896" i="4"/>
  <c r="C896" i="4"/>
  <c r="B896" i="4"/>
  <c r="A896" i="4"/>
  <c r="S895" i="4"/>
  <c r="R895" i="4"/>
  <c r="Q895" i="4"/>
  <c r="O895" i="4"/>
  <c r="N895" i="4"/>
  <c r="L895" i="4"/>
  <c r="K895" i="4"/>
  <c r="M895" i="4" s="1"/>
  <c r="J895" i="4"/>
  <c r="I895" i="4"/>
  <c r="H895" i="4"/>
  <c r="G895" i="4"/>
  <c r="F895" i="4"/>
  <c r="E895" i="4"/>
  <c r="C895" i="4"/>
  <c r="B895" i="4"/>
  <c r="D895" i="4" s="1"/>
  <c r="A895" i="4"/>
  <c r="R894" i="4"/>
  <c r="S894" i="4" s="1"/>
  <c r="Q894" i="4"/>
  <c r="O894" i="4"/>
  <c r="N894" i="4"/>
  <c r="P894" i="4" s="1"/>
  <c r="L894" i="4"/>
  <c r="K894" i="4"/>
  <c r="I894" i="4"/>
  <c r="H894" i="4"/>
  <c r="J894" i="4" s="1"/>
  <c r="F894" i="4"/>
  <c r="G894" i="4" s="1"/>
  <c r="E894" i="4"/>
  <c r="D894" i="4"/>
  <c r="C894" i="4"/>
  <c r="B894" i="4"/>
  <c r="A894" i="4"/>
  <c r="R893" i="4"/>
  <c r="Q893" i="4"/>
  <c r="S893" i="4" s="1"/>
  <c r="O893" i="4"/>
  <c r="P893" i="4" s="1"/>
  <c r="N893" i="4"/>
  <c r="M893" i="4"/>
  <c r="L893" i="4"/>
  <c r="K893" i="4"/>
  <c r="I893" i="4"/>
  <c r="H893" i="4"/>
  <c r="F893" i="4"/>
  <c r="E893" i="4"/>
  <c r="G893" i="4" s="1"/>
  <c r="D893" i="4"/>
  <c r="C893" i="4"/>
  <c r="B893" i="4"/>
  <c r="A893" i="4"/>
  <c r="R892" i="4"/>
  <c r="Q892" i="4"/>
  <c r="S892" i="4" s="1"/>
  <c r="P892" i="4"/>
  <c r="O892" i="4"/>
  <c r="N892" i="4"/>
  <c r="L892" i="4"/>
  <c r="M892" i="4" s="1"/>
  <c r="K892" i="4"/>
  <c r="I892" i="4"/>
  <c r="H892" i="4"/>
  <c r="F892" i="4"/>
  <c r="E892" i="4"/>
  <c r="G892" i="4" s="1"/>
  <c r="D892" i="4"/>
  <c r="C892" i="4"/>
  <c r="B892" i="4"/>
  <c r="A892" i="4"/>
  <c r="S891" i="4"/>
  <c r="R891" i="4"/>
  <c r="Q891" i="4"/>
  <c r="O891" i="4"/>
  <c r="N891" i="4"/>
  <c r="L891" i="4"/>
  <c r="K891" i="4"/>
  <c r="M891" i="4" s="1"/>
  <c r="J891" i="4"/>
  <c r="I891" i="4"/>
  <c r="H891" i="4"/>
  <c r="G891" i="4"/>
  <c r="F891" i="4"/>
  <c r="E891" i="4"/>
  <c r="C891" i="4"/>
  <c r="B891" i="4"/>
  <c r="D891" i="4" s="1"/>
  <c r="A891" i="4"/>
  <c r="R890" i="4"/>
  <c r="S890" i="4" s="1"/>
  <c r="Q890" i="4"/>
  <c r="O890" i="4"/>
  <c r="N890" i="4"/>
  <c r="P890" i="4" s="1"/>
  <c r="L890" i="4"/>
  <c r="K890" i="4"/>
  <c r="I890" i="4"/>
  <c r="H890" i="4"/>
  <c r="J890" i="4" s="1"/>
  <c r="F890" i="4"/>
  <c r="G890" i="4" s="1"/>
  <c r="E890" i="4"/>
  <c r="D890" i="4"/>
  <c r="C890" i="4"/>
  <c r="B890" i="4"/>
  <c r="A890" i="4"/>
  <c r="R889" i="4"/>
  <c r="Q889" i="4"/>
  <c r="S889" i="4" s="1"/>
  <c r="O889" i="4"/>
  <c r="P889" i="4" s="1"/>
  <c r="N889" i="4"/>
  <c r="M889" i="4"/>
  <c r="L889" i="4"/>
  <c r="K889" i="4"/>
  <c r="I889" i="4"/>
  <c r="H889" i="4"/>
  <c r="F889" i="4"/>
  <c r="E889" i="4"/>
  <c r="G889" i="4" s="1"/>
  <c r="D889" i="4"/>
  <c r="C889" i="4"/>
  <c r="B889" i="4"/>
  <c r="A889" i="4"/>
  <c r="R888" i="4"/>
  <c r="Q888" i="4"/>
  <c r="S888" i="4" s="1"/>
  <c r="P888" i="4"/>
  <c r="O888" i="4"/>
  <c r="N888" i="4"/>
  <c r="L888" i="4"/>
  <c r="M888" i="4" s="1"/>
  <c r="K888" i="4"/>
  <c r="I888" i="4"/>
  <c r="H888" i="4"/>
  <c r="F888" i="4"/>
  <c r="E888" i="4"/>
  <c r="G888" i="4" s="1"/>
  <c r="D888" i="4"/>
  <c r="C888" i="4"/>
  <c r="B888" i="4"/>
  <c r="A888" i="4"/>
  <c r="S887" i="4"/>
  <c r="R887" i="4"/>
  <c r="Q887" i="4"/>
  <c r="O887" i="4"/>
  <c r="N887" i="4"/>
  <c r="L887" i="4"/>
  <c r="K887" i="4"/>
  <c r="M887" i="4" s="1"/>
  <c r="J887" i="4"/>
  <c r="I887" i="4"/>
  <c r="H887" i="4"/>
  <c r="G887" i="4"/>
  <c r="F887" i="4"/>
  <c r="E887" i="4"/>
  <c r="C887" i="4"/>
  <c r="B887" i="4"/>
  <c r="D887" i="4" s="1"/>
  <c r="A887" i="4"/>
  <c r="R886" i="4"/>
  <c r="S886" i="4" s="1"/>
  <c r="Q886" i="4"/>
  <c r="O886" i="4"/>
  <c r="N886" i="4"/>
  <c r="P886" i="4" s="1"/>
  <c r="L886" i="4"/>
  <c r="K886" i="4"/>
  <c r="I886" i="4"/>
  <c r="H886" i="4"/>
  <c r="J886" i="4" s="1"/>
  <c r="F886" i="4"/>
  <c r="G886" i="4" s="1"/>
  <c r="E886" i="4"/>
  <c r="D886" i="4"/>
  <c r="C886" i="4"/>
  <c r="B886" i="4"/>
  <c r="A886" i="4"/>
  <c r="R885" i="4"/>
  <c r="Q885" i="4"/>
  <c r="S885" i="4" s="1"/>
  <c r="O885" i="4"/>
  <c r="P885" i="4" s="1"/>
  <c r="N885" i="4"/>
  <c r="L885" i="4"/>
  <c r="K885" i="4"/>
  <c r="M885" i="4" s="1"/>
  <c r="I885" i="4"/>
  <c r="H885" i="4"/>
  <c r="F885" i="4"/>
  <c r="E885" i="4"/>
  <c r="G885" i="4" s="1"/>
  <c r="D885" i="4"/>
  <c r="C885" i="4"/>
  <c r="B885" i="4"/>
  <c r="A885" i="4"/>
  <c r="R884" i="4"/>
  <c r="Q884" i="4"/>
  <c r="S884" i="4" s="1"/>
  <c r="P884" i="4"/>
  <c r="O884" i="4"/>
  <c r="N884" i="4"/>
  <c r="M884" i="4"/>
  <c r="L884" i="4"/>
  <c r="K884" i="4"/>
  <c r="I884" i="4"/>
  <c r="H884" i="4"/>
  <c r="J884" i="4" s="1"/>
  <c r="F884" i="4"/>
  <c r="E884" i="4"/>
  <c r="G884" i="4" s="1"/>
  <c r="D884" i="4"/>
  <c r="C884" i="4"/>
  <c r="B884" i="4"/>
  <c r="A884" i="4"/>
  <c r="S883" i="4"/>
  <c r="R883" i="4"/>
  <c r="Q883" i="4"/>
  <c r="O883" i="4"/>
  <c r="N883" i="4"/>
  <c r="P883" i="4" s="1"/>
  <c r="L883" i="4"/>
  <c r="K883" i="4"/>
  <c r="M883" i="4" s="1"/>
  <c r="J883" i="4"/>
  <c r="I883" i="4"/>
  <c r="H883" i="4"/>
  <c r="F883" i="4"/>
  <c r="G883" i="4" s="1"/>
  <c r="E883" i="4"/>
  <c r="C883" i="4"/>
  <c r="B883" i="4"/>
  <c r="A883" i="4"/>
  <c r="S882" i="4"/>
  <c r="R882" i="4"/>
  <c r="Q882" i="4"/>
  <c r="O882" i="4"/>
  <c r="N882" i="4"/>
  <c r="P882" i="4" s="1"/>
  <c r="L882" i="4"/>
  <c r="K882" i="4"/>
  <c r="J882" i="4"/>
  <c r="I882" i="4"/>
  <c r="H882" i="4"/>
  <c r="F882" i="4"/>
  <c r="G882" i="4" s="1"/>
  <c r="E882" i="4"/>
  <c r="D882" i="4"/>
  <c r="C882" i="4"/>
  <c r="B882" i="4"/>
  <c r="A882" i="4"/>
  <c r="R881" i="4"/>
  <c r="Q881" i="4"/>
  <c r="S881" i="4" s="1"/>
  <c r="O881" i="4"/>
  <c r="P881" i="4" s="1"/>
  <c r="N881" i="4"/>
  <c r="L881" i="4"/>
  <c r="K881" i="4"/>
  <c r="M881" i="4" s="1"/>
  <c r="I881" i="4"/>
  <c r="H881" i="4"/>
  <c r="F881" i="4"/>
  <c r="E881" i="4"/>
  <c r="G881" i="4" s="1"/>
  <c r="D881" i="4"/>
  <c r="C881" i="4"/>
  <c r="B881" i="4"/>
  <c r="A881" i="4"/>
  <c r="R880" i="4"/>
  <c r="Q880" i="4"/>
  <c r="S880" i="4" s="1"/>
  <c r="P880" i="4"/>
  <c r="O880" i="4"/>
  <c r="N880" i="4"/>
  <c r="M880" i="4"/>
  <c r="L880" i="4"/>
  <c r="K880" i="4"/>
  <c r="I880" i="4"/>
  <c r="H880" i="4"/>
  <c r="J880" i="4" s="1"/>
  <c r="F880" i="4"/>
  <c r="E880" i="4"/>
  <c r="G880" i="4" s="1"/>
  <c r="D880" i="4"/>
  <c r="C880" i="4"/>
  <c r="B880" i="4"/>
  <c r="A880" i="4"/>
  <c r="S879" i="4"/>
  <c r="R879" i="4"/>
  <c r="Q879" i="4"/>
  <c r="O879" i="4"/>
  <c r="N879" i="4"/>
  <c r="P879" i="4" s="1"/>
  <c r="L879" i="4"/>
  <c r="K879" i="4"/>
  <c r="M879" i="4" s="1"/>
  <c r="J879" i="4"/>
  <c r="I879" i="4"/>
  <c r="H879" i="4"/>
  <c r="F879" i="4"/>
  <c r="G879" i="4" s="1"/>
  <c r="E879" i="4"/>
  <c r="C879" i="4"/>
  <c r="B879" i="4"/>
  <c r="A879" i="4"/>
  <c r="S878" i="4"/>
  <c r="R878" i="4"/>
  <c r="Q878" i="4"/>
  <c r="O878" i="4"/>
  <c r="N878" i="4"/>
  <c r="P878" i="4" s="1"/>
  <c r="L878" i="4"/>
  <c r="K878" i="4"/>
  <c r="J878" i="4"/>
  <c r="I878" i="4"/>
  <c r="H878" i="4"/>
  <c r="F878" i="4"/>
  <c r="G878" i="4" s="1"/>
  <c r="E878" i="4"/>
  <c r="D878" i="4"/>
  <c r="C878" i="4"/>
  <c r="B878" i="4"/>
  <c r="A878" i="4"/>
  <c r="R877" i="4"/>
  <c r="Q877" i="4"/>
  <c r="S877" i="4" s="1"/>
  <c r="O877" i="4"/>
  <c r="P877" i="4" s="1"/>
  <c r="N877" i="4"/>
  <c r="L877" i="4"/>
  <c r="K877" i="4"/>
  <c r="M877" i="4" s="1"/>
  <c r="I877" i="4"/>
  <c r="H877" i="4"/>
  <c r="F877" i="4"/>
  <c r="E877" i="4"/>
  <c r="G877" i="4" s="1"/>
  <c r="D877" i="4"/>
  <c r="C877" i="4"/>
  <c r="B877" i="4"/>
  <c r="A877" i="4"/>
  <c r="R876" i="4"/>
  <c r="Q876" i="4"/>
  <c r="S876" i="4" s="1"/>
  <c r="P876" i="4"/>
  <c r="O876" i="4"/>
  <c r="N876" i="4"/>
  <c r="L876" i="4"/>
  <c r="M876" i="4" s="1"/>
  <c r="K876" i="4"/>
  <c r="I876" i="4"/>
  <c r="H876" i="4"/>
  <c r="J876" i="4" s="1"/>
  <c r="F876" i="4"/>
  <c r="E876" i="4"/>
  <c r="G876" i="4" s="1"/>
  <c r="D876" i="4"/>
  <c r="C876" i="4"/>
  <c r="B876" i="4"/>
  <c r="A876" i="4"/>
  <c r="S875" i="4"/>
  <c r="R875" i="4"/>
  <c r="Q875" i="4"/>
  <c r="O875" i="4"/>
  <c r="N875" i="4"/>
  <c r="P875" i="4" s="1"/>
  <c r="L875" i="4"/>
  <c r="K875" i="4"/>
  <c r="M875" i="4" s="1"/>
  <c r="J875" i="4"/>
  <c r="I875" i="4"/>
  <c r="H875" i="4"/>
  <c r="F875" i="4"/>
  <c r="G875" i="4" s="1"/>
  <c r="E875" i="4"/>
  <c r="C875" i="4"/>
  <c r="B875" i="4"/>
  <c r="A875" i="4"/>
  <c r="S874" i="4"/>
  <c r="R874" i="4"/>
  <c r="Q874" i="4"/>
  <c r="O874" i="4"/>
  <c r="N874" i="4"/>
  <c r="L874" i="4"/>
  <c r="K874" i="4"/>
  <c r="J874" i="4"/>
  <c r="I874" i="4"/>
  <c r="H874" i="4"/>
  <c r="F874" i="4"/>
  <c r="G874" i="4" s="1"/>
  <c r="E874" i="4"/>
  <c r="D874" i="4"/>
  <c r="C874" i="4"/>
  <c r="B874" i="4"/>
  <c r="A874" i="4"/>
  <c r="R873" i="4"/>
  <c r="Q873" i="4"/>
  <c r="S873" i="4" s="1"/>
  <c r="O873" i="4"/>
  <c r="P873" i="4" s="1"/>
  <c r="N873" i="4"/>
  <c r="L873" i="4"/>
  <c r="K873" i="4"/>
  <c r="M873" i="4" s="1"/>
  <c r="I873" i="4"/>
  <c r="H873" i="4"/>
  <c r="F873" i="4"/>
  <c r="E873" i="4"/>
  <c r="G873" i="4" s="1"/>
  <c r="D873" i="4"/>
  <c r="C873" i="4"/>
  <c r="B873" i="4"/>
  <c r="A873" i="4"/>
  <c r="R872" i="4"/>
  <c r="Q872" i="4"/>
  <c r="S872" i="4" s="1"/>
  <c r="P872" i="4"/>
  <c r="O872" i="4"/>
  <c r="N872" i="4"/>
  <c r="L872" i="4"/>
  <c r="M872" i="4" s="1"/>
  <c r="K872" i="4"/>
  <c r="I872" i="4"/>
  <c r="H872" i="4"/>
  <c r="F872" i="4"/>
  <c r="E872" i="4"/>
  <c r="G872" i="4" s="1"/>
  <c r="D872" i="4"/>
  <c r="C872" i="4"/>
  <c r="B872" i="4"/>
  <c r="A872" i="4"/>
  <c r="S871" i="4"/>
  <c r="R871" i="4"/>
  <c r="Q871" i="4"/>
  <c r="O871" i="4"/>
  <c r="N871" i="4"/>
  <c r="L871" i="4"/>
  <c r="K871" i="4"/>
  <c r="M871" i="4" s="1"/>
  <c r="J871" i="4"/>
  <c r="I871" i="4"/>
  <c r="H871" i="4"/>
  <c r="F871" i="4"/>
  <c r="G871" i="4" s="1"/>
  <c r="E871" i="4"/>
  <c r="C871" i="4"/>
  <c r="B871" i="4"/>
  <c r="A871" i="4"/>
  <c r="S870" i="4"/>
  <c r="R870" i="4"/>
  <c r="Q870" i="4"/>
  <c r="O870" i="4"/>
  <c r="N870" i="4"/>
  <c r="P870" i="4" s="1"/>
  <c r="L870" i="4"/>
  <c r="K870" i="4"/>
  <c r="J870" i="4"/>
  <c r="I870" i="4"/>
  <c r="H870" i="4"/>
  <c r="F870" i="4"/>
  <c r="G870" i="4" s="1"/>
  <c r="E870" i="4"/>
  <c r="D870" i="4"/>
  <c r="C870" i="4"/>
  <c r="B870" i="4"/>
  <c r="A870" i="4"/>
  <c r="R869" i="4"/>
  <c r="Q869" i="4"/>
  <c r="S869" i="4" s="1"/>
  <c r="O869" i="4"/>
  <c r="P869" i="4" s="1"/>
  <c r="N869" i="4"/>
  <c r="L869" i="4"/>
  <c r="K869" i="4"/>
  <c r="M869" i="4" s="1"/>
  <c r="I869" i="4"/>
  <c r="H869" i="4"/>
  <c r="F869" i="4"/>
  <c r="E869" i="4"/>
  <c r="G869" i="4" s="1"/>
  <c r="C869" i="4"/>
  <c r="B869" i="4"/>
  <c r="D869" i="4" s="1"/>
  <c r="A869" i="4"/>
  <c r="R868" i="4"/>
  <c r="Q868" i="4"/>
  <c r="S868" i="4" s="1"/>
  <c r="O868" i="4"/>
  <c r="N868" i="4"/>
  <c r="M868" i="4"/>
  <c r="L868" i="4"/>
  <c r="K868" i="4"/>
  <c r="I868" i="4"/>
  <c r="J868" i="4" s="1"/>
  <c r="H868" i="4"/>
  <c r="F868" i="4"/>
  <c r="E868" i="4"/>
  <c r="G868" i="4" s="1"/>
  <c r="C868" i="4"/>
  <c r="B868" i="4"/>
  <c r="A868" i="4"/>
  <c r="S867" i="4"/>
  <c r="R867" i="4"/>
  <c r="Q867" i="4"/>
  <c r="P867" i="4"/>
  <c r="O867" i="4"/>
  <c r="N867" i="4"/>
  <c r="L867" i="4"/>
  <c r="K867" i="4"/>
  <c r="M867" i="4" s="1"/>
  <c r="J867" i="4"/>
  <c r="I867" i="4"/>
  <c r="H867" i="4"/>
  <c r="G867" i="4"/>
  <c r="F867" i="4"/>
  <c r="E867" i="4"/>
  <c r="C867" i="4"/>
  <c r="B867" i="4"/>
  <c r="D867" i="4" s="1"/>
  <c r="T867" i="4" s="1"/>
  <c r="A867" i="4"/>
  <c r="S866" i="4"/>
  <c r="R866" i="4"/>
  <c r="Q866" i="4"/>
  <c r="O866" i="4"/>
  <c r="P866" i="4" s="1"/>
  <c r="N866" i="4"/>
  <c r="L866" i="4"/>
  <c r="K866" i="4"/>
  <c r="M866" i="4" s="1"/>
  <c r="I866" i="4"/>
  <c r="H866" i="4"/>
  <c r="G866" i="4"/>
  <c r="F866" i="4"/>
  <c r="E866" i="4"/>
  <c r="C866" i="4"/>
  <c r="D866" i="4" s="1"/>
  <c r="B866" i="4"/>
  <c r="A866" i="4"/>
  <c r="R865" i="4"/>
  <c r="Q865" i="4"/>
  <c r="O865" i="4"/>
  <c r="N865" i="4"/>
  <c r="P865" i="4" s="1"/>
  <c r="M865" i="4"/>
  <c r="L865" i="4"/>
  <c r="K865" i="4"/>
  <c r="J865" i="4"/>
  <c r="I865" i="4"/>
  <c r="H865" i="4"/>
  <c r="F865" i="4"/>
  <c r="E865" i="4"/>
  <c r="G865" i="4" s="1"/>
  <c r="C865" i="4"/>
  <c r="B865" i="4"/>
  <c r="D865" i="4" s="1"/>
  <c r="A865" i="4"/>
  <c r="R864" i="4"/>
  <c r="Q864" i="4"/>
  <c r="S864" i="4" s="1"/>
  <c r="O864" i="4"/>
  <c r="N864" i="4"/>
  <c r="M864" i="4"/>
  <c r="L864" i="4"/>
  <c r="K864" i="4"/>
  <c r="I864" i="4"/>
  <c r="J864" i="4" s="1"/>
  <c r="H864" i="4"/>
  <c r="F864" i="4"/>
  <c r="E864" i="4"/>
  <c r="G864" i="4" s="1"/>
  <c r="C864" i="4"/>
  <c r="B864" i="4"/>
  <c r="A864" i="4"/>
  <c r="S863" i="4"/>
  <c r="R863" i="4"/>
  <c r="Q863" i="4"/>
  <c r="O863" i="4"/>
  <c r="P863" i="4" s="1"/>
  <c r="N863" i="4"/>
  <c r="L863" i="4"/>
  <c r="K863" i="4"/>
  <c r="M863" i="4" s="1"/>
  <c r="J863" i="4"/>
  <c r="I863" i="4"/>
  <c r="H863" i="4"/>
  <c r="F863" i="4"/>
  <c r="G863" i="4" s="1"/>
  <c r="E863" i="4"/>
  <c r="C863" i="4"/>
  <c r="B863" i="4"/>
  <c r="A863" i="4"/>
  <c r="S862" i="4"/>
  <c r="R862" i="4"/>
  <c r="Q862" i="4"/>
  <c r="O862" i="4"/>
  <c r="P862" i="4" s="1"/>
  <c r="N862" i="4"/>
  <c r="L862" i="4"/>
  <c r="K862" i="4"/>
  <c r="M862" i="4" s="1"/>
  <c r="I862" i="4"/>
  <c r="H862" i="4"/>
  <c r="G862" i="4"/>
  <c r="F862" i="4"/>
  <c r="E862" i="4"/>
  <c r="C862" i="4"/>
  <c r="D862" i="4" s="1"/>
  <c r="B862" i="4"/>
  <c r="A862" i="4"/>
  <c r="R861" i="4"/>
  <c r="Q861" i="4"/>
  <c r="O861" i="4"/>
  <c r="N861" i="4"/>
  <c r="P861" i="4" s="1"/>
  <c r="M861" i="4"/>
  <c r="L861" i="4"/>
  <c r="K861" i="4"/>
  <c r="J861" i="4"/>
  <c r="I861" i="4"/>
  <c r="H861" i="4"/>
  <c r="F861" i="4"/>
  <c r="E861" i="4"/>
  <c r="G861" i="4" s="1"/>
  <c r="C861" i="4"/>
  <c r="B861" i="4"/>
  <c r="D861" i="4" s="1"/>
  <c r="A861" i="4"/>
  <c r="R860" i="4"/>
  <c r="Q860" i="4"/>
  <c r="O860" i="4"/>
  <c r="N860" i="4"/>
  <c r="M860" i="4"/>
  <c r="L860" i="4"/>
  <c r="K860" i="4"/>
  <c r="I860" i="4"/>
  <c r="J860" i="4" s="1"/>
  <c r="H860" i="4"/>
  <c r="F860" i="4"/>
  <c r="E860" i="4"/>
  <c r="G860" i="4" s="1"/>
  <c r="C860" i="4"/>
  <c r="B860" i="4"/>
  <c r="A860" i="4"/>
  <c r="S859" i="4"/>
  <c r="R859" i="4"/>
  <c r="Q859" i="4"/>
  <c r="O859" i="4"/>
  <c r="P859" i="4" s="1"/>
  <c r="N859" i="4"/>
  <c r="L859" i="4"/>
  <c r="K859" i="4"/>
  <c r="M859" i="4" s="1"/>
  <c r="J859" i="4"/>
  <c r="I859" i="4"/>
  <c r="H859" i="4"/>
  <c r="F859" i="4"/>
  <c r="G859" i="4" s="1"/>
  <c r="E859" i="4"/>
  <c r="C859" i="4"/>
  <c r="B859" i="4"/>
  <c r="D859" i="4" s="1"/>
  <c r="A859" i="4"/>
  <c r="S858" i="4"/>
  <c r="R858" i="4"/>
  <c r="Q858" i="4"/>
  <c r="P858" i="4"/>
  <c r="O858" i="4"/>
  <c r="N858" i="4"/>
  <c r="L858" i="4"/>
  <c r="K858" i="4"/>
  <c r="M858" i="4" s="1"/>
  <c r="I858" i="4"/>
  <c r="H858" i="4"/>
  <c r="G858" i="4"/>
  <c r="F858" i="4"/>
  <c r="E858" i="4"/>
  <c r="C858" i="4"/>
  <c r="D858" i="4" s="1"/>
  <c r="B858" i="4"/>
  <c r="A858" i="4"/>
  <c r="R857" i="4"/>
  <c r="Q857" i="4"/>
  <c r="O857" i="4"/>
  <c r="N857" i="4"/>
  <c r="P857" i="4" s="1"/>
  <c r="M857" i="4"/>
  <c r="L857" i="4"/>
  <c r="K857" i="4"/>
  <c r="J857" i="4"/>
  <c r="I857" i="4"/>
  <c r="H857" i="4"/>
  <c r="F857" i="4"/>
  <c r="E857" i="4"/>
  <c r="C857" i="4"/>
  <c r="B857" i="4"/>
  <c r="D857" i="4" s="1"/>
  <c r="A857" i="4"/>
  <c r="R856" i="4"/>
  <c r="Q856" i="4"/>
  <c r="S856" i="4" s="1"/>
  <c r="O856" i="4"/>
  <c r="N856" i="4"/>
  <c r="M856" i="4"/>
  <c r="L856" i="4"/>
  <c r="K856" i="4"/>
  <c r="I856" i="4"/>
  <c r="J856" i="4" s="1"/>
  <c r="H856" i="4"/>
  <c r="F856" i="4"/>
  <c r="E856" i="4"/>
  <c r="G856" i="4" s="1"/>
  <c r="C856" i="4"/>
  <c r="B856" i="4"/>
  <c r="A856" i="4"/>
  <c r="S855" i="4"/>
  <c r="R855" i="4"/>
  <c r="Q855" i="4"/>
  <c r="O855" i="4"/>
  <c r="P855" i="4" s="1"/>
  <c r="N855" i="4"/>
  <c r="L855" i="4"/>
  <c r="K855" i="4"/>
  <c r="M855" i="4" s="1"/>
  <c r="J855" i="4"/>
  <c r="I855" i="4"/>
  <c r="H855" i="4"/>
  <c r="F855" i="4"/>
  <c r="G855" i="4" s="1"/>
  <c r="E855" i="4"/>
  <c r="C855" i="4"/>
  <c r="B855" i="4"/>
  <c r="D855" i="4" s="1"/>
  <c r="A855" i="4"/>
  <c r="S854" i="4"/>
  <c r="R854" i="4"/>
  <c r="Q854" i="4"/>
  <c r="O854" i="4"/>
  <c r="P854" i="4" s="1"/>
  <c r="N854" i="4"/>
  <c r="L854" i="4"/>
  <c r="K854" i="4"/>
  <c r="I854" i="4"/>
  <c r="H854" i="4"/>
  <c r="G854" i="4"/>
  <c r="F854" i="4"/>
  <c r="E854" i="4"/>
  <c r="C854" i="4"/>
  <c r="D854" i="4" s="1"/>
  <c r="B854" i="4"/>
  <c r="A854" i="4"/>
  <c r="R853" i="4"/>
  <c r="Q853" i="4"/>
  <c r="O853" i="4"/>
  <c r="N853" i="4"/>
  <c r="P853" i="4" s="1"/>
  <c r="L853" i="4"/>
  <c r="K853" i="4"/>
  <c r="M853" i="4" s="1"/>
  <c r="J853" i="4"/>
  <c r="I853" i="4"/>
  <c r="H853" i="4"/>
  <c r="G853" i="4"/>
  <c r="F853" i="4"/>
  <c r="E853" i="4"/>
  <c r="C853" i="4"/>
  <c r="B853" i="4"/>
  <c r="D853" i="4" s="1"/>
  <c r="A853" i="4"/>
  <c r="S852" i="4"/>
  <c r="R852" i="4"/>
  <c r="Q852" i="4"/>
  <c r="O852" i="4"/>
  <c r="P852" i="4" s="1"/>
  <c r="N852" i="4"/>
  <c r="L852" i="4"/>
  <c r="K852" i="4"/>
  <c r="M852" i="4" s="1"/>
  <c r="I852" i="4"/>
  <c r="H852" i="4"/>
  <c r="J852" i="4" s="1"/>
  <c r="G852" i="4"/>
  <c r="F852" i="4"/>
  <c r="E852" i="4"/>
  <c r="D852" i="4"/>
  <c r="T852" i="4" s="1"/>
  <c r="C852" i="4"/>
  <c r="B852" i="4"/>
  <c r="A852" i="4"/>
  <c r="R851" i="4"/>
  <c r="Q851" i="4"/>
  <c r="S851" i="4" s="1"/>
  <c r="P851" i="4"/>
  <c r="O851" i="4"/>
  <c r="N851" i="4"/>
  <c r="M851" i="4"/>
  <c r="L851" i="4"/>
  <c r="K851" i="4"/>
  <c r="I851" i="4"/>
  <c r="H851" i="4"/>
  <c r="J851" i="4" s="1"/>
  <c r="F851" i="4"/>
  <c r="E851" i="4"/>
  <c r="G851" i="4" s="1"/>
  <c r="D851" i="4"/>
  <c r="C851" i="4"/>
  <c r="B851" i="4"/>
  <c r="A851" i="4"/>
  <c r="R850" i="4"/>
  <c r="Q850" i="4"/>
  <c r="S850" i="4" s="1"/>
  <c r="O850" i="4"/>
  <c r="N850" i="4"/>
  <c r="P850" i="4" s="1"/>
  <c r="M850" i="4"/>
  <c r="L850" i="4"/>
  <c r="K850" i="4"/>
  <c r="I850" i="4"/>
  <c r="J850" i="4" s="1"/>
  <c r="H850" i="4"/>
  <c r="F850" i="4"/>
  <c r="E850" i="4"/>
  <c r="G850" i="4" s="1"/>
  <c r="C850" i="4"/>
  <c r="B850" i="4"/>
  <c r="D850" i="4" s="1"/>
  <c r="A850" i="4"/>
  <c r="R849" i="4"/>
  <c r="S849" i="4" s="1"/>
  <c r="Q849" i="4"/>
  <c r="O849" i="4"/>
  <c r="N849" i="4"/>
  <c r="P849" i="4" s="1"/>
  <c r="L849" i="4"/>
  <c r="K849" i="4"/>
  <c r="M849" i="4" s="1"/>
  <c r="J849" i="4"/>
  <c r="I849" i="4"/>
  <c r="H849" i="4"/>
  <c r="G849" i="4"/>
  <c r="F849" i="4"/>
  <c r="E849" i="4"/>
  <c r="C849" i="4"/>
  <c r="B849" i="4"/>
  <c r="D849" i="4" s="1"/>
  <c r="T849" i="4" s="1"/>
  <c r="A849" i="4"/>
  <c r="S848" i="4"/>
  <c r="R848" i="4"/>
  <c r="Q848" i="4"/>
  <c r="O848" i="4"/>
  <c r="P848" i="4" s="1"/>
  <c r="N848" i="4"/>
  <c r="L848" i="4"/>
  <c r="K848" i="4"/>
  <c r="M848" i="4" s="1"/>
  <c r="I848" i="4"/>
  <c r="H848" i="4"/>
  <c r="J848" i="4" s="1"/>
  <c r="G848" i="4"/>
  <c r="F848" i="4"/>
  <c r="E848" i="4"/>
  <c r="D848" i="4"/>
  <c r="T848" i="4" s="1"/>
  <c r="C848" i="4"/>
  <c r="B848" i="4"/>
  <c r="A848" i="4"/>
  <c r="R847" i="4"/>
  <c r="Q847" i="4"/>
  <c r="S847" i="4" s="1"/>
  <c r="P847" i="4"/>
  <c r="O847" i="4"/>
  <c r="N847" i="4"/>
  <c r="L847" i="4"/>
  <c r="M847" i="4" s="1"/>
  <c r="K847" i="4"/>
  <c r="I847" i="4"/>
  <c r="H847" i="4"/>
  <c r="J847" i="4" s="1"/>
  <c r="F847" i="4"/>
  <c r="E847" i="4"/>
  <c r="G847" i="4" s="1"/>
  <c r="D847" i="4"/>
  <c r="C847" i="4"/>
  <c r="B847" i="4"/>
  <c r="A847" i="4"/>
  <c r="R846" i="4"/>
  <c r="Q846" i="4"/>
  <c r="S846" i="4" s="1"/>
  <c r="O846" i="4"/>
  <c r="N846" i="4"/>
  <c r="P846" i="4" s="1"/>
  <c r="M846" i="4"/>
  <c r="L846" i="4"/>
  <c r="K846" i="4"/>
  <c r="I846" i="4"/>
  <c r="J846" i="4" s="1"/>
  <c r="H846" i="4"/>
  <c r="F846" i="4"/>
  <c r="E846" i="4"/>
  <c r="G846" i="4" s="1"/>
  <c r="C846" i="4"/>
  <c r="B846" i="4"/>
  <c r="D846" i="4" s="1"/>
  <c r="A846" i="4"/>
  <c r="R845" i="4"/>
  <c r="S845" i="4" s="1"/>
  <c r="Q845" i="4"/>
  <c r="O845" i="4"/>
  <c r="N845" i="4"/>
  <c r="P845" i="4" s="1"/>
  <c r="L845" i="4"/>
  <c r="K845" i="4"/>
  <c r="M845" i="4" s="1"/>
  <c r="J845" i="4"/>
  <c r="I845" i="4"/>
  <c r="H845" i="4"/>
  <c r="G845" i="4"/>
  <c r="F845" i="4"/>
  <c r="E845" i="4"/>
  <c r="C845" i="4"/>
  <c r="B845" i="4"/>
  <c r="D845" i="4" s="1"/>
  <c r="T845" i="4" s="1"/>
  <c r="A845" i="4"/>
  <c r="S844" i="4"/>
  <c r="R844" i="4"/>
  <c r="Q844" i="4"/>
  <c r="O844" i="4"/>
  <c r="P844" i="4" s="1"/>
  <c r="N844" i="4"/>
  <c r="L844" i="4"/>
  <c r="K844" i="4"/>
  <c r="M844" i="4" s="1"/>
  <c r="I844" i="4"/>
  <c r="H844" i="4"/>
  <c r="J844" i="4" s="1"/>
  <c r="G844" i="4"/>
  <c r="F844" i="4"/>
  <c r="E844" i="4"/>
  <c r="D844" i="4"/>
  <c r="T844" i="4" s="1"/>
  <c r="C844" i="4"/>
  <c r="B844" i="4"/>
  <c r="A844" i="4"/>
  <c r="R843" i="4"/>
  <c r="Q843" i="4"/>
  <c r="S843" i="4" s="1"/>
  <c r="P843" i="4"/>
  <c r="O843" i="4"/>
  <c r="N843" i="4"/>
  <c r="M843" i="4"/>
  <c r="L843" i="4"/>
  <c r="K843" i="4"/>
  <c r="I843" i="4"/>
  <c r="H843" i="4"/>
  <c r="J843" i="4" s="1"/>
  <c r="F843" i="4"/>
  <c r="E843" i="4"/>
  <c r="G843" i="4" s="1"/>
  <c r="D843" i="4"/>
  <c r="C843" i="4"/>
  <c r="B843" i="4"/>
  <c r="A843" i="4"/>
  <c r="R842" i="4"/>
  <c r="Q842" i="4"/>
  <c r="S842" i="4" s="1"/>
  <c r="O842" i="4"/>
  <c r="N842" i="4"/>
  <c r="P842" i="4" s="1"/>
  <c r="M842" i="4"/>
  <c r="L842" i="4"/>
  <c r="K842" i="4"/>
  <c r="I842" i="4"/>
  <c r="J842" i="4" s="1"/>
  <c r="H842" i="4"/>
  <c r="F842" i="4"/>
  <c r="E842" i="4"/>
  <c r="G842" i="4" s="1"/>
  <c r="C842" i="4"/>
  <c r="B842" i="4"/>
  <c r="D842" i="4" s="1"/>
  <c r="A842" i="4"/>
  <c r="R841" i="4"/>
  <c r="S841" i="4" s="1"/>
  <c r="Q841" i="4"/>
  <c r="O841" i="4"/>
  <c r="N841" i="4"/>
  <c r="P841" i="4" s="1"/>
  <c r="L841" i="4"/>
  <c r="K841" i="4"/>
  <c r="M841" i="4" s="1"/>
  <c r="J841" i="4"/>
  <c r="I841" i="4"/>
  <c r="H841" i="4"/>
  <c r="G841" i="4"/>
  <c r="F841" i="4"/>
  <c r="E841" i="4"/>
  <c r="C841" i="4"/>
  <c r="B841" i="4"/>
  <c r="D841" i="4" s="1"/>
  <c r="T841" i="4" s="1"/>
  <c r="A841" i="4"/>
  <c r="S840" i="4"/>
  <c r="R840" i="4"/>
  <c r="Q840" i="4"/>
  <c r="O840" i="4"/>
  <c r="P840" i="4" s="1"/>
  <c r="N840" i="4"/>
  <c r="L840" i="4"/>
  <c r="K840" i="4"/>
  <c r="M840" i="4" s="1"/>
  <c r="I840" i="4"/>
  <c r="H840" i="4"/>
  <c r="J840" i="4" s="1"/>
  <c r="G840" i="4"/>
  <c r="F840" i="4"/>
  <c r="E840" i="4"/>
  <c r="D840" i="4"/>
  <c r="T840" i="4" s="1"/>
  <c r="C840" i="4"/>
  <c r="B840" i="4"/>
  <c r="A840" i="4"/>
  <c r="R839" i="4"/>
  <c r="Q839" i="4"/>
  <c r="S839" i="4" s="1"/>
  <c r="P839" i="4"/>
  <c r="O839" i="4"/>
  <c r="N839" i="4"/>
  <c r="L839" i="4"/>
  <c r="M839" i="4" s="1"/>
  <c r="K839" i="4"/>
  <c r="I839" i="4"/>
  <c r="H839" i="4"/>
  <c r="J839" i="4" s="1"/>
  <c r="F839" i="4"/>
  <c r="E839" i="4"/>
  <c r="G839" i="4" s="1"/>
  <c r="D839" i="4"/>
  <c r="C839" i="4"/>
  <c r="B839" i="4"/>
  <c r="A839" i="4"/>
  <c r="R838" i="4"/>
  <c r="Q838" i="4"/>
  <c r="S838" i="4" s="1"/>
  <c r="O838" i="4"/>
  <c r="N838" i="4"/>
  <c r="P838" i="4" s="1"/>
  <c r="M838" i="4"/>
  <c r="L838" i="4"/>
  <c r="K838" i="4"/>
  <c r="I838" i="4"/>
  <c r="J838" i="4" s="1"/>
  <c r="H838" i="4"/>
  <c r="F838" i="4"/>
  <c r="E838" i="4"/>
  <c r="G838" i="4" s="1"/>
  <c r="C838" i="4"/>
  <c r="B838" i="4"/>
  <c r="D838" i="4" s="1"/>
  <c r="A838" i="4"/>
  <c r="R837" i="4"/>
  <c r="S837" i="4" s="1"/>
  <c r="Q837" i="4"/>
  <c r="O837" i="4"/>
  <c r="N837" i="4"/>
  <c r="P837" i="4" s="1"/>
  <c r="L837" i="4"/>
  <c r="K837" i="4"/>
  <c r="M837" i="4" s="1"/>
  <c r="J837" i="4"/>
  <c r="I837" i="4"/>
  <c r="H837" i="4"/>
  <c r="G837" i="4"/>
  <c r="F837" i="4"/>
  <c r="E837" i="4"/>
  <c r="C837" i="4"/>
  <c r="B837" i="4"/>
  <c r="D837" i="4" s="1"/>
  <c r="T837" i="4" s="1"/>
  <c r="A837" i="4"/>
  <c r="S836" i="4"/>
  <c r="R836" i="4"/>
  <c r="Q836" i="4"/>
  <c r="O836" i="4"/>
  <c r="P836" i="4" s="1"/>
  <c r="N836" i="4"/>
  <c r="L836" i="4"/>
  <c r="K836" i="4"/>
  <c r="M836" i="4" s="1"/>
  <c r="I836" i="4"/>
  <c r="H836" i="4"/>
  <c r="J836" i="4" s="1"/>
  <c r="G836" i="4"/>
  <c r="F836" i="4"/>
  <c r="E836" i="4"/>
  <c r="D836" i="4"/>
  <c r="T836" i="4" s="1"/>
  <c r="C836" i="4"/>
  <c r="B836" i="4"/>
  <c r="A836" i="4"/>
  <c r="R835" i="4"/>
  <c r="Q835" i="4"/>
  <c r="S835" i="4" s="1"/>
  <c r="P835" i="4"/>
  <c r="O835" i="4"/>
  <c r="N835" i="4"/>
  <c r="M835" i="4"/>
  <c r="L835" i="4"/>
  <c r="K835" i="4"/>
  <c r="I835" i="4"/>
  <c r="H835" i="4"/>
  <c r="J835" i="4" s="1"/>
  <c r="F835" i="4"/>
  <c r="E835" i="4"/>
  <c r="G835" i="4" s="1"/>
  <c r="D835" i="4"/>
  <c r="C835" i="4"/>
  <c r="B835" i="4"/>
  <c r="A835" i="4"/>
  <c r="R834" i="4"/>
  <c r="Q834" i="4"/>
  <c r="S834" i="4" s="1"/>
  <c r="O834" i="4"/>
  <c r="N834" i="4"/>
  <c r="P834" i="4" s="1"/>
  <c r="M834" i="4"/>
  <c r="L834" i="4"/>
  <c r="K834" i="4"/>
  <c r="I834" i="4"/>
  <c r="J834" i="4" s="1"/>
  <c r="H834" i="4"/>
  <c r="F834" i="4"/>
  <c r="E834" i="4"/>
  <c r="C834" i="4"/>
  <c r="B834" i="4"/>
  <c r="D834" i="4" s="1"/>
  <c r="A834" i="4"/>
  <c r="R833" i="4"/>
  <c r="S833" i="4" s="1"/>
  <c r="Q833" i="4"/>
  <c r="O833" i="4"/>
  <c r="N833" i="4"/>
  <c r="L833" i="4"/>
  <c r="K833" i="4"/>
  <c r="M833" i="4" s="1"/>
  <c r="J833" i="4"/>
  <c r="I833" i="4"/>
  <c r="H833" i="4"/>
  <c r="G833" i="4"/>
  <c r="F833" i="4"/>
  <c r="E833" i="4"/>
  <c r="C833" i="4"/>
  <c r="B833" i="4"/>
  <c r="D833" i="4" s="1"/>
  <c r="A833" i="4"/>
  <c r="S832" i="4"/>
  <c r="R832" i="4"/>
  <c r="Q832" i="4"/>
  <c r="O832" i="4"/>
  <c r="P832" i="4" s="1"/>
  <c r="N832" i="4"/>
  <c r="L832" i="4"/>
  <c r="K832" i="4"/>
  <c r="I832" i="4"/>
  <c r="H832" i="4"/>
  <c r="J832" i="4" s="1"/>
  <c r="G832" i="4"/>
  <c r="F832" i="4"/>
  <c r="E832" i="4"/>
  <c r="D832" i="4"/>
  <c r="C832" i="4"/>
  <c r="B832" i="4"/>
  <c r="A832" i="4"/>
  <c r="R831" i="4"/>
  <c r="Q831" i="4"/>
  <c r="S831" i="4" s="1"/>
  <c r="P831" i="4"/>
  <c r="O831" i="4"/>
  <c r="N831" i="4"/>
  <c r="L831" i="4"/>
  <c r="M831" i="4" s="1"/>
  <c r="K831" i="4"/>
  <c r="I831" i="4"/>
  <c r="H831" i="4"/>
  <c r="J831" i="4" s="1"/>
  <c r="F831" i="4"/>
  <c r="E831" i="4"/>
  <c r="G831" i="4" s="1"/>
  <c r="D831" i="4"/>
  <c r="C831" i="4"/>
  <c r="B831" i="4"/>
  <c r="A831" i="4"/>
  <c r="R830" i="4"/>
  <c r="Q830" i="4"/>
  <c r="S830" i="4" s="1"/>
  <c r="O830" i="4"/>
  <c r="N830" i="4"/>
  <c r="P830" i="4" s="1"/>
  <c r="M830" i="4"/>
  <c r="L830" i="4"/>
  <c r="K830" i="4"/>
  <c r="I830" i="4"/>
  <c r="J830" i="4" s="1"/>
  <c r="H830" i="4"/>
  <c r="F830" i="4"/>
  <c r="E830" i="4"/>
  <c r="C830" i="4"/>
  <c r="B830" i="4"/>
  <c r="D830" i="4" s="1"/>
  <c r="A830" i="4"/>
  <c r="R829" i="4"/>
  <c r="S829" i="4" s="1"/>
  <c r="Q829" i="4"/>
  <c r="O829" i="4"/>
  <c r="N829" i="4"/>
  <c r="L829" i="4"/>
  <c r="K829" i="4"/>
  <c r="M829" i="4" s="1"/>
  <c r="J829" i="4"/>
  <c r="I829" i="4"/>
  <c r="H829" i="4"/>
  <c r="G829" i="4"/>
  <c r="F829" i="4"/>
  <c r="E829" i="4"/>
  <c r="C829" i="4"/>
  <c r="B829" i="4"/>
  <c r="D829" i="4" s="1"/>
  <c r="A829" i="4"/>
  <c r="S828" i="4"/>
  <c r="R828" i="4"/>
  <c r="Q828" i="4"/>
  <c r="O828" i="4"/>
  <c r="P828" i="4" s="1"/>
  <c r="N828" i="4"/>
  <c r="L828" i="4"/>
  <c r="K828" i="4"/>
  <c r="I828" i="4"/>
  <c r="H828" i="4"/>
  <c r="J828" i="4" s="1"/>
  <c r="G828" i="4"/>
  <c r="F828" i="4"/>
  <c r="E828" i="4"/>
  <c r="D828" i="4"/>
  <c r="C828" i="4"/>
  <c r="B828" i="4"/>
  <c r="A828" i="4"/>
  <c r="R827" i="4"/>
  <c r="Q827" i="4"/>
  <c r="S827" i="4" s="1"/>
  <c r="P827" i="4"/>
  <c r="O827" i="4"/>
  <c r="N827" i="4"/>
  <c r="M827" i="4"/>
  <c r="L827" i="4"/>
  <c r="K827" i="4"/>
  <c r="I827" i="4"/>
  <c r="H827" i="4"/>
  <c r="J827" i="4" s="1"/>
  <c r="F827" i="4"/>
  <c r="E827" i="4"/>
  <c r="G827" i="4" s="1"/>
  <c r="D827" i="4"/>
  <c r="C827" i="4"/>
  <c r="B827" i="4"/>
  <c r="A827" i="4"/>
  <c r="R826" i="4"/>
  <c r="Q826" i="4"/>
  <c r="S826" i="4" s="1"/>
  <c r="O826" i="4"/>
  <c r="N826" i="4"/>
  <c r="P826" i="4" s="1"/>
  <c r="M826" i="4"/>
  <c r="L826" i="4"/>
  <c r="K826" i="4"/>
  <c r="I826" i="4"/>
  <c r="J826" i="4" s="1"/>
  <c r="H826" i="4"/>
  <c r="F826" i="4"/>
  <c r="E826" i="4"/>
  <c r="C826" i="4"/>
  <c r="B826" i="4"/>
  <c r="D826" i="4" s="1"/>
  <c r="A826" i="4"/>
  <c r="R825" i="4"/>
  <c r="S825" i="4" s="1"/>
  <c r="Q825" i="4"/>
  <c r="O825" i="4"/>
  <c r="N825" i="4"/>
  <c r="L825" i="4"/>
  <c r="K825" i="4"/>
  <c r="M825" i="4" s="1"/>
  <c r="J825" i="4"/>
  <c r="I825" i="4"/>
  <c r="H825" i="4"/>
  <c r="G825" i="4"/>
  <c r="F825" i="4"/>
  <c r="E825" i="4"/>
  <c r="C825" i="4"/>
  <c r="B825" i="4"/>
  <c r="D825" i="4" s="1"/>
  <c r="A825" i="4"/>
  <c r="S824" i="4"/>
  <c r="R824" i="4"/>
  <c r="Q824" i="4"/>
  <c r="O824" i="4"/>
  <c r="P824" i="4" s="1"/>
  <c r="N824" i="4"/>
  <c r="L824" i="4"/>
  <c r="K824" i="4"/>
  <c r="I824" i="4"/>
  <c r="H824" i="4"/>
  <c r="J824" i="4" s="1"/>
  <c r="G824" i="4"/>
  <c r="F824" i="4"/>
  <c r="E824" i="4"/>
  <c r="D824" i="4"/>
  <c r="C824" i="4"/>
  <c r="B824" i="4"/>
  <c r="A824" i="4"/>
  <c r="R823" i="4"/>
  <c r="Q823" i="4"/>
  <c r="S823" i="4" s="1"/>
  <c r="P823" i="4"/>
  <c r="O823" i="4"/>
  <c r="N823" i="4"/>
  <c r="L823" i="4"/>
  <c r="M823" i="4" s="1"/>
  <c r="K823" i="4"/>
  <c r="I823" i="4"/>
  <c r="H823" i="4"/>
  <c r="J823" i="4" s="1"/>
  <c r="F823" i="4"/>
  <c r="E823" i="4"/>
  <c r="G823" i="4" s="1"/>
  <c r="D823" i="4"/>
  <c r="C823" i="4"/>
  <c r="B823" i="4"/>
  <c r="A823" i="4"/>
  <c r="R822" i="4"/>
  <c r="Q822" i="4"/>
  <c r="S822" i="4" s="1"/>
  <c r="O822" i="4"/>
  <c r="N822" i="4"/>
  <c r="P822" i="4" s="1"/>
  <c r="M822" i="4"/>
  <c r="L822" i="4"/>
  <c r="K822" i="4"/>
  <c r="I822" i="4"/>
  <c r="J822" i="4" s="1"/>
  <c r="H822" i="4"/>
  <c r="F822" i="4"/>
  <c r="E822" i="4"/>
  <c r="C822" i="4"/>
  <c r="B822" i="4"/>
  <c r="D822" i="4" s="1"/>
  <c r="A822" i="4"/>
  <c r="R821" i="4"/>
  <c r="S821" i="4" s="1"/>
  <c r="Q821" i="4"/>
  <c r="O821" i="4"/>
  <c r="N821" i="4"/>
  <c r="L821" i="4"/>
  <c r="K821" i="4"/>
  <c r="M821" i="4" s="1"/>
  <c r="J821" i="4"/>
  <c r="I821" i="4"/>
  <c r="H821" i="4"/>
  <c r="G821" i="4"/>
  <c r="F821" i="4"/>
  <c r="E821" i="4"/>
  <c r="C821" i="4"/>
  <c r="B821" i="4"/>
  <c r="D821" i="4" s="1"/>
  <c r="A821" i="4"/>
  <c r="S820" i="4"/>
  <c r="R820" i="4"/>
  <c r="Q820" i="4"/>
  <c r="O820" i="4"/>
  <c r="P820" i="4" s="1"/>
  <c r="N820" i="4"/>
  <c r="L820" i="4"/>
  <c r="K820" i="4"/>
  <c r="I820" i="4"/>
  <c r="H820" i="4"/>
  <c r="J820" i="4" s="1"/>
  <c r="G820" i="4"/>
  <c r="F820" i="4"/>
  <c r="E820" i="4"/>
  <c r="D820" i="4"/>
  <c r="C820" i="4"/>
  <c r="B820" i="4"/>
  <c r="A820" i="4"/>
  <c r="R819" i="4"/>
  <c r="Q819" i="4"/>
  <c r="S819" i="4" s="1"/>
  <c r="P819" i="4"/>
  <c r="O819" i="4"/>
  <c r="N819" i="4"/>
  <c r="M819" i="4"/>
  <c r="L819" i="4"/>
  <c r="K819" i="4"/>
  <c r="I819" i="4"/>
  <c r="H819" i="4"/>
  <c r="J819" i="4" s="1"/>
  <c r="F819" i="4"/>
  <c r="E819" i="4"/>
  <c r="G819" i="4" s="1"/>
  <c r="D819" i="4"/>
  <c r="C819" i="4"/>
  <c r="B819" i="4"/>
  <c r="A819" i="4"/>
  <c r="R818" i="4"/>
  <c r="Q818" i="4"/>
  <c r="S818" i="4" s="1"/>
  <c r="O818" i="4"/>
  <c r="N818" i="4"/>
  <c r="P818" i="4" s="1"/>
  <c r="M818" i="4"/>
  <c r="L818" i="4"/>
  <c r="K818" i="4"/>
  <c r="I818" i="4"/>
  <c r="J818" i="4" s="1"/>
  <c r="H818" i="4"/>
  <c r="F818" i="4"/>
  <c r="E818" i="4"/>
  <c r="C818" i="4"/>
  <c r="B818" i="4"/>
  <c r="D818" i="4" s="1"/>
  <c r="A818" i="4"/>
  <c r="R817" i="4"/>
  <c r="S817" i="4" s="1"/>
  <c r="Q817" i="4"/>
  <c r="O817" i="4"/>
  <c r="N817" i="4"/>
  <c r="L817" i="4"/>
  <c r="K817" i="4"/>
  <c r="M817" i="4" s="1"/>
  <c r="J817" i="4"/>
  <c r="I817" i="4"/>
  <c r="H817" i="4"/>
  <c r="G817" i="4"/>
  <c r="F817" i="4"/>
  <c r="E817" i="4"/>
  <c r="C817" i="4"/>
  <c r="B817" i="4"/>
  <c r="D817" i="4" s="1"/>
  <c r="A817" i="4"/>
  <c r="S816" i="4"/>
  <c r="R816" i="4"/>
  <c r="Q816" i="4"/>
  <c r="O816" i="4"/>
  <c r="P816" i="4" s="1"/>
  <c r="N816" i="4"/>
  <c r="L816" i="4"/>
  <c r="K816" i="4"/>
  <c r="I816" i="4"/>
  <c r="H816" i="4"/>
  <c r="J816" i="4" s="1"/>
  <c r="G816" i="4"/>
  <c r="F816" i="4"/>
  <c r="E816" i="4"/>
  <c r="D816" i="4"/>
  <c r="C816" i="4"/>
  <c r="B816" i="4"/>
  <c r="A816" i="4"/>
  <c r="R815" i="4"/>
  <c r="Q815" i="4"/>
  <c r="S815" i="4" s="1"/>
  <c r="P815" i="4"/>
  <c r="O815" i="4"/>
  <c r="N815" i="4"/>
  <c r="L815" i="4"/>
  <c r="M815" i="4" s="1"/>
  <c r="K815" i="4"/>
  <c r="I815" i="4"/>
  <c r="H815" i="4"/>
  <c r="J815" i="4" s="1"/>
  <c r="F815" i="4"/>
  <c r="E815" i="4"/>
  <c r="G815" i="4" s="1"/>
  <c r="D815" i="4"/>
  <c r="C815" i="4"/>
  <c r="B815" i="4"/>
  <c r="A815" i="4"/>
  <c r="R814" i="4"/>
  <c r="Q814" i="4"/>
  <c r="S814" i="4" s="1"/>
  <c r="O814" i="4"/>
  <c r="N814" i="4"/>
  <c r="P814" i="4" s="1"/>
  <c r="M814" i="4"/>
  <c r="L814" i="4"/>
  <c r="K814" i="4"/>
  <c r="I814" i="4"/>
  <c r="J814" i="4" s="1"/>
  <c r="H814" i="4"/>
  <c r="F814" i="4"/>
  <c r="E814" i="4"/>
  <c r="C814" i="4"/>
  <c r="B814" i="4"/>
  <c r="D814" i="4" s="1"/>
  <c r="A814" i="4"/>
  <c r="R813" i="4"/>
  <c r="S813" i="4" s="1"/>
  <c r="Q813" i="4"/>
  <c r="O813" i="4"/>
  <c r="N813" i="4"/>
  <c r="L813" i="4"/>
  <c r="K813" i="4"/>
  <c r="M813" i="4" s="1"/>
  <c r="J813" i="4"/>
  <c r="I813" i="4"/>
  <c r="H813" i="4"/>
  <c r="G813" i="4"/>
  <c r="F813" i="4"/>
  <c r="E813" i="4"/>
  <c r="C813" i="4"/>
  <c r="B813" i="4"/>
  <c r="D813" i="4" s="1"/>
  <c r="A813" i="4"/>
  <c r="S812" i="4"/>
  <c r="R812" i="4"/>
  <c r="Q812" i="4"/>
  <c r="O812" i="4"/>
  <c r="P812" i="4" s="1"/>
  <c r="N812" i="4"/>
  <c r="L812" i="4"/>
  <c r="K812" i="4"/>
  <c r="I812" i="4"/>
  <c r="H812" i="4"/>
  <c r="J812" i="4" s="1"/>
  <c r="G812" i="4"/>
  <c r="F812" i="4"/>
  <c r="E812" i="4"/>
  <c r="D812" i="4"/>
  <c r="C812" i="4"/>
  <c r="B812" i="4"/>
  <c r="A812" i="4"/>
  <c r="R811" i="4"/>
  <c r="Q811" i="4"/>
  <c r="S811" i="4" s="1"/>
  <c r="P811" i="4"/>
  <c r="O811" i="4"/>
  <c r="N811" i="4"/>
  <c r="M811" i="4"/>
  <c r="L811" i="4"/>
  <c r="K811" i="4"/>
  <c r="I811" i="4"/>
  <c r="H811" i="4"/>
  <c r="J811" i="4" s="1"/>
  <c r="F811" i="4"/>
  <c r="E811" i="4"/>
  <c r="G811" i="4" s="1"/>
  <c r="D811" i="4"/>
  <c r="C811" i="4"/>
  <c r="B811" i="4"/>
  <c r="A811" i="4"/>
  <c r="R810" i="4"/>
  <c r="Q810" i="4"/>
  <c r="S810" i="4" s="1"/>
  <c r="O810" i="4"/>
  <c r="N810" i="4"/>
  <c r="P810" i="4" s="1"/>
  <c r="M810" i="4"/>
  <c r="L810" i="4"/>
  <c r="K810" i="4"/>
  <c r="I810" i="4"/>
  <c r="J810" i="4" s="1"/>
  <c r="H810" i="4"/>
  <c r="F810" i="4"/>
  <c r="E810" i="4"/>
  <c r="C810" i="4"/>
  <c r="B810" i="4"/>
  <c r="D810" i="4" s="1"/>
  <c r="A810" i="4"/>
  <c r="R809" i="4"/>
  <c r="S809" i="4" s="1"/>
  <c r="Q809" i="4"/>
  <c r="O809" i="4"/>
  <c r="N809" i="4"/>
  <c r="L809" i="4"/>
  <c r="K809" i="4"/>
  <c r="M809" i="4" s="1"/>
  <c r="J809" i="4"/>
  <c r="I809" i="4"/>
  <c r="H809" i="4"/>
  <c r="G809" i="4"/>
  <c r="F809" i="4"/>
  <c r="E809" i="4"/>
  <c r="C809" i="4"/>
  <c r="B809" i="4"/>
  <c r="D809" i="4" s="1"/>
  <c r="A809" i="4"/>
  <c r="S808" i="4"/>
  <c r="R808" i="4"/>
  <c r="Q808" i="4"/>
  <c r="O808" i="4"/>
  <c r="P808" i="4" s="1"/>
  <c r="N808" i="4"/>
  <c r="L808" i="4"/>
  <c r="K808" i="4"/>
  <c r="I808" i="4"/>
  <c r="H808" i="4"/>
  <c r="J808" i="4" s="1"/>
  <c r="G808" i="4"/>
  <c r="F808" i="4"/>
  <c r="E808" i="4"/>
  <c r="D808" i="4"/>
  <c r="C808" i="4"/>
  <c r="B808" i="4"/>
  <c r="A808" i="4"/>
  <c r="R807" i="4"/>
  <c r="Q807" i="4"/>
  <c r="S807" i="4" s="1"/>
  <c r="P807" i="4"/>
  <c r="O807" i="4"/>
  <c r="N807" i="4"/>
  <c r="L807" i="4"/>
  <c r="M807" i="4" s="1"/>
  <c r="K807" i="4"/>
  <c r="I807" i="4"/>
  <c r="H807" i="4"/>
  <c r="J807" i="4" s="1"/>
  <c r="F807" i="4"/>
  <c r="E807" i="4"/>
  <c r="G807" i="4" s="1"/>
  <c r="D807" i="4"/>
  <c r="C807" i="4"/>
  <c r="B807" i="4"/>
  <c r="A807" i="4"/>
  <c r="R806" i="4"/>
  <c r="Q806" i="4"/>
  <c r="S806" i="4" s="1"/>
  <c r="O806" i="4"/>
  <c r="N806" i="4"/>
  <c r="P806" i="4" s="1"/>
  <c r="M806" i="4"/>
  <c r="L806" i="4"/>
  <c r="K806" i="4"/>
  <c r="I806" i="4"/>
  <c r="J806" i="4" s="1"/>
  <c r="H806" i="4"/>
  <c r="F806" i="4"/>
  <c r="E806" i="4"/>
  <c r="C806" i="4"/>
  <c r="B806" i="4"/>
  <c r="D806" i="4" s="1"/>
  <c r="A806" i="4"/>
  <c r="R805" i="4"/>
  <c r="S805" i="4" s="1"/>
  <c r="Q805" i="4"/>
  <c r="O805" i="4"/>
  <c r="N805" i="4"/>
  <c r="L805" i="4"/>
  <c r="K805" i="4"/>
  <c r="M805" i="4" s="1"/>
  <c r="J805" i="4"/>
  <c r="I805" i="4"/>
  <c r="H805" i="4"/>
  <c r="G805" i="4"/>
  <c r="F805" i="4"/>
  <c r="E805" i="4"/>
  <c r="C805" i="4"/>
  <c r="B805" i="4"/>
  <c r="D805" i="4" s="1"/>
  <c r="A805" i="4"/>
  <c r="S804" i="4"/>
  <c r="R804" i="4"/>
  <c r="Q804" i="4"/>
  <c r="O804" i="4"/>
  <c r="P804" i="4" s="1"/>
  <c r="N804" i="4"/>
  <c r="L804" i="4"/>
  <c r="K804" i="4"/>
  <c r="I804" i="4"/>
  <c r="H804" i="4"/>
  <c r="J804" i="4" s="1"/>
  <c r="G804" i="4"/>
  <c r="F804" i="4"/>
  <c r="E804" i="4"/>
  <c r="D804" i="4"/>
  <c r="C804" i="4"/>
  <c r="B804" i="4"/>
  <c r="A804" i="4"/>
  <c r="R803" i="4"/>
  <c r="Q803" i="4"/>
  <c r="S803" i="4" s="1"/>
  <c r="P803" i="4"/>
  <c r="O803" i="4"/>
  <c r="N803" i="4"/>
  <c r="M803" i="4"/>
  <c r="L803" i="4"/>
  <c r="K803" i="4"/>
  <c r="I803" i="4"/>
  <c r="H803" i="4"/>
  <c r="J803" i="4" s="1"/>
  <c r="F803" i="4"/>
  <c r="E803" i="4"/>
  <c r="G803" i="4" s="1"/>
  <c r="D803" i="4"/>
  <c r="C803" i="4"/>
  <c r="B803" i="4"/>
  <c r="A803" i="4"/>
  <c r="R802" i="4"/>
  <c r="Q802" i="4"/>
  <c r="S802" i="4" s="1"/>
  <c r="O802" i="4"/>
  <c r="N802" i="4"/>
  <c r="P802" i="4" s="1"/>
  <c r="M802" i="4"/>
  <c r="L802" i="4"/>
  <c r="K802" i="4"/>
  <c r="I802" i="4"/>
  <c r="J802" i="4" s="1"/>
  <c r="H802" i="4"/>
  <c r="F802" i="4"/>
  <c r="E802" i="4"/>
  <c r="C802" i="4"/>
  <c r="B802" i="4"/>
  <c r="D802" i="4" s="1"/>
  <c r="A802" i="4"/>
  <c r="R801" i="4"/>
  <c r="S801" i="4" s="1"/>
  <c r="Q801" i="4"/>
  <c r="O801" i="4"/>
  <c r="N801" i="4"/>
  <c r="L801" i="4"/>
  <c r="K801" i="4"/>
  <c r="M801" i="4" s="1"/>
  <c r="J801" i="4"/>
  <c r="I801" i="4"/>
  <c r="H801" i="4"/>
  <c r="G801" i="4"/>
  <c r="F801" i="4"/>
  <c r="E801" i="4"/>
  <c r="C801" i="4"/>
  <c r="B801" i="4"/>
  <c r="D801" i="4" s="1"/>
  <c r="A801" i="4"/>
  <c r="S800" i="4"/>
  <c r="R800" i="4"/>
  <c r="Q800" i="4"/>
  <c r="O800" i="4"/>
  <c r="P800" i="4" s="1"/>
  <c r="N800" i="4"/>
  <c r="L800" i="4"/>
  <c r="K800" i="4"/>
  <c r="I800" i="4"/>
  <c r="H800" i="4"/>
  <c r="J800" i="4" s="1"/>
  <c r="G800" i="4"/>
  <c r="F800" i="4"/>
  <c r="E800" i="4"/>
  <c r="D800" i="4"/>
  <c r="C800" i="4"/>
  <c r="B800" i="4"/>
  <c r="A800" i="4"/>
  <c r="R799" i="4"/>
  <c r="Q799" i="4"/>
  <c r="S799" i="4" s="1"/>
  <c r="P799" i="4"/>
  <c r="O799" i="4"/>
  <c r="N799" i="4"/>
  <c r="L799" i="4"/>
  <c r="M799" i="4" s="1"/>
  <c r="K799" i="4"/>
  <c r="I799" i="4"/>
  <c r="H799" i="4"/>
  <c r="J799" i="4" s="1"/>
  <c r="F799" i="4"/>
  <c r="E799" i="4"/>
  <c r="G799" i="4" s="1"/>
  <c r="D799" i="4"/>
  <c r="C799" i="4"/>
  <c r="B799" i="4"/>
  <c r="A799" i="4"/>
  <c r="R798" i="4"/>
  <c r="Q798" i="4"/>
  <c r="S798" i="4" s="1"/>
  <c r="O798" i="4"/>
  <c r="N798" i="4"/>
  <c r="P798" i="4" s="1"/>
  <c r="M798" i="4"/>
  <c r="L798" i="4"/>
  <c r="K798" i="4"/>
  <c r="I798" i="4"/>
  <c r="J798" i="4" s="1"/>
  <c r="H798" i="4"/>
  <c r="F798" i="4"/>
  <c r="E798" i="4"/>
  <c r="C798" i="4"/>
  <c r="B798" i="4"/>
  <c r="D798" i="4" s="1"/>
  <c r="A798" i="4"/>
  <c r="R797" i="4"/>
  <c r="S797" i="4" s="1"/>
  <c r="Q797" i="4"/>
  <c r="O797" i="4"/>
  <c r="N797" i="4"/>
  <c r="L797" i="4"/>
  <c r="K797" i="4"/>
  <c r="M797" i="4" s="1"/>
  <c r="J797" i="4"/>
  <c r="I797" i="4"/>
  <c r="H797" i="4"/>
  <c r="G797" i="4"/>
  <c r="F797" i="4"/>
  <c r="E797" i="4"/>
  <c r="C797" i="4"/>
  <c r="B797" i="4"/>
  <c r="D797" i="4" s="1"/>
  <c r="A797" i="4"/>
  <c r="S796" i="4"/>
  <c r="R796" i="4"/>
  <c r="Q796" i="4"/>
  <c r="O796" i="4"/>
  <c r="P796" i="4" s="1"/>
  <c r="N796" i="4"/>
  <c r="L796" i="4"/>
  <c r="K796" i="4"/>
  <c r="I796" i="4"/>
  <c r="H796" i="4"/>
  <c r="J796" i="4" s="1"/>
  <c r="G796" i="4"/>
  <c r="F796" i="4"/>
  <c r="E796" i="4"/>
  <c r="D796" i="4"/>
  <c r="C796" i="4"/>
  <c r="B796" i="4"/>
  <c r="A796" i="4"/>
  <c r="R795" i="4"/>
  <c r="Q795" i="4"/>
  <c r="S795" i="4" s="1"/>
  <c r="P795" i="4"/>
  <c r="O795" i="4"/>
  <c r="N795" i="4"/>
  <c r="M795" i="4"/>
  <c r="L795" i="4"/>
  <c r="K795" i="4"/>
  <c r="I795" i="4"/>
  <c r="H795" i="4"/>
  <c r="J795" i="4" s="1"/>
  <c r="F795" i="4"/>
  <c r="E795" i="4"/>
  <c r="G795" i="4" s="1"/>
  <c r="D795" i="4"/>
  <c r="C795" i="4"/>
  <c r="B795" i="4"/>
  <c r="A795" i="4"/>
  <c r="R794" i="4"/>
  <c r="Q794" i="4"/>
  <c r="S794" i="4" s="1"/>
  <c r="O794" i="4"/>
  <c r="N794" i="4"/>
  <c r="P794" i="4" s="1"/>
  <c r="M794" i="4"/>
  <c r="L794" i="4"/>
  <c r="K794" i="4"/>
  <c r="I794" i="4"/>
  <c r="J794" i="4" s="1"/>
  <c r="H794" i="4"/>
  <c r="F794" i="4"/>
  <c r="E794" i="4"/>
  <c r="G794" i="4" s="1"/>
  <c r="C794" i="4"/>
  <c r="B794" i="4"/>
  <c r="D794" i="4" s="1"/>
  <c r="A794" i="4"/>
  <c r="R793" i="4"/>
  <c r="S793" i="4" s="1"/>
  <c r="Q793" i="4"/>
  <c r="O793" i="4"/>
  <c r="N793" i="4"/>
  <c r="P793" i="4" s="1"/>
  <c r="L793" i="4"/>
  <c r="K793" i="4"/>
  <c r="M793" i="4" s="1"/>
  <c r="J793" i="4"/>
  <c r="I793" i="4"/>
  <c r="H793" i="4"/>
  <c r="G793" i="4"/>
  <c r="F793" i="4"/>
  <c r="E793" i="4"/>
  <c r="C793" i="4"/>
  <c r="B793" i="4"/>
  <c r="A793" i="4"/>
  <c r="S792" i="4"/>
  <c r="R792" i="4"/>
  <c r="Q792" i="4"/>
  <c r="O792" i="4"/>
  <c r="P792" i="4" s="1"/>
  <c r="N792" i="4"/>
  <c r="L792" i="4"/>
  <c r="K792" i="4"/>
  <c r="M792" i="4" s="1"/>
  <c r="I792" i="4"/>
  <c r="H792" i="4"/>
  <c r="J792" i="4" s="1"/>
  <c r="G792" i="4"/>
  <c r="F792" i="4"/>
  <c r="E792" i="4"/>
  <c r="D792" i="4"/>
  <c r="T792" i="4" s="1"/>
  <c r="C792" i="4"/>
  <c r="B792" i="4"/>
  <c r="A792" i="4"/>
  <c r="R791" i="4"/>
  <c r="Q791" i="4"/>
  <c r="S791" i="4" s="1"/>
  <c r="P791" i="4"/>
  <c r="O791" i="4"/>
  <c r="N791" i="4"/>
  <c r="L791" i="4"/>
  <c r="M791" i="4" s="1"/>
  <c r="K791" i="4"/>
  <c r="I791" i="4"/>
  <c r="H791" i="4"/>
  <c r="J791" i="4" s="1"/>
  <c r="F791" i="4"/>
  <c r="E791" i="4"/>
  <c r="G791" i="4" s="1"/>
  <c r="D791" i="4"/>
  <c r="C791" i="4"/>
  <c r="B791" i="4"/>
  <c r="A791" i="4"/>
  <c r="R790" i="4"/>
  <c r="Q790" i="4"/>
  <c r="O790" i="4"/>
  <c r="N790" i="4"/>
  <c r="P790" i="4" s="1"/>
  <c r="M790" i="4"/>
  <c r="L790" i="4"/>
  <c r="K790" i="4"/>
  <c r="I790" i="4"/>
  <c r="J790" i="4" s="1"/>
  <c r="H790" i="4"/>
  <c r="F790" i="4"/>
  <c r="E790" i="4"/>
  <c r="G790" i="4" s="1"/>
  <c r="C790" i="4"/>
  <c r="B790" i="4"/>
  <c r="D790" i="4" s="1"/>
  <c r="A790" i="4"/>
  <c r="R789" i="4"/>
  <c r="S789" i="4" s="1"/>
  <c r="Q789" i="4"/>
  <c r="O789" i="4"/>
  <c r="N789" i="4"/>
  <c r="P789" i="4" s="1"/>
  <c r="L789" i="4"/>
  <c r="K789" i="4"/>
  <c r="M789" i="4" s="1"/>
  <c r="J789" i="4"/>
  <c r="I789" i="4"/>
  <c r="H789" i="4"/>
  <c r="G789" i="4"/>
  <c r="F789" i="4"/>
  <c r="E789" i="4"/>
  <c r="C789" i="4"/>
  <c r="B789" i="4"/>
  <c r="D789" i="4" s="1"/>
  <c r="T789" i="4" s="1"/>
  <c r="A789" i="4"/>
  <c r="S788" i="4"/>
  <c r="R788" i="4"/>
  <c r="Q788" i="4"/>
  <c r="O788" i="4"/>
  <c r="P788" i="4" s="1"/>
  <c r="N788" i="4"/>
  <c r="L788" i="4"/>
  <c r="K788" i="4"/>
  <c r="I788" i="4"/>
  <c r="H788" i="4"/>
  <c r="J788" i="4" s="1"/>
  <c r="G788" i="4"/>
  <c r="F788" i="4"/>
  <c r="E788" i="4"/>
  <c r="D788" i="4"/>
  <c r="C788" i="4"/>
  <c r="B788" i="4"/>
  <c r="A788" i="4"/>
  <c r="R787" i="4"/>
  <c r="Q787" i="4"/>
  <c r="S787" i="4" s="1"/>
  <c r="P787" i="4"/>
  <c r="O787" i="4"/>
  <c r="N787" i="4"/>
  <c r="M787" i="4"/>
  <c r="L787" i="4"/>
  <c r="K787" i="4"/>
  <c r="I787" i="4"/>
  <c r="H787" i="4"/>
  <c r="J787" i="4" s="1"/>
  <c r="F787" i="4"/>
  <c r="E787" i="4"/>
  <c r="G787" i="4" s="1"/>
  <c r="D787" i="4"/>
  <c r="C787" i="4"/>
  <c r="B787" i="4"/>
  <c r="A787" i="4"/>
  <c r="R786" i="4"/>
  <c r="Q786" i="4"/>
  <c r="S786" i="4" s="1"/>
  <c r="O786" i="4"/>
  <c r="N786" i="4"/>
  <c r="P786" i="4" s="1"/>
  <c r="M786" i="4"/>
  <c r="L786" i="4"/>
  <c r="K786" i="4"/>
  <c r="I786" i="4"/>
  <c r="J786" i="4" s="1"/>
  <c r="H786" i="4"/>
  <c r="F786" i="4"/>
  <c r="E786" i="4"/>
  <c r="C786" i="4"/>
  <c r="B786" i="4"/>
  <c r="D786" i="4" s="1"/>
  <c r="A786" i="4"/>
  <c r="R785" i="4"/>
  <c r="S785" i="4" s="1"/>
  <c r="Q785" i="4"/>
  <c r="O785" i="4"/>
  <c r="N785" i="4"/>
  <c r="L785" i="4"/>
  <c r="K785" i="4"/>
  <c r="M785" i="4" s="1"/>
  <c r="J785" i="4"/>
  <c r="I785" i="4"/>
  <c r="H785" i="4"/>
  <c r="G785" i="4"/>
  <c r="F785" i="4"/>
  <c r="E785" i="4"/>
  <c r="C785" i="4"/>
  <c r="B785" i="4"/>
  <c r="A785" i="4"/>
  <c r="S784" i="4"/>
  <c r="R784" i="4"/>
  <c r="Q784" i="4"/>
  <c r="O784" i="4"/>
  <c r="P784" i="4" s="1"/>
  <c r="N784" i="4"/>
  <c r="L784" i="4"/>
  <c r="K784" i="4"/>
  <c r="I784" i="4"/>
  <c r="H784" i="4"/>
  <c r="J784" i="4" s="1"/>
  <c r="G784" i="4"/>
  <c r="F784" i="4"/>
  <c r="E784" i="4"/>
  <c r="D784" i="4"/>
  <c r="C784" i="4"/>
  <c r="B784" i="4"/>
  <c r="A784" i="4"/>
  <c r="R783" i="4"/>
  <c r="Q783" i="4"/>
  <c r="S783" i="4" s="1"/>
  <c r="P783" i="4"/>
  <c r="O783" i="4"/>
  <c r="N783" i="4"/>
  <c r="L783" i="4"/>
  <c r="M783" i="4" s="1"/>
  <c r="K783" i="4"/>
  <c r="I783" i="4"/>
  <c r="H783" i="4"/>
  <c r="J783" i="4" s="1"/>
  <c r="F783" i="4"/>
  <c r="E783" i="4"/>
  <c r="G783" i="4" s="1"/>
  <c r="D783" i="4"/>
  <c r="C783" i="4"/>
  <c r="B783" i="4"/>
  <c r="A783" i="4"/>
  <c r="R782" i="4"/>
  <c r="Q782" i="4"/>
  <c r="O782" i="4"/>
  <c r="N782" i="4"/>
  <c r="P782" i="4" s="1"/>
  <c r="M782" i="4"/>
  <c r="L782" i="4"/>
  <c r="K782" i="4"/>
  <c r="I782" i="4"/>
  <c r="J782" i="4" s="1"/>
  <c r="H782" i="4"/>
  <c r="F782" i="4"/>
  <c r="E782" i="4"/>
  <c r="C782" i="4"/>
  <c r="B782" i="4"/>
  <c r="D782" i="4" s="1"/>
  <c r="A782" i="4"/>
  <c r="R781" i="4"/>
  <c r="S781" i="4" s="1"/>
  <c r="Q781" i="4"/>
  <c r="O781" i="4"/>
  <c r="N781" i="4"/>
  <c r="L781" i="4"/>
  <c r="K781" i="4"/>
  <c r="M781" i="4" s="1"/>
  <c r="J781" i="4"/>
  <c r="I781" i="4"/>
  <c r="H781" i="4"/>
  <c r="G781" i="4"/>
  <c r="F781" i="4"/>
  <c r="E781" i="4"/>
  <c r="C781" i="4"/>
  <c r="B781" i="4"/>
  <c r="D781" i="4" s="1"/>
  <c r="A781" i="4"/>
  <c r="S780" i="4"/>
  <c r="R780" i="4"/>
  <c r="Q780" i="4"/>
  <c r="O780" i="4"/>
  <c r="P780" i="4" s="1"/>
  <c r="N780" i="4"/>
  <c r="L780" i="4"/>
  <c r="K780" i="4"/>
  <c r="I780" i="4"/>
  <c r="H780" i="4"/>
  <c r="J780" i="4" s="1"/>
  <c r="G780" i="4"/>
  <c r="F780" i="4"/>
  <c r="E780" i="4"/>
  <c r="D780" i="4"/>
  <c r="C780" i="4"/>
  <c r="B780" i="4"/>
  <c r="A780" i="4"/>
  <c r="R779" i="4"/>
  <c r="Q779" i="4"/>
  <c r="S779" i="4" s="1"/>
  <c r="P779" i="4"/>
  <c r="O779" i="4"/>
  <c r="N779" i="4"/>
  <c r="M779" i="4"/>
  <c r="L779" i="4"/>
  <c r="K779" i="4"/>
  <c r="I779" i="4"/>
  <c r="H779" i="4"/>
  <c r="J779" i="4" s="1"/>
  <c r="F779" i="4"/>
  <c r="E779" i="4"/>
  <c r="G779" i="4" s="1"/>
  <c r="D779" i="4"/>
  <c r="C779" i="4"/>
  <c r="B779" i="4"/>
  <c r="A779" i="4"/>
  <c r="R778" i="4"/>
  <c r="Q778" i="4"/>
  <c r="S778" i="4" s="1"/>
  <c r="O778" i="4"/>
  <c r="N778" i="4"/>
  <c r="P778" i="4" s="1"/>
  <c r="M778" i="4"/>
  <c r="L778" i="4"/>
  <c r="K778" i="4"/>
  <c r="I778" i="4"/>
  <c r="J778" i="4" s="1"/>
  <c r="H778" i="4"/>
  <c r="F778" i="4"/>
  <c r="E778" i="4"/>
  <c r="C778" i="4"/>
  <c r="B778" i="4"/>
  <c r="D778" i="4" s="1"/>
  <c r="A778" i="4"/>
  <c r="R777" i="4"/>
  <c r="S777" i="4" s="1"/>
  <c r="Q777" i="4"/>
  <c r="O777" i="4"/>
  <c r="N777" i="4"/>
  <c r="L777" i="4"/>
  <c r="K777" i="4"/>
  <c r="M777" i="4" s="1"/>
  <c r="J777" i="4"/>
  <c r="I777" i="4"/>
  <c r="H777" i="4"/>
  <c r="G777" i="4"/>
  <c r="F777" i="4"/>
  <c r="E777" i="4"/>
  <c r="C777" i="4"/>
  <c r="B777" i="4"/>
  <c r="A777" i="4"/>
  <c r="S776" i="4"/>
  <c r="R776" i="4"/>
  <c r="Q776" i="4"/>
  <c r="O776" i="4"/>
  <c r="P776" i="4" s="1"/>
  <c r="N776" i="4"/>
  <c r="L776" i="4"/>
  <c r="K776" i="4"/>
  <c r="I776" i="4"/>
  <c r="H776" i="4"/>
  <c r="J776" i="4" s="1"/>
  <c r="G776" i="4"/>
  <c r="F776" i="4"/>
  <c r="E776" i="4"/>
  <c r="D776" i="4"/>
  <c r="C776" i="4"/>
  <c r="B776" i="4"/>
  <c r="A776" i="4"/>
  <c r="R775" i="4"/>
  <c r="Q775" i="4"/>
  <c r="S775" i="4" s="1"/>
  <c r="P775" i="4"/>
  <c r="O775" i="4"/>
  <c r="N775" i="4"/>
  <c r="L775" i="4"/>
  <c r="M775" i="4" s="1"/>
  <c r="K775" i="4"/>
  <c r="I775" i="4"/>
  <c r="H775" i="4"/>
  <c r="J775" i="4" s="1"/>
  <c r="F775" i="4"/>
  <c r="E775" i="4"/>
  <c r="G775" i="4" s="1"/>
  <c r="D775" i="4"/>
  <c r="C775" i="4"/>
  <c r="B775" i="4"/>
  <c r="A775" i="4"/>
  <c r="R774" i="4"/>
  <c r="Q774" i="4"/>
  <c r="O774" i="4"/>
  <c r="N774" i="4"/>
  <c r="P774" i="4" s="1"/>
  <c r="M774" i="4"/>
  <c r="L774" i="4"/>
  <c r="K774" i="4"/>
  <c r="I774" i="4"/>
  <c r="J774" i="4" s="1"/>
  <c r="H774" i="4"/>
  <c r="F774" i="4"/>
  <c r="E774" i="4"/>
  <c r="C774" i="4"/>
  <c r="B774" i="4"/>
  <c r="D774" i="4" s="1"/>
  <c r="A774" i="4"/>
  <c r="R773" i="4"/>
  <c r="S773" i="4" s="1"/>
  <c r="Q773" i="4"/>
  <c r="O773" i="4"/>
  <c r="N773" i="4"/>
  <c r="L773" i="4"/>
  <c r="K773" i="4"/>
  <c r="M773" i="4" s="1"/>
  <c r="J773" i="4"/>
  <c r="I773" i="4"/>
  <c r="H773" i="4"/>
  <c r="G773" i="4"/>
  <c r="F773" i="4"/>
  <c r="E773" i="4"/>
  <c r="C773" i="4"/>
  <c r="B773" i="4"/>
  <c r="D773" i="4" s="1"/>
  <c r="A773" i="4"/>
  <c r="S772" i="4"/>
  <c r="R772" i="4"/>
  <c r="Q772" i="4"/>
  <c r="O772" i="4"/>
  <c r="P772" i="4" s="1"/>
  <c r="N772" i="4"/>
  <c r="L772" i="4"/>
  <c r="K772" i="4"/>
  <c r="I772" i="4"/>
  <c r="H772" i="4"/>
  <c r="J772" i="4" s="1"/>
  <c r="G772" i="4"/>
  <c r="F772" i="4"/>
  <c r="E772" i="4"/>
  <c r="D772" i="4"/>
  <c r="C772" i="4"/>
  <c r="B772" i="4"/>
  <c r="A772" i="4"/>
  <c r="R771" i="4"/>
  <c r="Q771" i="4"/>
  <c r="S771" i="4" s="1"/>
  <c r="P771" i="4"/>
  <c r="O771" i="4"/>
  <c r="N771" i="4"/>
  <c r="M771" i="4"/>
  <c r="L771" i="4"/>
  <c r="K771" i="4"/>
  <c r="I771" i="4"/>
  <c r="H771" i="4"/>
  <c r="J771" i="4" s="1"/>
  <c r="F771" i="4"/>
  <c r="E771" i="4"/>
  <c r="G771" i="4" s="1"/>
  <c r="D771" i="4"/>
  <c r="C771" i="4"/>
  <c r="B771" i="4"/>
  <c r="A771" i="4"/>
  <c r="R770" i="4"/>
  <c r="Q770" i="4"/>
  <c r="S770" i="4" s="1"/>
  <c r="O770" i="4"/>
  <c r="N770" i="4"/>
  <c r="P770" i="4" s="1"/>
  <c r="M770" i="4"/>
  <c r="L770" i="4"/>
  <c r="K770" i="4"/>
  <c r="I770" i="4"/>
  <c r="J770" i="4" s="1"/>
  <c r="H770" i="4"/>
  <c r="F770" i="4"/>
  <c r="E770" i="4"/>
  <c r="C770" i="4"/>
  <c r="B770" i="4"/>
  <c r="D770" i="4" s="1"/>
  <c r="A770" i="4"/>
  <c r="R769" i="4"/>
  <c r="S769" i="4" s="1"/>
  <c r="Q769" i="4"/>
  <c r="O769" i="4"/>
  <c r="N769" i="4"/>
  <c r="L769" i="4"/>
  <c r="K769" i="4"/>
  <c r="M769" i="4" s="1"/>
  <c r="J769" i="4"/>
  <c r="I769" i="4"/>
  <c r="H769" i="4"/>
  <c r="G769" i="4"/>
  <c r="F769" i="4"/>
  <c r="E769" i="4"/>
  <c r="C769" i="4"/>
  <c r="B769" i="4"/>
  <c r="A769" i="4"/>
  <c r="S768" i="4"/>
  <c r="R768" i="4"/>
  <c r="Q768" i="4"/>
  <c r="O768" i="4"/>
  <c r="P768" i="4" s="1"/>
  <c r="N768" i="4"/>
  <c r="L768" i="4"/>
  <c r="K768" i="4"/>
  <c r="I768" i="4"/>
  <c r="H768" i="4"/>
  <c r="J768" i="4" s="1"/>
  <c r="G768" i="4"/>
  <c r="F768" i="4"/>
  <c r="E768" i="4"/>
  <c r="D768" i="4"/>
  <c r="C768" i="4"/>
  <c r="B768" i="4"/>
  <c r="A768" i="4"/>
  <c r="R767" i="4"/>
  <c r="Q767" i="4"/>
  <c r="S767" i="4" s="1"/>
  <c r="P767" i="4"/>
  <c r="O767" i="4"/>
  <c r="N767" i="4"/>
  <c r="L767" i="4"/>
  <c r="M767" i="4" s="1"/>
  <c r="K767" i="4"/>
  <c r="I767" i="4"/>
  <c r="H767" i="4"/>
  <c r="J767" i="4" s="1"/>
  <c r="F767" i="4"/>
  <c r="E767" i="4"/>
  <c r="G767" i="4" s="1"/>
  <c r="D767" i="4"/>
  <c r="C767" i="4"/>
  <c r="B767" i="4"/>
  <c r="A767" i="4"/>
  <c r="R766" i="4"/>
  <c r="Q766" i="4"/>
  <c r="O766" i="4"/>
  <c r="N766" i="4"/>
  <c r="P766" i="4" s="1"/>
  <c r="M766" i="4"/>
  <c r="L766" i="4"/>
  <c r="K766" i="4"/>
  <c r="I766" i="4"/>
  <c r="J766" i="4" s="1"/>
  <c r="H766" i="4"/>
  <c r="F766" i="4"/>
  <c r="E766" i="4"/>
  <c r="C766" i="4"/>
  <c r="B766" i="4"/>
  <c r="D766" i="4" s="1"/>
  <c r="A766" i="4"/>
  <c r="R765" i="4"/>
  <c r="S765" i="4" s="1"/>
  <c r="Q765" i="4"/>
  <c r="O765" i="4"/>
  <c r="N765" i="4"/>
  <c r="L765" i="4"/>
  <c r="K765" i="4"/>
  <c r="M765" i="4" s="1"/>
  <c r="J765" i="4"/>
  <c r="I765" i="4"/>
  <c r="H765" i="4"/>
  <c r="G765" i="4"/>
  <c r="F765" i="4"/>
  <c r="E765" i="4"/>
  <c r="C765" i="4"/>
  <c r="B765" i="4"/>
  <c r="D765" i="4" s="1"/>
  <c r="A765" i="4"/>
  <c r="S764" i="4"/>
  <c r="R764" i="4"/>
  <c r="Q764" i="4"/>
  <c r="O764" i="4"/>
  <c r="P764" i="4" s="1"/>
  <c r="N764" i="4"/>
  <c r="L764" i="4"/>
  <c r="K764" i="4"/>
  <c r="I764" i="4"/>
  <c r="H764" i="4"/>
  <c r="J764" i="4" s="1"/>
  <c r="G764" i="4"/>
  <c r="F764" i="4"/>
  <c r="E764" i="4"/>
  <c r="D764" i="4"/>
  <c r="C764" i="4"/>
  <c r="B764" i="4"/>
  <c r="A764" i="4"/>
  <c r="R763" i="4"/>
  <c r="Q763" i="4"/>
  <c r="S763" i="4" s="1"/>
  <c r="P763" i="4"/>
  <c r="O763" i="4"/>
  <c r="N763" i="4"/>
  <c r="M763" i="4"/>
  <c r="L763" i="4"/>
  <c r="K763" i="4"/>
  <c r="I763" i="4"/>
  <c r="H763" i="4"/>
  <c r="J763" i="4" s="1"/>
  <c r="F763" i="4"/>
  <c r="E763" i="4"/>
  <c r="G763" i="4" s="1"/>
  <c r="D763" i="4"/>
  <c r="C763" i="4"/>
  <c r="B763" i="4"/>
  <c r="A763" i="4"/>
  <c r="R762" i="4"/>
  <c r="Q762" i="4"/>
  <c r="S762" i="4" s="1"/>
  <c r="O762" i="4"/>
  <c r="N762" i="4"/>
  <c r="P762" i="4" s="1"/>
  <c r="M762" i="4"/>
  <c r="L762" i="4"/>
  <c r="K762" i="4"/>
  <c r="I762" i="4"/>
  <c r="J762" i="4" s="1"/>
  <c r="H762" i="4"/>
  <c r="F762" i="4"/>
  <c r="E762" i="4"/>
  <c r="C762" i="4"/>
  <c r="B762" i="4"/>
  <c r="D762" i="4" s="1"/>
  <c r="A762" i="4"/>
  <c r="R761" i="4"/>
  <c r="S761" i="4" s="1"/>
  <c r="Q761" i="4"/>
  <c r="O761" i="4"/>
  <c r="N761" i="4"/>
  <c r="L761" i="4"/>
  <c r="K761" i="4"/>
  <c r="M761" i="4" s="1"/>
  <c r="J761" i="4"/>
  <c r="I761" i="4"/>
  <c r="H761" i="4"/>
  <c r="G761" i="4"/>
  <c r="F761" i="4"/>
  <c r="E761" i="4"/>
  <c r="C761" i="4"/>
  <c r="B761" i="4"/>
  <c r="A761" i="4"/>
  <c r="S760" i="4"/>
  <c r="R760" i="4"/>
  <c r="Q760" i="4"/>
  <c r="O760" i="4"/>
  <c r="P760" i="4" s="1"/>
  <c r="N760" i="4"/>
  <c r="L760" i="4"/>
  <c r="K760" i="4"/>
  <c r="I760" i="4"/>
  <c r="H760" i="4"/>
  <c r="J760" i="4" s="1"/>
  <c r="G760" i="4"/>
  <c r="F760" i="4"/>
  <c r="E760" i="4"/>
  <c r="D760" i="4"/>
  <c r="C760" i="4"/>
  <c r="B760" i="4"/>
  <c r="A760" i="4"/>
  <c r="R759" i="4"/>
  <c r="Q759" i="4"/>
  <c r="S759" i="4" s="1"/>
  <c r="P759" i="4"/>
  <c r="O759" i="4"/>
  <c r="N759" i="4"/>
  <c r="L759" i="4"/>
  <c r="M759" i="4" s="1"/>
  <c r="K759" i="4"/>
  <c r="I759" i="4"/>
  <c r="H759" i="4"/>
  <c r="J759" i="4" s="1"/>
  <c r="F759" i="4"/>
  <c r="E759" i="4"/>
  <c r="G759" i="4" s="1"/>
  <c r="D759" i="4"/>
  <c r="C759" i="4"/>
  <c r="B759" i="4"/>
  <c r="A759" i="4"/>
  <c r="R758" i="4"/>
  <c r="Q758" i="4"/>
  <c r="O758" i="4"/>
  <c r="N758" i="4"/>
  <c r="P758" i="4" s="1"/>
  <c r="M758" i="4"/>
  <c r="L758" i="4"/>
  <c r="K758" i="4"/>
  <c r="I758" i="4"/>
  <c r="J758" i="4" s="1"/>
  <c r="H758" i="4"/>
  <c r="F758" i="4"/>
  <c r="E758" i="4"/>
  <c r="C758" i="4"/>
  <c r="B758" i="4"/>
  <c r="D758" i="4" s="1"/>
  <c r="A758" i="4"/>
  <c r="R757" i="4"/>
  <c r="S757" i="4" s="1"/>
  <c r="Q757" i="4"/>
  <c r="O757" i="4"/>
  <c r="N757" i="4"/>
  <c r="L757" i="4"/>
  <c r="K757" i="4"/>
  <c r="M757" i="4" s="1"/>
  <c r="J757" i="4"/>
  <c r="I757" i="4"/>
  <c r="H757" i="4"/>
  <c r="G757" i="4"/>
  <c r="F757" i="4"/>
  <c r="E757" i="4"/>
  <c r="C757" i="4"/>
  <c r="B757" i="4"/>
  <c r="D757" i="4" s="1"/>
  <c r="A757" i="4"/>
  <c r="S756" i="4"/>
  <c r="R756" i="4"/>
  <c r="Q756" i="4"/>
  <c r="O756" i="4"/>
  <c r="P756" i="4" s="1"/>
  <c r="N756" i="4"/>
  <c r="L756" i="4"/>
  <c r="K756" i="4"/>
  <c r="I756" i="4"/>
  <c r="H756" i="4"/>
  <c r="J756" i="4" s="1"/>
  <c r="G756" i="4"/>
  <c r="F756" i="4"/>
  <c r="E756" i="4"/>
  <c r="D756" i="4"/>
  <c r="C756" i="4"/>
  <c r="B756" i="4"/>
  <c r="A756" i="4"/>
  <c r="R755" i="4"/>
  <c r="Q755" i="4"/>
  <c r="S755" i="4" s="1"/>
  <c r="P755" i="4"/>
  <c r="O755" i="4"/>
  <c r="N755" i="4"/>
  <c r="M755" i="4"/>
  <c r="L755" i="4"/>
  <c r="K755" i="4"/>
  <c r="I755" i="4"/>
  <c r="H755" i="4"/>
  <c r="J755" i="4" s="1"/>
  <c r="F755" i="4"/>
  <c r="E755" i="4"/>
  <c r="G755" i="4" s="1"/>
  <c r="D755" i="4"/>
  <c r="C755" i="4"/>
  <c r="B755" i="4"/>
  <c r="A755" i="4"/>
  <c r="R754" i="4"/>
  <c r="Q754" i="4"/>
  <c r="S754" i="4" s="1"/>
  <c r="O754" i="4"/>
  <c r="N754" i="4"/>
  <c r="P754" i="4" s="1"/>
  <c r="M754" i="4"/>
  <c r="L754" i="4"/>
  <c r="K754" i="4"/>
  <c r="I754" i="4"/>
  <c r="J754" i="4" s="1"/>
  <c r="H754" i="4"/>
  <c r="F754" i="4"/>
  <c r="E754" i="4"/>
  <c r="C754" i="4"/>
  <c r="B754" i="4"/>
  <c r="D754" i="4" s="1"/>
  <c r="A754" i="4"/>
  <c r="R753" i="4"/>
  <c r="S753" i="4" s="1"/>
  <c r="Q753" i="4"/>
  <c r="O753" i="4"/>
  <c r="N753" i="4"/>
  <c r="L753" i="4"/>
  <c r="K753" i="4"/>
  <c r="M753" i="4" s="1"/>
  <c r="J753" i="4"/>
  <c r="I753" i="4"/>
  <c r="H753" i="4"/>
  <c r="G753" i="4"/>
  <c r="F753" i="4"/>
  <c r="E753" i="4"/>
  <c r="C753" i="4"/>
  <c r="B753" i="4"/>
  <c r="A753" i="4"/>
  <c r="S752" i="4"/>
  <c r="R752" i="4"/>
  <c r="Q752" i="4"/>
  <c r="O752" i="4"/>
  <c r="P752" i="4" s="1"/>
  <c r="N752" i="4"/>
  <c r="L752" i="4"/>
  <c r="K752" i="4"/>
  <c r="I752" i="4"/>
  <c r="H752" i="4"/>
  <c r="J752" i="4" s="1"/>
  <c r="G752" i="4"/>
  <c r="F752" i="4"/>
  <c r="E752" i="4"/>
  <c r="D752" i="4"/>
  <c r="C752" i="4"/>
  <c r="B752" i="4"/>
  <c r="A752" i="4"/>
  <c r="R751" i="4"/>
  <c r="Q751" i="4"/>
  <c r="S751" i="4" s="1"/>
  <c r="P751" i="4"/>
  <c r="O751" i="4"/>
  <c r="N751" i="4"/>
  <c r="L751" i="4"/>
  <c r="M751" i="4" s="1"/>
  <c r="K751" i="4"/>
  <c r="I751" i="4"/>
  <c r="H751" i="4"/>
  <c r="J751" i="4" s="1"/>
  <c r="F751" i="4"/>
  <c r="E751" i="4"/>
  <c r="G751" i="4" s="1"/>
  <c r="D751" i="4"/>
  <c r="C751" i="4"/>
  <c r="B751" i="4"/>
  <c r="A751" i="4"/>
  <c r="R750" i="4"/>
  <c r="Q750" i="4"/>
  <c r="O750" i="4"/>
  <c r="N750" i="4"/>
  <c r="P750" i="4" s="1"/>
  <c r="M750" i="4"/>
  <c r="L750" i="4"/>
  <c r="K750" i="4"/>
  <c r="I750" i="4"/>
  <c r="J750" i="4" s="1"/>
  <c r="H750" i="4"/>
  <c r="F750" i="4"/>
  <c r="E750" i="4"/>
  <c r="C750" i="4"/>
  <c r="B750" i="4"/>
  <c r="D750" i="4" s="1"/>
  <c r="A750" i="4"/>
  <c r="R749" i="4"/>
  <c r="S749" i="4" s="1"/>
  <c r="Q749" i="4"/>
  <c r="O749" i="4"/>
  <c r="N749" i="4"/>
  <c r="L749" i="4"/>
  <c r="K749" i="4"/>
  <c r="M749" i="4" s="1"/>
  <c r="J749" i="4"/>
  <c r="I749" i="4"/>
  <c r="H749" i="4"/>
  <c r="G749" i="4"/>
  <c r="F749" i="4"/>
  <c r="E749" i="4"/>
  <c r="C749" i="4"/>
  <c r="B749" i="4"/>
  <c r="D749" i="4" s="1"/>
  <c r="A749" i="4"/>
  <c r="S748" i="4"/>
  <c r="R748" i="4"/>
  <c r="Q748" i="4"/>
  <c r="O748" i="4"/>
  <c r="P748" i="4" s="1"/>
  <c r="N748" i="4"/>
  <c r="L748" i="4"/>
  <c r="K748" i="4"/>
  <c r="I748" i="4"/>
  <c r="H748" i="4"/>
  <c r="J748" i="4" s="1"/>
  <c r="G748" i="4"/>
  <c r="F748" i="4"/>
  <c r="E748" i="4"/>
  <c r="D748" i="4"/>
  <c r="C748" i="4"/>
  <c r="B748" i="4"/>
  <c r="A748" i="4"/>
  <c r="R747" i="4"/>
  <c r="Q747" i="4"/>
  <c r="S747" i="4" s="1"/>
  <c r="P747" i="4"/>
  <c r="O747" i="4"/>
  <c r="N747" i="4"/>
  <c r="M747" i="4"/>
  <c r="L747" i="4"/>
  <c r="K747" i="4"/>
  <c r="I747" i="4"/>
  <c r="H747" i="4"/>
  <c r="J747" i="4" s="1"/>
  <c r="F747" i="4"/>
  <c r="E747" i="4"/>
  <c r="G747" i="4" s="1"/>
  <c r="D747" i="4"/>
  <c r="C747" i="4"/>
  <c r="B747" i="4"/>
  <c r="A747" i="4"/>
  <c r="R746" i="4"/>
  <c r="Q746" i="4"/>
  <c r="S746" i="4" s="1"/>
  <c r="O746" i="4"/>
  <c r="N746" i="4"/>
  <c r="P746" i="4" s="1"/>
  <c r="M746" i="4"/>
  <c r="L746" i="4"/>
  <c r="K746" i="4"/>
  <c r="I746" i="4"/>
  <c r="J746" i="4" s="1"/>
  <c r="H746" i="4"/>
  <c r="F746" i="4"/>
  <c r="E746" i="4"/>
  <c r="C746" i="4"/>
  <c r="B746" i="4"/>
  <c r="D746" i="4" s="1"/>
  <c r="A746" i="4"/>
  <c r="R745" i="4"/>
  <c r="S745" i="4" s="1"/>
  <c r="Q745" i="4"/>
  <c r="O745" i="4"/>
  <c r="N745" i="4"/>
  <c r="L745" i="4"/>
  <c r="K745" i="4"/>
  <c r="M745" i="4" s="1"/>
  <c r="J745" i="4"/>
  <c r="I745" i="4"/>
  <c r="H745" i="4"/>
  <c r="G745" i="4"/>
  <c r="F745" i="4"/>
  <c r="E745" i="4"/>
  <c r="C745" i="4"/>
  <c r="B745" i="4"/>
  <c r="A745" i="4"/>
  <c r="S744" i="4"/>
  <c r="R744" i="4"/>
  <c r="Q744" i="4"/>
  <c r="O744" i="4"/>
  <c r="P744" i="4" s="1"/>
  <c r="N744" i="4"/>
  <c r="L744" i="4"/>
  <c r="K744" i="4"/>
  <c r="I744" i="4"/>
  <c r="H744" i="4"/>
  <c r="J744" i="4" s="1"/>
  <c r="G744" i="4"/>
  <c r="F744" i="4"/>
  <c r="E744" i="4"/>
  <c r="D744" i="4"/>
  <c r="C744" i="4"/>
  <c r="B744" i="4"/>
  <c r="A744" i="4"/>
  <c r="R743" i="4"/>
  <c r="Q743" i="4"/>
  <c r="S743" i="4" s="1"/>
  <c r="P743" i="4"/>
  <c r="O743" i="4"/>
  <c r="N743" i="4"/>
  <c r="L743" i="4"/>
  <c r="M743" i="4" s="1"/>
  <c r="K743" i="4"/>
  <c r="I743" i="4"/>
  <c r="H743" i="4"/>
  <c r="J743" i="4" s="1"/>
  <c r="F743" i="4"/>
  <c r="E743" i="4"/>
  <c r="G743" i="4" s="1"/>
  <c r="D743" i="4"/>
  <c r="C743" i="4"/>
  <c r="B743" i="4"/>
  <c r="A743" i="4"/>
  <c r="R742" i="4"/>
  <c r="Q742" i="4"/>
  <c r="O742" i="4"/>
  <c r="N742" i="4"/>
  <c r="P742" i="4" s="1"/>
  <c r="M742" i="4"/>
  <c r="L742" i="4"/>
  <c r="K742" i="4"/>
  <c r="I742" i="4"/>
  <c r="J742" i="4" s="1"/>
  <c r="H742" i="4"/>
  <c r="F742" i="4"/>
  <c r="E742" i="4"/>
  <c r="C742" i="4"/>
  <c r="B742" i="4"/>
  <c r="D742" i="4" s="1"/>
  <c r="A742" i="4"/>
  <c r="R741" i="4"/>
  <c r="S741" i="4" s="1"/>
  <c r="Q741" i="4"/>
  <c r="O741" i="4"/>
  <c r="N741" i="4"/>
  <c r="L741" i="4"/>
  <c r="K741" i="4"/>
  <c r="M741" i="4" s="1"/>
  <c r="J741" i="4"/>
  <c r="I741" i="4"/>
  <c r="H741" i="4"/>
  <c r="G741" i="4"/>
  <c r="F741" i="4"/>
  <c r="E741" i="4"/>
  <c r="C741" i="4"/>
  <c r="B741" i="4"/>
  <c r="D741" i="4" s="1"/>
  <c r="A741" i="4"/>
  <c r="S740" i="4"/>
  <c r="R740" i="4"/>
  <c r="Q740" i="4"/>
  <c r="O740" i="4"/>
  <c r="P740" i="4" s="1"/>
  <c r="N740" i="4"/>
  <c r="L740" i="4"/>
  <c r="K740" i="4"/>
  <c r="I740" i="4"/>
  <c r="H740" i="4"/>
  <c r="J740" i="4" s="1"/>
  <c r="G740" i="4"/>
  <c r="F740" i="4"/>
  <c r="E740" i="4"/>
  <c r="D740" i="4"/>
  <c r="C740" i="4"/>
  <c r="B740" i="4"/>
  <c r="A740" i="4"/>
  <c r="R739" i="4"/>
  <c r="Q739" i="4"/>
  <c r="S739" i="4" s="1"/>
  <c r="P739" i="4"/>
  <c r="O739" i="4"/>
  <c r="N739" i="4"/>
  <c r="M739" i="4"/>
  <c r="L739" i="4"/>
  <c r="K739" i="4"/>
  <c r="I739" i="4"/>
  <c r="H739" i="4"/>
  <c r="J739" i="4" s="1"/>
  <c r="F739" i="4"/>
  <c r="E739" i="4"/>
  <c r="G739" i="4" s="1"/>
  <c r="D739" i="4"/>
  <c r="C739" i="4"/>
  <c r="B739" i="4"/>
  <c r="A739" i="4"/>
  <c r="R738" i="4"/>
  <c r="Q738" i="4"/>
  <c r="S738" i="4" s="1"/>
  <c r="O738" i="4"/>
  <c r="N738" i="4"/>
  <c r="P738" i="4" s="1"/>
  <c r="M738" i="4"/>
  <c r="L738" i="4"/>
  <c r="K738" i="4"/>
  <c r="I738" i="4"/>
  <c r="J738" i="4" s="1"/>
  <c r="H738" i="4"/>
  <c r="F738" i="4"/>
  <c r="E738" i="4"/>
  <c r="C738" i="4"/>
  <c r="B738" i="4"/>
  <c r="D738" i="4" s="1"/>
  <c r="A738" i="4"/>
  <c r="R737" i="4"/>
  <c r="S737" i="4" s="1"/>
  <c r="Q737" i="4"/>
  <c r="O737" i="4"/>
  <c r="N737" i="4"/>
  <c r="L737" i="4"/>
  <c r="K737" i="4"/>
  <c r="M737" i="4" s="1"/>
  <c r="J737" i="4"/>
  <c r="I737" i="4"/>
  <c r="H737" i="4"/>
  <c r="G737" i="4"/>
  <c r="F737" i="4"/>
  <c r="E737" i="4"/>
  <c r="C737" i="4"/>
  <c r="B737" i="4"/>
  <c r="A737" i="4"/>
  <c r="S736" i="4"/>
  <c r="R736" i="4"/>
  <c r="Q736" i="4"/>
  <c r="O736" i="4"/>
  <c r="P736" i="4" s="1"/>
  <c r="N736" i="4"/>
  <c r="L736" i="4"/>
  <c r="K736" i="4"/>
  <c r="I736" i="4"/>
  <c r="H736" i="4"/>
  <c r="J736" i="4" s="1"/>
  <c r="G736" i="4"/>
  <c r="F736" i="4"/>
  <c r="E736" i="4"/>
  <c r="D736" i="4"/>
  <c r="C736" i="4"/>
  <c r="B736" i="4"/>
  <c r="A736" i="4"/>
  <c r="R735" i="4"/>
  <c r="Q735" i="4"/>
  <c r="S735" i="4" s="1"/>
  <c r="P735" i="4"/>
  <c r="O735" i="4"/>
  <c r="N735" i="4"/>
  <c r="L735" i="4"/>
  <c r="M735" i="4" s="1"/>
  <c r="K735" i="4"/>
  <c r="I735" i="4"/>
  <c r="H735" i="4"/>
  <c r="J735" i="4" s="1"/>
  <c r="F735" i="4"/>
  <c r="E735" i="4"/>
  <c r="G735" i="4" s="1"/>
  <c r="D735" i="4"/>
  <c r="C735" i="4"/>
  <c r="B735" i="4"/>
  <c r="A735" i="4"/>
  <c r="R734" i="4"/>
  <c r="Q734" i="4"/>
  <c r="O734" i="4"/>
  <c r="N734" i="4"/>
  <c r="P734" i="4" s="1"/>
  <c r="M734" i="4"/>
  <c r="L734" i="4"/>
  <c r="K734" i="4"/>
  <c r="I734" i="4"/>
  <c r="J734" i="4" s="1"/>
  <c r="H734" i="4"/>
  <c r="F734" i="4"/>
  <c r="E734" i="4"/>
  <c r="C734" i="4"/>
  <c r="B734" i="4"/>
  <c r="D734" i="4" s="1"/>
  <c r="A734" i="4"/>
  <c r="R733" i="4"/>
  <c r="S733" i="4" s="1"/>
  <c r="Q733" i="4"/>
  <c r="O733" i="4"/>
  <c r="N733" i="4"/>
  <c r="L733" i="4"/>
  <c r="K733" i="4"/>
  <c r="M733" i="4" s="1"/>
  <c r="J733" i="4"/>
  <c r="I733" i="4"/>
  <c r="H733" i="4"/>
  <c r="G733" i="4"/>
  <c r="F733" i="4"/>
  <c r="E733" i="4"/>
  <c r="C733" i="4"/>
  <c r="B733" i="4"/>
  <c r="D733" i="4" s="1"/>
  <c r="A733" i="4"/>
  <c r="S732" i="4"/>
  <c r="R732" i="4"/>
  <c r="Q732" i="4"/>
  <c r="O732" i="4"/>
  <c r="P732" i="4" s="1"/>
  <c r="N732" i="4"/>
  <c r="L732" i="4"/>
  <c r="K732" i="4"/>
  <c r="I732" i="4"/>
  <c r="H732" i="4"/>
  <c r="J732" i="4" s="1"/>
  <c r="G732" i="4"/>
  <c r="F732" i="4"/>
  <c r="E732" i="4"/>
  <c r="D732" i="4"/>
  <c r="C732" i="4"/>
  <c r="B732" i="4"/>
  <c r="A732" i="4"/>
  <c r="R731" i="4"/>
  <c r="Q731" i="4"/>
  <c r="S731" i="4" s="1"/>
  <c r="P731" i="4"/>
  <c r="O731" i="4"/>
  <c r="N731" i="4"/>
  <c r="M731" i="4"/>
  <c r="L731" i="4"/>
  <c r="K731" i="4"/>
  <c r="I731" i="4"/>
  <c r="H731" i="4"/>
  <c r="J731" i="4" s="1"/>
  <c r="F731" i="4"/>
  <c r="E731" i="4"/>
  <c r="G731" i="4" s="1"/>
  <c r="D731" i="4"/>
  <c r="C731" i="4"/>
  <c r="B731" i="4"/>
  <c r="A731" i="4"/>
  <c r="R730" i="4"/>
  <c r="Q730" i="4"/>
  <c r="S730" i="4" s="1"/>
  <c r="O730" i="4"/>
  <c r="N730" i="4"/>
  <c r="P730" i="4" s="1"/>
  <c r="M730" i="4"/>
  <c r="L730" i="4"/>
  <c r="K730" i="4"/>
  <c r="I730" i="4"/>
  <c r="J730" i="4" s="1"/>
  <c r="H730" i="4"/>
  <c r="F730" i="4"/>
  <c r="E730" i="4"/>
  <c r="C730" i="4"/>
  <c r="B730" i="4"/>
  <c r="D730" i="4" s="1"/>
  <c r="A730" i="4"/>
  <c r="R729" i="4"/>
  <c r="S729" i="4" s="1"/>
  <c r="Q729" i="4"/>
  <c r="O729" i="4"/>
  <c r="N729" i="4"/>
  <c r="L729" i="4"/>
  <c r="K729" i="4"/>
  <c r="M729" i="4" s="1"/>
  <c r="J729" i="4"/>
  <c r="I729" i="4"/>
  <c r="H729" i="4"/>
  <c r="G729" i="4"/>
  <c r="F729" i="4"/>
  <c r="E729" i="4"/>
  <c r="C729" i="4"/>
  <c r="B729" i="4"/>
  <c r="A729" i="4"/>
  <c r="S728" i="4"/>
  <c r="R728" i="4"/>
  <c r="Q728" i="4"/>
  <c r="O728" i="4"/>
  <c r="P728" i="4" s="1"/>
  <c r="N728" i="4"/>
  <c r="L728" i="4"/>
  <c r="K728" i="4"/>
  <c r="I728" i="4"/>
  <c r="H728" i="4"/>
  <c r="J728" i="4" s="1"/>
  <c r="G728" i="4"/>
  <c r="F728" i="4"/>
  <c r="E728" i="4"/>
  <c r="D728" i="4"/>
  <c r="C728" i="4"/>
  <c r="B728" i="4"/>
  <c r="A728" i="4"/>
  <c r="R727" i="4"/>
  <c r="Q727" i="4"/>
  <c r="S727" i="4" s="1"/>
  <c r="P727" i="4"/>
  <c r="O727" i="4"/>
  <c r="N727" i="4"/>
  <c r="L727" i="4"/>
  <c r="M727" i="4" s="1"/>
  <c r="K727" i="4"/>
  <c r="I727" i="4"/>
  <c r="H727" i="4"/>
  <c r="J727" i="4" s="1"/>
  <c r="F727" i="4"/>
  <c r="E727" i="4"/>
  <c r="G727" i="4" s="1"/>
  <c r="D727" i="4"/>
  <c r="C727" i="4"/>
  <c r="B727" i="4"/>
  <c r="A727" i="4"/>
  <c r="R726" i="4"/>
  <c r="Q726" i="4"/>
  <c r="O726" i="4"/>
  <c r="N726" i="4"/>
  <c r="P726" i="4" s="1"/>
  <c r="M726" i="4"/>
  <c r="L726" i="4"/>
  <c r="K726" i="4"/>
  <c r="I726" i="4"/>
  <c r="J726" i="4" s="1"/>
  <c r="H726" i="4"/>
  <c r="F726" i="4"/>
  <c r="E726" i="4"/>
  <c r="C726" i="4"/>
  <c r="B726" i="4"/>
  <c r="D726" i="4" s="1"/>
  <c r="A726" i="4"/>
  <c r="R725" i="4"/>
  <c r="S725" i="4" s="1"/>
  <c r="Q725" i="4"/>
  <c r="O725" i="4"/>
  <c r="N725" i="4"/>
  <c r="L725" i="4"/>
  <c r="K725" i="4"/>
  <c r="M725" i="4" s="1"/>
  <c r="J725" i="4"/>
  <c r="I725" i="4"/>
  <c r="H725" i="4"/>
  <c r="G725" i="4"/>
  <c r="F725" i="4"/>
  <c r="E725" i="4"/>
  <c r="C725" i="4"/>
  <c r="B725" i="4"/>
  <c r="D725" i="4" s="1"/>
  <c r="A725" i="4"/>
  <c r="S724" i="4"/>
  <c r="R724" i="4"/>
  <c r="Q724" i="4"/>
  <c r="O724" i="4"/>
  <c r="P724" i="4" s="1"/>
  <c r="N724" i="4"/>
  <c r="L724" i="4"/>
  <c r="K724" i="4"/>
  <c r="I724" i="4"/>
  <c r="H724" i="4"/>
  <c r="J724" i="4" s="1"/>
  <c r="G724" i="4"/>
  <c r="F724" i="4"/>
  <c r="E724" i="4"/>
  <c r="D724" i="4"/>
  <c r="C724" i="4"/>
  <c r="B724" i="4"/>
  <c r="A724" i="4"/>
  <c r="R723" i="4"/>
  <c r="Q723" i="4"/>
  <c r="S723" i="4" s="1"/>
  <c r="P723" i="4"/>
  <c r="O723" i="4"/>
  <c r="N723" i="4"/>
  <c r="M723" i="4"/>
  <c r="L723" i="4"/>
  <c r="K723" i="4"/>
  <c r="I723" i="4"/>
  <c r="H723" i="4"/>
  <c r="J723" i="4" s="1"/>
  <c r="F723" i="4"/>
  <c r="E723" i="4"/>
  <c r="G723" i="4" s="1"/>
  <c r="D723" i="4"/>
  <c r="C723" i="4"/>
  <c r="B723" i="4"/>
  <c r="A723" i="4"/>
  <c r="R722" i="4"/>
  <c r="Q722" i="4"/>
  <c r="S722" i="4" s="1"/>
  <c r="O722" i="4"/>
  <c r="N722" i="4"/>
  <c r="P722" i="4" s="1"/>
  <c r="M722" i="4"/>
  <c r="L722" i="4"/>
  <c r="K722" i="4"/>
  <c r="I722" i="4"/>
  <c r="J722" i="4" s="1"/>
  <c r="H722" i="4"/>
  <c r="F722" i="4"/>
  <c r="E722" i="4"/>
  <c r="C722" i="4"/>
  <c r="B722" i="4"/>
  <c r="D722" i="4" s="1"/>
  <c r="A722" i="4"/>
  <c r="R721" i="4"/>
  <c r="S721" i="4" s="1"/>
  <c r="Q721" i="4"/>
  <c r="O721" i="4"/>
  <c r="N721" i="4"/>
  <c r="L721" i="4"/>
  <c r="K721" i="4"/>
  <c r="M721" i="4" s="1"/>
  <c r="J721" i="4"/>
  <c r="I721" i="4"/>
  <c r="H721" i="4"/>
  <c r="G721" i="4"/>
  <c r="F721" i="4"/>
  <c r="E721" i="4"/>
  <c r="C721" i="4"/>
  <c r="B721" i="4"/>
  <c r="A721" i="4"/>
  <c r="S720" i="4"/>
  <c r="R720" i="4"/>
  <c r="Q720" i="4"/>
  <c r="O720" i="4"/>
  <c r="P720" i="4" s="1"/>
  <c r="N720" i="4"/>
  <c r="L720" i="4"/>
  <c r="K720" i="4"/>
  <c r="I720" i="4"/>
  <c r="H720" i="4"/>
  <c r="J720" i="4" s="1"/>
  <c r="G720" i="4"/>
  <c r="F720" i="4"/>
  <c r="E720" i="4"/>
  <c r="D720" i="4"/>
  <c r="C720" i="4"/>
  <c r="B720" i="4"/>
  <c r="A720" i="4"/>
  <c r="R719" i="4"/>
  <c r="Q719" i="4"/>
  <c r="S719" i="4" s="1"/>
  <c r="P719" i="4"/>
  <c r="O719" i="4"/>
  <c r="N719" i="4"/>
  <c r="L719" i="4"/>
  <c r="M719" i="4" s="1"/>
  <c r="K719" i="4"/>
  <c r="I719" i="4"/>
  <c r="H719" i="4"/>
  <c r="J719" i="4" s="1"/>
  <c r="F719" i="4"/>
  <c r="E719" i="4"/>
  <c r="G719" i="4" s="1"/>
  <c r="D719" i="4"/>
  <c r="C719" i="4"/>
  <c r="B719" i="4"/>
  <c r="A719" i="4"/>
  <c r="R718" i="4"/>
  <c r="Q718" i="4"/>
  <c r="O718" i="4"/>
  <c r="N718" i="4"/>
  <c r="P718" i="4" s="1"/>
  <c r="M718" i="4"/>
  <c r="L718" i="4"/>
  <c r="K718" i="4"/>
  <c r="I718" i="4"/>
  <c r="J718" i="4" s="1"/>
  <c r="H718" i="4"/>
  <c r="F718" i="4"/>
  <c r="E718" i="4"/>
  <c r="C718" i="4"/>
  <c r="B718" i="4"/>
  <c r="D718" i="4" s="1"/>
  <c r="A718" i="4"/>
  <c r="R717" i="4"/>
  <c r="S717" i="4" s="1"/>
  <c r="Q717" i="4"/>
  <c r="O717" i="4"/>
  <c r="N717" i="4"/>
  <c r="L717" i="4"/>
  <c r="K717" i="4"/>
  <c r="M717" i="4" s="1"/>
  <c r="J717" i="4"/>
  <c r="I717" i="4"/>
  <c r="H717" i="4"/>
  <c r="G717" i="4"/>
  <c r="F717" i="4"/>
  <c r="E717" i="4"/>
  <c r="C717" i="4"/>
  <c r="B717" i="4"/>
  <c r="D717" i="4" s="1"/>
  <c r="A717" i="4"/>
  <c r="S716" i="4"/>
  <c r="R716" i="4"/>
  <c r="Q716" i="4"/>
  <c r="O716" i="4"/>
  <c r="P716" i="4" s="1"/>
  <c r="N716" i="4"/>
  <c r="L716" i="4"/>
  <c r="K716" i="4"/>
  <c r="I716" i="4"/>
  <c r="H716" i="4"/>
  <c r="J716" i="4" s="1"/>
  <c r="G716" i="4"/>
  <c r="F716" i="4"/>
  <c r="E716" i="4"/>
  <c r="D716" i="4"/>
  <c r="C716" i="4"/>
  <c r="B716" i="4"/>
  <c r="A716" i="4"/>
  <c r="R715" i="4"/>
  <c r="Q715" i="4"/>
  <c r="S715" i="4" s="1"/>
  <c r="P715" i="4"/>
  <c r="O715" i="4"/>
  <c r="N715" i="4"/>
  <c r="M715" i="4"/>
  <c r="L715" i="4"/>
  <c r="K715" i="4"/>
  <c r="I715" i="4"/>
  <c r="H715" i="4"/>
  <c r="J715" i="4" s="1"/>
  <c r="F715" i="4"/>
  <c r="E715" i="4"/>
  <c r="G715" i="4" s="1"/>
  <c r="D715" i="4"/>
  <c r="C715" i="4"/>
  <c r="B715" i="4"/>
  <c r="A715" i="4"/>
  <c r="R714" i="4"/>
  <c r="Q714" i="4"/>
  <c r="S714" i="4" s="1"/>
  <c r="O714" i="4"/>
  <c r="N714" i="4"/>
  <c r="P714" i="4" s="1"/>
  <c r="M714" i="4"/>
  <c r="L714" i="4"/>
  <c r="K714" i="4"/>
  <c r="I714" i="4"/>
  <c r="J714" i="4" s="1"/>
  <c r="H714" i="4"/>
  <c r="F714" i="4"/>
  <c r="E714" i="4"/>
  <c r="C714" i="4"/>
  <c r="B714" i="4"/>
  <c r="D714" i="4" s="1"/>
  <c r="A714" i="4"/>
  <c r="R713" i="4"/>
  <c r="S713" i="4" s="1"/>
  <c r="Q713" i="4"/>
  <c r="O713" i="4"/>
  <c r="N713" i="4"/>
  <c r="L713" i="4"/>
  <c r="K713" i="4"/>
  <c r="M713" i="4" s="1"/>
  <c r="J713" i="4"/>
  <c r="I713" i="4"/>
  <c r="H713" i="4"/>
  <c r="G713" i="4"/>
  <c r="F713" i="4"/>
  <c r="E713" i="4"/>
  <c r="C713" i="4"/>
  <c r="B713" i="4"/>
  <c r="A713" i="4"/>
  <c r="S712" i="4"/>
  <c r="R712" i="4"/>
  <c r="Q712" i="4"/>
  <c r="O712" i="4"/>
  <c r="P712" i="4" s="1"/>
  <c r="N712" i="4"/>
  <c r="L712" i="4"/>
  <c r="K712" i="4"/>
  <c r="I712" i="4"/>
  <c r="H712" i="4"/>
  <c r="J712" i="4" s="1"/>
  <c r="G712" i="4"/>
  <c r="F712" i="4"/>
  <c r="E712" i="4"/>
  <c r="D712" i="4"/>
  <c r="C712" i="4"/>
  <c r="B712" i="4"/>
  <c r="A712" i="4"/>
  <c r="R711" i="4"/>
  <c r="Q711" i="4"/>
  <c r="S711" i="4" s="1"/>
  <c r="P711" i="4"/>
  <c r="O711" i="4"/>
  <c r="N711" i="4"/>
  <c r="L711" i="4"/>
  <c r="M711" i="4" s="1"/>
  <c r="K711" i="4"/>
  <c r="I711" i="4"/>
  <c r="H711" i="4"/>
  <c r="J711" i="4" s="1"/>
  <c r="F711" i="4"/>
  <c r="E711" i="4"/>
  <c r="G711" i="4" s="1"/>
  <c r="D711" i="4"/>
  <c r="C711" i="4"/>
  <c r="B711" i="4"/>
  <c r="A711" i="4"/>
  <c r="R710" i="4"/>
  <c r="Q710" i="4"/>
  <c r="O710" i="4"/>
  <c r="N710" i="4"/>
  <c r="P710" i="4" s="1"/>
  <c r="M710" i="4"/>
  <c r="L710" i="4"/>
  <c r="K710" i="4"/>
  <c r="I710" i="4"/>
  <c r="J710" i="4" s="1"/>
  <c r="H710" i="4"/>
  <c r="F710" i="4"/>
  <c r="E710" i="4"/>
  <c r="C710" i="4"/>
  <c r="B710" i="4"/>
  <c r="D710" i="4" s="1"/>
  <c r="A710" i="4"/>
  <c r="R709" i="4"/>
  <c r="S709" i="4" s="1"/>
  <c r="Q709" i="4"/>
  <c r="O709" i="4"/>
  <c r="N709" i="4"/>
  <c r="L709" i="4"/>
  <c r="K709" i="4"/>
  <c r="M709" i="4" s="1"/>
  <c r="J709" i="4"/>
  <c r="I709" i="4"/>
  <c r="H709" i="4"/>
  <c r="G709" i="4"/>
  <c r="F709" i="4"/>
  <c r="E709" i="4"/>
  <c r="C709" i="4"/>
  <c r="B709" i="4"/>
  <c r="D709" i="4" s="1"/>
  <c r="A709" i="4"/>
  <c r="S708" i="4"/>
  <c r="R708" i="4"/>
  <c r="Q708" i="4"/>
  <c r="O708" i="4"/>
  <c r="P708" i="4" s="1"/>
  <c r="N708" i="4"/>
  <c r="L708" i="4"/>
  <c r="K708" i="4"/>
  <c r="I708" i="4"/>
  <c r="H708" i="4"/>
  <c r="J708" i="4" s="1"/>
  <c r="G708" i="4"/>
  <c r="F708" i="4"/>
  <c r="E708" i="4"/>
  <c r="D708" i="4"/>
  <c r="C708" i="4"/>
  <c r="B708" i="4"/>
  <c r="A708" i="4"/>
  <c r="R707" i="4"/>
  <c r="Q707" i="4"/>
  <c r="S707" i="4" s="1"/>
  <c r="P707" i="4"/>
  <c r="O707" i="4"/>
  <c r="N707" i="4"/>
  <c r="M707" i="4"/>
  <c r="L707" i="4"/>
  <c r="K707" i="4"/>
  <c r="I707" i="4"/>
  <c r="H707" i="4"/>
  <c r="J707" i="4" s="1"/>
  <c r="F707" i="4"/>
  <c r="E707" i="4"/>
  <c r="G707" i="4" s="1"/>
  <c r="D707" i="4"/>
  <c r="C707" i="4"/>
  <c r="B707" i="4"/>
  <c r="A707" i="4"/>
  <c r="R706" i="4"/>
  <c r="Q706" i="4"/>
  <c r="S706" i="4" s="1"/>
  <c r="O706" i="4"/>
  <c r="N706" i="4"/>
  <c r="P706" i="4" s="1"/>
  <c r="M706" i="4"/>
  <c r="L706" i="4"/>
  <c r="K706" i="4"/>
  <c r="I706" i="4"/>
  <c r="J706" i="4" s="1"/>
  <c r="H706" i="4"/>
  <c r="F706" i="4"/>
  <c r="E706" i="4"/>
  <c r="C706" i="4"/>
  <c r="B706" i="4"/>
  <c r="D706" i="4" s="1"/>
  <c r="A706" i="4"/>
  <c r="R705" i="4"/>
  <c r="S705" i="4" s="1"/>
  <c r="Q705" i="4"/>
  <c r="O705" i="4"/>
  <c r="N705" i="4"/>
  <c r="L705" i="4"/>
  <c r="K705" i="4"/>
  <c r="M705" i="4" s="1"/>
  <c r="J705" i="4"/>
  <c r="I705" i="4"/>
  <c r="H705" i="4"/>
  <c r="G705" i="4"/>
  <c r="F705" i="4"/>
  <c r="E705" i="4"/>
  <c r="C705" i="4"/>
  <c r="B705" i="4"/>
  <c r="A705" i="4"/>
  <c r="S704" i="4"/>
  <c r="R704" i="4"/>
  <c r="Q704" i="4"/>
  <c r="O704" i="4"/>
  <c r="P704" i="4" s="1"/>
  <c r="N704" i="4"/>
  <c r="L704" i="4"/>
  <c r="K704" i="4"/>
  <c r="I704" i="4"/>
  <c r="H704" i="4"/>
  <c r="J704" i="4" s="1"/>
  <c r="G704" i="4"/>
  <c r="F704" i="4"/>
  <c r="E704" i="4"/>
  <c r="D704" i="4"/>
  <c r="C704" i="4"/>
  <c r="B704" i="4"/>
  <c r="A704" i="4"/>
  <c r="R703" i="4"/>
  <c r="Q703" i="4"/>
  <c r="S703" i="4" s="1"/>
  <c r="P703" i="4"/>
  <c r="O703" i="4"/>
  <c r="N703" i="4"/>
  <c r="L703" i="4"/>
  <c r="M703" i="4" s="1"/>
  <c r="K703" i="4"/>
  <c r="I703" i="4"/>
  <c r="H703" i="4"/>
  <c r="J703" i="4" s="1"/>
  <c r="F703" i="4"/>
  <c r="E703" i="4"/>
  <c r="G703" i="4" s="1"/>
  <c r="D703" i="4"/>
  <c r="C703" i="4"/>
  <c r="B703" i="4"/>
  <c r="A703" i="4"/>
  <c r="R702" i="4"/>
  <c r="Q702" i="4"/>
  <c r="O702" i="4"/>
  <c r="N702" i="4"/>
  <c r="P702" i="4" s="1"/>
  <c r="M702" i="4"/>
  <c r="L702" i="4"/>
  <c r="K702" i="4"/>
  <c r="I702" i="4"/>
  <c r="J702" i="4" s="1"/>
  <c r="H702" i="4"/>
  <c r="F702" i="4"/>
  <c r="E702" i="4"/>
  <c r="C702" i="4"/>
  <c r="B702" i="4"/>
  <c r="D702" i="4" s="1"/>
  <c r="A702" i="4"/>
  <c r="R701" i="4"/>
  <c r="S701" i="4" s="1"/>
  <c r="Q701" i="4"/>
  <c r="O701" i="4"/>
  <c r="N701" i="4"/>
  <c r="L701" i="4"/>
  <c r="K701" i="4"/>
  <c r="M701" i="4" s="1"/>
  <c r="J701" i="4"/>
  <c r="I701" i="4"/>
  <c r="H701" i="4"/>
  <c r="G701" i="4"/>
  <c r="F701" i="4"/>
  <c r="E701" i="4"/>
  <c r="C701" i="4"/>
  <c r="B701" i="4"/>
  <c r="D701" i="4" s="1"/>
  <c r="A701" i="4"/>
  <c r="S700" i="4"/>
  <c r="R700" i="4"/>
  <c r="Q700" i="4"/>
  <c r="O700" i="4"/>
  <c r="P700" i="4" s="1"/>
  <c r="N700" i="4"/>
  <c r="L700" i="4"/>
  <c r="K700" i="4"/>
  <c r="I700" i="4"/>
  <c r="H700" i="4"/>
  <c r="J700" i="4" s="1"/>
  <c r="G700" i="4"/>
  <c r="F700" i="4"/>
  <c r="E700" i="4"/>
  <c r="D700" i="4"/>
  <c r="C700" i="4"/>
  <c r="B700" i="4"/>
  <c r="A700" i="4"/>
  <c r="R699" i="4"/>
  <c r="Q699" i="4"/>
  <c r="S699" i="4" s="1"/>
  <c r="P699" i="4"/>
  <c r="O699" i="4"/>
  <c r="N699" i="4"/>
  <c r="M699" i="4"/>
  <c r="L699" i="4"/>
  <c r="K699" i="4"/>
  <c r="I699" i="4"/>
  <c r="H699" i="4"/>
  <c r="J699" i="4" s="1"/>
  <c r="F699" i="4"/>
  <c r="E699" i="4"/>
  <c r="G699" i="4" s="1"/>
  <c r="D699" i="4"/>
  <c r="C699" i="4"/>
  <c r="B699" i="4"/>
  <c r="A699" i="4"/>
  <c r="R698" i="4"/>
  <c r="Q698" i="4"/>
  <c r="S698" i="4" s="1"/>
  <c r="O698" i="4"/>
  <c r="N698" i="4"/>
  <c r="P698" i="4" s="1"/>
  <c r="M698" i="4"/>
  <c r="L698" i="4"/>
  <c r="K698" i="4"/>
  <c r="I698" i="4"/>
  <c r="J698" i="4" s="1"/>
  <c r="H698" i="4"/>
  <c r="F698" i="4"/>
  <c r="E698" i="4"/>
  <c r="C698" i="4"/>
  <c r="B698" i="4"/>
  <c r="D698" i="4" s="1"/>
  <c r="A698" i="4"/>
  <c r="R697" i="4"/>
  <c r="S697" i="4" s="1"/>
  <c r="Q697" i="4"/>
  <c r="O697" i="4"/>
  <c r="N697" i="4"/>
  <c r="L697" i="4"/>
  <c r="K697" i="4"/>
  <c r="M697" i="4" s="1"/>
  <c r="J697" i="4"/>
  <c r="I697" i="4"/>
  <c r="H697" i="4"/>
  <c r="G697" i="4"/>
  <c r="F697" i="4"/>
  <c r="E697" i="4"/>
  <c r="C697" i="4"/>
  <c r="B697" i="4"/>
  <c r="A697" i="4"/>
  <c r="S696" i="4"/>
  <c r="R696" i="4"/>
  <c r="Q696" i="4"/>
  <c r="O696" i="4"/>
  <c r="P696" i="4" s="1"/>
  <c r="N696" i="4"/>
  <c r="L696" i="4"/>
  <c r="K696" i="4"/>
  <c r="I696" i="4"/>
  <c r="H696" i="4"/>
  <c r="J696" i="4" s="1"/>
  <c r="G696" i="4"/>
  <c r="F696" i="4"/>
  <c r="E696" i="4"/>
  <c r="D696" i="4"/>
  <c r="C696" i="4"/>
  <c r="B696" i="4"/>
  <c r="A696" i="4"/>
  <c r="R695" i="4"/>
  <c r="Q695" i="4"/>
  <c r="S695" i="4" s="1"/>
  <c r="P695" i="4"/>
  <c r="O695" i="4"/>
  <c r="N695" i="4"/>
  <c r="L695" i="4"/>
  <c r="M695" i="4" s="1"/>
  <c r="K695" i="4"/>
  <c r="I695" i="4"/>
  <c r="H695" i="4"/>
  <c r="J695" i="4" s="1"/>
  <c r="F695" i="4"/>
  <c r="E695" i="4"/>
  <c r="G695" i="4" s="1"/>
  <c r="D695" i="4"/>
  <c r="C695" i="4"/>
  <c r="B695" i="4"/>
  <c r="A695" i="4"/>
  <c r="R694" i="4"/>
  <c r="Q694" i="4"/>
  <c r="O694" i="4"/>
  <c r="N694" i="4"/>
  <c r="P694" i="4" s="1"/>
  <c r="M694" i="4"/>
  <c r="L694" i="4"/>
  <c r="K694" i="4"/>
  <c r="I694" i="4"/>
  <c r="J694" i="4" s="1"/>
  <c r="H694" i="4"/>
  <c r="F694" i="4"/>
  <c r="E694" i="4"/>
  <c r="C694" i="4"/>
  <c r="B694" i="4"/>
  <c r="D694" i="4" s="1"/>
  <c r="A694" i="4"/>
  <c r="R693" i="4"/>
  <c r="S693" i="4" s="1"/>
  <c r="Q693" i="4"/>
  <c r="O693" i="4"/>
  <c r="N693" i="4"/>
  <c r="L693" i="4"/>
  <c r="K693" i="4"/>
  <c r="M693" i="4" s="1"/>
  <c r="J693" i="4"/>
  <c r="I693" i="4"/>
  <c r="H693" i="4"/>
  <c r="G693" i="4"/>
  <c r="F693" i="4"/>
  <c r="E693" i="4"/>
  <c r="C693" i="4"/>
  <c r="B693" i="4"/>
  <c r="D693" i="4" s="1"/>
  <c r="A693" i="4"/>
  <c r="S692" i="4"/>
  <c r="R692" i="4"/>
  <c r="Q692" i="4"/>
  <c r="O692" i="4"/>
  <c r="P692" i="4" s="1"/>
  <c r="N692" i="4"/>
  <c r="L692" i="4"/>
  <c r="K692" i="4"/>
  <c r="I692" i="4"/>
  <c r="H692" i="4"/>
  <c r="J692" i="4" s="1"/>
  <c r="G692" i="4"/>
  <c r="F692" i="4"/>
  <c r="E692" i="4"/>
  <c r="D692" i="4"/>
  <c r="C692" i="4"/>
  <c r="B692" i="4"/>
  <c r="A692" i="4"/>
  <c r="R691" i="4"/>
  <c r="Q691" i="4"/>
  <c r="S691" i="4" s="1"/>
  <c r="P691" i="4"/>
  <c r="O691" i="4"/>
  <c r="N691" i="4"/>
  <c r="M691" i="4"/>
  <c r="L691" i="4"/>
  <c r="K691" i="4"/>
  <c r="I691" i="4"/>
  <c r="H691" i="4"/>
  <c r="J691" i="4" s="1"/>
  <c r="F691" i="4"/>
  <c r="E691" i="4"/>
  <c r="G691" i="4" s="1"/>
  <c r="D691" i="4"/>
  <c r="C691" i="4"/>
  <c r="B691" i="4"/>
  <c r="A691" i="4"/>
  <c r="R690" i="4"/>
  <c r="Q690" i="4"/>
  <c r="S690" i="4" s="1"/>
  <c r="O690" i="4"/>
  <c r="N690" i="4"/>
  <c r="P690" i="4" s="1"/>
  <c r="M690" i="4"/>
  <c r="L690" i="4"/>
  <c r="K690" i="4"/>
  <c r="I690" i="4"/>
  <c r="J690" i="4" s="1"/>
  <c r="H690" i="4"/>
  <c r="F690" i="4"/>
  <c r="E690" i="4"/>
  <c r="C690" i="4"/>
  <c r="B690" i="4"/>
  <c r="D690" i="4" s="1"/>
  <c r="A690" i="4"/>
  <c r="R689" i="4"/>
  <c r="S689" i="4" s="1"/>
  <c r="Q689" i="4"/>
  <c r="O689" i="4"/>
  <c r="N689" i="4"/>
  <c r="L689" i="4"/>
  <c r="K689" i="4"/>
  <c r="M689" i="4" s="1"/>
  <c r="J689" i="4"/>
  <c r="I689" i="4"/>
  <c r="H689" i="4"/>
  <c r="G689" i="4"/>
  <c r="F689" i="4"/>
  <c r="E689" i="4"/>
  <c r="C689" i="4"/>
  <c r="B689" i="4"/>
  <c r="A689" i="4"/>
  <c r="S688" i="4"/>
  <c r="R688" i="4"/>
  <c r="Q688" i="4"/>
  <c r="O688" i="4"/>
  <c r="P688" i="4" s="1"/>
  <c r="N688" i="4"/>
  <c r="L688" i="4"/>
  <c r="K688" i="4"/>
  <c r="I688" i="4"/>
  <c r="H688" i="4"/>
  <c r="J688" i="4" s="1"/>
  <c r="G688" i="4"/>
  <c r="F688" i="4"/>
  <c r="E688" i="4"/>
  <c r="D688" i="4"/>
  <c r="C688" i="4"/>
  <c r="B688" i="4"/>
  <c r="A688" i="4"/>
  <c r="R687" i="4"/>
  <c r="Q687" i="4"/>
  <c r="S687" i="4" s="1"/>
  <c r="P687" i="4"/>
  <c r="O687" i="4"/>
  <c r="N687" i="4"/>
  <c r="L687" i="4"/>
  <c r="M687" i="4" s="1"/>
  <c r="K687" i="4"/>
  <c r="I687" i="4"/>
  <c r="H687" i="4"/>
  <c r="J687" i="4" s="1"/>
  <c r="F687" i="4"/>
  <c r="E687" i="4"/>
  <c r="G687" i="4" s="1"/>
  <c r="D687" i="4"/>
  <c r="C687" i="4"/>
  <c r="B687" i="4"/>
  <c r="A687" i="4"/>
  <c r="R686" i="4"/>
  <c r="Q686" i="4"/>
  <c r="O686" i="4"/>
  <c r="N686" i="4"/>
  <c r="P686" i="4" s="1"/>
  <c r="M686" i="4"/>
  <c r="L686" i="4"/>
  <c r="K686" i="4"/>
  <c r="I686" i="4"/>
  <c r="J686" i="4" s="1"/>
  <c r="H686" i="4"/>
  <c r="F686" i="4"/>
  <c r="E686" i="4"/>
  <c r="C686" i="4"/>
  <c r="B686" i="4"/>
  <c r="D686" i="4" s="1"/>
  <c r="A686" i="4"/>
  <c r="R685" i="4"/>
  <c r="S685" i="4" s="1"/>
  <c r="Q685" i="4"/>
  <c r="O685" i="4"/>
  <c r="N685" i="4"/>
  <c r="L685" i="4"/>
  <c r="K685" i="4"/>
  <c r="M685" i="4" s="1"/>
  <c r="J685" i="4"/>
  <c r="I685" i="4"/>
  <c r="H685" i="4"/>
  <c r="G685" i="4"/>
  <c r="F685" i="4"/>
  <c r="E685" i="4"/>
  <c r="C685" i="4"/>
  <c r="B685" i="4"/>
  <c r="D685" i="4" s="1"/>
  <c r="A685" i="4"/>
  <c r="S684" i="4"/>
  <c r="R684" i="4"/>
  <c r="Q684" i="4"/>
  <c r="O684" i="4"/>
  <c r="P684" i="4" s="1"/>
  <c r="N684" i="4"/>
  <c r="L684" i="4"/>
  <c r="K684" i="4"/>
  <c r="I684" i="4"/>
  <c r="H684" i="4"/>
  <c r="J684" i="4" s="1"/>
  <c r="G684" i="4"/>
  <c r="F684" i="4"/>
  <c r="E684" i="4"/>
  <c r="D684" i="4"/>
  <c r="C684" i="4"/>
  <c r="B684" i="4"/>
  <c r="A684" i="4"/>
  <c r="R683" i="4"/>
  <c r="Q683" i="4"/>
  <c r="S683" i="4" s="1"/>
  <c r="P683" i="4"/>
  <c r="O683" i="4"/>
  <c r="N683" i="4"/>
  <c r="M683" i="4"/>
  <c r="L683" i="4"/>
  <c r="K683" i="4"/>
  <c r="I683" i="4"/>
  <c r="H683" i="4"/>
  <c r="J683" i="4" s="1"/>
  <c r="F683" i="4"/>
  <c r="E683" i="4"/>
  <c r="G683" i="4" s="1"/>
  <c r="D683" i="4"/>
  <c r="C683" i="4"/>
  <c r="B683" i="4"/>
  <c r="A683" i="4"/>
  <c r="R682" i="4"/>
  <c r="Q682" i="4"/>
  <c r="S682" i="4" s="1"/>
  <c r="O682" i="4"/>
  <c r="N682" i="4"/>
  <c r="P682" i="4" s="1"/>
  <c r="M682" i="4"/>
  <c r="L682" i="4"/>
  <c r="K682" i="4"/>
  <c r="I682" i="4"/>
  <c r="J682" i="4" s="1"/>
  <c r="H682" i="4"/>
  <c r="F682" i="4"/>
  <c r="E682" i="4"/>
  <c r="C682" i="4"/>
  <c r="B682" i="4"/>
  <c r="D682" i="4" s="1"/>
  <c r="A682" i="4"/>
  <c r="R681" i="4"/>
  <c r="S681" i="4" s="1"/>
  <c r="Q681" i="4"/>
  <c r="O681" i="4"/>
  <c r="N681" i="4"/>
  <c r="L681" i="4"/>
  <c r="K681" i="4"/>
  <c r="M681" i="4" s="1"/>
  <c r="J681" i="4"/>
  <c r="I681" i="4"/>
  <c r="H681" i="4"/>
  <c r="G681" i="4"/>
  <c r="F681" i="4"/>
  <c r="E681" i="4"/>
  <c r="C681" i="4"/>
  <c r="B681" i="4"/>
  <c r="A681" i="4"/>
  <c r="S680" i="4"/>
  <c r="R680" i="4"/>
  <c r="Q680" i="4"/>
  <c r="O680" i="4"/>
  <c r="P680" i="4" s="1"/>
  <c r="N680" i="4"/>
  <c r="L680" i="4"/>
  <c r="K680" i="4"/>
  <c r="I680" i="4"/>
  <c r="H680" i="4"/>
  <c r="J680" i="4" s="1"/>
  <c r="G680" i="4"/>
  <c r="F680" i="4"/>
  <c r="E680" i="4"/>
  <c r="D680" i="4"/>
  <c r="C680" i="4"/>
  <c r="B680" i="4"/>
  <c r="A680" i="4"/>
  <c r="R679" i="4"/>
  <c r="Q679" i="4"/>
  <c r="S679" i="4" s="1"/>
  <c r="P679" i="4"/>
  <c r="O679" i="4"/>
  <c r="N679" i="4"/>
  <c r="L679" i="4"/>
  <c r="M679" i="4" s="1"/>
  <c r="K679" i="4"/>
  <c r="I679" i="4"/>
  <c r="H679" i="4"/>
  <c r="J679" i="4" s="1"/>
  <c r="F679" i="4"/>
  <c r="E679" i="4"/>
  <c r="G679" i="4" s="1"/>
  <c r="D679" i="4"/>
  <c r="C679" i="4"/>
  <c r="B679" i="4"/>
  <c r="A679" i="4"/>
  <c r="R678" i="4"/>
  <c r="Q678" i="4"/>
  <c r="O678" i="4"/>
  <c r="N678" i="4"/>
  <c r="P678" i="4" s="1"/>
  <c r="M678" i="4"/>
  <c r="L678" i="4"/>
  <c r="K678" i="4"/>
  <c r="I678" i="4"/>
  <c r="J678" i="4" s="1"/>
  <c r="H678" i="4"/>
  <c r="F678" i="4"/>
  <c r="E678" i="4"/>
  <c r="C678" i="4"/>
  <c r="B678" i="4"/>
  <c r="D678" i="4" s="1"/>
  <c r="A678" i="4"/>
  <c r="R677" i="4"/>
  <c r="S677" i="4" s="1"/>
  <c r="Q677" i="4"/>
  <c r="O677" i="4"/>
  <c r="N677" i="4"/>
  <c r="L677" i="4"/>
  <c r="K677" i="4"/>
  <c r="M677" i="4" s="1"/>
  <c r="J677" i="4"/>
  <c r="I677" i="4"/>
  <c r="H677" i="4"/>
  <c r="G677" i="4"/>
  <c r="F677" i="4"/>
  <c r="E677" i="4"/>
  <c r="C677" i="4"/>
  <c r="B677" i="4"/>
  <c r="D677" i="4" s="1"/>
  <c r="A677" i="4"/>
  <c r="S676" i="4"/>
  <c r="R676" i="4"/>
  <c r="Q676" i="4"/>
  <c r="O676" i="4"/>
  <c r="P676" i="4" s="1"/>
  <c r="N676" i="4"/>
  <c r="L676" i="4"/>
  <c r="K676" i="4"/>
  <c r="I676" i="4"/>
  <c r="H676" i="4"/>
  <c r="J676" i="4" s="1"/>
  <c r="G676" i="4"/>
  <c r="F676" i="4"/>
  <c r="E676" i="4"/>
  <c r="D676" i="4"/>
  <c r="C676" i="4"/>
  <c r="B676" i="4"/>
  <c r="A676" i="4"/>
  <c r="R675" i="4"/>
  <c r="Q675" i="4"/>
  <c r="S675" i="4" s="1"/>
  <c r="P675" i="4"/>
  <c r="O675" i="4"/>
  <c r="N675" i="4"/>
  <c r="M675" i="4"/>
  <c r="L675" i="4"/>
  <c r="K675" i="4"/>
  <c r="I675" i="4"/>
  <c r="H675" i="4"/>
  <c r="J675" i="4" s="1"/>
  <c r="F675" i="4"/>
  <c r="E675" i="4"/>
  <c r="G675" i="4" s="1"/>
  <c r="D675" i="4"/>
  <c r="C675" i="4"/>
  <c r="B675" i="4"/>
  <c r="A675" i="4"/>
  <c r="R674" i="4"/>
  <c r="Q674" i="4"/>
  <c r="S674" i="4" s="1"/>
  <c r="O674" i="4"/>
  <c r="N674" i="4"/>
  <c r="P674" i="4" s="1"/>
  <c r="M674" i="4"/>
  <c r="L674" i="4"/>
  <c r="K674" i="4"/>
  <c r="I674" i="4"/>
  <c r="J674" i="4" s="1"/>
  <c r="H674" i="4"/>
  <c r="F674" i="4"/>
  <c r="E674" i="4"/>
  <c r="C674" i="4"/>
  <c r="B674" i="4"/>
  <c r="D674" i="4" s="1"/>
  <c r="A674" i="4"/>
  <c r="R673" i="4"/>
  <c r="S673" i="4" s="1"/>
  <c r="Q673" i="4"/>
  <c r="O673" i="4"/>
  <c r="N673" i="4"/>
  <c r="L673" i="4"/>
  <c r="K673" i="4"/>
  <c r="M673" i="4" s="1"/>
  <c r="J673" i="4"/>
  <c r="I673" i="4"/>
  <c r="H673" i="4"/>
  <c r="G673" i="4"/>
  <c r="F673" i="4"/>
  <c r="E673" i="4"/>
  <c r="C673" i="4"/>
  <c r="B673" i="4"/>
  <c r="A673" i="4"/>
  <c r="S672" i="4"/>
  <c r="R672" i="4"/>
  <c r="Q672" i="4"/>
  <c r="O672" i="4"/>
  <c r="P672" i="4" s="1"/>
  <c r="N672" i="4"/>
  <c r="L672" i="4"/>
  <c r="K672" i="4"/>
  <c r="I672" i="4"/>
  <c r="H672" i="4"/>
  <c r="J672" i="4" s="1"/>
  <c r="G672" i="4"/>
  <c r="F672" i="4"/>
  <c r="E672" i="4"/>
  <c r="D672" i="4"/>
  <c r="C672" i="4"/>
  <c r="B672" i="4"/>
  <c r="A672" i="4"/>
  <c r="R671" i="4"/>
  <c r="Q671" i="4"/>
  <c r="S671" i="4" s="1"/>
  <c r="P671" i="4"/>
  <c r="O671" i="4"/>
  <c r="N671" i="4"/>
  <c r="L671" i="4"/>
  <c r="M671" i="4" s="1"/>
  <c r="K671" i="4"/>
  <c r="I671" i="4"/>
  <c r="H671" i="4"/>
  <c r="J671" i="4" s="1"/>
  <c r="F671" i="4"/>
  <c r="E671" i="4"/>
  <c r="G671" i="4" s="1"/>
  <c r="D671" i="4"/>
  <c r="C671" i="4"/>
  <c r="B671" i="4"/>
  <c r="A671" i="4"/>
  <c r="R670" i="4"/>
  <c r="Q670" i="4"/>
  <c r="O670" i="4"/>
  <c r="N670" i="4"/>
  <c r="P670" i="4" s="1"/>
  <c r="M670" i="4"/>
  <c r="L670" i="4"/>
  <c r="K670" i="4"/>
  <c r="I670" i="4"/>
  <c r="J670" i="4" s="1"/>
  <c r="H670" i="4"/>
  <c r="F670" i="4"/>
  <c r="E670" i="4"/>
  <c r="C670" i="4"/>
  <c r="B670" i="4"/>
  <c r="D670" i="4" s="1"/>
  <c r="A670" i="4"/>
  <c r="R669" i="4"/>
  <c r="S669" i="4" s="1"/>
  <c r="Q669" i="4"/>
  <c r="O669" i="4"/>
  <c r="N669" i="4"/>
  <c r="L669" i="4"/>
  <c r="K669" i="4"/>
  <c r="M669" i="4" s="1"/>
  <c r="J669" i="4"/>
  <c r="I669" i="4"/>
  <c r="H669" i="4"/>
  <c r="G669" i="4"/>
  <c r="F669" i="4"/>
  <c r="E669" i="4"/>
  <c r="C669" i="4"/>
  <c r="B669" i="4"/>
  <c r="D669" i="4" s="1"/>
  <c r="A669" i="4"/>
  <c r="S668" i="4"/>
  <c r="R668" i="4"/>
  <c r="Q668" i="4"/>
  <c r="O668" i="4"/>
  <c r="P668" i="4" s="1"/>
  <c r="N668" i="4"/>
  <c r="L668" i="4"/>
  <c r="K668" i="4"/>
  <c r="I668" i="4"/>
  <c r="H668" i="4"/>
  <c r="J668" i="4" s="1"/>
  <c r="G668" i="4"/>
  <c r="F668" i="4"/>
  <c r="E668" i="4"/>
  <c r="D668" i="4"/>
  <c r="C668" i="4"/>
  <c r="B668" i="4"/>
  <c r="A668" i="4"/>
  <c r="R667" i="4"/>
  <c r="Q667" i="4"/>
  <c r="S667" i="4" s="1"/>
  <c r="P667" i="4"/>
  <c r="O667" i="4"/>
  <c r="N667" i="4"/>
  <c r="M667" i="4"/>
  <c r="L667" i="4"/>
  <c r="K667" i="4"/>
  <c r="I667" i="4"/>
  <c r="H667" i="4"/>
  <c r="J667" i="4" s="1"/>
  <c r="F667" i="4"/>
  <c r="E667" i="4"/>
  <c r="G667" i="4" s="1"/>
  <c r="D667" i="4"/>
  <c r="C667" i="4"/>
  <c r="B667" i="4"/>
  <c r="A667" i="4"/>
  <c r="R666" i="4"/>
  <c r="Q666" i="4"/>
  <c r="S666" i="4" s="1"/>
  <c r="O666" i="4"/>
  <c r="N666" i="4"/>
  <c r="P666" i="4" s="1"/>
  <c r="M666" i="4"/>
  <c r="L666" i="4"/>
  <c r="K666" i="4"/>
  <c r="I666" i="4"/>
  <c r="J666" i="4" s="1"/>
  <c r="H666" i="4"/>
  <c r="F666" i="4"/>
  <c r="E666" i="4"/>
  <c r="C666" i="4"/>
  <c r="B666" i="4"/>
  <c r="D666" i="4" s="1"/>
  <c r="A666" i="4"/>
  <c r="R665" i="4"/>
  <c r="S665" i="4" s="1"/>
  <c r="Q665" i="4"/>
  <c r="O665" i="4"/>
  <c r="N665" i="4"/>
  <c r="L665" i="4"/>
  <c r="K665" i="4"/>
  <c r="M665" i="4" s="1"/>
  <c r="J665" i="4"/>
  <c r="I665" i="4"/>
  <c r="H665" i="4"/>
  <c r="G665" i="4"/>
  <c r="F665" i="4"/>
  <c r="E665" i="4"/>
  <c r="C665" i="4"/>
  <c r="B665" i="4"/>
  <c r="A665" i="4"/>
  <c r="S664" i="4"/>
  <c r="R664" i="4"/>
  <c r="Q664" i="4"/>
  <c r="O664" i="4"/>
  <c r="P664" i="4" s="1"/>
  <c r="N664" i="4"/>
  <c r="L664" i="4"/>
  <c r="K664" i="4"/>
  <c r="I664" i="4"/>
  <c r="H664" i="4"/>
  <c r="J664" i="4" s="1"/>
  <c r="G664" i="4"/>
  <c r="F664" i="4"/>
  <c r="E664" i="4"/>
  <c r="D664" i="4"/>
  <c r="C664" i="4"/>
  <c r="B664" i="4"/>
  <c r="A664" i="4"/>
  <c r="R663" i="4"/>
  <c r="Q663" i="4"/>
  <c r="S663" i="4" s="1"/>
  <c r="P663" i="4"/>
  <c r="O663" i="4"/>
  <c r="N663" i="4"/>
  <c r="L663" i="4"/>
  <c r="M663" i="4" s="1"/>
  <c r="K663" i="4"/>
  <c r="I663" i="4"/>
  <c r="H663" i="4"/>
  <c r="J663" i="4" s="1"/>
  <c r="F663" i="4"/>
  <c r="E663" i="4"/>
  <c r="G663" i="4" s="1"/>
  <c r="D663" i="4"/>
  <c r="C663" i="4"/>
  <c r="B663" i="4"/>
  <c r="A663" i="4"/>
  <c r="R662" i="4"/>
  <c r="Q662" i="4"/>
  <c r="O662" i="4"/>
  <c r="N662" i="4"/>
  <c r="P662" i="4" s="1"/>
  <c r="M662" i="4"/>
  <c r="L662" i="4"/>
  <c r="K662" i="4"/>
  <c r="I662" i="4"/>
  <c r="J662" i="4" s="1"/>
  <c r="H662" i="4"/>
  <c r="F662" i="4"/>
  <c r="E662" i="4"/>
  <c r="C662" i="4"/>
  <c r="B662" i="4"/>
  <c r="D662" i="4" s="1"/>
  <c r="A662" i="4"/>
  <c r="R661" i="4"/>
  <c r="S661" i="4" s="1"/>
  <c r="Q661" i="4"/>
  <c r="O661" i="4"/>
  <c r="N661" i="4"/>
  <c r="L661" i="4"/>
  <c r="K661" i="4"/>
  <c r="M661" i="4" s="1"/>
  <c r="J661" i="4"/>
  <c r="I661" i="4"/>
  <c r="H661" i="4"/>
  <c r="G661" i="4"/>
  <c r="F661" i="4"/>
  <c r="E661" i="4"/>
  <c r="C661" i="4"/>
  <c r="B661" i="4"/>
  <c r="D661" i="4" s="1"/>
  <c r="A661" i="4"/>
  <c r="S660" i="4"/>
  <c r="R660" i="4"/>
  <c r="Q660" i="4"/>
  <c r="O660" i="4"/>
  <c r="P660" i="4" s="1"/>
  <c r="N660" i="4"/>
  <c r="L660" i="4"/>
  <c r="K660" i="4"/>
  <c r="I660" i="4"/>
  <c r="H660" i="4"/>
  <c r="J660" i="4" s="1"/>
  <c r="G660" i="4"/>
  <c r="F660" i="4"/>
  <c r="E660" i="4"/>
  <c r="D660" i="4"/>
  <c r="C660" i="4"/>
  <c r="B660" i="4"/>
  <c r="A660" i="4"/>
  <c r="R659" i="4"/>
  <c r="Q659" i="4"/>
  <c r="S659" i="4" s="1"/>
  <c r="P659" i="4"/>
  <c r="O659" i="4"/>
  <c r="N659" i="4"/>
  <c r="M659" i="4"/>
  <c r="L659" i="4"/>
  <c r="K659" i="4"/>
  <c r="I659" i="4"/>
  <c r="H659" i="4"/>
  <c r="J659" i="4" s="1"/>
  <c r="F659" i="4"/>
  <c r="E659" i="4"/>
  <c r="G659" i="4" s="1"/>
  <c r="D659" i="4"/>
  <c r="C659" i="4"/>
  <c r="B659" i="4"/>
  <c r="A659" i="4"/>
  <c r="R658" i="4"/>
  <c r="Q658" i="4"/>
  <c r="S658" i="4" s="1"/>
  <c r="O658" i="4"/>
  <c r="N658" i="4"/>
  <c r="P658" i="4" s="1"/>
  <c r="M658" i="4"/>
  <c r="L658" i="4"/>
  <c r="K658" i="4"/>
  <c r="I658" i="4"/>
  <c r="J658" i="4" s="1"/>
  <c r="H658" i="4"/>
  <c r="F658" i="4"/>
  <c r="E658" i="4"/>
  <c r="C658" i="4"/>
  <c r="B658" i="4"/>
  <c r="D658" i="4" s="1"/>
  <c r="A658" i="4"/>
  <c r="R657" i="4"/>
  <c r="S657" i="4" s="1"/>
  <c r="Q657" i="4"/>
  <c r="O657" i="4"/>
  <c r="N657" i="4"/>
  <c r="L657" i="4"/>
  <c r="K657" i="4"/>
  <c r="M657" i="4" s="1"/>
  <c r="J657" i="4"/>
  <c r="I657" i="4"/>
  <c r="H657" i="4"/>
  <c r="G657" i="4"/>
  <c r="F657" i="4"/>
  <c r="E657" i="4"/>
  <c r="C657" i="4"/>
  <c r="B657" i="4"/>
  <c r="A657" i="4"/>
  <c r="S656" i="4"/>
  <c r="R656" i="4"/>
  <c r="Q656" i="4"/>
  <c r="O656" i="4"/>
  <c r="P656" i="4" s="1"/>
  <c r="N656" i="4"/>
  <c r="L656" i="4"/>
  <c r="K656" i="4"/>
  <c r="I656" i="4"/>
  <c r="H656" i="4"/>
  <c r="J656" i="4" s="1"/>
  <c r="G656" i="4"/>
  <c r="F656" i="4"/>
  <c r="E656" i="4"/>
  <c r="D656" i="4"/>
  <c r="C656" i="4"/>
  <c r="B656" i="4"/>
  <c r="A656" i="4"/>
  <c r="R655" i="4"/>
  <c r="Q655" i="4"/>
  <c r="S655" i="4" s="1"/>
  <c r="P655" i="4"/>
  <c r="O655" i="4"/>
  <c r="N655" i="4"/>
  <c r="L655" i="4"/>
  <c r="M655" i="4" s="1"/>
  <c r="K655" i="4"/>
  <c r="I655" i="4"/>
  <c r="H655" i="4"/>
  <c r="J655" i="4" s="1"/>
  <c r="F655" i="4"/>
  <c r="E655" i="4"/>
  <c r="G655" i="4" s="1"/>
  <c r="D655" i="4"/>
  <c r="C655" i="4"/>
  <c r="B655" i="4"/>
  <c r="A655" i="4"/>
  <c r="R654" i="4"/>
  <c r="Q654" i="4"/>
  <c r="O654" i="4"/>
  <c r="N654" i="4"/>
  <c r="P654" i="4" s="1"/>
  <c r="M654" i="4"/>
  <c r="L654" i="4"/>
  <c r="K654" i="4"/>
  <c r="I654" i="4"/>
  <c r="J654" i="4" s="1"/>
  <c r="H654" i="4"/>
  <c r="F654" i="4"/>
  <c r="E654" i="4"/>
  <c r="C654" i="4"/>
  <c r="B654" i="4"/>
  <c r="D654" i="4" s="1"/>
  <c r="A654" i="4"/>
  <c r="R653" i="4"/>
  <c r="S653" i="4" s="1"/>
  <c r="Q653" i="4"/>
  <c r="O653" i="4"/>
  <c r="N653" i="4"/>
  <c r="L653" i="4"/>
  <c r="K653" i="4"/>
  <c r="M653" i="4" s="1"/>
  <c r="J653" i="4"/>
  <c r="I653" i="4"/>
  <c r="H653" i="4"/>
  <c r="G653" i="4"/>
  <c r="F653" i="4"/>
  <c r="E653" i="4"/>
  <c r="C653" i="4"/>
  <c r="B653" i="4"/>
  <c r="D653" i="4" s="1"/>
  <c r="A653" i="4"/>
  <c r="S652" i="4"/>
  <c r="R652" i="4"/>
  <c r="Q652" i="4"/>
  <c r="O652" i="4"/>
  <c r="P652" i="4" s="1"/>
  <c r="N652" i="4"/>
  <c r="L652" i="4"/>
  <c r="K652" i="4"/>
  <c r="I652" i="4"/>
  <c r="H652" i="4"/>
  <c r="J652" i="4" s="1"/>
  <c r="G652" i="4"/>
  <c r="F652" i="4"/>
  <c r="E652" i="4"/>
  <c r="D652" i="4"/>
  <c r="C652" i="4"/>
  <c r="B652" i="4"/>
  <c r="A652" i="4"/>
  <c r="R651" i="4"/>
  <c r="Q651" i="4"/>
  <c r="S651" i="4" s="1"/>
  <c r="P651" i="4"/>
  <c r="O651" i="4"/>
  <c r="N651" i="4"/>
  <c r="M651" i="4"/>
  <c r="L651" i="4"/>
  <c r="K651" i="4"/>
  <c r="I651" i="4"/>
  <c r="H651" i="4"/>
  <c r="J651" i="4" s="1"/>
  <c r="F651" i="4"/>
  <c r="E651" i="4"/>
  <c r="G651" i="4" s="1"/>
  <c r="D651" i="4"/>
  <c r="C651" i="4"/>
  <c r="B651" i="4"/>
  <c r="A651" i="4"/>
  <c r="R650" i="4"/>
  <c r="Q650" i="4"/>
  <c r="S650" i="4" s="1"/>
  <c r="O650" i="4"/>
  <c r="N650" i="4"/>
  <c r="P650" i="4" s="1"/>
  <c r="M650" i="4"/>
  <c r="L650" i="4"/>
  <c r="K650" i="4"/>
  <c r="I650" i="4"/>
  <c r="J650" i="4" s="1"/>
  <c r="H650" i="4"/>
  <c r="F650" i="4"/>
  <c r="E650" i="4"/>
  <c r="C650" i="4"/>
  <c r="B650" i="4"/>
  <c r="D650" i="4" s="1"/>
  <c r="A650" i="4"/>
  <c r="R649" i="4"/>
  <c r="S649" i="4" s="1"/>
  <c r="Q649" i="4"/>
  <c r="O649" i="4"/>
  <c r="N649" i="4"/>
  <c r="L649" i="4"/>
  <c r="K649" i="4"/>
  <c r="M649" i="4" s="1"/>
  <c r="J649" i="4"/>
  <c r="I649" i="4"/>
  <c r="H649" i="4"/>
  <c r="G649" i="4"/>
  <c r="F649" i="4"/>
  <c r="E649" i="4"/>
  <c r="C649" i="4"/>
  <c r="B649" i="4"/>
  <c r="A649" i="4"/>
  <c r="S648" i="4"/>
  <c r="R648" i="4"/>
  <c r="Q648" i="4"/>
  <c r="O648" i="4"/>
  <c r="P648" i="4" s="1"/>
  <c r="N648" i="4"/>
  <c r="L648" i="4"/>
  <c r="K648" i="4"/>
  <c r="I648" i="4"/>
  <c r="H648" i="4"/>
  <c r="J648" i="4" s="1"/>
  <c r="G648" i="4"/>
  <c r="F648" i="4"/>
  <c r="E648" i="4"/>
  <c r="D648" i="4"/>
  <c r="C648" i="4"/>
  <c r="B648" i="4"/>
  <c r="A648" i="4"/>
  <c r="R647" i="4"/>
  <c r="Q647" i="4"/>
  <c r="S647" i="4" s="1"/>
  <c r="P647" i="4"/>
  <c r="O647" i="4"/>
  <c r="N647" i="4"/>
  <c r="L647" i="4"/>
  <c r="M647" i="4" s="1"/>
  <c r="K647" i="4"/>
  <c r="I647" i="4"/>
  <c r="H647" i="4"/>
  <c r="J647" i="4" s="1"/>
  <c r="F647" i="4"/>
  <c r="E647" i="4"/>
  <c r="G647" i="4" s="1"/>
  <c r="D647" i="4"/>
  <c r="C647" i="4"/>
  <c r="B647" i="4"/>
  <c r="A647" i="4"/>
  <c r="R646" i="4"/>
  <c r="Q646" i="4"/>
  <c r="O646" i="4"/>
  <c r="N646" i="4"/>
  <c r="P646" i="4" s="1"/>
  <c r="M646" i="4"/>
  <c r="L646" i="4"/>
  <c r="K646" i="4"/>
  <c r="I646" i="4"/>
  <c r="J646" i="4" s="1"/>
  <c r="H646" i="4"/>
  <c r="F646" i="4"/>
  <c r="E646" i="4"/>
  <c r="C646" i="4"/>
  <c r="B646" i="4"/>
  <c r="D646" i="4" s="1"/>
  <c r="A646" i="4"/>
  <c r="R645" i="4"/>
  <c r="S645" i="4" s="1"/>
  <c r="Q645" i="4"/>
  <c r="O645" i="4"/>
  <c r="N645" i="4"/>
  <c r="L645" i="4"/>
  <c r="K645" i="4"/>
  <c r="M645" i="4" s="1"/>
  <c r="J645" i="4"/>
  <c r="I645" i="4"/>
  <c r="H645" i="4"/>
  <c r="G645" i="4"/>
  <c r="F645" i="4"/>
  <c r="E645" i="4"/>
  <c r="C645" i="4"/>
  <c r="B645" i="4"/>
  <c r="D645" i="4" s="1"/>
  <c r="A645" i="4"/>
  <c r="S644" i="4"/>
  <c r="R644" i="4"/>
  <c r="Q644" i="4"/>
  <c r="O644" i="4"/>
  <c r="P644" i="4" s="1"/>
  <c r="N644" i="4"/>
  <c r="L644" i="4"/>
  <c r="K644" i="4"/>
  <c r="I644" i="4"/>
  <c r="H644" i="4"/>
  <c r="J644" i="4" s="1"/>
  <c r="G644" i="4"/>
  <c r="F644" i="4"/>
  <c r="E644" i="4"/>
  <c r="D644" i="4"/>
  <c r="C644" i="4"/>
  <c r="B644" i="4"/>
  <c r="A644" i="4"/>
  <c r="R643" i="4"/>
  <c r="Q643" i="4"/>
  <c r="S643" i="4" s="1"/>
  <c r="P643" i="4"/>
  <c r="O643" i="4"/>
  <c r="N643" i="4"/>
  <c r="M643" i="4"/>
  <c r="L643" i="4"/>
  <c r="K643" i="4"/>
  <c r="I643" i="4"/>
  <c r="H643" i="4"/>
  <c r="J643" i="4" s="1"/>
  <c r="F643" i="4"/>
  <c r="E643" i="4"/>
  <c r="G643" i="4" s="1"/>
  <c r="D643" i="4"/>
  <c r="C643" i="4"/>
  <c r="B643" i="4"/>
  <c r="A643" i="4"/>
  <c r="R642" i="4"/>
  <c r="Q642" i="4"/>
  <c r="S642" i="4" s="1"/>
  <c r="O642" i="4"/>
  <c r="N642" i="4"/>
  <c r="P642" i="4" s="1"/>
  <c r="M642" i="4"/>
  <c r="L642" i="4"/>
  <c r="K642" i="4"/>
  <c r="I642" i="4"/>
  <c r="J642" i="4" s="1"/>
  <c r="H642" i="4"/>
  <c r="F642" i="4"/>
  <c r="E642" i="4"/>
  <c r="C642" i="4"/>
  <c r="B642" i="4"/>
  <c r="D642" i="4" s="1"/>
  <c r="A642" i="4"/>
  <c r="R641" i="4"/>
  <c r="S641" i="4" s="1"/>
  <c r="Q641" i="4"/>
  <c r="O641" i="4"/>
  <c r="N641" i="4"/>
  <c r="L641" i="4"/>
  <c r="K641" i="4"/>
  <c r="M641" i="4" s="1"/>
  <c r="J641" i="4"/>
  <c r="I641" i="4"/>
  <c r="H641" i="4"/>
  <c r="G641" i="4"/>
  <c r="F641" i="4"/>
  <c r="E641" i="4"/>
  <c r="C641" i="4"/>
  <c r="B641" i="4"/>
  <c r="A641" i="4"/>
  <c r="S640" i="4"/>
  <c r="R640" i="4"/>
  <c r="Q640" i="4"/>
  <c r="O640" i="4"/>
  <c r="P640" i="4" s="1"/>
  <c r="N640" i="4"/>
  <c r="L640" i="4"/>
  <c r="K640" i="4"/>
  <c r="I640" i="4"/>
  <c r="H640" i="4"/>
  <c r="J640" i="4" s="1"/>
  <c r="G640" i="4"/>
  <c r="F640" i="4"/>
  <c r="E640" i="4"/>
  <c r="D640" i="4"/>
  <c r="C640" i="4"/>
  <c r="B640" i="4"/>
  <c r="A640" i="4"/>
  <c r="R639" i="4"/>
  <c r="Q639" i="4"/>
  <c r="S639" i="4" s="1"/>
  <c r="P639" i="4"/>
  <c r="O639" i="4"/>
  <c r="N639" i="4"/>
  <c r="L639" i="4"/>
  <c r="M639" i="4" s="1"/>
  <c r="K639" i="4"/>
  <c r="I639" i="4"/>
  <c r="H639" i="4"/>
  <c r="J639" i="4" s="1"/>
  <c r="F639" i="4"/>
  <c r="E639" i="4"/>
  <c r="G639" i="4" s="1"/>
  <c r="D639" i="4"/>
  <c r="C639" i="4"/>
  <c r="B639" i="4"/>
  <c r="A639" i="4"/>
  <c r="R638" i="4"/>
  <c r="Q638" i="4"/>
  <c r="O638" i="4"/>
  <c r="N638" i="4"/>
  <c r="P638" i="4" s="1"/>
  <c r="M638" i="4"/>
  <c r="L638" i="4"/>
  <c r="K638" i="4"/>
  <c r="I638" i="4"/>
  <c r="J638" i="4" s="1"/>
  <c r="H638" i="4"/>
  <c r="F638" i="4"/>
  <c r="E638" i="4"/>
  <c r="C638" i="4"/>
  <c r="B638" i="4"/>
  <c r="D638" i="4" s="1"/>
  <c r="A638" i="4"/>
  <c r="R637" i="4"/>
  <c r="S637" i="4" s="1"/>
  <c r="Q637" i="4"/>
  <c r="O637" i="4"/>
  <c r="N637" i="4"/>
  <c r="L637" i="4"/>
  <c r="K637" i="4"/>
  <c r="M637" i="4" s="1"/>
  <c r="J637" i="4"/>
  <c r="I637" i="4"/>
  <c r="H637" i="4"/>
  <c r="G637" i="4"/>
  <c r="F637" i="4"/>
  <c r="E637" i="4"/>
  <c r="C637" i="4"/>
  <c r="B637" i="4"/>
  <c r="D637" i="4" s="1"/>
  <c r="A637" i="4"/>
  <c r="S636" i="4"/>
  <c r="R636" i="4"/>
  <c r="Q636" i="4"/>
  <c r="O636" i="4"/>
  <c r="P636" i="4" s="1"/>
  <c r="N636" i="4"/>
  <c r="L636" i="4"/>
  <c r="K636" i="4"/>
  <c r="I636" i="4"/>
  <c r="H636" i="4"/>
  <c r="J636" i="4" s="1"/>
  <c r="G636" i="4"/>
  <c r="F636" i="4"/>
  <c r="E636" i="4"/>
  <c r="D636" i="4"/>
  <c r="C636" i="4"/>
  <c r="B636" i="4"/>
  <c r="A636" i="4"/>
  <c r="R635" i="4"/>
  <c r="Q635" i="4"/>
  <c r="S635" i="4" s="1"/>
  <c r="P635" i="4"/>
  <c r="O635" i="4"/>
  <c r="N635" i="4"/>
  <c r="M635" i="4"/>
  <c r="L635" i="4"/>
  <c r="K635" i="4"/>
  <c r="I635" i="4"/>
  <c r="H635" i="4"/>
  <c r="J635" i="4" s="1"/>
  <c r="F635" i="4"/>
  <c r="E635" i="4"/>
  <c r="G635" i="4" s="1"/>
  <c r="D635" i="4"/>
  <c r="C635" i="4"/>
  <c r="B635" i="4"/>
  <c r="A635" i="4"/>
  <c r="R634" i="4"/>
  <c r="Q634" i="4"/>
  <c r="S634" i="4" s="1"/>
  <c r="O634" i="4"/>
  <c r="N634" i="4"/>
  <c r="P634" i="4" s="1"/>
  <c r="M634" i="4"/>
  <c r="L634" i="4"/>
  <c r="K634" i="4"/>
  <c r="I634" i="4"/>
  <c r="J634" i="4" s="1"/>
  <c r="H634" i="4"/>
  <c r="F634" i="4"/>
  <c r="E634" i="4"/>
  <c r="C634" i="4"/>
  <c r="B634" i="4"/>
  <c r="D634" i="4" s="1"/>
  <c r="A634" i="4"/>
  <c r="R633" i="4"/>
  <c r="S633" i="4" s="1"/>
  <c r="Q633" i="4"/>
  <c r="O633" i="4"/>
  <c r="N633" i="4"/>
  <c r="L633" i="4"/>
  <c r="K633" i="4"/>
  <c r="M633" i="4" s="1"/>
  <c r="J633" i="4"/>
  <c r="I633" i="4"/>
  <c r="H633" i="4"/>
  <c r="G633" i="4"/>
  <c r="F633" i="4"/>
  <c r="E633" i="4"/>
  <c r="C633" i="4"/>
  <c r="B633" i="4"/>
  <c r="A633" i="4"/>
  <c r="S632" i="4"/>
  <c r="R632" i="4"/>
  <c r="Q632" i="4"/>
  <c r="O632" i="4"/>
  <c r="P632" i="4" s="1"/>
  <c r="N632" i="4"/>
  <c r="L632" i="4"/>
  <c r="K632" i="4"/>
  <c r="I632" i="4"/>
  <c r="H632" i="4"/>
  <c r="J632" i="4" s="1"/>
  <c r="G632" i="4"/>
  <c r="F632" i="4"/>
  <c r="E632" i="4"/>
  <c r="D632" i="4"/>
  <c r="C632" i="4"/>
  <c r="B632" i="4"/>
  <c r="A632" i="4"/>
  <c r="R631" i="4"/>
  <c r="Q631" i="4"/>
  <c r="S631" i="4" s="1"/>
  <c r="P631" i="4"/>
  <c r="O631" i="4"/>
  <c r="N631" i="4"/>
  <c r="L631" i="4"/>
  <c r="M631" i="4" s="1"/>
  <c r="K631" i="4"/>
  <c r="I631" i="4"/>
  <c r="H631" i="4"/>
  <c r="J631" i="4" s="1"/>
  <c r="F631" i="4"/>
  <c r="E631" i="4"/>
  <c r="G631" i="4" s="1"/>
  <c r="D631" i="4"/>
  <c r="C631" i="4"/>
  <c r="B631" i="4"/>
  <c r="A631" i="4"/>
  <c r="R630" i="4"/>
  <c r="Q630" i="4"/>
  <c r="O630" i="4"/>
  <c r="N630" i="4"/>
  <c r="P630" i="4" s="1"/>
  <c r="M630" i="4"/>
  <c r="L630" i="4"/>
  <c r="K630" i="4"/>
  <c r="I630" i="4"/>
  <c r="J630" i="4" s="1"/>
  <c r="H630" i="4"/>
  <c r="F630" i="4"/>
  <c r="E630" i="4"/>
  <c r="C630" i="4"/>
  <c r="B630" i="4"/>
  <c r="D630" i="4" s="1"/>
  <c r="A630" i="4"/>
  <c r="R629" i="4"/>
  <c r="S629" i="4" s="1"/>
  <c r="Q629" i="4"/>
  <c r="O629" i="4"/>
  <c r="N629" i="4"/>
  <c r="L629" i="4"/>
  <c r="K629" i="4"/>
  <c r="M629" i="4" s="1"/>
  <c r="J629" i="4"/>
  <c r="I629" i="4"/>
  <c r="H629" i="4"/>
  <c r="G629" i="4"/>
  <c r="F629" i="4"/>
  <c r="E629" i="4"/>
  <c r="C629" i="4"/>
  <c r="B629" i="4"/>
  <c r="D629" i="4" s="1"/>
  <c r="A629" i="4"/>
  <c r="S628" i="4"/>
  <c r="R628" i="4"/>
  <c r="Q628" i="4"/>
  <c r="O628" i="4"/>
  <c r="P628" i="4" s="1"/>
  <c r="N628" i="4"/>
  <c r="L628" i="4"/>
  <c r="K628" i="4"/>
  <c r="I628" i="4"/>
  <c r="H628" i="4"/>
  <c r="J628" i="4" s="1"/>
  <c r="G628" i="4"/>
  <c r="F628" i="4"/>
  <c r="E628" i="4"/>
  <c r="D628" i="4"/>
  <c r="C628" i="4"/>
  <c r="B628" i="4"/>
  <c r="A628" i="4"/>
  <c r="R627" i="4"/>
  <c r="Q627" i="4"/>
  <c r="S627" i="4" s="1"/>
  <c r="P627" i="4"/>
  <c r="O627" i="4"/>
  <c r="N627" i="4"/>
  <c r="M627" i="4"/>
  <c r="L627" i="4"/>
  <c r="K627" i="4"/>
  <c r="I627" i="4"/>
  <c r="H627" i="4"/>
  <c r="J627" i="4" s="1"/>
  <c r="F627" i="4"/>
  <c r="E627" i="4"/>
  <c r="G627" i="4" s="1"/>
  <c r="D627" i="4"/>
  <c r="C627" i="4"/>
  <c r="B627" i="4"/>
  <c r="A627" i="4"/>
  <c r="R626" i="4"/>
  <c r="Q626" i="4"/>
  <c r="S626" i="4" s="1"/>
  <c r="O626" i="4"/>
  <c r="N626" i="4"/>
  <c r="P626" i="4" s="1"/>
  <c r="M626" i="4"/>
  <c r="L626" i="4"/>
  <c r="K626" i="4"/>
  <c r="I626" i="4"/>
  <c r="J626" i="4" s="1"/>
  <c r="H626" i="4"/>
  <c r="F626" i="4"/>
  <c r="E626" i="4"/>
  <c r="C626" i="4"/>
  <c r="B626" i="4"/>
  <c r="D626" i="4" s="1"/>
  <c r="A626" i="4"/>
  <c r="R625" i="4"/>
  <c r="S625" i="4" s="1"/>
  <c r="Q625" i="4"/>
  <c r="O625" i="4"/>
  <c r="N625" i="4"/>
  <c r="L625" i="4"/>
  <c r="K625" i="4"/>
  <c r="M625" i="4" s="1"/>
  <c r="J625" i="4"/>
  <c r="I625" i="4"/>
  <c r="H625" i="4"/>
  <c r="G625" i="4"/>
  <c r="F625" i="4"/>
  <c r="E625" i="4"/>
  <c r="C625" i="4"/>
  <c r="B625" i="4"/>
  <c r="A625" i="4"/>
  <c r="S624" i="4"/>
  <c r="R624" i="4"/>
  <c r="Q624" i="4"/>
  <c r="O624" i="4"/>
  <c r="P624" i="4" s="1"/>
  <c r="N624" i="4"/>
  <c r="L624" i="4"/>
  <c r="K624" i="4"/>
  <c r="I624" i="4"/>
  <c r="H624" i="4"/>
  <c r="J624" i="4" s="1"/>
  <c r="G624" i="4"/>
  <c r="F624" i="4"/>
  <c r="E624" i="4"/>
  <c r="D624" i="4"/>
  <c r="C624" i="4"/>
  <c r="B624" i="4"/>
  <c r="A624" i="4"/>
  <c r="R623" i="4"/>
  <c r="Q623" i="4"/>
  <c r="S623" i="4" s="1"/>
  <c r="P623" i="4"/>
  <c r="O623" i="4"/>
  <c r="N623" i="4"/>
  <c r="L623" i="4"/>
  <c r="M623" i="4" s="1"/>
  <c r="K623" i="4"/>
  <c r="I623" i="4"/>
  <c r="H623" i="4"/>
  <c r="J623" i="4" s="1"/>
  <c r="F623" i="4"/>
  <c r="E623" i="4"/>
  <c r="G623" i="4" s="1"/>
  <c r="D623" i="4"/>
  <c r="C623" i="4"/>
  <c r="B623" i="4"/>
  <c r="A623" i="4"/>
  <c r="R622" i="4"/>
  <c r="Q622" i="4"/>
  <c r="O622" i="4"/>
  <c r="N622" i="4"/>
  <c r="P622" i="4" s="1"/>
  <c r="M622" i="4"/>
  <c r="L622" i="4"/>
  <c r="K622" i="4"/>
  <c r="I622" i="4"/>
  <c r="J622" i="4" s="1"/>
  <c r="H622" i="4"/>
  <c r="F622" i="4"/>
  <c r="E622" i="4"/>
  <c r="C622" i="4"/>
  <c r="B622" i="4"/>
  <c r="D622" i="4" s="1"/>
  <c r="A622" i="4"/>
  <c r="R621" i="4"/>
  <c r="S621" i="4" s="1"/>
  <c r="Q621" i="4"/>
  <c r="O621" i="4"/>
  <c r="N621" i="4"/>
  <c r="L621" i="4"/>
  <c r="K621" i="4"/>
  <c r="M621" i="4" s="1"/>
  <c r="J621" i="4"/>
  <c r="I621" i="4"/>
  <c r="H621" i="4"/>
  <c r="G621" i="4"/>
  <c r="F621" i="4"/>
  <c r="E621" i="4"/>
  <c r="C621" i="4"/>
  <c r="B621" i="4"/>
  <c r="D621" i="4" s="1"/>
  <c r="A621" i="4"/>
  <c r="S620" i="4"/>
  <c r="R620" i="4"/>
  <c r="Q620" i="4"/>
  <c r="O620" i="4"/>
  <c r="P620" i="4" s="1"/>
  <c r="N620" i="4"/>
  <c r="L620" i="4"/>
  <c r="K620" i="4"/>
  <c r="I620" i="4"/>
  <c r="H620" i="4"/>
  <c r="J620" i="4" s="1"/>
  <c r="G620" i="4"/>
  <c r="F620" i="4"/>
  <c r="E620" i="4"/>
  <c r="D620" i="4"/>
  <c r="C620" i="4"/>
  <c r="B620" i="4"/>
  <c r="A620" i="4"/>
  <c r="R619" i="4"/>
  <c r="Q619" i="4"/>
  <c r="S619" i="4" s="1"/>
  <c r="P619" i="4"/>
  <c r="O619" i="4"/>
  <c r="N619" i="4"/>
  <c r="M619" i="4"/>
  <c r="L619" i="4"/>
  <c r="K619" i="4"/>
  <c r="I619" i="4"/>
  <c r="H619" i="4"/>
  <c r="J619" i="4" s="1"/>
  <c r="F619" i="4"/>
  <c r="E619" i="4"/>
  <c r="G619" i="4" s="1"/>
  <c r="D619" i="4"/>
  <c r="C619" i="4"/>
  <c r="B619" i="4"/>
  <c r="A619" i="4"/>
  <c r="R618" i="4"/>
  <c r="Q618" i="4"/>
  <c r="S618" i="4" s="1"/>
  <c r="O618" i="4"/>
  <c r="N618" i="4"/>
  <c r="P618" i="4" s="1"/>
  <c r="M618" i="4"/>
  <c r="L618" i="4"/>
  <c r="K618" i="4"/>
  <c r="I618" i="4"/>
  <c r="J618" i="4" s="1"/>
  <c r="H618" i="4"/>
  <c r="F618" i="4"/>
  <c r="E618" i="4"/>
  <c r="C618" i="4"/>
  <c r="B618" i="4"/>
  <c r="D618" i="4" s="1"/>
  <c r="A618" i="4"/>
  <c r="R617" i="4"/>
  <c r="S617" i="4" s="1"/>
  <c r="Q617" i="4"/>
  <c r="O617" i="4"/>
  <c r="N617" i="4"/>
  <c r="L617" i="4"/>
  <c r="K617" i="4"/>
  <c r="M617" i="4" s="1"/>
  <c r="J617" i="4"/>
  <c r="I617" i="4"/>
  <c r="H617" i="4"/>
  <c r="G617" i="4"/>
  <c r="F617" i="4"/>
  <c r="E617" i="4"/>
  <c r="C617" i="4"/>
  <c r="B617" i="4"/>
  <c r="A617" i="4"/>
  <c r="S616" i="4"/>
  <c r="R616" i="4"/>
  <c r="Q616" i="4"/>
  <c r="O616" i="4"/>
  <c r="P616" i="4" s="1"/>
  <c r="N616" i="4"/>
  <c r="L616" i="4"/>
  <c r="K616" i="4"/>
  <c r="I616" i="4"/>
  <c r="H616" i="4"/>
  <c r="J616" i="4" s="1"/>
  <c r="G616" i="4"/>
  <c r="F616" i="4"/>
  <c r="E616" i="4"/>
  <c r="D616" i="4"/>
  <c r="C616" i="4"/>
  <c r="B616" i="4"/>
  <c r="A616" i="4"/>
  <c r="R615" i="4"/>
  <c r="Q615" i="4"/>
  <c r="S615" i="4" s="1"/>
  <c r="P615" i="4"/>
  <c r="O615" i="4"/>
  <c r="N615" i="4"/>
  <c r="L615" i="4"/>
  <c r="M615" i="4" s="1"/>
  <c r="K615" i="4"/>
  <c r="I615" i="4"/>
  <c r="H615" i="4"/>
  <c r="J615" i="4" s="1"/>
  <c r="F615" i="4"/>
  <c r="E615" i="4"/>
  <c r="G615" i="4" s="1"/>
  <c r="D615" i="4"/>
  <c r="C615" i="4"/>
  <c r="B615" i="4"/>
  <c r="A615" i="4"/>
  <c r="R614" i="4"/>
  <c r="Q614" i="4"/>
  <c r="O614" i="4"/>
  <c r="N614" i="4"/>
  <c r="P614" i="4" s="1"/>
  <c r="M614" i="4"/>
  <c r="L614" i="4"/>
  <c r="K614" i="4"/>
  <c r="I614" i="4"/>
  <c r="J614" i="4" s="1"/>
  <c r="H614" i="4"/>
  <c r="F614" i="4"/>
  <c r="E614" i="4"/>
  <c r="C614" i="4"/>
  <c r="B614" i="4"/>
  <c r="D614" i="4" s="1"/>
  <c r="A614" i="4"/>
  <c r="R613" i="4"/>
  <c r="S613" i="4" s="1"/>
  <c r="Q613" i="4"/>
  <c r="O613" i="4"/>
  <c r="N613" i="4"/>
  <c r="L613" i="4"/>
  <c r="K613" i="4"/>
  <c r="M613" i="4" s="1"/>
  <c r="J613" i="4"/>
  <c r="I613" i="4"/>
  <c r="H613" i="4"/>
  <c r="G613" i="4"/>
  <c r="F613" i="4"/>
  <c r="E613" i="4"/>
  <c r="C613" i="4"/>
  <c r="B613" i="4"/>
  <c r="D613" i="4" s="1"/>
  <c r="A613" i="4"/>
  <c r="S612" i="4"/>
  <c r="R612" i="4"/>
  <c r="Q612" i="4"/>
  <c r="O612" i="4"/>
  <c r="P612" i="4" s="1"/>
  <c r="N612" i="4"/>
  <c r="L612" i="4"/>
  <c r="K612" i="4"/>
  <c r="I612" i="4"/>
  <c r="H612" i="4"/>
  <c r="J612" i="4" s="1"/>
  <c r="G612" i="4"/>
  <c r="F612" i="4"/>
  <c r="E612" i="4"/>
  <c r="D612" i="4"/>
  <c r="C612" i="4"/>
  <c r="B612" i="4"/>
  <c r="A612" i="4"/>
  <c r="R611" i="4"/>
  <c r="Q611" i="4"/>
  <c r="S611" i="4" s="1"/>
  <c r="P611" i="4"/>
  <c r="O611" i="4"/>
  <c r="N611" i="4"/>
  <c r="M611" i="4"/>
  <c r="L611" i="4"/>
  <c r="K611" i="4"/>
  <c r="I611" i="4"/>
  <c r="H611" i="4"/>
  <c r="J611" i="4" s="1"/>
  <c r="F611" i="4"/>
  <c r="E611" i="4"/>
  <c r="G611" i="4" s="1"/>
  <c r="D611" i="4"/>
  <c r="C611" i="4"/>
  <c r="B611" i="4"/>
  <c r="A611" i="4"/>
  <c r="R610" i="4"/>
  <c r="Q610" i="4"/>
  <c r="S610" i="4" s="1"/>
  <c r="O610" i="4"/>
  <c r="N610" i="4"/>
  <c r="P610" i="4" s="1"/>
  <c r="M610" i="4"/>
  <c r="L610" i="4"/>
  <c r="K610" i="4"/>
  <c r="I610" i="4"/>
  <c r="J610" i="4" s="1"/>
  <c r="H610" i="4"/>
  <c r="F610" i="4"/>
  <c r="E610" i="4"/>
  <c r="C610" i="4"/>
  <c r="B610" i="4"/>
  <c r="D610" i="4" s="1"/>
  <c r="A610" i="4"/>
  <c r="R609" i="4"/>
  <c r="S609" i="4" s="1"/>
  <c r="Q609" i="4"/>
  <c r="O609" i="4"/>
  <c r="N609" i="4"/>
  <c r="L609" i="4"/>
  <c r="K609" i="4"/>
  <c r="M609" i="4" s="1"/>
  <c r="J609" i="4"/>
  <c r="I609" i="4"/>
  <c r="H609" i="4"/>
  <c r="G609" i="4"/>
  <c r="F609" i="4"/>
  <c r="E609" i="4"/>
  <c r="C609" i="4"/>
  <c r="B609" i="4"/>
  <c r="A609" i="4"/>
  <c r="S608" i="4"/>
  <c r="R608" i="4"/>
  <c r="Q608" i="4"/>
  <c r="O608" i="4"/>
  <c r="P608" i="4" s="1"/>
  <c r="N608" i="4"/>
  <c r="L608" i="4"/>
  <c r="K608" i="4"/>
  <c r="I608" i="4"/>
  <c r="H608" i="4"/>
  <c r="J608" i="4" s="1"/>
  <c r="G608" i="4"/>
  <c r="F608" i="4"/>
  <c r="E608" i="4"/>
  <c r="D608" i="4"/>
  <c r="C608" i="4"/>
  <c r="B608" i="4"/>
  <c r="A608" i="4"/>
  <c r="R607" i="4"/>
  <c r="Q607" i="4"/>
  <c r="S607" i="4" s="1"/>
  <c r="P607" i="4"/>
  <c r="O607" i="4"/>
  <c r="N607" i="4"/>
  <c r="L607" i="4"/>
  <c r="M607" i="4" s="1"/>
  <c r="K607" i="4"/>
  <c r="I607" i="4"/>
  <c r="H607" i="4"/>
  <c r="J607" i="4" s="1"/>
  <c r="F607" i="4"/>
  <c r="E607" i="4"/>
  <c r="G607" i="4" s="1"/>
  <c r="D607" i="4"/>
  <c r="C607" i="4"/>
  <c r="B607" i="4"/>
  <c r="A607" i="4"/>
  <c r="R606" i="4"/>
  <c r="Q606" i="4"/>
  <c r="O606" i="4"/>
  <c r="N606" i="4"/>
  <c r="P606" i="4" s="1"/>
  <c r="M606" i="4"/>
  <c r="L606" i="4"/>
  <c r="K606" i="4"/>
  <c r="I606" i="4"/>
  <c r="J606" i="4" s="1"/>
  <c r="H606" i="4"/>
  <c r="F606" i="4"/>
  <c r="E606" i="4"/>
  <c r="C606" i="4"/>
  <c r="B606" i="4"/>
  <c r="D606" i="4" s="1"/>
  <c r="A606" i="4"/>
  <c r="R605" i="4"/>
  <c r="S605" i="4" s="1"/>
  <c r="Q605" i="4"/>
  <c r="O605" i="4"/>
  <c r="N605" i="4"/>
  <c r="L605" i="4"/>
  <c r="K605" i="4"/>
  <c r="M605" i="4" s="1"/>
  <c r="J605" i="4"/>
  <c r="I605" i="4"/>
  <c r="H605" i="4"/>
  <c r="G605" i="4"/>
  <c r="F605" i="4"/>
  <c r="E605" i="4"/>
  <c r="C605" i="4"/>
  <c r="B605" i="4"/>
  <c r="D605" i="4" s="1"/>
  <c r="A605" i="4"/>
  <c r="S604" i="4"/>
  <c r="R604" i="4"/>
  <c r="Q604" i="4"/>
  <c r="O604" i="4"/>
  <c r="P604" i="4" s="1"/>
  <c r="N604" i="4"/>
  <c r="L604" i="4"/>
  <c r="K604" i="4"/>
  <c r="I604" i="4"/>
  <c r="H604" i="4"/>
  <c r="J604" i="4" s="1"/>
  <c r="G604" i="4"/>
  <c r="F604" i="4"/>
  <c r="E604" i="4"/>
  <c r="D604" i="4"/>
  <c r="C604" i="4"/>
  <c r="B604" i="4"/>
  <c r="A604" i="4"/>
  <c r="R603" i="4"/>
  <c r="Q603" i="4"/>
  <c r="S603" i="4" s="1"/>
  <c r="P603" i="4"/>
  <c r="O603" i="4"/>
  <c r="N603" i="4"/>
  <c r="M603" i="4"/>
  <c r="L603" i="4"/>
  <c r="K603" i="4"/>
  <c r="I603" i="4"/>
  <c r="H603" i="4"/>
  <c r="J603" i="4" s="1"/>
  <c r="F603" i="4"/>
  <c r="E603" i="4"/>
  <c r="G603" i="4" s="1"/>
  <c r="D603" i="4"/>
  <c r="C603" i="4"/>
  <c r="B603" i="4"/>
  <c r="A603" i="4"/>
  <c r="R602" i="4"/>
  <c r="Q602" i="4"/>
  <c r="S602" i="4" s="1"/>
  <c r="O602" i="4"/>
  <c r="N602" i="4"/>
  <c r="P602" i="4" s="1"/>
  <c r="M602" i="4"/>
  <c r="L602" i="4"/>
  <c r="K602" i="4"/>
  <c r="I602" i="4"/>
  <c r="J602" i="4" s="1"/>
  <c r="H602" i="4"/>
  <c r="F602" i="4"/>
  <c r="E602" i="4"/>
  <c r="C602" i="4"/>
  <c r="B602" i="4"/>
  <c r="D602" i="4" s="1"/>
  <c r="A602" i="4"/>
  <c r="R601" i="4"/>
  <c r="S601" i="4" s="1"/>
  <c r="Q601" i="4"/>
  <c r="O601" i="4"/>
  <c r="N601" i="4"/>
  <c r="L601" i="4"/>
  <c r="K601" i="4"/>
  <c r="M601" i="4" s="1"/>
  <c r="J601" i="4"/>
  <c r="I601" i="4"/>
  <c r="H601" i="4"/>
  <c r="G601" i="4"/>
  <c r="F601" i="4"/>
  <c r="E601" i="4"/>
  <c r="C601" i="4"/>
  <c r="B601" i="4"/>
  <c r="A601" i="4"/>
  <c r="S600" i="4"/>
  <c r="R600" i="4"/>
  <c r="Q600" i="4"/>
  <c r="O600" i="4"/>
  <c r="P600" i="4" s="1"/>
  <c r="N600" i="4"/>
  <c r="L600" i="4"/>
  <c r="K600" i="4"/>
  <c r="I600" i="4"/>
  <c r="H600" i="4"/>
  <c r="J600" i="4" s="1"/>
  <c r="G600" i="4"/>
  <c r="F600" i="4"/>
  <c r="E600" i="4"/>
  <c r="D600" i="4"/>
  <c r="C600" i="4"/>
  <c r="B600" i="4"/>
  <c r="A600" i="4"/>
  <c r="R599" i="4"/>
  <c r="Q599" i="4"/>
  <c r="S599" i="4" s="1"/>
  <c r="P599" i="4"/>
  <c r="O599" i="4"/>
  <c r="N599" i="4"/>
  <c r="L599" i="4"/>
  <c r="M599" i="4" s="1"/>
  <c r="K599" i="4"/>
  <c r="I599" i="4"/>
  <c r="H599" i="4"/>
  <c r="J599" i="4" s="1"/>
  <c r="F599" i="4"/>
  <c r="E599" i="4"/>
  <c r="G599" i="4" s="1"/>
  <c r="D599" i="4"/>
  <c r="C599" i="4"/>
  <c r="B599" i="4"/>
  <c r="A599" i="4"/>
  <c r="R598" i="4"/>
  <c r="Q598" i="4"/>
  <c r="O598" i="4"/>
  <c r="N598" i="4"/>
  <c r="P598" i="4" s="1"/>
  <c r="M598" i="4"/>
  <c r="L598" i="4"/>
  <c r="K598" i="4"/>
  <c r="I598" i="4"/>
  <c r="J598" i="4" s="1"/>
  <c r="H598" i="4"/>
  <c r="F598" i="4"/>
  <c r="E598" i="4"/>
  <c r="D598" i="4"/>
  <c r="C598" i="4"/>
  <c r="B598" i="4"/>
  <c r="A598" i="4"/>
  <c r="S597" i="4"/>
  <c r="R597" i="4"/>
  <c r="Q597" i="4"/>
  <c r="O597" i="4"/>
  <c r="N597" i="4"/>
  <c r="L597" i="4"/>
  <c r="K597" i="4"/>
  <c r="M597" i="4" s="1"/>
  <c r="J597" i="4"/>
  <c r="I597" i="4"/>
  <c r="H597" i="4"/>
  <c r="F597" i="4"/>
  <c r="G597" i="4" s="1"/>
  <c r="E597" i="4"/>
  <c r="C597" i="4"/>
  <c r="B597" i="4"/>
  <c r="D597" i="4" s="1"/>
  <c r="A597" i="4"/>
  <c r="R596" i="4"/>
  <c r="S596" i="4" s="1"/>
  <c r="Q596" i="4"/>
  <c r="O596" i="4"/>
  <c r="N596" i="4"/>
  <c r="P596" i="4" s="1"/>
  <c r="L596" i="4"/>
  <c r="K596" i="4"/>
  <c r="I596" i="4"/>
  <c r="H596" i="4"/>
  <c r="J596" i="4" s="1"/>
  <c r="G596" i="4"/>
  <c r="F596" i="4"/>
  <c r="E596" i="4"/>
  <c r="D596" i="4"/>
  <c r="C596" i="4"/>
  <c r="B596" i="4"/>
  <c r="A596" i="4"/>
  <c r="R595" i="4"/>
  <c r="Q595" i="4"/>
  <c r="S595" i="4" s="1"/>
  <c r="P595" i="4"/>
  <c r="O595" i="4"/>
  <c r="N595" i="4"/>
  <c r="M595" i="4"/>
  <c r="L595" i="4"/>
  <c r="K595" i="4"/>
  <c r="I595" i="4"/>
  <c r="H595" i="4"/>
  <c r="F595" i="4"/>
  <c r="E595" i="4"/>
  <c r="G595" i="4" s="1"/>
  <c r="D595" i="4"/>
  <c r="C595" i="4"/>
  <c r="B595" i="4"/>
  <c r="A595" i="4"/>
  <c r="R594" i="4"/>
  <c r="Q594" i="4"/>
  <c r="S594" i="4" s="1"/>
  <c r="P594" i="4"/>
  <c r="O594" i="4"/>
  <c r="N594" i="4"/>
  <c r="L594" i="4"/>
  <c r="M594" i="4" s="1"/>
  <c r="K594" i="4"/>
  <c r="I594" i="4"/>
  <c r="H594" i="4"/>
  <c r="J594" i="4" s="1"/>
  <c r="F594" i="4"/>
  <c r="E594" i="4"/>
  <c r="D594" i="4"/>
  <c r="C594" i="4"/>
  <c r="B594" i="4"/>
  <c r="A594" i="4"/>
  <c r="S593" i="4"/>
  <c r="R593" i="4"/>
  <c r="Q593" i="4"/>
  <c r="O593" i="4"/>
  <c r="N593" i="4"/>
  <c r="P593" i="4" s="1"/>
  <c r="L593" i="4"/>
  <c r="K593" i="4"/>
  <c r="M593" i="4" s="1"/>
  <c r="J593" i="4"/>
  <c r="I593" i="4"/>
  <c r="H593" i="4"/>
  <c r="G593" i="4"/>
  <c r="F593" i="4"/>
  <c r="E593" i="4"/>
  <c r="C593" i="4"/>
  <c r="B593" i="4"/>
  <c r="D593" i="4" s="1"/>
  <c r="A593" i="4"/>
  <c r="R592" i="4"/>
  <c r="S592" i="4" s="1"/>
  <c r="Q592" i="4"/>
  <c r="O592" i="4"/>
  <c r="N592" i="4"/>
  <c r="P592" i="4" s="1"/>
  <c r="L592" i="4"/>
  <c r="K592" i="4"/>
  <c r="I592" i="4"/>
  <c r="H592" i="4"/>
  <c r="J592" i="4" s="1"/>
  <c r="G592" i="4"/>
  <c r="F592" i="4"/>
  <c r="E592" i="4"/>
  <c r="D592" i="4"/>
  <c r="C592" i="4"/>
  <c r="B592" i="4"/>
  <c r="A592" i="4"/>
  <c r="R591" i="4"/>
  <c r="Q591" i="4"/>
  <c r="S591" i="4" s="1"/>
  <c r="P591" i="4"/>
  <c r="O591" i="4"/>
  <c r="N591" i="4"/>
  <c r="M591" i="4"/>
  <c r="L591" i="4"/>
  <c r="K591" i="4"/>
  <c r="I591" i="4"/>
  <c r="H591" i="4"/>
  <c r="J591" i="4" s="1"/>
  <c r="F591" i="4"/>
  <c r="E591" i="4"/>
  <c r="G591" i="4" s="1"/>
  <c r="D591" i="4"/>
  <c r="C591" i="4"/>
  <c r="B591" i="4"/>
  <c r="A591" i="4"/>
  <c r="R590" i="4"/>
  <c r="Q590" i="4"/>
  <c r="S590" i="4" s="1"/>
  <c r="P590" i="4"/>
  <c r="O590" i="4"/>
  <c r="N590" i="4"/>
  <c r="M590" i="4"/>
  <c r="L590" i="4"/>
  <c r="K590" i="4"/>
  <c r="I590" i="4"/>
  <c r="H590" i="4"/>
  <c r="F590" i="4"/>
  <c r="E590" i="4"/>
  <c r="D590" i="4"/>
  <c r="C590" i="4"/>
  <c r="B590" i="4"/>
  <c r="A590" i="4"/>
  <c r="S589" i="4"/>
  <c r="R589" i="4"/>
  <c r="Q589" i="4"/>
  <c r="O589" i="4"/>
  <c r="N589" i="4"/>
  <c r="L589" i="4"/>
  <c r="K589" i="4"/>
  <c r="M589" i="4" s="1"/>
  <c r="J589" i="4"/>
  <c r="I589" i="4"/>
  <c r="H589" i="4"/>
  <c r="F589" i="4"/>
  <c r="G589" i="4" s="1"/>
  <c r="E589" i="4"/>
  <c r="C589" i="4"/>
  <c r="B589" i="4"/>
  <c r="D589" i="4" s="1"/>
  <c r="A589" i="4"/>
  <c r="R588" i="4"/>
  <c r="S588" i="4" s="1"/>
  <c r="Q588" i="4"/>
  <c r="O588" i="4"/>
  <c r="N588" i="4"/>
  <c r="P588" i="4" s="1"/>
  <c r="L588" i="4"/>
  <c r="K588" i="4"/>
  <c r="I588" i="4"/>
  <c r="H588" i="4"/>
  <c r="J588" i="4" s="1"/>
  <c r="G588" i="4"/>
  <c r="F588" i="4"/>
  <c r="E588" i="4"/>
  <c r="D588" i="4"/>
  <c r="C588" i="4"/>
  <c r="B588" i="4"/>
  <c r="A588" i="4"/>
  <c r="R587" i="4"/>
  <c r="Q587" i="4"/>
  <c r="S587" i="4" s="1"/>
  <c r="P587" i="4"/>
  <c r="O587" i="4"/>
  <c r="N587" i="4"/>
  <c r="M587" i="4"/>
  <c r="L587" i="4"/>
  <c r="K587" i="4"/>
  <c r="I587" i="4"/>
  <c r="H587" i="4"/>
  <c r="F587" i="4"/>
  <c r="E587" i="4"/>
  <c r="G587" i="4" s="1"/>
  <c r="D587" i="4"/>
  <c r="C587" i="4"/>
  <c r="B587" i="4"/>
  <c r="A587" i="4"/>
  <c r="R586" i="4"/>
  <c r="Q586" i="4"/>
  <c r="S586" i="4" s="1"/>
  <c r="P586" i="4"/>
  <c r="O586" i="4"/>
  <c r="N586" i="4"/>
  <c r="L586" i="4"/>
  <c r="M586" i="4" s="1"/>
  <c r="K586" i="4"/>
  <c r="I586" i="4"/>
  <c r="H586" i="4"/>
  <c r="J586" i="4" s="1"/>
  <c r="F586" i="4"/>
  <c r="E586" i="4"/>
  <c r="C586" i="4"/>
  <c r="D586" i="4" s="1"/>
  <c r="B586" i="4"/>
  <c r="A586" i="4"/>
  <c r="R585" i="4"/>
  <c r="Q585" i="4"/>
  <c r="S585" i="4" s="1"/>
  <c r="P585" i="4"/>
  <c r="O585" i="4"/>
  <c r="N585" i="4"/>
  <c r="M585" i="4"/>
  <c r="L585" i="4"/>
  <c r="K585" i="4"/>
  <c r="I585" i="4"/>
  <c r="H585" i="4"/>
  <c r="F585" i="4"/>
  <c r="E585" i="4"/>
  <c r="G585" i="4" s="1"/>
  <c r="D585" i="4"/>
  <c r="C585" i="4"/>
  <c r="B585" i="4"/>
  <c r="A585" i="4"/>
  <c r="R584" i="4"/>
  <c r="Q584" i="4"/>
  <c r="O584" i="4"/>
  <c r="N584" i="4"/>
  <c r="P584" i="4" s="1"/>
  <c r="M584" i="4"/>
  <c r="L584" i="4"/>
  <c r="K584" i="4"/>
  <c r="J584" i="4"/>
  <c r="I584" i="4"/>
  <c r="H584" i="4"/>
  <c r="F584" i="4"/>
  <c r="E584" i="4"/>
  <c r="G584" i="4" s="1"/>
  <c r="C584" i="4"/>
  <c r="B584" i="4"/>
  <c r="D584" i="4" s="1"/>
  <c r="A584" i="4"/>
  <c r="S583" i="4"/>
  <c r="R583" i="4"/>
  <c r="Q583" i="4"/>
  <c r="O583" i="4"/>
  <c r="N583" i="4"/>
  <c r="P583" i="4" s="1"/>
  <c r="L583" i="4"/>
  <c r="K583" i="4"/>
  <c r="M583" i="4" s="1"/>
  <c r="J583" i="4"/>
  <c r="I583" i="4"/>
  <c r="H583" i="4"/>
  <c r="F583" i="4"/>
  <c r="G583" i="4" s="1"/>
  <c r="E583" i="4"/>
  <c r="C583" i="4"/>
  <c r="B583" i="4"/>
  <c r="A583" i="4"/>
  <c r="S582" i="4"/>
  <c r="R582" i="4"/>
  <c r="Q582" i="4"/>
  <c r="P582" i="4"/>
  <c r="O582" i="4"/>
  <c r="N582" i="4"/>
  <c r="L582" i="4"/>
  <c r="K582" i="4"/>
  <c r="M582" i="4" s="1"/>
  <c r="I582" i="4"/>
  <c r="H582" i="4"/>
  <c r="J582" i="4" s="1"/>
  <c r="G582" i="4"/>
  <c r="F582" i="4"/>
  <c r="E582" i="4"/>
  <c r="C582" i="4"/>
  <c r="D582" i="4" s="1"/>
  <c r="T582" i="4" s="1"/>
  <c r="B582" i="4"/>
  <c r="A582" i="4"/>
  <c r="R581" i="4"/>
  <c r="Q581" i="4"/>
  <c r="S581" i="4" s="1"/>
  <c r="P581" i="4"/>
  <c r="O581" i="4"/>
  <c r="N581" i="4"/>
  <c r="M581" i="4"/>
  <c r="L581" i="4"/>
  <c r="K581" i="4"/>
  <c r="I581" i="4"/>
  <c r="H581" i="4"/>
  <c r="F581" i="4"/>
  <c r="E581" i="4"/>
  <c r="G581" i="4" s="1"/>
  <c r="D581" i="4"/>
  <c r="C581" i="4"/>
  <c r="B581" i="4"/>
  <c r="A581" i="4"/>
  <c r="R580" i="4"/>
  <c r="Q580" i="4"/>
  <c r="O580" i="4"/>
  <c r="N580" i="4"/>
  <c r="P580" i="4" s="1"/>
  <c r="M580" i="4"/>
  <c r="L580" i="4"/>
  <c r="K580" i="4"/>
  <c r="J580" i="4"/>
  <c r="I580" i="4"/>
  <c r="H580" i="4"/>
  <c r="F580" i="4"/>
  <c r="E580" i="4"/>
  <c r="G580" i="4" s="1"/>
  <c r="C580" i="4"/>
  <c r="B580" i="4"/>
  <c r="D580" i="4" s="1"/>
  <c r="A580" i="4"/>
  <c r="S579" i="4"/>
  <c r="R579" i="4"/>
  <c r="Q579" i="4"/>
  <c r="O579" i="4"/>
  <c r="N579" i="4"/>
  <c r="P579" i="4" s="1"/>
  <c r="L579" i="4"/>
  <c r="K579" i="4"/>
  <c r="M579" i="4" s="1"/>
  <c r="J579" i="4"/>
  <c r="I579" i="4"/>
  <c r="H579" i="4"/>
  <c r="F579" i="4"/>
  <c r="G579" i="4" s="1"/>
  <c r="E579" i="4"/>
  <c r="C579" i="4"/>
  <c r="B579" i="4"/>
  <c r="A579" i="4"/>
  <c r="S578" i="4"/>
  <c r="R578" i="4"/>
  <c r="Q578" i="4"/>
  <c r="P578" i="4"/>
  <c r="O578" i="4"/>
  <c r="N578" i="4"/>
  <c r="L578" i="4"/>
  <c r="K578" i="4"/>
  <c r="M578" i="4" s="1"/>
  <c r="I578" i="4"/>
  <c r="H578" i="4"/>
  <c r="J578" i="4" s="1"/>
  <c r="G578" i="4"/>
  <c r="F578" i="4"/>
  <c r="E578" i="4"/>
  <c r="C578" i="4"/>
  <c r="D578" i="4" s="1"/>
  <c r="T578" i="4" s="1"/>
  <c r="B578" i="4"/>
  <c r="A578" i="4"/>
  <c r="R577" i="4"/>
  <c r="Q577" i="4"/>
  <c r="S577" i="4" s="1"/>
  <c r="P577" i="4"/>
  <c r="O577" i="4"/>
  <c r="N577" i="4"/>
  <c r="M577" i="4"/>
  <c r="L577" i="4"/>
  <c r="K577" i="4"/>
  <c r="I577" i="4"/>
  <c r="H577" i="4"/>
  <c r="F577" i="4"/>
  <c r="E577" i="4"/>
  <c r="G577" i="4" s="1"/>
  <c r="D577" i="4"/>
  <c r="C577" i="4"/>
  <c r="B577" i="4"/>
  <c r="A577" i="4"/>
  <c r="R576" i="4"/>
  <c r="Q576" i="4"/>
  <c r="O576" i="4"/>
  <c r="N576" i="4"/>
  <c r="P576" i="4" s="1"/>
  <c r="M576" i="4"/>
  <c r="L576" i="4"/>
  <c r="K576" i="4"/>
  <c r="J576" i="4"/>
  <c r="I576" i="4"/>
  <c r="H576" i="4"/>
  <c r="F576" i="4"/>
  <c r="E576" i="4"/>
  <c r="G576" i="4" s="1"/>
  <c r="C576" i="4"/>
  <c r="B576" i="4"/>
  <c r="D576" i="4" s="1"/>
  <c r="A576" i="4"/>
  <c r="S575" i="4"/>
  <c r="R575" i="4"/>
  <c r="Q575" i="4"/>
  <c r="O575" i="4"/>
  <c r="N575" i="4"/>
  <c r="P575" i="4" s="1"/>
  <c r="L575" i="4"/>
  <c r="K575" i="4"/>
  <c r="M575" i="4" s="1"/>
  <c r="J575" i="4"/>
  <c r="I575" i="4"/>
  <c r="H575" i="4"/>
  <c r="F575" i="4"/>
  <c r="G575" i="4" s="1"/>
  <c r="E575" i="4"/>
  <c r="C575" i="4"/>
  <c r="B575" i="4"/>
  <c r="A575" i="4"/>
  <c r="S574" i="4"/>
  <c r="R574" i="4"/>
  <c r="Q574" i="4"/>
  <c r="P574" i="4"/>
  <c r="O574" i="4"/>
  <c r="N574" i="4"/>
  <c r="L574" i="4"/>
  <c r="K574" i="4"/>
  <c r="M574" i="4" s="1"/>
  <c r="I574" i="4"/>
  <c r="H574" i="4"/>
  <c r="J574" i="4" s="1"/>
  <c r="G574" i="4"/>
  <c r="F574" i="4"/>
  <c r="E574" i="4"/>
  <c r="C574" i="4"/>
  <c r="D574" i="4" s="1"/>
  <c r="T574" i="4" s="1"/>
  <c r="B574" i="4"/>
  <c r="A574" i="4"/>
  <c r="R573" i="4"/>
  <c r="Q573" i="4"/>
  <c r="S573" i="4" s="1"/>
  <c r="P573" i="4"/>
  <c r="O573" i="4"/>
  <c r="N573" i="4"/>
  <c r="M573" i="4"/>
  <c r="L573" i="4"/>
  <c r="K573" i="4"/>
  <c r="I573" i="4"/>
  <c r="H573" i="4"/>
  <c r="F573" i="4"/>
  <c r="E573" i="4"/>
  <c r="G573" i="4" s="1"/>
  <c r="D573" i="4"/>
  <c r="C573" i="4"/>
  <c r="B573" i="4"/>
  <c r="A573" i="4"/>
  <c r="R572" i="4"/>
  <c r="Q572" i="4"/>
  <c r="O572" i="4"/>
  <c r="N572" i="4"/>
  <c r="P572" i="4" s="1"/>
  <c r="M572" i="4"/>
  <c r="L572" i="4"/>
  <c r="K572" i="4"/>
  <c r="J572" i="4"/>
  <c r="I572" i="4"/>
  <c r="H572" i="4"/>
  <c r="F572" i="4"/>
  <c r="E572" i="4"/>
  <c r="G572" i="4" s="1"/>
  <c r="C572" i="4"/>
  <c r="B572" i="4"/>
  <c r="D572" i="4" s="1"/>
  <c r="A572" i="4"/>
  <c r="S571" i="4"/>
  <c r="R571" i="4"/>
  <c r="Q571" i="4"/>
  <c r="O571" i="4"/>
  <c r="N571" i="4"/>
  <c r="P571" i="4" s="1"/>
  <c r="L571" i="4"/>
  <c r="K571" i="4"/>
  <c r="M571" i="4" s="1"/>
  <c r="J571" i="4"/>
  <c r="I571" i="4"/>
  <c r="H571" i="4"/>
  <c r="F571" i="4"/>
  <c r="G571" i="4" s="1"/>
  <c r="E571" i="4"/>
  <c r="C571" i="4"/>
  <c r="B571" i="4"/>
  <c r="D571" i="4" s="1"/>
  <c r="A571" i="4"/>
  <c r="S570" i="4"/>
  <c r="R570" i="4"/>
  <c r="Q570" i="4"/>
  <c r="P570" i="4"/>
  <c r="O570" i="4"/>
  <c r="N570" i="4"/>
  <c r="L570" i="4"/>
  <c r="K570" i="4"/>
  <c r="M570" i="4" s="1"/>
  <c r="I570" i="4"/>
  <c r="H570" i="4"/>
  <c r="J570" i="4" s="1"/>
  <c r="G570" i="4"/>
  <c r="F570" i="4"/>
  <c r="E570" i="4"/>
  <c r="C570" i="4"/>
  <c r="D570" i="4" s="1"/>
  <c r="T570" i="4" s="1"/>
  <c r="B570" i="4"/>
  <c r="A570" i="4"/>
  <c r="R569" i="4"/>
  <c r="Q569" i="4"/>
  <c r="S569" i="4" s="1"/>
  <c r="P569" i="4"/>
  <c r="O569" i="4"/>
  <c r="N569" i="4"/>
  <c r="L569" i="4"/>
  <c r="M569" i="4" s="1"/>
  <c r="K569" i="4"/>
  <c r="I569" i="4"/>
  <c r="H569" i="4"/>
  <c r="F569" i="4"/>
  <c r="E569" i="4"/>
  <c r="G569" i="4" s="1"/>
  <c r="D569" i="4"/>
  <c r="C569" i="4"/>
  <c r="B569" i="4"/>
  <c r="A569" i="4"/>
  <c r="R568" i="4"/>
  <c r="Q568" i="4"/>
  <c r="S568" i="4" s="1"/>
  <c r="O568" i="4"/>
  <c r="N568" i="4"/>
  <c r="P568" i="4" s="1"/>
  <c r="M568" i="4"/>
  <c r="L568" i="4"/>
  <c r="K568" i="4"/>
  <c r="J568" i="4"/>
  <c r="I568" i="4"/>
  <c r="H568" i="4"/>
  <c r="F568" i="4"/>
  <c r="E568" i="4"/>
  <c r="G568" i="4" s="1"/>
  <c r="C568" i="4"/>
  <c r="B568" i="4"/>
  <c r="D568" i="4" s="1"/>
  <c r="A568" i="4"/>
  <c r="S567" i="4"/>
  <c r="R567" i="4"/>
  <c r="Q567" i="4"/>
  <c r="O567" i="4"/>
  <c r="N567" i="4"/>
  <c r="P567" i="4" s="1"/>
  <c r="L567" i="4"/>
  <c r="K567" i="4"/>
  <c r="M567" i="4" s="1"/>
  <c r="J567" i="4"/>
  <c r="I567" i="4"/>
  <c r="H567" i="4"/>
  <c r="F567" i="4"/>
  <c r="G567" i="4" s="1"/>
  <c r="E567" i="4"/>
  <c r="C567" i="4"/>
  <c r="B567" i="4"/>
  <c r="D567" i="4" s="1"/>
  <c r="A567" i="4"/>
  <c r="S566" i="4"/>
  <c r="R566" i="4"/>
  <c r="Q566" i="4"/>
  <c r="P566" i="4"/>
  <c r="O566" i="4"/>
  <c r="N566" i="4"/>
  <c r="L566" i="4"/>
  <c r="K566" i="4"/>
  <c r="M566" i="4" s="1"/>
  <c r="I566" i="4"/>
  <c r="H566" i="4"/>
  <c r="J566" i="4" s="1"/>
  <c r="G566" i="4"/>
  <c r="F566" i="4"/>
  <c r="E566" i="4"/>
  <c r="C566" i="4"/>
  <c r="D566" i="4" s="1"/>
  <c r="T566" i="4" s="1"/>
  <c r="B566" i="4"/>
  <c r="A566" i="4"/>
  <c r="R565" i="4"/>
  <c r="Q565" i="4"/>
  <c r="S565" i="4" s="1"/>
  <c r="P565" i="4"/>
  <c r="O565" i="4"/>
  <c r="N565" i="4"/>
  <c r="L565" i="4"/>
  <c r="M565" i="4" s="1"/>
  <c r="K565" i="4"/>
  <c r="I565" i="4"/>
  <c r="H565" i="4"/>
  <c r="F565" i="4"/>
  <c r="E565" i="4"/>
  <c r="G565" i="4" s="1"/>
  <c r="D565" i="4"/>
  <c r="C565" i="4"/>
  <c r="B565" i="4"/>
  <c r="A565" i="4"/>
  <c r="R564" i="4"/>
  <c r="Q564" i="4"/>
  <c r="S564" i="4" s="1"/>
  <c r="O564" i="4"/>
  <c r="N564" i="4"/>
  <c r="P564" i="4" s="1"/>
  <c r="M564" i="4"/>
  <c r="L564" i="4"/>
  <c r="K564" i="4"/>
  <c r="J564" i="4"/>
  <c r="I564" i="4"/>
  <c r="H564" i="4"/>
  <c r="F564" i="4"/>
  <c r="E564" i="4"/>
  <c r="G564" i="4" s="1"/>
  <c r="C564" i="4"/>
  <c r="B564" i="4"/>
  <c r="D564" i="4" s="1"/>
  <c r="A564" i="4"/>
  <c r="S563" i="4"/>
  <c r="R563" i="4"/>
  <c r="Q563" i="4"/>
  <c r="O563" i="4"/>
  <c r="N563" i="4"/>
  <c r="P563" i="4" s="1"/>
  <c r="L563" i="4"/>
  <c r="K563" i="4"/>
  <c r="M563" i="4" s="1"/>
  <c r="J563" i="4"/>
  <c r="I563" i="4"/>
  <c r="H563" i="4"/>
  <c r="F563" i="4"/>
  <c r="G563" i="4" s="1"/>
  <c r="E563" i="4"/>
  <c r="C563" i="4"/>
  <c r="B563" i="4"/>
  <c r="D563" i="4" s="1"/>
  <c r="A563" i="4"/>
  <c r="S562" i="4"/>
  <c r="R562" i="4"/>
  <c r="Q562" i="4"/>
  <c r="P562" i="4"/>
  <c r="O562" i="4"/>
  <c r="N562" i="4"/>
  <c r="L562" i="4"/>
  <c r="K562" i="4"/>
  <c r="M562" i="4" s="1"/>
  <c r="I562" i="4"/>
  <c r="H562" i="4"/>
  <c r="J562" i="4" s="1"/>
  <c r="G562" i="4"/>
  <c r="F562" i="4"/>
  <c r="E562" i="4"/>
  <c r="C562" i="4"/>
  <c r="D562" i="4" s="1"/>
  <c r="T562" i="4" s="1"/>
  <c r="B562" i="4"/>
  <c r="A562" i="4"/>
  <c r="R561" i="4"/>
  <c r="Q561" i="4"/>
  <c r="S561" i="4" s="1"/>
  <c r="P561" i="4"/>
  <c r="O561" i="4"/>
  <c r="N561" i="4"/>
  <c r="L561" i="4"/>
  <c r="M561" i="4" s="1"/>
  <c r="K561" i="4"/>
  <c r="I561" i="4"/>
  <c r="H561" i="4"/>
  <c r="F561" i="4"/>
  <c r="E561" i="4"/>
  <c r="G561" i="4" s="1"/>
  <c r="D561" i="4"/>
  <c r="C561" i="4"/>
  <c r="B561" i="4"/>
  <c r="A561" i="4"/>
  <c r="R560" i="4"/>
  <c r="Q560" i="4"/>
  <c r="S560" i="4" s="1"/>
  <c r="O560" i="4"/>
  <c r="N560" i="4"/>
  <c r="P560" i="4" s="1"/>
  <c r="M560" i="4"/>
  <c r="L560" i="4"/>
  <c r="K560" i="4"/>
  <c r="J560" i="4"/>
  <c r="I560" i="4"/>
  <c r="H560" i="4"/>
  <c r="F560" i="4"/>
  <c r="E560" i="4"/>
  <c r="G560" i="4" s="1"/>
  <c r="C560" i="4"/>
  <c r="B560" i="4"/>
  <c r="D560" i="4" s="1"/>
  <c r="A560" i="4"/>
  <c r="S559" i="4"/>
  <c r="R559" i="4"/>
  <c r="Q559" i="4"/>
  <c r="O559" i="4"/>
  <c r="N559" i="4"/>
  <c r="P559" i="4" s="1"/>
  <c r="L559" i="4"/>
  <c r="K559" i="4"/>
  <c r="M559" i="4" s="1"/>
  <c r="J559" i="4"/>
  <c r="I559" i="4"/>
  <c r="H559" i="4"/>
  <c r="F559" i="4"/>
  <c r="G559" i="4" s="1"/>
  <c r="E559" i="4"/>
  <c r="C559" i="4"/>
  <c r="B559" i="4"/>
  <c r="D559" i="4" s="1"/>
  <c r="A559" i="4"/>
  <c r="S558" i="4"/>
  <c r="R558" i="4"/>
  <c r="Q558" i="4"/>
  <c r="P558" i="4"/>
  <c r="O558" i="4"/>
  <c r="N558" i="4"/>
  <c r="L558" i="4"/>
  <c r="K558" i="4"/>
  <c r="M558" i="4" s="1"/>
  <c r="I558" i="4"/>
  <c r="H558" i="4"/>
  <c r="J558" i="4" s="1"/>
  <c r="G558" i="4"/>
  <c r="F558" i="4"/>
  <c r="E558" i="4"/>
  <c r="C558" i="4"/>
  <c r="D558" i="4" s="1"/>
  <c r="T558" i="4" s="1"/>
  <c r="B558" i="4"/>
  <c r="A558" i="4"/>
  <c r="R557" i="4"/>
  <c r="Q557" i="4"/>
  <c r="S557" i="4" s="1"/>
  <c r="P557" i="4"/>
  <c r="O557" i="4"/>
  <c r="N557" i="4"/>
  <c r="L557" i="4"/>
  <c r="M557" i="4" s="1"/>
  <c r="K557" i="4"/>
  <c r="I557" i="4"/>
  <c r="H557" i="4"/>
  <c r="F557" i="4"/>
  <c r="E557" i="4"/>
  <c r="G557" i="4" s="1"/>
  <c r="D557" i="4"/>
  <c r="C557" i="4"/>
  <c r="B557" i="4"/>
  <c r="A557" i="4"/>
  <c r="R556" i="4"/>
  <c r="Q556" i="4"/>
  <c r="S556" i="4" s="1"/>
  <c r="O556" i="4"/>
  <c r="N556" i="4"/>
  <c r="P556" i="4" s="1"/>
  <c r="M556" i="4"/>
  <c r="L556" i="4"/>
  <c r="K556" i="4"/>
  <c r="J556" i="4"/>
  <c r="I556" i="4"/>
  <c r="H556" i="4"/>
  <c r="F556" i="4"/>
  <c r="E556" i="4"/>
  <c r="G556" i="4" s="1"/>
  <c r="C556" i="4"/>
  <c r="B556" i="4"/>
  <c r="D556" i="4" s="1"/>
  <c r="A556" i="4"/>
  <c r="S555" i="4"/>
  <c r="R555" i="4"/>
  <c r="Q555" i="4"/>
  <c r="O555" i="4"/>
  <c r="N555" i="4"/>
  <c r="P555" i="4" s="1"/>
  <c r="L555" i="4"/>
  <c r="K555" i="4"/>
  <c r="M555" i="4" s="1"/>
  <c r="J555" i="4"/>
  <c r="I555" i="4"/>
  <c r="H555" i="4"/>
  <c r="F555" i="4"/>
  <c r="G555" i="4" s="1"/>
  <c r="E555" i="4"/>
  <c r="C555" i="4"/>
  <c r="B555" i="4"/>
  <c r="D555" i="4" s="1"/>
  <c r="A555" i="4"/>
  <c r="S554" i="4"/>
  <c r="R554" i="4"/>
  <c r="Q554" i="4"/>
  <c r="P554" i="4"/>
  <c r="O554" i="4"/>
  <c r="N554" i="4"/>
  <c r="L554" i="4"/>
  <c r="K554" i="4"/>
  <c r="M554" i="4" s="1"/>
  <c r="I554" i="4"/>
  <c r="H554" i="4"/>
  <c r="J554" i="4" s="1"/>
  <c r="G554" i="4"/>
  <c r="F554" i="4"/>
  <c r="E554" i="4"/>
  <c r="C554" i="4"/>
  <c r="D554" i="4" s="1"/>
  <c r="T554" i="4" s="1"/>
  <c r="B554" i="4"/>
  <c r="A554" i="4"/>
  <c r="R553" i="4"/>
  <c r="Q553" i="4"/>
  <c r="S553" i="4" s="1"/>
  <c r="P553" i="4"/>
  <c r="O553" i="4"/>
  <c r="N553" i="4"/>
  <c r="L553" i="4"/>
  <c r="M553" i="4" s="1"/>
  <c r="K553" i="4"/>
  <c r="I553" i="4"/>
  <c r="H553" i="4"/>
  <c r="F553" i="4"/>
  <c r="E553" i="4"/>
  <c r="G553" i="4" s="1"/>
  <c r="D553" i="4"/>
  <c r="C553" i="4"/>
  <c r="B553" i="4"/>
  <c r="A553" i="4"/>
  <c r="R552" i="4"/>
  <c r="Q552" i="4"/>
  <c r="S552" i="4" s="1"/>
  <c r="O552" i="4"/>
  <c r="N552" i="4"/>
  <c r="P552" i="4" s="1"/>
  <c r="M552" i="4"/>
  <c r="L552" i="4"/>
  <c r="K552" i="4"/>
  <c r="J552" i="4"/>
  <c r="I552" i="4"/>
  <c r="H552" i="4"/>
  <c r="F552" i="4"/>
  <c r="E552" i="4"/>
  <c r="G552" i="4" s="1"/>
  <c r="C552" i="4"/>
  <c r="B552" i="4"/>
  <c r="D552" i="4" s="1"/>
  <c r="A552" i="4"/>
  <c r="S551" i="4"/>
  <c r="R551" i="4"/>
  <c r="Q551" i="4"/>
  <c r="O551" i="4"/>
  <c r="N551" i="4"/>
  <c r="P551" i="4" s="1"/>
  <c r="L551" i="4"/>
  <c r="K551" i="4"/>
  <c r="M551" i="4" s="1"/>
  <c r="J551" i="4"/>
  <c r="I551" i="4"/>
  <c r="H551" i="4"/>
  <c r="F551" i="4"/>
  <c r="G551" i="4" s="1"/>
  <c r="E551" i="4"/>
  <c r="C551" i="4"/>
  <c r="B551" i="4"/>
  <c r="D551" i="4" s="1"/>
  <c r="A551" i="4"/>
  <c r="S550" i="4"/>
  <c r="R550" i="4"/>
  <c r="Q550" i="4"/>
  <c r="P550" i="4"/>
  <c r="O550" i="4"/>
  <c r="N550" i="4"/>
  <c r="L550" i="4"/>
  <c r="K550" i="4"/>
  <c r="M550" i="4" s="1"/>
  <c r="I550" i="4"/>
  <c r="H550" i="4"/>
  <c r="J550" i="4" s="1"/>
  <c r="G550" i="4"/>
  <c r="F550" i="4"/>
  <c r="E550" i="4"/>
  <c r="C550" i="4"/>
  <c r="D550" i="4" s="1"/>
  <c r="T550" i="4" s="1"/>
  <c r="B550" i="4"/>
  <c r="A550" i="4"/>
  <c r="R549" i="4"/>
  <c r="Q549" i="4"/>
  <c r="S549" i="4" s="1"/>
  <c r="P549" i="4"/>
  <c r="O549" i="4"/>
  <c r="N549" i="4"/>
  <c r="L549" i="4"/>
  <c r="M549" i="4" s="1"/>
  <c r="K549" i="4"/>
  <c r="I549" i="4"/>
  <c r="H549" i="4"/>
  <c r="F549" i="4"/>
  <c r="E549" i="4"/>
  <c r="G549" i="4" s="1"/>
  <c r="D549" i="4"/>
  <c r="C549" i="4"/>
  <c r="B549" i="4"/>
  <c r="A549" i="4"/>
  <c r="R548" i="4"/>
  <c r="Q548" i="4"/>
  <c r="S548" i="4" s="1"/>
  <c r="O548" i="4"/>
  <c r="N548" i="4"/>
  <c r="P548" i="4" s="1"/>
  <c r="M548" i="4"/>
  <c r="L548" i="4"/>
  <c r="K548" i="4"/>
  <c r="J548" i="4"/>
  <c r="I548" i="4"/>
  <c r="H548" i="4"/>
  <c r="F548" i="4"/>
  <c r="E548" i="4"/>
  <c r="G548" i="4" s="1"/>
  <c r="C548" i="4"/>
  <c r="B548" i="4"/>
  <c r="D548" i="4" s="1"/>
  <c r="A548" i="4"/>
  <c r="S547" i="4"/>
  <c r="R547" i="4"/>
  <c r="Q547" i="4"/>
  <c r="O547" i="4"/>
  <c r="N547" i="4"/>
  <c r="P547" i="4" s="1"/>
  <c r="L547" i="4"/>
  <c r="K547" i="4"/>
  <c r="M547" i="4" s="1"/>
  <c r="J547" i="4"/>
  <c r="I547" i="4"/>
  <c r="H547" i="4"/>
  <c r="F547" i="4"/>
  <c r="G547" i="4" s="1"/>
  <c r="E547" i="4"/>
  <c r="C547" i="4"/>
  <c r="B547" i="4"/>
  <c r="D547" i="4" s="1"/>
  <c r="A547" i="4"/>
  <c r="S546" i="4"/>
  <c r="R546" i="4"/>
  <c r="Q546" i="4"/>
  <c r="P546" i="4"/>
  <c r="O546" i="4"/>
  <c r="N546" i="4"/>
  <c r="L546" i="4"/>
  <c r="K546" i="4"/>
  <c r="M546" i="4" s="1"/>
  <c r="I546" i="4"/>
  <c r="H546" i="4"/>
  <c r="J546" i="4" s="1"/>
  <c r="G546" i="4"/>
  <c r="F546" i="4"/>
  <c r="E546" i="4"/>
  <c r="C546" i="4"/>
  <c r="D546" i="4" s="1"/>
  <c r="T546" i="4" s="1"/>
  <c r="B546" i="4"/>
  <c r="A546" i="4"/>
  <c r="R545" i="4"/>
  <c r="Q545" i="4"/>
  <c r="S545" i="4" s="1"/>
  <c r="P545" i="4"/>
  <c r="O545" i="4"/>
  <c r="N545" i="4"/>
  <c r="L545" i="4"/>
  <c r="M545" i="4" s="1"/>
  <c r="K545" i="4"/>
  <c r="I545" i="4"/>
  <c r="H545" i="4"/>
  <c r="F545" i="4"/>
  <c r="E545" i="4"/>
  <c r="G545" i="4" s="1"/>
  <c r="D545" i="4"/>
  <c r="C545" i="4"/>
  <c r="B545" i="4"/>
  <c r="A545" i="4"/>
  <c r="R544" i="4"/>
  <c r="Q544" i="4"/>
  <c r="S544" i="4" s="1"/>
  <c r="O544" i="4"/>
  <c r="N544" i="4"/>
  <c r="P544" i="4" s="1"/>
  <c r="M544" i="4"/>
  <c r="L544" i="4"/>
  <c r="K544" i="4"/>
  <c r="J544" i="4"/>
  <c r="I544" i="4"/>
  <c r="H544" i="4"/>
  <c r="F544" i="4"/>
  <c r="E544" i="4"/>
  <c r="G544" i="4" s="1"/>
  <c r="C544" i="4"/>
  <c r="B544" i="4"/>
  <c r="D544" i="4" s="1"/>
  <c r="A544" i="4"/>
  <c r="S543" i="4"/>
  <c r="R543" i="4"/>
  <c r="Q543" i="4"/>
  <c r="O543" i="4"/>
  <c r="N543" i="4"/>
  <c r="P543" i="4" s="1"/>
  <c r="L543" i="4"/>
  <c r="K543" i="4"/>
  <c r="M543" i="4" s="1"/>
  <c r="J543" i="4"/>
  <c r="I543" i="4"/>
  <c r="H543" i="4"/>
  <c r="F543" i="4"/>
  <c r="G543" i="4" s="1"/>
  <c r="E543" i="4"/>
  <c r="C543" i="4"/>
  <c r="B543" i="4"/>
  <c r="D543" i="4" s="1"/>
  <c r="A543" i="4"/>
  <c r="S542" i="4"/>
  <c r="R542" i="4"/>
  <c r="Q542" i="4"/>
  <c r="P542" i="4"/>
  <c r="O542" i="4"/>
  <c r="N542" i="4"/>
  <c r="L542" i="4"/>
  <c r="K542" i="4"/>
  <c r="M542" i="4" s="1"/>
  <c r="I542" i="4"/>
  <c r="H542" i="4"/>
  <c r="J542" i="4" s="1"/>
  <c r="G542" i="4"/>
  <c r="F542" i="4"/>
  <c r="E542" i="4"/>
  <c r="C542" i="4"/>
  <c r="D542" i="4" s="1"/>
  <c r="T542" i="4" s="1"/>
  <c r="B542" i="4"/>
  <c r="A542" i="4"/>
  <c r="R541" i="4"/>
  <c r="Q541" i="4"/>
  <c r="S541" i="4" s="1"/>
  <c r="P541" i="4"/>
  <c r="O541" i="4"/>
  <c r="N541" i="4"/>
  <c r="L541" i="4"/>
  <c r="M541" i="4" s="1"/>
  <c r="K541" i="4"/>
  <c r="I541" i="4"/>
  <c r="H541" i="4"/>
  <c r="F541" i="4"/>
  <c r="E541" i="4"/>
  <c r="G541" i="4" s="1"/>
  <c r="D541" i="4"/>
  <c r="C541" i="4"/>
  <c r="B541" i="4"/>
  <c r="A541" i="4"/>
  <c r="R540" i="4"/>
  <c r="Q540" i="4"/>
  <c r="S540" i="4" s="1"/>
  <c r="O540" i="4"/>
  <c r="N540" i="4"/>
  <c r="P540" i="4" s="1"/>
  <c r="M540" i="4"/>
  <c r="L540" i="4"/>
  <c r="K540" i="4"/>
  <c r="J540" i="4"/>
  <c r="I540" i="4"/>
  <c r="H540" i="4"/>
  <c r="F540" i="4"/>
  <c r="E540" i="4"/>
  <c r="G540" i="4" s="1"/>
  <c r="C540" i="4"/>
  <c r="B540" i="4"/>
  <c r="D540" i="4" s="1"/>
  <c r="A540" i="4"/>
  <c r="S539" i="4"/>
  <c r="R539" i="4"/>
  <c r="Q539" i="4"/>
  <c r="O539" i="4"/>
  <c r="N539" i="4"/>
  <c r="P539" i="4" s="1"/>
  <c r="L539" i="4"/>
  <c r="K539" i="4"/>
  <c r="M539" i="4" s="1"/>
  <c r="J539" i="4"/>
  <c r="I539" i="4"/>
  <c r="H539" i="4"/>
  <c r="F539" i="4"/>
  <c r="G539" i="4" s="1"/>
  <c r="E539" i="4"/>
  <c r="C539" i="4"/>
  <c r="B539" i="4"/>
  <c r="D539" i="4" s="1"/>
  <c r="A539" i="4"/>
  <c r="S538" i="4"/>
  <c r="R538" i="4"/>
  <c r="Q538" i="4"/>
  <c r="P538" i="4"/>
  <c r="O538" i="4"/>
  <c r="N538" i="4"/>
  <c r="L538" i="4"/>
  <c r="K538" i="4"/>
  <c r="M538" i="4" s="1"/>
  <c r="I538" i="4"/>
  <c r="H538" i="4"/>
  <c r="J538" i="4" s="1"/>
  <c r="G538" i="4"/>
  <c r="F538" i="4"/>
  <c r="E538" i="4"/>
  <c r="C538" i="4"/>
  <c r="D538" i="4" s="1"/>
  <c r="T538" i="4" s="1"/>
  <c r="B538" i="4"/>
  <c r="A538" i="4"/>
  <c r="R537" i="4"/>
  <c r="Q537" i="4"/>
  <c r="S537" i="4" s="1"/>
  <c r="P537" i="4"/>
  <c r="O537" i="4"/>
  <c r="N537" i="4"/>
  <c r="L537" i="4"/>
  <c r="M537" i="4" s="1"/>
  <c r="K537" i="4"/>
  <c r="I537" i="4"/>
  <c r="H537" i="4"/>
  <c r="F537" i="4"/>
  <c r="E537" i="4"/>
  <c r="G537" i="4" s="1"/>
  <c r="D537" i="4"/>
  <c r="C537" i="4"/>
  <c r="B537" i="4"/>
  <c r="A537" i="4"/>
  <c r="R536" i="4"/>
  <c r="Q536" i="4"/>
  <c r="S536" i="4" s="1"/>
  <c r="O536" i="4"/>
  <c r="N536" i="4"/>
  <c r="P536" i="4" s="1"/>
  <c r="M536" i="4"/>
  <c r="L536" i="4"/>
  <c r="K536" i="4"/>
  <c r="J536" i="4"/>
  <c r="I536" i="4"/>
  <c r="H536" i="4"/>
  <c r="F536" i="4"/>
  <c r="E536" i="4"/>
  <c r="G536" i="4" s="1"/>
  <c r="C536" i="4"/>
  <c r="B536" i="4"/>
  <c r="D536" i="4" s="1"/>
  <c r="A536" i="4"/>
  <c r="S535" i="4"/>
  <c r="R535" i="4"/>
  <c r="Q535" i="4"/>
  <c r="O535" i="4"/>
  <c r="N535" i="4"/>
  <c r="P535" i="4" s="1"/>
  <c r="L535" i="4"/>
  <c r="K535" i="4"/>
  <c r="M535" i="4" s="1"/>
  <c r="J535" i="4"/>
  <c r="I535" i="4"/>
  <c r="H535" i="4"/>
  <c r="F535" i="4"/>
  <c r="G535" i="4" s="1"/>
  <c r="E535" i="4"/>
  <c r="C535" i="4"/>
  <c r="B535" i="4"/>
  <c r="A535" i="4"/>
  <c r="S534" i="4"/>
  <c r="R534" i="4"/>
  <c r="Q534" i="4"/>
  <c r="P534" i="4"/>
  <c r="O534" i="4"/>
  <c r="N534" i="4"/>
  <c r="L534" i="4"/>
  <c r="K534" i="4"/>
  <c r="M534" i="4" s="1"/>
  <c r="I534" i="4"/>
  <c r="H534" i="4"/>
  <c r="J534" i="4" s="1"/>
  <c r="G534" i="4"/>
  <c r="F534" i="4"/>
  <c r="E534" i="4"/>
  <c r="C534" i="4"/>
  <c r="D534" i="4" s="1"/>
  <c r="T534" i="4" s="1"/>
  <c r="B534" i="4"/>
  <c r="A534" i="4"/>
  <c r="R533" i="4"/>
  <c r="Q533" i="4"/>
  <c r="S533" i="4" s="1"/>
  <c r="P533" i="4"/>
  <c r="O533" i="4"/>
  <c r="N533" i="4"/>
  <c r="M533" i="4"/>
  <c r="L533" i="4"/>
  <c r="K533" i="4"/>
  <c r="I533" i="4"/>
  <c r="H533" i="4"/>
  <c r="F533" i="4"/>
  <c r="E533" i="4"/>
  <c r="G533" i="4" s="1"/>
  <c r="D533" i="4"/>
  <c r="C533" i="4"/>
  <c r="B533" i="4"/>
  <c r="A533" i="4"/>
  <c r="R532" i="4"/>
  <c r="Q532" i="4"/>
  <c r="O532" i="4"/>
  <c r="N532" i="4"/>
  <c r="P532" i="4" s="1"/>
  <c r="M532" i="4"/>
  <c r="L532" i="4"/>
  <c r="K532" i="4"/>
  <c r="J532" i="4"/>
  <c r="I532" i="4"/>
  <c r="H532" i="4"/>
  <c r="F532" i="4"/>
  <c r="E532" i="4"/>
  <c r="G532" i="4" s="1"/>
  <c r="C532" i="4"/>
  <c r="B532" i="4"/>
  <c r="D532" i="4" s="1"/>
  <c r="A532" i="4"/>
  <c r="S531" i="4"/>
  <c r="R531" i="4"/>
  <c r="Q531" i="4"/>
  <c r="O531" i="4"/>
  <c r="N531" i="4"/>
  <c r="P531" i="4" s="1"/>
  <c r="L531" i="4"/>
  <c r="K531" i="4"/>
  <c r="M531" i="4" s="1"/>
  <c r="J531" i="4"/>
  <c r="I531" i="4"/>
  <c r="H531" i="4"/>
  <c r="F531" i="4"/>
  <c r="G531" i="4" s="1"/>
  <c r="E531" i="4"/>
  <c r="C531" i="4"/>
  <c r="B531" i="4"/>
  <c r="A531" i="4"/>
  <c r="S530" i="4"/>
  <c r="R530" i="4"/>
  <c r="Q530" i="4"/>
  <c r="P530" i="4"/>
  <c r="O530" i="4"/>
  <c r="N530" i="4"/>
  <c r="L530" i="4"/>
  <c r="K530" i="4"/>
  <c r="M530" i="4" s="1"/>
  <c r="I530" i="4"/>
  <c r="H530" i="4"/>
  <c r="J530" i="4" s="1"/>
  <c r="G530" i="4"/>
  <c r="F530" i="4"/>
  <c r="E530" i="4"/>
  <c r="C530" i="4"/>
  <c r="D530" i="4" s="1"/>
  <c r="T530" i="4" s="1"/>
  <c r="B530" i="4"/>
  <c r="A530" i="4"/>
  <c r="R529" i="4"/>
  <c r="Q529" i="4"/>
  <c r="S529" i="4" s="1"/>
  <c r="P529" i="4"/>
  <c r="O529" i="4"/>
  <c r="N529" i="4"/>
  <c r="M529" i="4"/>
  <c r="L529" i="4"/>
  <c r="K529" i="4"/>
  <c r="I529" i="4"/>
  <c r="H529" i="4"/>
  <c r="F529" i="4"/>
  <c r="E529" i="4"/>
  <c r="G529" i="4" s="1"/>
  <c r="D529" i="4"/>
  <c r="C529" i="4"/>
  <c r="B529" i="4"/>
  <c r="A529" i="4"/>
  <c r="R528" i="4"/>
  <c r="Q528" i="4"/>
  <c r="O528" i="4"/>
  <c r="N528" i="4"/>
  <c r="P528" i="4" s="1"/>
  <c r="M528" i="4"/>
  <c r="L528" i="4"/>
  <c r="K528" i="4"/>
  <c r="J528" i="4"/>
  <c r="I528" i="4"/>
  <c r="H528" i="4"/>
  <c r="F528" i="4"/>
  <c r="E528" i="4"/>
  <c r="G528" i="4" s="1"/>
  <c r="C528" i="4"/>
  <c r="B528" i="4"/>
  <c r="D528" i="4" s="1"/>
  <c r="A528" i="4"/>
  <c r="S527" i="4"/>
  <c r="R527" i="4"/>
  <c r="Q527" i="4"/>
  <c r="O527" i="4"/>
  <c r="N527" i="4"/>
  <c r="P527" i="4" s="1"/>
  <c r="L527" i="4"/>
  <c r="K527" i="4"/>
  <c r="M527" i="4" s="1"/>
  <c r="J527" i="4"/>
  <c r="I527" i="4"/>
  <c r="H527" i="4"/>
  <c r="F527" i="4"/>
  <c r="G527" i="4" s="1"/>
  <c r="E527" i="4"/>
  <c r="C527" i="4"/>
  <c r="B527" i="4"/>
  <c r="A527" i="4"/>
  <c r="S526" i="4"/>
  <c r="R526" i="4"/>
  <c r="Q526" i="4"/>
  <c r="P526" i="4"/>
  <c r="O526" i="4"/>
  <c r="N526" i="4"/>
  <c r="L526" i="4"/>
  <c r="K526" i="4"/>
  <c r="M526" i="4" s="1"/>
  <c r="I526" i="4"/>
  <c r="H526" i="4"/>
  <c r="J526" i="4" s="1"/>
  <c r="G526" i="4"/>
  <c r="F526" i="4"/>
  <c r="E526" i="4"/>
  <c r="C526" i="4"/>
  <c r="D526" i="4" s="1"/>
  <c r="T526" i="4" s="1"/>
  <c r="B526" i="4"/>
  <c r="A526" i="4"/>
  <c r="R525" i="4"/>
  <c r="Q525" i="4"/>
  <c r="S525" i="4" s="1"/>
  <c r="P525" i="4"/>
  <c r="O525" i="4"/>
  <c r="N525" i="4"/>
  <c r="M525" i="4"/>
  <c r="L525" i="4"/>
  <c r="K525" i="4"/>
  <c r="I525" i="4"/>
  <c r="H525" i="4"/>
  <c r="F525" i="4"/>
  <c r="E525" i="4"/>
  <c r="G525" i="4" s="1"/>
  <c r="D525" i="4"/>
  <c r="C525" i="4"/>
  <c r="B525" i="4"/>
  <c r="A525" i="4"/>
  <c r="R524" i="4"/>
  <c r="Q524" i="4"/>
  <c r="O524" i="4"/>
  <c r="N524" i="4"/>
  <c r="P524" i="4" s="1"/>
  <c r="M524" i="4"/>
  <c r="L524" i="4"/>
  <c r="K524" i="4"/>
  <c r="J524" i="4"/>
  <c r="I524" i="4"/>
  <c r="H524" i="4"/>
  <c r="F524" i="4"/>
  <c r="E524" i="4"/>
  <c r="G524" i="4" s="1"/>
  <c r="C524" i="4"/>
  <c r="B524" i="4"/>
  <c r="D524" i="4" s="1"/>
  <c r="A524" i="4"/>
  <c r="S523" i="4"/>
  <c r="R523" i="4"/>
  <c r="Q523" i="4"/>
  <c r="O523" i="4"/>
  <c r="N523" i="4"/>
  <c r="P523" i="4" s="1"/>
  <c r="L523" i="4"/>
  <c r="K523" i="4"/>
  <c r="M523" i="4" s="1"/>
  <c r="J523" i="4"/>
  <c r="I523" i="4"/>
  <c r="H523" i="4"/>
  <c r="F523" i="4"/>
  <c r="G523" i="4" s="1"/>
  <c r="E523" i="4"/>
  <c r="C523" i="4"/>
  <c r="B523" i="4"/>
  <c r="A523" i="4"/>
  <c r="S522" i="4"/>
  <c r="R522" i="4"/>
  <c r="Q522" i="4"/>
  <c r="P522" i="4"/>
  <c r="O522" i="4"/>
  <c r="N522" i="4"/>
  <c r="L522" i="4"/>
  <c r="K522" i="4"/>
  <c r="M522" i="4" s="1"/>
  <c r="I522" i="4"/>
  <c r="H522" i="4"/>
  <c r="J522" i="4" s="1"/>
  <c r="G522" i="4"/>
  <c r="F522" i="4"/>
  <c r="E522" i="4"/>
  <c r="C522" i="4"/>
  <c r="D522" i="4" s="1"/>
  <c r="T522" i="4" s="1"/>
  <c r="B522" i="4"/>
  <c r="A522" i="4"/>
  <c r="R521" i="4"/>
  <c r="Q521" i="4"/>
  <c r="S521" i="4" s="1"/>
  <c r="P521" i="4"/>
  <c r="O521" i="4"/>
  <c r="N521" i="4"/>
  <c r="M521" i="4"/>
  <c r="L521" i="4"/>
  <c r="K521" i="4"/>
  <c r="I521" i="4"/>
  <c r="H521" i="4"/>
  <c r="F521" i="4"/>
  <c r="E521" i="4"/>
  <c r="G521" i="4" s="1"/>
  <c r="D521" i="4"/>
  <c r="C521" i="4"/>
  <c r="B521" i="4"/>
  <c r="A521" i="4"/>
  <c r="R520" i="4"/>
  <c r="Q520" i="4"/>
  <c r="O520" i="4"/>
  <c r="N520" i="4"/>
  <c r="P520" i="4" s="1"/>
  <c r="M520" i="4"/>
  <c r="L520" i="4"/>
  <c r="K520" i="4"/>
  <c r="J520" i="4"/>
  <c r="I520" i="4"/>
  <c r="H520" i="4"/>
  <c r="F520" i="4"/>
  <c r="E520" i="4"/>
  <c r="G520" i="4" s="1"/>
  <c r="C520" i="4"/>
  <c r="B520" i="4"/>
  <c r="D520" i="4" s="1"/>
  <c r="A520" i="4"/>
  <c r="S519" i="4"/>
  <c r="R519" i="4"/>
  <c r="Q519" i="4"/>
  <c r="O519" i="4"/>
  <c r="N519" i="4"/>
  <c r="P519" i="4" s="1"/>
  <c r="L519" i="4"/>
  <c r="K519" i="4"/>
  <c r="M519" i="4" s="1"/>
  <c r="J519" i="4"/>
  <c r="I519" i="4"/>
  <c r="H519" i="4"/>
  <c r="F519" i="4"/>
  <c r="G519" i="4" s="1"/>
  <c r="E519" i="4"/>
  <c r="C519" i="4"/>
  <c r="B519" i="4"/>
  <c r="A519" i="4"/>
  <c r="S518" i="4"/>
  <c r="R518" i="4"/>
  <c r="Q518" i="4"/>
  <c r="P518" i="4"/>
  <c r="O518" i="4"/>
  <c r="N518" i="4"/>
  <c r="L518" i="4"/>
  <c r="K518" i="4"/>
  <c r="M518" i="4" s="1"/>
  <c r="I518" i="4"/>
  <c r="H518" i="4"/>
  <c r="J518" i="4" s="1"/>
  <c r="G518" i="4"/>
  <c r="F518" i="4"/>
  <c r="E518" i="4"/>
  <c r="C518" i="4"/>
  <c r="D518" i="4" s="1"/>
  <c r="T518" i="4" s="1"/>
  <c r="B518" i="4"/>
  <c r="A518" i="4"/>
  <c r="R517" i="4"/>
  <c r="Q517" i="4"/>
  <c r="S517" i="4" s="1"/>
  <c r="P517" i="4"/>
  <c r="O517" i="4"/>
  <c r="N517" i="4"/>
  <c r="M517" i="4"/>
  <c r="L517" i="4"/>
  <c r="K517" i="4"/>
  <c r="I517" i="4"/>
  <c r="H517" i="4"/>
  <c r="F517" i="4"/>
  <c r="E517" i="4"/>
  <c r="G517" i="4" s="1"/>
  <c r="D517" i="4"/>
  <c r="C517" i="4"/>
  <c r="B517" i="4"/>
  <c r="A517" i="4"/>
  <c r="R516" i="4"/>
  <c r="Q516" i="4"/>
  <c r="O516" i="4"/>
  <c r="N516" i="4"/>
  <c r="P516" i="4" s="1"/>
  <c r="M516" i="4"/>
  <c r="L516" i="4"/>
  <c r="K516" i="4"/>
  <c r="J516" i="4"/>
  <c r="I516" i="4"/>
  <c r="H516" i="4"/>
  <c r="F516" i="4"/>
  <c r="E516" i="4"/>
  <c r="G516" i="4" s="1"/>
  <c r="C516" i="4"/>
  <c r="B516" i="4"/>
  <c r="D516" i="4" s="1"/>
  <c r="A516" i="4"/>
  <c r="S515" i="4"/>
  <c r="R515" i="4"/>
  <c r="Q515" i="4"/>
  <c r="O515" i="4"/>
  <c r="N515" i="4"/>
  <c r="P515" i="4" s="1"/>
  <c r="L515" i="4"/>
  <c r="K515" i="4"/>
  <c r="M515" i="4" s="1"/>
  <c r="J515" i="4"/>
  <c r="I515" i="4"/>
  <c r="H515" i="4"/>
  <c r="F515" i="4"/>
  <c r="G515" i="4" s="1"/>
  <c r="E515" i="4"/>
  <c r="C515" i="4"/>
  <c r="B515" i="4"/>
  <c r="A515" i="4"/>
  <c r="S514" i="4"/>
  <c r="R514" i="4"/>
  <c r="Q514" i="4"/>
  <c r="P514" i="4"/>
  <c r="O514" i="4"/>
  <c r="N514" i="4"/>
  <c r="L514" i="4"/>
  <c r="K514" i="4"/>
  <c r="M514" i="4" s="1"/>
  <c r="I514" i="4"/>
  <c r="H514" i="4"/>
  <c r="J514" i="4" s="1"/>
  <c r="G514" i="4"/>
  <c r="F514" i="4"/>
  <c r="E514" i="4"/>
  <c r="C514" i="4"/>
  <c r="D514" i="4" s="1"/>
  <c r="T514" i="4" s="1"/>
  <c r="B514" i="4"/>
  <c r="A514" i="4"/>
  <c r="R513" i="4"/>
  <c r="Q513" i="4"/>
  <c r="S513" i="4" s="1"/>
  <c r="P513" i="4"/>
  <c r="O513" i="4"/>
  <c r="N513" i="4"/>
  <c r="M513" i="4"/>
  <c r="L513" i="4"/>
  <c r="K513" i="4"/>
  <c r="I513" i="4"/>
  <c r="H513" i="4"/>
  <c r="F513" i="4"/>
  <c r="E513" i="4"/>
  <c r="G513" i="4" s="1"/>
  <c r="D513" i="4"/>
  <c r="C513" i="4"/>
  <c r="B513" i="4"/>
  <c r="A513" i="4"/>
  <c r="R512" i="4"/>
  <c r="Q512" i="4"/>
  <c r="O512" i="4"/>
  <c r="N512" i="4"/>
  <c r="P512" i="4" s="1"/>
  <c r="M512" i="4"/>
  <c r="L512" i="4"/>
  <c r="K512" i="4"/>
  <c r="J512" i="4"/>
  <c r="I512" i="4"/>
  <c r="H512" i="4"/>
  <c r="F512" i="4"/>
  <c r="E512" i="4"/>
  <c r="G512" i="4" s="1"/>
  <c r="C512" i="4"/>
  <c r="B512" i="4"/>
  <c r="D512" i="4" s="1"/>
  <c r="A512" i="4"/>
  <c r="S511" i="4"/>
  <c r="R511" i="4"/>
  <c r="Q511" i="4"/>
  <c r="O511" i="4"/>
  <c r="N511" i="4"/>
  <c r="P511" i="4" s="1"/>
  <c r="L511" i="4"/>
  <c r="K511" i="4"/>
  <c r="M511" i="4" s="1"/>
  <c r="J511" i="4"/>
  <c r="I511" i="4"/>
  <c r="H511" i="4"/>
  <c r="F511" i="4"/>
  <c r="G511" i="4" s="1"/>
  <c r="E511" i="4"/>
  <c r="C511" i="4"/>
  <c r="B511" i="4"/>
  <c r="A511" i="4"/>
  <c r="S510" i="4"/>
  <c r="R510" i="4"/>
  <c r="Q510" i="4"/>
  <c r="P510" i="4"/>
  <c r="O510" i="4"/>
  <c r="N510" i="4"/>
  <c r="L510" i="4"/>
  <c r="K510" i="4"/>
  <c r="M510" i="4" s="1"/>
  <c r="I510" i="4"/>
  <c r="H510" i="4"/>
  <c r="J510" i="4" s="1"/>
  <c r="G510" i="4"/>
  <c r="F510" i="4"/>
  <c r="E510" i="4"/>
  <c r="C510" i="4"/>
  <c r="D510" i="4" s="1"/>
  <c r="T510" i="4" s="1"/>
  <c r="B510" i="4"/>
  <c r="A510" i="4"/>
  <c r="R509" i="4"/>
  <c r="Q509" i="4"/>
  <c r="S509" i="4" s="1"/>
  <c r="P509" i="4"/>
  <c r="O509" i="4"/>
  <c r="N509" i="4"/>
  <c r="M509" i="4"/>
  <c r="L509" i="4"/>
  <c r="K509" i="4"/>
  <c r="I509" i="4"/>
  <c r="H509" i="4"/>
  <c r="F509" i="4"/>
  <c r="E509" i="4"/>
  <c r="G509" i="4" s="1"/>
  <c r="D509" i="4"/>
  <c r="C509" i="4"/>
  <c r="B509" i="4"/>
  <c r="A509" i="4"/>
  <c r="R508" i="4"/>
  <c r="Q508" i="4"/>
  <c r="O508" i="4"/>
  <c r="N508" i="4"/>
  <c r="P508" i="4" s="1"/>
  <c r="M508" i="4"/>
  <c r="L508" i="4"/>
  <c r="K508" i="4"/>
  <c r="J508" i="4"/>
  <c r="I508" i="4"/>
  <c r="H508" i="4"/>
  <c r="F508" i="4"/>
  <c r="E508" i="4"/>
  <c r="G508" i="4" s="1"/>
  <c r="C508" i="4"/>
  <c r="B508" i="4"/>
  <c r="D508" i="4" s="1"/>
  <c r="A508" i="4"/>
  <c r="S507" i="4"/>
  <c r="R507" i="4"/>
  <c r="Q507" i="4"/>
  <c r="O507" i="4"/>
  <c r="N507" i="4"/>
  <c r="P507" i="4" s="1"/>
  <c r="L507" i="4"/>
  <c r="K507" i="4"/>
  <c r="M507" i="4" s="1"/>
  <c r="J507" i="4"/>
  <c r="I507" i="4"/>
  <c r="H507" i="4"/>
  <c r="F507" i="4"/>
  <c r="G507" i="4" s="1"/>
  <c r="E507" i="4"/>
  <c r="C507" i="4"/>
  <c r="B507" i="4"/>
  <c r="A507" i="4"/>
  <c r="S506" i="4"/>
  <c r="R506" i="4"/>
  <c r="Q506" i="4"/>
  <c r="P506" i="4"/>
  <c r="O506" i="4"/>
  <c r="N506" i="4"/>
  <c r="L506" i="4"/>
  <c r="K506" i="4"/>
  <c r="M506" i="4" s="1"/>
  <c r="I506" i="4"/>
  <c r="H506" i="4"/>
  <c r="J506" i="4" s="1"/>
  <c r="G506" i="4"/>
  <c r="F506" i="4"/>
  <c r="E506" i="4"/>
  <c r="C506" i="4"/>
  <c r="D506" i="4" s="1"/>
  <c r="T506" i="4" s="1"/>
  <c r="B506" i="4"/>
  <c r="A506" i="4"/>
  <c r="R505" i="4"/>
  <c r="Q505" i="4"/>
  <c r="S505" i="4" s="1"/>
  <c r="P505" i="4"/>
  <c r="O505" i="4"/>
  <c r="N505" i="4"/>
  <c r="M505" i="4"/>
  <c r="L505" i="4"/>
  <c r="K505" i="4"/>
  <c r="I505" i="4"/>
  <c r="H505" i="4"/>
  <c r="F505" i="4"/>
  <c r="E505" i="4"/>
  <c r="G505" i="4" s="1"/>
  <c r="D505" i="4"/>
  <c r="C505" i="4"/>
  <c r="B505" i="4"/>
  <c r="A505" i="4"/>
  <c r="R504" i="4"/>
  <c r="Q504" i="4"/>
  <c r="O504" i="4"/>
  <c r="N504" i="4"/>
  <c r="P504" i="4" s="1"/>
  <c r="M504" i="4"/>
  <c r="L504" i="4"/>
  <c r="K504" i="4"/>
  <c r="J504" i="4"/>
  <c r="I504" i="4"/>
  <c r="H504" i="4"/>
  <c r="F504" i="4"/>
  <c r="E504" i="4"/>
  <c r="G504" i="4" s="1"/>
  <c r="C504" i="4"/>
  <c r="B504" i="4"/>
  <c r="D504" i="4" s="1"/>
  <c r="A504" i="4"/>
  <c r="S503" i="4"/>
  <c r="R503" i="4"/>
  <c r="Q503" i="4"/>
  <c r="O503" i="4"/>
  <c r="N503" i="4"/>
  <c r="P503" i="4" s="1"/>
  <c r="L503" i="4"/>
  <c r="K503" i="4"/>
  <c r="M503" i="4" s="1"/>
  <c r="J503" i="4"/>
  <c r="I503" i="4"/>
  <c r="H503" i="4"/>
  <c r="F503" i="4"/>
  <c r="G503" i="4" s="1"/>
  <c r="E503" i="4"/>
  <c r="C503" i="4"/>
  <c r="B503" i="4"/>
  <c r="A503" i="4"/>
  <c r="S502" i="4"/>
  <c r="R502" i="4"/>
  <c r="Q502" i="4"/>
  <c r="P502" i="4"/>
  <c r="O502" i="4"/>
  <c r="N502" i="4"/>
  <c r="L502" i="4"/>
  <c r="K502" i="4"/>
  <c r="M502" i="4" s="1"/>
  <c r="I502" i="4"/>
  <c r="H502" i="4"/>
  <c r="J502" i="4" s="1"/>
  <c r="G502" i="4"/>
  <c r="F502" i="4"/>
  <c r="E502" i="4"/>
  <c r="C502" i="4"/>
  <c r="D502" i="4" s="1"/>
  <c r="T502" i="4" s="1"/>
  <c r="B502" i="4"/>
  <c r="A502" i="4"/>
  <c r="R501" i="4"/>
  <c r="Q501" i="4"/>
  <c r="S501" i="4" s="1"/>
  <c r="P501" i="4"/>
  <c r="O501" i="4"/>
  <c r="N501" i="4"/>
  <c r="M501" i="4"/>
  <c r="L501" i="4"/>
  <c r="K501" i="4"/>
  <c r="I501" i="4"/>
  <c r="H501" i="4"/>
  <c r="F501" i="4"/>
  <c r="E501" i="4"/>
  <c r="G501" i="4" s="1"/>
  <c r="D501" i="4"/>
  <c r="C501" i="4"/>
  <c r="B501" i="4"/>
  <c r="A501" i="4"/>
  <c r="R500" i="4"/>
  <c r="Q500" i="4"/>
  <c r="O500" i="4"/>
  <c r="N500" i="4"/>
  <c r="P500" i="4" s="1"/>
  <c r="M500" i="4"/>
  <c r="L500" i="4"/>
  <c r="K500" i="4"/>
  <c r="J500" i="4"/>
  <c r="I500" i="4"/>
  <c r="H500" i="4"/>
  <c r="F500" i="4"/>
  <c r="E500" i="4"/>
  <c r="G500" i="4" s="1"/>
  <c r="C500" i="4"/>
  <c r="B500" i="4"/>
  <c r="D500" i="4" s="1"/>
  <c r="A500" i="4"/>
  <c r="S499" i="4"/>
  <c r="R499" i="4"/>
  <c r="Q499" i="4"/>
  <c r="O499" i="4"/>
  <c r="N499" i="4"/>
  <c r="P499" i="4" s="1"/>
  <c r="L499" i="4"/>
  <c r="K499" i="4"/>
  <c r="M499" i="4" s="1"/>
  <c r="J499" i="4"/>
  <c r="I499" i="4"/>
  <c r="H499" i="4"/>
  <c r="F499" i="4"/>
  <c r="G499" i="4" s="1"/>
  <c r="E499" i="4"/>
  <c r="C499" i="4"/>
  <c r="B499" i="4"/>
  <c r="A499" i="4"/>
  <c r="S498" i="4"/>
  <c r="R498" i="4"/>
  <c r="Q498" i="4"/>
  <c r="P498" i="4"/>
  <c r="O498" i="4"/>
  <c r="N498" i="4"/>
  <c r="L498" i="4"/>
  <c r="K498" i="4"/>
  <c r="M498" i="4" s="1"/>
  <c r="I498" i="4"/>
  <c r="H498" i="4"/>
  <c r="J498" i="4" s="1"/>
  <c r="G498" i="4"/>
  <c r="F498" i="4"/>
  <c r="E498" i="4"/>
  <c r="C498" i="4"/>
  <c r="D498" i="4" s="1"/>
  <c r="T498" i="4" s="1"/>
  <c r="B498" i="4"/>
  <c r="A498" i="4"/>
  <c r="R497" i="4"/>
  <c r="Q497" i="4"/>
  <c r="S497" i="4" s="1"/>
  <c r="P497" i="4"/>
  <c r="O497" i="4"/>
  <c r="N497" i="4"/>
  <c r="L497" i="4"/>
  <c r="M497" i="4" s="1"/>
  <c r="K497" i="4"/>
  <c r="I497" i="4"/>
  <c r="H497" i="4"/>
  <c r="F497" i="4"/>
  <c r="E497" i="4"/>
  <c r="G497" i="4" s="1"/>
  <c r="D497" i="4"/>
  <c r="C497" i="4"/>
  <c r="B497" i="4"/>
  <c r="A497" i="4"/>
  <c r="R496" i="4"/>
  <c r="Q496" i="4"/>
  <c r="S496" i="4" s="1"/>
  <c r="O496" i="4"/>
  <c r="N496" i="4"/>
  <c r="P496" i="4" s="1"/>
  <c r="M496" i="4"/>
  <c r="L496" i="4"/>
  <c r="K496" i="4"/>
  <c r="J496" i="4"/>
  <c r="I496" i="4"/>
  <c r="H496" i="4"/>
  <c r="F496" i="4"/>
  <c r="E496" i="4"/>
  <c r="G496" i="4" s="1"/>
  <c r="C496" i="4"/>
  <c r="B496" i="4"/>
  <c r="D496" i="4" s="1"/>
  <c r="A496" i="4"/>
  <c r="S495" i="4"/>
  <c r="R495" i="4"/>
  <c r="Q495" i="4"/>
  <c r="O495" i="4"/>
  <c r="N495" i="4"/>
  <c r="P495" i="4" s="1"/>
  <c r="L495" i="4"/>
  <c r="K495" i="4"/>
  <c r="M495" i="4" s="1"/>
  <c r="J495" i="4"/>
  <c r="I495" i="4"/>
  <c r="H495" i="4"/>
  <c r="F495" i="4"/>
  <c r="G495" i="4" s="1"/>
  <c r="E495" i="4"/>
  <c r="C495" i="4"/>
  <c r="B495" i="4"/>
  <c r="D495" i="4" s="1"/>
  <c r="A495" i="4"/>
  <c r="S494" i="4"/>
  <c r="R494" i="4"/>
  <c r="Q494" i="4"/>
  <c r="P494" i="4"/>
  <c r="O494" i="4"/>
  <c r="N494" i="4"/>
  <c r="L494" i="4"/>
  <c r="K494" i="4"/>
  <c r="M494" i="4" s="1"/>
  <c r="I494" i="4"/>
  <c r="H494" i="4"/>
  <c r="J494" i="4" s="1"/>
  <c r="G494" i="4"/>
  <c r="F494" i="4"/>
  <c r="E494" i="4"/>
  <c r="C494" i="4"/>
  <c r="D494" i="4" s="1"/>
  <c r="T494" i="4" s="1"/>
  <c r="B494" i="4"/>
  <c r="A494" i="4"/>
  <c r="R493" i="4"/>
  <c r="Q493" i="4"/>
  <c r="S493" i="4" s="1"/>
  <c r="P493" i="4"/>
  <c r="O493" i="4"/>
  <c r="N493" i="4"/>
  <c r="L493" i="4"/>
  <c r="M493" i="4" s="1"/>
  <c r="K493" i="4"/>
  <c r="I493" i="4"/>
  <c r="H493" i="4"/>
  <c r="F493" i="4"/>
  <c r="E493" i="4"/>
  <c r="G493" i="4" s="1"/>
  <c r="D493" i="4"/>
  <c r="C493" i="4"/>
  <c r="B493" i="4"/>
  <c r="A493" i="4"/>
  <c r="R492" i="4"/>
  <c r="Q492" i="4"/>
  <c r="S492" i="4" s="1"/>
  <c r="O492" i="4"/>
  <c r="N492" i="4"/>
  <c r="P492" i="4" s="1"/>
  <c r="M492" i="4"/>
  <c r="L492" i="4"/>
  <c r="K492" i="4"/>
  <c r="J492" i="4"/>
  <c r="I492" i="4"/>
  <c r="H492" i="4"/>
  <c r="F492" i="4"/>
  <c r="E492" i="4"/>
  <c r="G492" i="4" s="1"/>
  <c r="C492" i="4"/>
  <c r="B492" i="4"/>
  <c r="D492" i="4" s="1"/>
  <c r="A492" i="4"/>
  <c r="S491" i="4"/>
  <c r="R491" i="4"/>
  <c r="Q491" i="4"/>
  <c r="O491" i="4"/>
  <c r="N491" i="4"/>
  <c r="P491" i="4" s="1"/>
  <c r="L491" i="4"/>
  <c r="K491" i="4"/>
  <c r="M491" i="4" s="1"/>
  <c r="J491" i="4"/>
  <c r="I491" i="4"/>
  <c r="H491" i="4"/>
  <c r="F491" i="4"/>
  <c r="G491" i="4" s="1"/>
  <c r="E491" i="4"/>
  <c r="C491" i="4"/>
  <c r="B491" i="4"/>
  <c r="D491" i="4" s="1"/>
  <c r="A491" i="4"/>
  <c r="S490" i="4"/>
  <c r="R490" i="4"/>
  <c r="Q490" i="4"/>
  <c r="P490" i="4"/>
  <c r="O490" i="4"/>
  <c r="N490" i="4"/>
  <c r="L490" i="4"/>
  <c r="K490" i="4"/>
  <c r="M490" i="4" s="1"/>
  <c r="I490" i="4"/>
  <c r="H490" i="4"/>
  <c r="J490" i="4" s="1"/>
  <c r="G490" i="4"/>
  <c r="F490" i="4"/>
  <c r="E490" i="4"/>
  <c r="C490" i="4"/>
  <c r="D490" i="4" s="1"/>
  <c r="T490" i="4" s="1"/>
  <c r="B490" i="4"/>
  <c r="A490" i="4"/>
  <c r="R489" i="4"/>
  <c r="Q489" i="4"/>
  <c r="S489" i="4" s="1"/>
  <c r="P489" i="4"/>
  <c r="O489" i="4"/>
  <c r="N489" i="4"/>
  <c r="L489" i="4"/>
  <c r="M489" i="4" s="1"/>
  <c r="K489" i="4"/>
  <c r="I489" i="4"/>
  <c r="H489" i="4"/>
  <c r="F489" i="4"/>
  <c r="E489" i="4"/>
  <c r="G489" i="4" s="1"/>
  <c r="D489" i="4"/>
  <c r="C489" i="4"/>
  <c r="B489" i="4"/>
  <c r="A489" i="4"/>
  <c r="R488" i="4"/>
  <c r="Q488" i="4"/>
  <c r="S488" i="4" s="1"/>
  <c r="O488" i="4"/>
  <c r="N488" i="4"/>
  <c r="P488" i="4" s="1"/>
  <c r="M488" i="4"/>
  <c r="L488" i="4"/>
  <c r="K488" i="4"/>
  <c r="J488" i="4"/>
  <c r="I488" i="4"/>
  <c r="H488" i="4"/>
  <c r="F488" i="4"/>
  <c r="E488" i="4"/>
  <c r="G488" i="4" s="1"/>
  <c r="C488" i="4"/>
  <c r="B488" i="4"/>
  <c r="D488" i="4" s="1"/>
  <c r="A488" i="4"/>
  <c r="S487" i="4"/>
  <c r="R487" i="4"/>
  <c r="Q487" i="4"/>
  <c r="O487" i="4"/>
  <c r="N487" i="4"/>
  <c r="P487" i="4" s="1"/>
  <c r="L487" i="4"/>
  <c r="K487" i="4"/>
  <c r="M487" i="4" s="1"/>
  <c r="J487" i="4"/>
  <c r="I487" i="4"/>
  <c r="H487" i="4"/>
  <c r="F487" i="4"/>
  <c r="G487" i="4" s="1"/>
  <c r="E487" i="4"/>
  <c r="C487" i="4"/>
  <c r="B487" i="4"/>
  <c r="D487" i="4" s="1"/>
  <c r="A487" i="4"/>
  <c r="S486" i="4"/>
  <c r="R486" i="4"/>
  <c r="Q486" i="4"/>
  <c r="P486" i="4"/>
  <c r="O486" i="4"/>
  <c r="N486" i="4"/>
  <c r="L486" i="4"/>
  <c r="K486" i="4"/>
  <c r="M486" i="4" s="1"/>
  <c r="I486" i="4"/>
  <c r="H486" i="4"/>
  <c r="J486" i="4" s="1"/>
  <c r="G486" i="4"/>
  <c r="F486" i="4"/>
  <c r="E486" i="4"/>
  <c r="C486" i="4"/>
  <c r="D486" i="4" s="1"/>
  <c r="T486" i="4" s="1"/>
  <c r="B486" i="4"/>
  <c r="A486" i="4"/>
  <c r="R485" i="4"/>
  <c r="Q485" i="4"/>
  <c r="S485" i="4" s="1"/>
  <c r="P485" i="4"/>
  <c r="O485" i="4"/>
  <c r="N485" i="4"/>
  <c r="L485" i="4"/>
  <c r="M485" i="4" s="1"/>
  <c r="K485" i="4"/>
  <c r="I485" i="4"/>
  <c r="H485" i="4"/>
  <c r="F485" i="4"/>
  <c r="E485" i="4"/>
  <c r="G485" i="4" s="1"/>
  <c r="D485" i="4"/>
  <c r="C485" i="4"/>
  <c r="B485" i="4"/>
  <c r="A485" i="4"/>
  <c r="R484" i="4"/>
  <c r="Q484" i="4"/>
  <c r="S484" i="4" s="1"/>
  <c r="O484" i="4"/>
  <c r="N484" i="4"/>
  <c r="P484" i="4" s="1"/>
  <c r="M484" i="4"/>
  <c r="L484" i="4"/>
  <c r="K484" i="4"/>
  <c r="J484" i="4"/>
  <c r="I484" i="4"/>
  <c r="H484" i="4"/>
  <c r="F484" i="4"/>
  <c r="E484" i="4"/>
  <c r="G484" i="4" s="1"/>
  <c r="C484" i="4"/>
  <c r="B484" i="4"/>
  <c r="D484" i="4" s="1"/>
  <c r="A484" i="4"/>
  <c r="S483" i="4"/>
  <c r="R483" i="4"/>
  <c r="Q483" i="4"/>
  <c r="O483" i="4"/>
  <c r="N483" i="4"/>
  <c r="P483" i="4" s="1"/>
  <c r="L483" i="4"/>
  <c r="K483" i="4"/>
  <c r="M483" i="4" s="1"/>
  <c r="J483" i="4"/>
  <c r="I483" i="4"/>
  <c r="H483" i="4"/>
  <c r="F483" i="4"/>
  <c r="G483" i="4" s="1"/>
  <c r="E483" i="4"/>
  <c r="C483" i="4"/>
  <c r="B483" i="4"/>
  <c r="D483" i="4" s="1"/>
  <c r="A483" i="4"/>
  <c r="S482" i="4"/>
  <c r="R482" i="4"/>
  <c r="Q482" i="4"/>
  <c r="P482" i="4"/>
  <c r="O482" i="4"/>
  <c r="N482" i="4"/>
  <c r="L482" i="4"/>
  <c r="K482" i="4"/>
  <c r="M482" i="4" s="1"/>
  <c r="I482" i="4"/>
  <c r="H482" i="4"/>
  <c r="J482" i="4" s="1"/>
  <c r="G482" i="4"/>
  <c r="F482" i="4"/>
  <c r="E482" i="4"/>
  <c r="C482" i="4"/>
  <c r="D482" i="4" s="1"/>
  <c r="T482" i="4" s="1"/>
  <c r="B482" i="4"/>
  <c r="A482" i="4"/>
  <c r="R481" i="4"/>
  <c r="Q481" i="4"/>
  <c r="S481" i="4" s="1"/>
  <c r="P481" i="4"/>
  <c r="O481" i="4"/>
  <c r="N481" i="4"/>
  <c r="L481" i="4"/>
  <c r="M481" i="4" s="1"/>
  <c r="K481" i="4"/>
  <c r="I481" i="4"/>
  <c r="H481" i="4"/>
  <c r="F481" i="4"/>
  <c r="E481" i="4"/>
  <c r="G481" i="4" s="1"/>
  <c r="D481" i="4"/>
  <c r="C481" i="4"/>
  <c r="B481" i="4"/>
  <c r="A481" i="4"/>
  <c r="R480" i="4"/>
  <c r="Q480" i="4"/>
  <c r="S480" i="4" s="1"/>
  <c r="O480" i="4"/>
  <c r="N480" i="4"/>
  <c r="P480" i="4" s="1"/>
  <c r="M480" i="4"/>
  <c r="L480" i="4"/>
  <c r="K480" i="4"/>
  <c r="J480" i="4"/>
  <c r="I480" i="4"/>
  <c r="H480" i="4"/>
  <c r="F480" i="4"/>
  <c r="E480" i="4"/>
  <c r="G480" i="4" s="1"/>
  <c r="C480" i="4"/>
  <c r="B480" i="4"/>
  <c r="D480" i="4" s="1"/>
  <c r="A480" i="4"/>
  <c r="S479" i="4"/>
  <c r="R479" i="4"/>
  <c r="Q479" i="4"/>
  <c r="O479" i="4"/>
  <c r="N479" i="4"/>
  <c r="P479" i="4" s="1"/>
  <c r="L479" i="4"/>
  <c r="K479" i="4"/>
  <c r="M479" i="4" s="1"/>
  <c r="J479" i="4"/>
  <c r="I479" i="4"/>
  <c r="H479" i="4"/>
  <c r="F479" i="4"/>
  <c r="G479" i="4" s="1"/>
  <c r="E479" i="4"/>
  <c r="C479" i="4"/>
  <c r="B479" i="4"/>
  <c r="D479" i="4" s="1"/>
  <c r="A479" i="4"/>
  <c r="S478" i="4"/>
  <c r="R478" i="4"/>
  <c r="Q478" i="4"/>
  <c r="P478" i="4"/>
  <c r="O478" i="4"/>
  <c r="N478" i="4"/>
  <c r="L478" i="4"/>
  <c r="K478" i="4"/>
  <c r="M478" i="4" s="1"/>
  <c r="I478" i="4"/>
  <c r="H478" i="4"/>
  <c r="J478" i="4" s="1"/>
  <c r="G478" i="4"/>
  <c r="F478" i="4"/>
  <c r="E478" i="4"/>
  <c r="C478" i="4"/>
  <c r="D478" i="4" s="1"/>
  <c r="T478" i="4" s="1"/>
  <c r="B478" i="4"/>
  <c r="A478" i="4"/>
  <c r="R477" i="4"/>
  <c r="Q477" i="4"/>
  <c r="S477" i="4" s="1"/>
  <c r="P477" i="4"/>
  <c r="O477" i="4"/>
  <c r="N477" i="4"/>
  <c r="L477" i="4"/>
  <c r="M477" i="4" s="1"/>
  <c r="K477" i="4"/>
  <c r="I477" i="4"/>
  <c r="H477" i="4"/>
  <c r="F477" i="4"/>
  <c r="E477" i="4"/>
  <c r="G477" i="4" s="1"/>
  <c r="D477" i="4"/>
  <c r="C477" i="4"/>
  <c r="B477" i="4"/>
  <c r="A477" i="4"/>
  <c r="R476" i="4"/>
  <c r="Q476" i="4"/>
  <c r="S476" i="4" s="1"/>
  <c r="O476" i="4"/>
  <c r="N476" i="4"/>
  <c r="P476" i="4" s="1"/>
  <c r="M476" i="4"/>
  <c r="L476" i="4"/>
  <c r="K476" i="4"/>
  <c r="J476" i="4"/>
  <c r="I476" i="4"/>
  <c r="H476" i="4"/>
  <c r="F476" i="4"/>
  <c r="E476" i="4"/>
  <c r="G476" i="4" s="1"/>
  <c r="C476" i="4"/>
  <c r="B476" i="4"/>
  <c r="D476" i="4" s="1"/>
  <c r="A476" i="4"/>
  <c r="S475" i="4"/>
  <c r="R475" i="4"/>
  <c r="Q475" i="4"/>
  <c r="O475" i="4"/>
  <c r="N475" i="4"/>
  <c r="P475" i="4" s="1"/>
  <c r="L475" i="4"/>
  <c r="K475" i="4"/>
  <c r="M475" i="4" s="1"/>
  <c r="J475" i="4"/>
  <c r="I475" i="4"/>
  <c r="H475" i="4"/>
  <c r="F475" i="4"/>
  <c r="G475" i="4" s="1"/>
  <c r="E475" i="4"/>
  <c r="C475" i="4"/>
  <c r="B475" i="4"/>
  <c r="D475" i="4" s="1"/>
  <c r="A475" i="4"/>
  <c r="S474" i="4"/>
  <c r="R474" i="4"/>
  <c r="Q474" i="4"/>
  <c r="P474" i="4"/>
  <c r="O474" i="4"/>
  <c r="N474" i="4"/>
  <c r="L474" i="4"/>
  <c r="K474" i="4"/>
  <c r="M474" i="4" s="1"/>
  <c r="I474" i="4"/>
  <c r="H474" i="4"/>
  <c r="J474" i="4" s="1"/>
  <c r="G474" i="4"/>
  <c r="F474" i="4"/>
  <c r="E474" i="4"/>
  <c r="C474" i="4"/>
  <c r="D474" i="4" s="1"/>
  <c r="T474" i="4" s="1"/>
  <c r="B474" i="4"/>
  <c r="A474" i="4"/>
  <c r="R473" i="4"/>
  <c r="Q473" i="4"/>
  <c r="S473" i="4" s="1"/>
  <c r="P473" i="4"/>
  <c r="O473" i="4"/>
  <c r="N473" i="4"/>
  <c r="L473" i="4"/>
  <c r="M473" i="4" s="1"/>
  <c r="K473" i="4"/>
  <c r="I473" i="4"/>
  <c r="H473" i="4"/>
  <c r="F473" i="4"/>
  <c r="E473" i="4"/>
  <c r="G473" i="4" s="1"/>
  <c r="D473" i="4"/>
  <c r="C473" i="4"/>
  <c r="B473" i="4"/>
  <c r="A473" i="4"/>
  <c r="R472" i="4"/>
  <c r="Q472" i="4"/>
  <c r="S472" i="4" s="1"/>
  <c r="O472" i="4"/>
  <c r="N472" i="4"/>
  <c r="P472" i="4" s="1"/>
  <c r="M472" i="4"/>
  <c r="L472" i="4"/>
  <c r="K472" i="4"/>
  <c r="J472" i="4"/>
  <c r="I472" i="4"/>
  <c r="H472" i="4"/>
  <c r="F472" i="4"/>
  <c r="E472" i="4"/>
  <c r="G472" i="4" s="1"/>
  <c r="C472" i="4"/>
  <c r="B472" i="4"/>
  <c r="D472" i="4" s="1"/>
  <c r="A472" i="4"/>
  <c r="S471" i="4"/>
  <c r="R471" i="4"/>
  <c r="Q471" i="4"/>
  <c r="O471" i="4"/>
  <c r="N471" i="4"/>
  <c r="P471" i="4" s="1"/>
  <c r="L471" i="4"/>
  <c r="K471" i="4"/>
  <c r="M471" i="4" s="1"/>
  <c r="J471" i="4"/>
  <c r="I471" i="4"/>
  <c r="H471" i="4"/>
  <c r="F471" i="4"/>
  <c r="G471" i="4" s="1"/>
  <c r="E471" i="4"/>
  <c r="C471" i="4"/>
  <c r="B471" i="4"/>
  <c r="D471" i="4" s="1"/>
  <c r="A471" i="4"/>
  <c r="S470" i="4"/>
  <c r="R470" i="4"/>
  <c r="Q470" i="4"/>
  <c r="P470" i="4"/>
  <c r="O470" i="4"/>
  <c r="N470" i="4"/>
  <c r="L470" i="4"/>
  <c r="K470" i="4"/>
  <c r="M470" i="4" s="1"/>
  <c r="I470" i="4"/>
  <c r="H470" i="4"/>
  <c r="J470" i="4" s="1"/>
  <c r="G470" i="4"/>
  <c r="F470" i="4"/>
  <c r="E470" i="4"/>
  <c r="C470" i="4"/>
  <c r="D470" i="4" s="1"/>
  <c r="T470" i="4" s="1"/>
  <c r="B470" i="4"/>
  <c r="A470" i="4"/>
  <c r="R469" i="4"/>
  <c r="Q469" i="4"/>
  <c r="S469" i="4" s="1"/>
  <c r="P469" i="4"/>
  <c r="O469" i="4"/>
  <c r="N469" i="4"/>
  <c r="L469" i="4"/>
  <c r="M469" i="4" s="1"/>
  <c r="K469" i="4"/>
  <c r="I469" i="4"/>
  <c r="H469" i="4"/>
  <c r="F469" i="4"/>
  <c r="E469" i="4"/>
  <c r="G469" i="4" s="1"/>
  <c r="D469" i="4"/>
  <c r="C469" i="4"/>
  <c r="B469" i="4"/>
  <c r="A469" i="4"/>
  <c r="R468" i="4"/>
  <c r="Q468" i="4"/>
  <c r="S468" i="4" s="1"/>
  <c r="O468" i="4"/>
  <c r="N468" i="4"/>
  <c r="P468" i="4" s="1"/>
  <c r="M468" i="4"/>
  <c r="L468" i="4"/>
  <c r="K468" i="4"/>
  <c r="J468" i="4"/>
  <c r="I468" i="4"/>
  <c r="H468" i="4"/>
  <c r="F468" i="4"/>
  <c r="E468" i="4"/>
  <c r="G468" i="4" s="1"/>
  <c r="C468" i="4"/>
  <c r="B468" i="4"/>
  <c r="D468" i="4" s="1"/>
  <c r="A468" i="4"/>
  <c r="S467" i="4"/>
  <c r="R467" i="4"/>
  <c r="Q467" i="4"/>
  <c r="O467" i="4"/>
  <c r="N467" i="4"/>
  <c r="P467" i="4" s="1"/>
  <c r="L467" i="4"/>
  <c r="K467" i="4"/>
  <c r="M467" i="4" s="1"/>
  <c r="J467" i="4"/>
  <c r="I467" i="4"/>
  <c r="H467" i="4"/>
  <c r="F467" i="4"/>
  <c r="G467" i="4" s="1"/>
  <c r="E467" i="4"/>
  <c r="C467" i="4"/>
  <c r="B467" i="4"/>
  <c r="D467" i="4" s="1"/>
  <c r="A467" i="4"/>
  <c r="S466" i="4"/>
  <c r="R466" i="4"/>
  <c r="Q466" i="4"/>
  <c r="P466" i="4"/>
  <c r="O466" i="4"/>
  <c r="N466" i="4"/>
  <c r="L466" i="4"/>
  <c r="K466" i="4"/>
  <c r="M466" i="4" s="1"/>
  <c r="I466" i="4"/>
  <c r="H466" i="4"/>
  <c r="J466" i="4" s="1"/>
  <c r="G466" i="4"/>
  <c r="F466" i="4"/>
  <c r="E466" i="4"/>
  <c r="C466" i="4"/>
  <c r="D466" i="4" s="1"/>
  <c r="T466" i="4" s="1"/>
  <c r="B466" i="4"/>
  <c r="A466" i="4"/>
  <c r="R465" i="4"/>
  <c r="Q465" i="4"/>
  <c r="S465" i="4" s="1"/>
  <c r="P465" i="4"/>
  <c r="O465" i="4"/>
  <c r="N465" i="4"/>
  <c r="L465" i="4"/>
  <c r="M465" i="4" s="1"/>
  <c r="K465" i="4"/>
  <c r="I465" i="4"/>
  <c r="H465" i="4"/>
  <c r="F465" i="4"/>
  <c r="E465" i="4"/>
  <c r="G465" i="4" s="1"/>
  <c r="D465" i="4"/>
  <c r="C465" i="4"/>
  <c r="B465" i="4"/>
  <c r="A465" i="4"/>
  <c r="R464" i="4"/>
  <c r="Q464" i="4"/>
  <c r="S464" i="4" s="1"/>
  <c r="O464" i="4"/>
  <c r="N464" i="4"/>
  <c r="P464" i="4" s="1"/>
  <c r="M464" i="4"/>
  <c r="L464" i="4"/>
  <c r="K464" i="4"/>
  <c r="J464" i="4"/>
  <c r="I464" i="4"/>
  <c r="H464" i="4"/>
  <c r="F464" i="4"/>
  <c r="E464" i="4"/>
  <c r="G464" i="4" s="1"/>
  <c r="C464" i="4"/>
  <c r="B464" i="4"/>
  <c r="D464" i="4" s="1"/>
  <c r="A464" i="4"/>
  <c r="S463" i="4"/>
  <c r="R463" i="4"/>
  <c r="Q463" i="4"/>
  <c r="O463" i="4"/>
  <c r="N463" i="4"/>
  <c r="P463" i="4" s="1"/>
  <c r="L463" i="4"/>
  <c r="K463" i="4"/>
  <c r="M463" i="4" s="1"/>
  <c r="J463" i="4"/>
  <c r="I463" i="4"/>
  <c r="H463" i="4"/>
  <c r="F463" i="4"/>
  <c r="G463" i="4" s="1"/>
  <c r="E463" i="4"/>
  <c r="C463" i="4"/>
  <c r="B463" i="4"/>
  <c r="D463" i="4" s="1"/>
  <c r="A463" i="4"/>
  <c r="S462" i="4"/>
  <c r="R462" i="4"/>
  <c r="Q462" i="4"/>
  <c r="P462" i="4"/>
  <c r="O462" i="4"/>
  <c r="N462" i="4"/>
  <c r="L462" i="4"/>
  <c r="K462" i="4"/>
  <c r="M462" i="4" s="1"/>
  <c r="I462" i="4"/>
  <c r="H462" i="4"/>
  <c r="J462" i="4" s="1"/>
  <c r="G462" i="4"/>
  <c r="F462" i="4"/>
  <c r="E462" i="4"/>
  <c r="C462" i="4"/>
  <c r="D462" i="4" s="1"/>
  <c r="T462" i="4" s="1"/>
  <c r="B462" i="4"/>
  <c r="A462" i="4"/>
  <c r="R461" i="4"/>
  <c r="Q461" i="4"/>
  <c r="S461" i="4" s="1"/>
  <c r="P461" i="4"/>
  <c r="O461" i="4"/>
  <c r="N461" i="4"/>
  <c r="L461" i="4"/>
  <c r="M461" i="4" s="1"/>
  <c r="K461" i="4"/>
  <c r="I461" i="4"/>
  <c r="H461" i="4"/>
  <c r="F461" i="4"/>
  <c r="E461" i="4"/>
  <c r="G461" i="4" s="1"/>
  <c r="D461" i="4"/>
  <c r="C461" i="4"/>
  <c r="B461" i="4"/>
  <c r="A461" i="4"/>
  <c r="R460" i="4"/>
  <c r="Q460" i="4"/>
  <c r="S460" i="4" s="1"/>
  <c r="O460" i="4"/>
  <c r="N460" i="4"/>
  <c r="P460" i="4" s="1"/>
  <c r="M460" i="4"/>
  <c r="L460" i="4"/>
  <c r="K460" i="4"/>
  <c r="J460" i="4"/>
  <c r="I460" i="4"/>
  <c r="H460" i="4"/>
  <c r="F460" i="4"/>
  <c r="E460" i="4"/>
  <c r="G460" i="4" s="1"/>
  <c r="C460" i="4"/>
  <c r="B460" i="4"/>
  <c r="D460" i="4" s="1"/>
  <c r="A460" i="4"/>
  <c r="S459" i="4"/>
  <c r="R459" i="4"/>
  <c r="Q459" i="4"/>
  <c r="O459" i="4"/>
  <c r="N459" i="4"/>
  <c r="P459" i="4" s="1"/>
  <c r="L459" i="4"/>
  <c r="K459" i="4"/>
  <c r="M459" i="4" s="1"/>
  <c r="J459" i="4"/>
  <c r="I459" i="4"/>
  <c r="H459" i="4"/>
  <c r="F459" i="4"/>
  <c r="G459" i="4" s="1"/>
  <c r="E459" i="4"/>
  <c r="C459" i="4"/>
  <c r="B459" i="4"/>
  <c r="D459" i="4" s="1"/>
  <c r="A459" i="4"/>
  <c r="S458" i="4"/>
  <c r="R458" i="4"/>
  <c r="Q458" i="4"/>
  <c r="P458" i="4"/>
  <c r="O458" i="4"/>
  <c r="N458" i="4"/>
  <c r="L458" i="4"/>
  <c r="K458" i="4"/>
  <c r="M458" i="4" s="1"/>
  <c r="I458" i="4"/>
  <c r="H458" i="4"/>
  <c r="J458" i="4" s="1"/>
  <c r="G458" i="4"/>
  <c r="F458" i="4"/>
  <c r="E458" i="4"/>
  <c r="C458" i="4"/>
  <c r="D458" i="4" s="1"/>
  <c r="T458" i="4" s="1"/>
  <c r="B458" i="4"/>
  <c r="A458" i="4"/>
  <c r="R457" i="4"/>
  <c r="Q457" i="4"/>
  <c r="S457" i="4" s="1"/>
  <c r="P457" i="4"/>
  <c r="O457" i="4"/>
  <c r="N457" i="4"/>
  <c r="L457" i="4"/>
  <c r="M457" i="4" s="1"/>
  <c r="K457" i="4"/>
  <c r="I457" i="4"/>
  <c r="H457" i="4"/>
  <c r="F457" i="4"/>
  <c r="E457" i="4"/>
  <c r="G457" i="4" s="1"/>
  <c r="D457" i="4"/>
  <c r="C457" i="4"/>
  <c r="B457" i="4"/>
  <c r="A457" i="4"/>
  <c r="R456" i="4"/>
  <c r="Q456" i="4"/>
  <c r="S456" i="4" s="1"/>
  <c r="O456" i="4"/>
  <c r="N456" i="4"/>
  <c r="P456" i="4" s="1"/>
  <c r="M456" i="4"/>
  <c r="L456" i="4"/>
  <c r="K456" i="4"/>
  <c r="J456" i="4"/>
  <c r="I456" i="4"/>
  <c r="H456" i="4"/>
  <c r="F456" i="4"/>
  <c r="E456" i="4"/>
  <c r="G456" i="4" s="1"/>
  <c r="C456" i="4"/>
  <c r="B456" i="4"/>
  <c r="D456" i="4" s="1"/>
  <c r="A456" i="4"/>
  <c r="S455" i="4"/>
  <c r="R455" i="4"/>
  <c r="Q455" i="4"/>
  <c r="O455" i="4"/>
  <c r="N455" i="4"/>
  <c r="P455" i="4" s="1"/>
  <c r="L455" i="4"/>
  <c r="K455" i="4"/>
  <c r="M455" i="4" s="1"/>
  <c r="J455" i="4"/>
  <c r="I455" i="4"/>
  <c r="H455" i="4"/>
  <c r="F455" i="4"/>
  <c r="G455" i="4" s="1"/>
  <c r="E455" i="4"/>
  <c r="C455" i="4"/>
  <c r="B455" i="4"/>
  <c r="A455" i="4"/>
  <c r="S454" i="4"/>
  <c r="R454" i="4"/>
  <c r="Q454" i="4"/>
  <c r="P454" i="4"/>
  <c r="O454" i="4"/>
  <c r="N454" i="4"/>
  <c r="L454" i="4"/>
  <c r="K454" i="4"/>
  <c r="M454" i="4" s="1"/>
  <c r="I454" i="4"/>
  <c r="H454" i="4"/>
  <c r="J454" i="4" s="1"/>
  <c r="G454" i="4"/>
  <c r="F454" i="4"/>
  <c r="E454" i="4"/>
  <c r="C454" i="4"/>
  <c r="D454" i="4" s="1"/>
  <c r="T454" i="4" s="1"/>
  <c r="B454" i="4"/>
  <c r="A454" i="4"/>
  <c r="R453" i="4"/>
  <c r="Q453" i="4"/>
  <c r="S453" i="4" s="1"/>
  <c r="P453" i="4"/>
  <c r="O453" i="4"/>
  <c r="N453" i="4"/>
  <c r="M453" i="4"/>
  <c r="L453" i="4"/>
  <c r="K453" i="4"/>
  <c r="I453" i="4"/>
  <c r="H453" i="4"/>
  <c r="F453" i="4"/>
  <c r="E453" i="4"/>
  <c r="G453" i="4" s="1"/>
  <c r="D453" i="4"/>
  <c r="C453" i="4"/>
  <c r="B453" i="4"/>
  <c r="A453" i="4"/>
  <c r="R452" i="4"/>
  <c r="Q452" i="4"/>
  <c r="O452" i="4"/>
  <c r="N452" i="4"/>
  <c r="P452" i="4" s="1"/>
  <c r="M452" i="4"/>
  <c r="L452" i="4"/>
  <c r="K452" i="4"/>
  <c r="J452" i="4"/>
  <c r="I452" i="4"/>
  <c r="H452" i="4"/>
  <c r="F452" i="4"/>
  <c r="E452" i="4"/>
  <c r="G452" i="4" s="1"/>
  <c r="C452" i="4"/>
  <c r="B452" i="4"/>
  <c r="D452" i="4" s="1"/>
  <c r="A452" i="4"/>
  <c r="S451" i="4"/>
  <c r="R451" i="4"/>
  <c r="Q451" i="4"/>
  <c r="O451" i="4"/>
  <c r="N451" i="4"/>
  <c r="P451" i="4" s="1"/>
  <c r="L451" i="4"/>
  <c r="K451" i="4"/>
  <c r="M451" i="4" s="1"/>
  <c r="J451" i="4"/>
  <c r="I451" i="4"/>
  <c r="H451" i="4"/>
  <c r="F451" i="4"/>
  <c r="G451" i="4" s="1"/>
  <c r="E451" i="4"/>
  <c r="C451" i="4"/>
  <c r="B451" i="4"/>
  <c r="A451" i="4"/>
  <c r="S450" i="4"/>
  <c r="R450" i="4"/>
  <c r="Q450" i="4"/>
  <c r="P450" i="4"/>
  <c r="O450" i="4"/>
  <c r="N450" i="4"/>
  <c r="L450" i="4"/>
  <c r="K450" i="4"/>
  <c r="M450" i="4" s="1"/>
  <c r="I450" i="4"/>
  <c r="H450" i="4"/>
  <c r="J450" i="4" s="1"/>
  <c r="G450" i="4"/>
  <c r="F450" i="4"/>
  <c r="E450" i="4"/>
  <c r="C450" i="4"/>
  <c r="D450" i="4" s="1"/>
  <c r="T450" i="4" s="1"/>
  <c r="B450" i="4"/>
  <c r="A450" i="4"/>
  <c r="R449" i="4"/>
  <c r="Q449" i="4"/>
  <c r="S449" i="4" s="1"/>
  <c r="P449" i="4"/>
  <c r="O449" i="4"/>
  <c r="N449" i="4"/>
  <c r="M449" i="4"/>
  <c r="L449" i="4"/>
  <c r="K449" i="4"/>
  <c r="I449" i="4"/>
  <c r="H449" i="4"/>
  <c r="F449" i="4"/>
  <c r="E449" i="4"/>
  <c r="G449" i="4" s="1"/>
  <c r="D449" i="4"/>
  <c r="C449" i="4"/>
  <c r="B449" i="4"/>
  <c r="A449" i="4"/>
  <c r="R448" i="4"/>
  <c r="Q448" i="4"/>
  <c r="O448" i="4"/>
  <c r="N448" i="4"/>
  <c r="P448" i="4" s="1"/>
  <c r="M448" i="4"/>
  <c r="L448" i="4"/>
  <c r="K448" i="4"/>
  <c r="J448" i="4"/>
  <c r="I448" i="4"/>
  <c r="H448" i="4"/>
  <c r="F448" i="4"/>
  <c r="E448" i="4"/>
  <c r="G448" i="4" s="1"/>
  <c r="C448" i="4"/>
  <c r="B448" i="4"/>
  <c r="D448" i="4" s="1"/>
  <c r="A448" i="4"/>
  <c r="S447" i="4"/>
  <c r="R447" i="4"/>
  <c r="Q447" i="4"/>
  <c r="O447" i="4"/>
  <c r="N447" i="4"/>
  <c r="P447" i="4" s="1"/>
  <c r="L447" i="4"/>
  <c r="K447" i="4"/>
  <c r="M447" i="4" s="1"/>
  <c r="J447" i="4"/>
  <c r="I447" i="4"/>
  <c r="H447" i="4"/>
  <c r="F447" i="4"/>
  <c r="G447" i="4" s="1"/>
  <c r="E447" i="4"/>
  <c r="C447" i="4"/>
  <c r="B447" i="4"/>
  <c r="A447" i="4"/>
  <c r="S446" i="4"/>
  <c r="R446" i="4"/>
  <c r="Q446" i="4"/>
  <c r="P446" i="4"/>
  <c r="O446" i="4"/>
  <c r="N446" i="4"/>
  <c r="L446" i="4"/>
  <c r="K446" i="4"/>
  <c r="M446" i="4" s="1"/>
  <c r="I446" i="4"/>
  <c r="H446" i="4"/>
  <c r="J446" i="4" s="1"/>
  <c r="G446" i="4"/>
  <c r="F446" i="4"/>
  <c r="E446" i="4"/>
  <c r="C446" i="4"/>
  <c r="D446" i="4" s="1"/>
  <c r="T446" i="4" s="1"/>
  <c r="B446" i="4"/>
  <c r="A446" i="4"/>
  <c r="R445" i="4"/>
  <c r="Q445" i="4"/>
  <c r="S445" i="4" s="1"/>
  <c r="P445" i="4"/>
  <c r="O445" i="4"/>
  <c r="N445" i="4"/>
  <c r="M445" i="4"/>
  <c r="L445" i="4"/>
  <c r="K445" i="4"/>
  <c r="I445" i="4"/>
  <c r="H445" i="4"/>
  <c r="F445" i="4"/>
  <c r="E445" i="4"/>
  <c r="G445" i="4" s="1"/>
  <c r="D445" i="4"/>
  <c r="C445" i="4"/>
  <c r="B445" i="4"/>
  <c r="A445" i="4"/>
  <c r="R444" i="4"/>
  <c r="Q444" i="4"/>
  <c r="O444" i="4"/>
  <c r="N444" i="4"/>
  <c r="P444" i="4" s="1"/>
  <c r="M444" i="4"/>
  <c r="L444" i="4"/>
  <c r="K444" i="4"/>
  <c r="J444" i="4"/>
  <c r="I444" i="4"/>
  <c r="H444" i="4"/>
  <c r="F444" i="4"/>
  <c r="E444" i="4"/>
  <c r="G444" i="4" s="1"/>
  <c r="C444" i="4"/>
  <c r="B444" i="4"/>
  <c r="D444" i="4" s="1"/>
  <c r="A444" i="4"/>
  <c r="S443" i="4"/>
  <c r="R443" i="4"/>
  <c r="Q443" i="4"/>
  <c r="O443" i="4"/>
  <c r="N443" i="4"/>
  <c r="P443" i="4" s="1"/>
  <c r="L443" i="4"/>
  <c r="K443" i="4"/>
  <c r="M443" i="4" s="1"/>
  <c r="J443" i="4"/>
  <c r="I443" i="4"/>
  <c r="H443" i="4"/>
  <c r="F443" i="4"/>
  <c r="G443" i="4" s="1"/>
  <c r="E443" i="4"/>
  <c r="C443" i="4"/>
  <c r="B443" i="4"/>
  <c r="A443" i="4"/>
  <c r="S442" i="4"/>
  <c r="R442" i="4"/>
  <c r="Q442" i="4"/>
  <c r="P442" i="4"/>
  <c r="O442" i="4"/>
  <c r="N442" i="4"/>
  <c r="L442" i="4"/>
  <c r="K442" i="4"/>
  <c r="M442" i="4" s="1"/>
  <c r="I442" i="4"/>
  <c r="H442" i="4"/>
  <c r="J442" i="4" s="1"/>
  <c r="G442" i="4"/>
  <c r="F442" i="4"/>
  <c r="E442" i="4"/>
  <c r="C442" i="4"/>
  <c r="D442" i="4" s="1"/>
  <c r="T442" i="4" s="1"/>
  <c r="B442" i="4"/>
  <c r="A442" i="4"/>
  <c r="R441" i="4"/>
  <c r="Q441" i="4"/>
  <c r="S441" i="4" s="1"/>
  <c r="P441" i="4"/>
  <c r="O441" i="4"/>
  <c r="N441" i="4"/>
  <c r="M441" i="4"/>
  <c r="L441" i="4"/>
  <c r="K441" i="4"/>
  <c r="I441" i="4"/>
  <c r="H441" i="4"/>
  <c r="F441" i="4"/>
  <c r="E441" i="4"/>
  <c r="G441" i="4" s="1"/>
  <c r="D441" i="4"/>
  <c r="C441" i="4"/>
  <c r="B441" i="4"/>
  <c r="A441" i="4"/>
  <c r="R440" i="4"/>
  <c r="Q440" i="4"/>
  <c r="O440" i="4"/>
  <c r="N440" i="4"/>
  <c r="P440" i="4" s="1"/>
  <c r="M440" i="4"/>
  <c r="L440" i="4"/>
  <c r="K440" i="4"/>
  <c r="J440" i="4"/>
  <c r="I440" i="4"/>
  <c r="H440" i="4"/>
  <c r="F440" i="4"/>
  <c r="E440" i="4"/>
  <c r="G440" i="4" s="1"/>
  <c r="C440" i="4"/>
  <c r="B440" i="4"/>
  <c r="D440" i="4" s="1"/>
  <c r="A440" i="4"/>
  <c r="S439" i="4"/>
  <c r="R439" i="4"/>
  <c r="Q439" i="4"/>
  <c r="O439" i="4"/>
  <c r="N439" i="4"/>
  <c r="P439" i="4" s="1"/>
  <c r="L439" i="4"/>
  <c r="K439" i="4"/>
  <c r="M439" i="4" s="1"/>
  <c r="J439" i="4"/>
  <c r="I439" i="4"/>
  <c r="H439" i="4"/>
  <c r="F439" i="4"/>
  <c r="G439" i="4" s="1"/>
  <c r="E439" i="4"/>
  <c r="C439" i="4"/>
  <c r="B439" i="4"/>
  <c r="A439" i="4"/>
  <c r="S438" i="4"/>
  <c r="R438" i="4"/>
  <c r="Q438" i="4"/>
  <c r="P438" i="4"/>
  <c r="O438" i="4"/>
  <c r="N438" i="4"/>
  <c r="L438" i="4"/>
  <c r="K438" i="4"/>
  <c r="M438" i="4" s="1"/>
  <c r="I438" i="4"/>
  <c r="H438" i="4"/>
  <c r="J438" i="4" s="1"/>
  <c r="G438" i="4"/>
  <c r="F438" i="4"/>
  <c r="E438" i="4"/>
  <c r="C438" i="4"/>
  <c r="D438" i="4" s="1"/>
  <c r="T438" i="4" s="1"/>
  <c r="B438" i="4"/>
  <c r="A438" i="4"/>
  <c r="R437" i="4"/>
  <c r="Q437" i="4"/>
  <c r="S437" i="4" s="1"/>
  <c r="P437" i="4"/>
  <c r="O437" i="4"/>
  <c r="N437" i="4"/>
  <c r="M437" i="4"/>
  <c r="L437" i="4"/>
  <c r="K437" i="4"/>
  <c r="I437" i="4"/>
  <c r="H437" i="4"/>
  <c r="F437" i="4"/>
  <c r="E437" i="4"/>
  <c r="G437" i="4" s="1"/>
  <c r="D437" i="4"/>
  <c r="C437" i="4"/>
  <c r="B437" i="4"/>
  <c r="A437" i="4"/>
  <c r="R436" i="4"/>
  <c r="Q436" i="4"/>
  <c r="O436" i="4"/>
  <c r="N436" i="4"/>
  <c r="P436" i="4" s="1"/>
  <c r="M436" i="4"/>
  <c r="L436" i="4"/>
  <c r="K436" i="4"/>
  <c r="J436" i="4"/>
  <c r="I436" i="4"/>
  <c r="H436" i="4"/>
  <c r="F436" i="4"/>
  <c r="E436" i="4"/>
  <c r="G436" i="4" s="1"/>
  <c r="C436" i="4"/>
  <c r="B436" i="4"/>
  <c r="D436" i="4" s="1"/>
  <c r="A436" i="4"/>
  <c r="S435" i="4"/>
  <c r="R435" i="4"/>
  <c r="Q435" i="4"/>
  <c r="O435" i="4"/>
  <c r="N435" i="4"/>
  <c r="P435" i="4" s="1"/>
  <c r="L435" i="4"/>
  <c r="K435" i="4"/>
  <c r="M435" i="4" s="1"/>
  <c r="J435" i="4"/>
  <c r="I435" i="4"/>
  <c r="H435" i="4"/>
  <c r="F435" i="4"/>
  <c r="G435" i="4" s="1"/>
  <c r="E435" i="4"/>
  <c r="C435" i="4"/>
  <c r="B435" i="4"/>
  <c r="A435" i="4"/>
  <c r="S434" i="4"/>
  <c r="R434" i="4"/>
  <c r="Q434" i="4"/>
  <c r="P434" i="4"/>
  <c r="O434" i="4"/>
  <c r="N434" i="4"/>
  <c r="L434" i="4"/>
  <c r="K434" i="4"/>
  <c r="M434" i="4" s="1"/>
  <c r="T434" i="4" s="1"/>
  <c r="I434" i="4"/>
  <c r="H434" i="4"/>
  <c r="J434" i="4" s="1"/>
  <c r="G434" i="4"/>
  <c r="F434" i="4"/>
  <c r="E434" i="4"/>
  <c r="C434" i="4"/>
  <c r="D434" i="4" s="1"/>
  <c r="B434" i="4"/>
  <c r="A434" i="4"/>
  <c r="R433" i="4"/>
  <c r="Q433" i="4"/>
  <c r="S433" i="4" s="1"/>
  <c r="P433" i="4"/>
  <c r="O433" i="4"/>
  <c r="N433" i="4"/>
  <c r="M433" i="4"/>
  <c r="L433" i="4"/>
  <c r="K433" i="4"/>
  <c r="I433" i="4"/>
  <c r="H433" i="4"/>
  <c r="F433" i="4"/>
  <c r="E433" i="4"/>
  <c r="G433" i="4" s="1"/>
  <c r="D433" i="4"/>
  <c r="C433" i="4"/>
  <c r="B433" i="4"/>
  <c r="A433" i="4"/>
  <c r="R432" i="4"/>
  <c r="Q432" i="4"/>
  <c r="O432" i="4"/>
  <c r="N432" i="4"/>
  <c r="P432" i="4" s="1"/>
  <c r="M432" i="4"/>
  <c r="L432" i="4"/>
  <c r="K432" i="4"/>
  <c r="J432" i="4"/>
  <c r="I432" i="4"/>
  <c r="H432" i="4"/>
  <c r="F432" i="4"/>
  <c r="E432" i="4"/>
  <c r="G432" i="4" s="1"/>
  <c r="C432" i="4"/>
  <c r="B432" i="4"/>
  <c r="D432" i="4" s="1"/>
  <c r="A432" i="4"/>
  <c r="S431" i="4"/>
  <c r="R431" i="4"/>
  <c r="Q431" i="4"/>
  <c r="O431" i="4"/>
  <c r="N431" i="4"/>
  <c r="P431" i="4" s="1"/>
  <c r="L431" i="4"/>
  <c r="K431" i="4"/>
  <c r="M431" i="4" s="1"/>
  <c r="J431" i="4"/>
  <c r="I431" i="4"/>
  <c r="H431" i="4"/>
  <c r="F431" i="4"/>
  <c r="G431" i="4" s="1"/>
  <c r="E431" i="4"/>
  <c r="C431" i="4"/>
  <c r="B431" i="4"/>
  <c r="A431" i="4"/>
  <c r="S430" i="4"/>
  <c r="R430" i="4"/>
  <c r="Q430" i="4"/>
  <c r="P430" i="4"/>
  <c r="O430" i="4"/>
  <c r="N430" i="4"/>
  <c r="L430" i="4"/>
  <c r="K430" i="4"/>
  <c r="M430" i="4" s="1"/>
  <c r="T430" i="4" s="1"/>
  <c r="I430" i="4"/>
  <c r="H430" i="4"/>
  <c r="J430" i="4" s="1"/>
  <c r="G430" i="4"/>
  <c r="F430" i="4"/>
  <c r="E430" i="4"/>
  <c r="C430" i="4"/>
  <c r="D430" i="4" s="1"/>
  <c r="B430" i="4"/>
  <c r="A430" i="4"/>
  <c r="R429" i="4"/>
  <c r="Q429" i="4"/>
  <c r="S429" i="4" s="1"/>
  <c r="P429" i="4"/>
  <c r="O429" i="4"/>
  <c r="N429" i="4"/>
  <c r="M429" i="4"/>
  <c r="L429" i="4"/>
  <c r="K429" i="4"/>
  <c r="I429" i="4"/>
  <c r="H429" i="4"/>
  <c r="F429" i="4"/>
  <c r="E429" i="4"/>
  <c r="G429" i="4" s="1"/>
  <c r="D429" i="4"/>
  <c r="C429" i="4"/>
  <c r="B429" i="4"/>
  <c r="A429" i="4"/>
  <c r="R428" i="4"/>
  <c r="Q428" i="4"/>
  <c r="O428" i="4"/>
  <c r="N428" i="4"/>
  <c r="P428" i="4" s="1"/>
  <c r="M428" i="4"/>
  <c r="L428" i="4"/>
  <c r="K428" i="4"/>
  <c r="J428" i="4"/>
  <c r="I428" i="4"/>
  <c r="H428" i="4"/>
  <c r="F428" i="4"/>
  <c r="E428" i="4"/>
  <c r="G428" i="4" s="1"/>
  <c r="C428" i="4"/>
  <c r="B428" i="4"/>
  <c r="D428" i="4" s="1"/>
  <c r="A428" i="4"/>
  <c r="S427" i="4"/>
  <c r="R427" i="4"/>
  <c r="Q427" i="4"/>
  <c r="O427" i="4"/>
  <c r="N427" i="4"/>
  <c r="P427" i="4" s="1"/>
  <c r="L427" i="4"/>
  <c r="K427" i="4"/>
  <c r="M427" i="4" s="1"/>
  <c r="J427" i="4"/>
  <c r="I427" i="4"/>
  <c r="H427" i="4"/>
  <c r="F427" i="4"/>
  <c r="G427" i="4" s="1"/>
  <c r="E427" i="4"/>
  <c r="C427" i="4"/>
  <c r="B427" i="4"/>
  <c r="A427" i="4"/>
  <c r="S426" i="4"/>
  <c r="R426" i="4"/>
  <c r="Q426" i="4"/>
  <c r="P426" i="4"/>
  <c r="O426" i="4"/>
  <c r="N426" i="4"/>
  <c r="L426" i="4"/>
  <c r="K426" i="4"/>
  <c r="M426" i="4" s="1"/>
  <c r="T426" i="4" s="1"/>
  <c r="I426" i="4"/>
  <c r="H426" i="4"/>
  <c r="J426" i="4" s="1"/>
  <c r="G426" i="4"/>
  <c r="F426" i="4"/>
  <c r="E426" i="4"/>
  <c r="C426" i="4"/>
  <c r="D426" i="4" s="1"/>
  <c r="B426" i="4"/>
  <c r="A426" i="4"/>
  <c r="R425" i="4"/>
  <c r="Q425" i="4"/>
  <c r="S425" i="4" s="1"/>
  <c r="P425" i="4"/>
  <c r="O425" i="4"/>
  <c r="N425" i="4"/>
  <c r="M425" i="4"/>
  <c r="L425" i="4"/>
  <c r="K425" i="4"/>
  <c r="I425" i="4"/>
  <c r="H425" i="4"/>
  <c r="F425" i="4"/>
  <c r="E425" i="4"/>
  <c r="G425" i="4" s="1"/>
  <c r="D425" i="4"/>
  <c r="C425" i="4"/>
  <c r="B425" i="4"/>
  <c r="A425" i="4"/>
  <c r="R424" i="4"/>
  <c r="Q424" i="4"/>
  <c r="O424" i="4"/>
  <c r="N424" i="4"/>
  <c r="P424" i="4" s="1"/>
  <c r="M424" i="4"/>
  <c r="L424" i="4"/>
  <c r="K424" i="4"/>
  <c r="J424" i="4"/>
  <c r="I424" i="4"/>
  <c r="H424" i="4"/>
  <c r="F424" i="4"/>
  <c r="E424" i="4"/>
  <c r="G424" i="4" s="1"/>
  <c r="C424" i="4"/>
  <c r="B424" i="4"/>
  <c r="D424" i="4" s="1"/>
  <c r="A424" i="4"/>
  <c r="S423" i="4"/>
  <c r="R423" i="4"/>
  <c r="Q423" i="4"/>
  <c r="O423" i="4"/>
  <c r="N423" i="4"/>
  <c r="P423" i="4" s="1"/>
  <c r="L423" i="4"/>
  <c r="K423" i="4"/>
  <c r="M423" i="4" s="1"/>
  <c r="J423" i="4"/>
  <c r="I423" i="4"/>
  <c r="H423" i="4"/>
  <c r="F423" i="4"/>
  <c r="G423" i="4" s="1"/>
  <c r="E423" i="4"/>
  <c r="C423" i="4"/>
  <c r="B423" i="4"/>
  <c r="A423" i="4"/>
  <c r="S422" i="4"/>
  <c r="R422" i="4"/>
  <c r="Q422" i="4"/>
  <c r="P422" i="4"/>
  <c r="O422" i="4"/>
  <c r="N422" i="4"/>
  <c r="L422" i="4"/>
  <c r="K422" i="4"/>
  <c r="M422" i="4" s="1"/>
  <c r="T422" i="4" s="1"/>
  <c r="I422" i="4"/>
  <c r="H422" i="4"/>
  <c r="J422" i="4" s="1"/>
  <c r="G422" i="4"/>
  <c r="F422" i="4"/>
  <c r="E422" i="4"/>
  <c r="C422" i="4"/>
  <c r="D422" i="4" s="1"/>
  <c r="B422" i="4"/>
  <c r="A422" i="4"/>
  <c r="R421" i="4"/>
  <c r="Q421" i="4"/>
  <c r="S421" i="4" s="1"/>
  <c r="P421" i="4"/>
  <c r="O421" i="4"/>
  <c r="N421" i="4"/>
  <c r="M421" i="4"/>
  <c r="L421" i="4"/>
  <c r="K421" i="4"/>
  <c r="I421" i="4"/>
  <c r="H421" i="4"/>
  <c r="F421" i="4"/>
  <c r="E421" i="4"/>
  <c r="G421" i="4" s="1"/>
  <c r="D421" i="4"/>
  <c r="C421" i="4"/>
  <c r="B421" i="4"/>
  <c r="A421" i="4"/>
  <c r="R420" i="4"/>
  <c r="Q420" i="4"/>
  <c r="O420" i="4"/>
  <c r="N420" i="4"/>
  <c r="P420" i="4" s="1"/>
  <c r="M420" i="4"/>
  <c r="L420" i="4"/>
  <c r="K420" i="4"/>
  <c r="J420" i="4"/>
  <c r="I420" i="4"/>
  <c r="H420" i="4"/>
  <c r="F420" i="4"/>
  <c r="E420" i="4"/>
  <c r="G420" i="4" s="1"/>
  <c r="C420" i="4"/>
  <c r="B420" i="4"/>
  <c r="D420" i="4" s="1"/>
  <c r="A420" i="4"/>
  <c r="S419" i="4"/>
  <c r="R419" i="4"/>
  <c r="Q419" i="4"/>
  <c r="O419" i="4"/>
  <c r="N419" i="4"/>
  <c r="P419" i="4" s="1"/>
  <c r="L419" i="4"/>
  <c r="K419" i="4"/>
  <c r="M419" i="4" s="1"/>
  <c r="J419" i="4"/>
  <c r="I419" i="4"/>
  <c r="H419" i="4"/>
  <c r="F419" i="4"/>
  <c r="G419" i="4" s="1"/>
  <c r="E419" i="4"/>
  <c r="C419" i="4"/>
  <c r="B419" i="4"/>
  <c r="A419" i="4"/>
  <c r="S418" i="4"/>
  <c r="R418" i="4"/>
  <c r="Q418" i="4"/>
  <c r="P418" i="4"/>
  <c r="O418" i="4"/>
  <c r="N418" i="4"/>
  <c r="L418" i="4"/>
  <c r="K418" i="4"/>
  <c r="M418" i="4" s="1"/>
  <c r="T418" i="4" s="1"/>
  <c r="I418" i="4"/>
  <c r="H418" i="4"/>
  <c r="J418" i="4" s="1"/>
  <c r="G418" i="4"/>
  <c r="F418" i="4"/>
  <c r="E418" i="4"/>
  <c r="C418" i="4"/>
  <c r="D418" i="4" s="1"/>
  <c r="B418" i="4"/>
  <c r="A418" i="4"/>
  <c r="R417" i="4"/>
  <c r="Q417" i="4"/>
  <c r="S417" i="4" s="1"/>
  <c r="P417" i="4"/>
  <c r="O417" i="4"/>
  <c r="N417" i="4"/>
  <c r="M417" i="4"/>
  <c r="L417" i="4"/>
  <c r="K417" i="4"/>
  <c r="I417" i="4"/>
  <c r="H417" i="4"/>
  <c r="F417" i="4"/>
  <c r="E417" i="4"/>
  <c r="G417" i="4" s="1"/>
  <c r="D417" i="4"/>
  <c r="C417" i="4"/>
  <c r="B417" i="4"/>
  <c r="A417" i="4"/>
  <c r="R416" i="4"/>
  <c r="Q416" i="4"/>
  <c r="O416" i="4"/>
  <c r="N416" i="4"/>
  <c r="P416" i="4" s="1"/>
  <c r="M416" i="4"/>
  <c r="L416" i="4"/>
  <c r="K416" i="4"/>
  <c r="J416" i="4"/>
  <c r="I416" i="4"/>
  <c r="H416" i="4"/>
  <c r="F416" i="4"/>
  <c r="E416" i="4"/>
  <c r="G416" i="4" s="1"/>
  <c r="C416" i="4"/>
  <c r="B416" i="4"/>
  <c r="D416" i="4" s="1"/>
  <c r="A416" i="4"/>
  <c r="S415" i="4"/>
  <c r="R415" i="4"/>
  <c r="Q415" i="4"/>
  <c r="O415" i="4"/>
  <c r="N415" i="4"/>
  <c r="P415" i="4" s="1"/>
  <c r="L415" i="4"/>
  <c r="K415" i="4"/>
  <c r="M415" i="4" s="1"/>
  <c r="J415" i="4"/>
  <c r="I415" i="4"/>
  <c r="H415" i="4"/>
  <c r="F415" i="4"/>
  <c r="G415" i="4" s="1"/>
  <c r="E415" i="4"/>
  <c r="C415" i="4"/>
  <c r="B415" i="4"/>
  <c r="A415" i="4"/>
  <c r="S414" i="4"/>
  <c r="R414" i="4"/>
  <c r="Q414" i="4"/>
  <c r="P414" i="4"/>
  <c r="O414" i="4"/>
  <c r="N414" i="4"/>
  <c r="L414" i="4"/>
  <c r="K414" i="4"/>
  <c r="M414" i="4" s="1"/>
  <c r="T414" i="4" s="1"/>
  <c r="I414" i="4"/>
  <c r="H414" i="4"/>
  <c r="J414" i="4" s="1"/>
  <c r="G414" i="4"/>
  <c r="F414" i="4"/>
  <c r="E414" i="4"/>
  <c r="C414" i="4"/>
  <c r="D414" i="4" s="1"/>
  <c r="B414" i="4"/>
  <c r="A414" i="4"/>
  <c r="R413" i="4"/>
  <c r="Q413" i="4"/>
  <c r="S413" i="4" s="1"/>
  <c r="P413" i="4"/>
  <c r="O413" i="4"/>
  <c r="N413" i="4"/>
  <c r="M413" i="4"/>
  <c r="L413" i="4"/>
  <c r="K413" i="4"/>
  <c r="I413" i="4"/>
  <c r="H413" i="4"/>
  <c r="F413" i="4"/>
  <c r="E413" i="4"/>
  <c r="G413" i="4" s="1"/>
  <c r="D413" i="4"/>
  <c r="C413" i="4"/>
  <c r="B413" i="4"/>
  <c r="A413" i="4"/>
  <c r="R412" i="4"/>
  <c r="Q412" i="4"/>
  <c r="O412" i="4"/>
  <c r="N412" i="4"/>
  <c r="P412" i="4" s="1"/>
  <c r="M412" i="4"/>
  <c r="L412" i="4"/>
  <c r="K412" i="4"/>
  <c r="J412" i="4"/>
  <c r="I412" i="4"/>
  <c r="H412" i="4"/>
  <c r="F412" i="4"/>
  <c r="E412" i="4"/>
  <c r="G412" i="4" s="1"/>
  <c r="C412" i="4"/>
  <c r="B412" i="4"/>
  <c r="D412" i="4" s="1"/>
  <c r="A412" i="4"/>
  <c r="S411" i="4"/>
  <c r="R411" i="4"/>
  <c r="Q411" i="4"/>
  <c r="O411" i="4"/>
  <c r="N411" i="4"/>
  <c r="P411" i="4" s="1"/>
  <c r="L411" i="4"/>
  <c r="K411" i="4"/>
  <c r="M411" i="4" s="1"/>
  <c r="J411" i="4"/>
  <c r="I411" i="4"/>
  <c r="H411" i="4"/>
  <c r="F411" i="4"/>
  <c r="G411" i="4" s="1"/>
  <c r="E411" i="4"/>
  <c r="C411" i="4"/>
  <c r="B411" i="4"/>
  <c r="A411" i="4"/>
  <c r="S410" i="4"/>
  <c r="R410" i="4"/>
  <c r="Q410" i="4"/>
  <c r="P410" i="4"/>
  <c r="O410" i="4"/>
  <c r="N410" i="4"/>
  <c r="L410" i="4"/>
  <c r="K410" i="4"/>
  <c r="M410" i="4" s="1"/>
  <c r="T410" i="4" s="1"/>
  <c r="I410" i="4"/>
  <c r="H410" i="4"/>
  <c r="J410" i="4" s="1"/>
  <c r="G410" i="4"/>
  <c r="F410" i="4"/>
  <c r="E410" i="4"/>
  <c r="C410" i="4"/>
  <c r="D410" i="4" s="1"/>
  <c r="B410" i="4"/>
  <c r="A410" i="4"/>
  <c r="R409" i="4"/>
  <c r="Q409" i="4"/>
  <c r="S409" i="4" s="1"/>
  <c r="P409" i="4"/>
  <c r="O409" i="4"/>
  <c r="N409" i="4"/>
  <c r="M409" i="4"/>
  <c r="L409" i="4"/>
  <c r="K409" i="4"/>
  <c r="I409" i="4"/>
  <c r="H409" i="4"/>
  <c r="F409" i="4"/>
  <c r="E409" i="4"/>
  <c r="G409" i="4" s="1"/>
  <c r="D409" i="4"/>
  <c r="C409" i="4"/>
  <c r="B409" i="4"/>
  <c r="A409" i="4"/>
  <c r="R408" i="4"/>
  <c r="Q408" i="4"/>
  <c r="O408" i="4"/>
  <c r="N408" i="4"/>
  <c r="P408" i="4" s="1"/>
  <c r="M408" i="4"/>
  <c r="L408" i="4"/>
  <c r="K408" i="4"/>
  <c r="J408" i="4"/>
  <c r="I408" i="4"/>
  <c r="H408" i="4"/>
  <c r="F408" i="4"/>
  <c r="E408" i="4"/>
  <c r="G408" i="4" s="1"/>
  <c r="C408" i="4"/>
  <c r="B408" i="4"/>
  <c r="D408" i="4" s="1"/>
  <c r="A408" i="4"/>
  <c r="S407" i="4"/>
  <c r="R407" i="4"/>
  <c r="Q407" i="4"/>
  <c r="O407" i="4"/>
  <c r="N407" i="4"/>
  <c r="P407" i="4" s="1"/>
  <c r="L407" i="4"/>
  <c r="K407" i="4"/>
  <c r="M407" i="4" s="1"/>
  <c r="J407" i="4"/>
  <c r="I407" i="4"/>
  <c r="H407" i="4"/>
  <c r="F407" i="4"/>
  <c r="G407" i="4" s="1"/>
  <c r="E407" i="4"/>
  <c r="C407" i="4"/>
  <c r="B407" i="4"/>
  <c r="A407" i="4"/>
  <c r="S406" i="4"/>
  <c r="R406" i="4"/>
  <c r="Q406" i="4"/>
  <c r="P406" i="4"/>
  <c r="O406" i="4"/>
  <c r="N406" i="4"/>
  <c r="L406" i="4"/>
  <c r="K406" i="4"/>
  <c r="M406" i="4" s="1"/>
  <c r="T406" i="4" s="1"/>
  <c r="I406" i="4"/>
  <c r="H406" i="4"/>
  <c r="J406" i="4" s="1"/>
  <c r="G406" i="4"/>
  <c r="F406" i="4"/>
  <c r="E406" i="4"/>
  <c r="C406" i="4"/>
  <c r="D406" i="4" s="1"/>
  <c r="B406" i="4"/>
  <c r="A406" i="4"/>
  <c r="R405" i="4"/>
  <c r="Q405" i="4"/>
  <c r="S405" i="4" s="1"/>
  <c r="P405" i="4"/>
  <c r="O405" i="4"/>
  <c r="N405" i="4"/>
  <c r="M405" i="4"/>
  <c r="L405" i="4"/>
  <c r="K405" i="4"/>
  <c r="I405" i="4"/>
  <c r="H405" i="4"/>
  <c r="F405" i="4"/>
  <c r="E405" i="4"/>
  <c r="G405" i="4" s="1"/>
  <c r="D405" i="4"/>
  <c r="C405" i="4"/>
  <c r="B405" i="4"/>
  <c r="A405" i="4"/>
  <c r="R404" i="4"/>
  <c r="Q404" i="4"/>
  <c r="O404" i="4"/>
  <c r="N404" i="4"/>
  <c r="P404" i="4" s="1"/>
  <c r="M404" i="4"/>
  <c r="L404" i="4"/>
  <c r="K404" i="4"/>
  <c r="J404" i="4"/>
  <c r="I404" i="4"/>
  <c r="H404" i="4"/>
  <c r="F404" i="4"/>
  <c r="E404" i="4"/>
  <c r="G404" i="4" s="1"/>
  <c r="C404" i="4"/>
  <c r="B404" i="4"/>
  <c r="D404" i="4" s="1"/>
  <c r="A404" i="4"/>
  <c r="S403" i="4"/>
  <c r="R403" i="4"/>
  <c r="Q403" i="4"/>
  <c r="O403" i="4"/>
  <c r="N403" i="4"/>
  <c r="P403" i="4" s="1"/>
  <c r="L403" i="4"/>
  <c r="K403" i="4"/>
  <c r="M403" i="4" s="1"/>
  <c r="J403" i="4"/>
  <c r="I403" i="4"/>
  <c r="H403" i="4"/>
  <c r="F403" i="4"/>
  <c r="G403" i="4" s="1"/>
  <c r="E403" i="4"/>
  <c r="C403" i="4"/>
  <c r="B403" i="4"/>
  <c r="A403" i="4"/>
  <c r="S402" i="4"/>
  <c r="R402" i="4"/>
  <c r="Q402" i="4"/>
  <c r="P402" i="4"/>
  <c r="O402" i="4"/>
  <c r="N402" i="4"/>
  <c r="L402" i="4"/>
  <c r="K402" i="4"/>
  <c r="M402" i="4" s="1"/>
  <c r="T402" i="4" s="1"/>
  <c r="I402" i="4"/>
  <c r="H402" i="4"/>
  <c r="J402" i="4" s="1"/>
  <c r="G402" i="4"/>
  <c r="F402" i="4"/>
  <c r="E402" i="4"/>
  <c r="C402" i="4"/>
  <c r="D402" i="4" s="1"/>
  <c r="B402" i="4"/>
  <c r="A402" i="4"/>
  <c r="R401" i="4"/>
  <c r="Q401" i="4"/>
  <c r="S401" i="4" s="1"/>
  <c r="P401" i="4"/>
  <c r="O401" i="4"/>
  <c r="N401" i="4"/>
  <c r="M401" i="4"/>
  <c r="L401" i="4"/>
  <c r="K401" i="4"/>
  <c r="I401" i="4"/>
  <c r="H401" i="4"/>
  <c r="F401" i="4"/>
  <c r="E401" i="4"/>
  <c r="G401" i="4" s="1"/>
  <c r="D401" i="4"/>
  <c r="C401" i="4"/>
  <c r="B401" i="4"/>
  <c r="A401" i="4"/>
  <c r="R400" i="4"/>
  <c r="Q400" i="4"/>
  <c r="O400" i="4"/>
  <c r="N400" i="4"/>
  <c r="P400" i="4" s="1"/>
  <c r="M400" i="4"/>
  <c r="L400" i="4"/>
  <c r="K400" i="4"/>
  <c r="J400" i="4"/>
  <c r="I400" i="4"/>
  <c r="H400" i="4"/>
  <c r="F400" i="4"/>
  <c r="E400" i="4"/>
  <c r="G400" i="4" s="1"/>
  <c r="C400" i="4"/>
  <c r="B400" i="4"/>
  <c r="D400" i="4" s="1"/>
  <c r="A400" i="4"/>
  <c r="S399" i="4"/>
  <c r="R399" i="4"/>
  <c r="Q399" i="4"/>
  <c r="O399" i="4"/>
  <c r="N399" i="4"/>
  <c r="P399" i="4" s="1"/>
  <c r="L399" i="4"/>
  <c r="K399" i="4"/>
  <c r="M399" i="4" s="1"/>
  <c r="J399" i="4"/>
  <c r="I399" i="4"/>
  <c r="H399" i="4"/>
  <c r="F399" i="4"/>
  <c r="G399" i="4" s="1"/>
  <c r="E399" i="4"/>
  <c r="C399" i="4"/>
  <c r="B399" i="4"/>
  <c r="A399" i="4"/>
  <c r="S398" i="4"/>
  <c r="R398" i="4"/>
  <c r="Q398" i="4"/>
  <c r="P398" i="4"/>
  <c r="O398" i="4"/>
  <c r="N398" i="4"/>
  <c r="L398" i="4"/>
  <c r="K398" i="4"/>
  <c r="M398" i="4" s="1"/>
  <c r="T398" i="4" s="1"/>
  <c r="I398" i="4"/>
  <c r="H398" i="4"/>
  <c r="J398" i="4" s="1"/>
  <c r="G398" i="4"/>
  <c r="F398" i="4"/>
  <c r="E398" i="4"/>
  <c r="C398" i="4"/>
  <c r="D398" i="4" s="1"/>
  <c r="B398" i="4"/>
  <c r="A398" i="4"/>
  <c r="R397" i="4"/>
  <c r="Q397" i="4"/>
  <c r="S397" i="4" s="1"/>
  <c r="P397" i="4"/>
  <c r="O397" i="4"/>
  <c r="N397" i="4"/>
  <c r="M397" i="4"/>
  <c r="L397" i="4"/>
  <c r="K397" i="4"/>
  <c r="I397" i="4"/>
  <c r="H397" i="4"/>
  <c r="F397" i="4"/>
  <c r="E397" i="4"/>
  <c r="G397" i="4" s="1"/>
  <c r="D397" i="4"/>
  <c r="C397" i="4"/>
  <c r="B397" i="4"/>
  <c r="A397" i="4"/>
  <c r="R396" i="4"/>
  <c r="Q396" i="4"/>
  <c r="O396" i="4"/>
  <c r="N396" i="4"/>
  <c r="P396" i="4" s="1"/>
  <c r="M396" i="4"/>
  <c r="L396" i="4"/>
  <c r="K396" i="4"/>
  <c r="J396" i="4"/>
  <c r="I396" i="4"/>
  <c r="H396" i="4"/>
  <c r="F396" i="4"/>
  <c r="E396" i="4"/>
  <c r="G396" i="4" s="1"/>
  <c r="C396" i="4"/>
  <c r="B396" i="4"/>
  <c r="D396" i="4" s="1"/>
  <c r="A396" i="4"/>
  <c r="S395" i="4"/>
  <c r="R395" i="4"/>
  <c r="Q395" i="4"/>
  <c r="O395" i="4"/>
  <c r="N395" i="4"/>
  <c r="P395" i="4" s="1"/>
  <c r="L395" i="4"/>
  <c r="K395" i="4"/>
  <c r="M395" i="4" s="1"/>
  <c r="J395" i="4"/>
  <c r="I395" i="4"/>
  <c r="H395" i="4"/>
  <c r="F395" i="4"/>
  <c r="G395" i="4" s="1"/>
  <c r="E395" i="4"/>
  <c r="C395" i="4"/>
  <c r="B395" i="4"/>
  <c r="A395" i="4"/>
  <c r="S394" i="4"/>
  <c r="R394" i="4"/>
  <c r="Q394" i="4"/>
  <c r="P394" i="4"/>
  <c r="O394" i="4"/>
  <c r="N394" i="4"/>
  <c r="L394" i="4"/>
  <c r="K394" i="4"/>
  <c r="M394" i="4" s="1"/>
  <c r="T394" i="4" s="1"/>
  <c r="I394" i="4"/>
  <c r="H394" i="4"/>
  <c r="J394" i="4" s="1"/>
  <c r="G394" i="4"/>
  <c r="F394" i="4"/>
  <c r="E394" i="4"/>
  <c r="C394" i="4"/>
  <c r="D394" i="4" s="1"/>
  <c r="B394" i="4"/>
  <c r="A394" i="4"/>
  <c r="R393" i="4"/>
  <c r="Q393" i="4"/>
  <c r="S393" i="4" s="1"/>
  <c r="P393" i="4"/>
  <c r="O393" i="4"/>
  <c r="N393" i="4"/>
  <c r="M393" i="4"/>
  <c r="L393" i="4"/>
  <c r="K393" i="4"/>
  <c r="I393" i="4"/>
  <c r="H393" i="4"/>
  <c r="F393" i="4"/>
  <c r="E393" i="4"/>
  <c r="G393" i="4" s="1"/>
  <c r="D393" i="4"/>
  <c r="C393" i="4"/>
  <c r="B393" i="4"/>
  <c r="A393" i="4"/>
  <c r="R392" i="4"/>
  <c r="Q392" i="4"/>
  <c r="O392" i="4"/>
  <c r="N392" i="4"/>
  <c r="P392" i="4" s="1"/>
  <c r="M392" i="4"/>
  <c r="L392" i="4"/>
  <c r="K392" i="4"/>
  <c r="J392" i="4"/>
  <c r="I392" i="4"/>
  <c r="H392" i="4"/>
  <c r="F392" i="4"/>
  <c r="E392" i="4"/>
  <c r="G392" i="4" s="1"/>
  <c r="C392" i="4"/>
  <c r="B392" i="4"/>
  <c r="D392" i="4" s="1"/>
  <c r="A392" i="4"/>
  <c r="S391" i="4"/>
  <c r="R391" i="4"/>
  <c r="Q391" i="4"/>
  <c r="O391" i="4"/>
  <c r="N391" i="4"/>
  <c r="P391" i="4" s="1"/>
  <c r="L391" i="4"/>
  <c r="K391" i="4"/>
  <c r="M391" i="4" s="1"/>
  <c r="J391" i="4"/>
  <c r="I391" i="4"/>
  <c r="H391" i="4"/>
  <c r="F391" i="4"/>
  <c r="G391" i="4" s="1"/>
  <c r="E391" i="4"/>
  <c r="C391" i="4"/>
  <c r="B391" i="4"/>
  <c r="A391" i="4"/>
  <c r="S390" i="4"/>
  <c r="R390" i="4"/>
  <c r="Q390" i="4"/>
  <c r="P390" i="4"/>
  <c r="O390" i="4"/>
  <c r="N390" i="4"/>
  <c r="L390" i="4"/>
  <c r="K390" i="4"/>
  <c r="M390" i="4" s="1"/>
  <c r="T390" i="4" s="1"/>
  <c r="I390" i="4"/>
  <c r="H390" i="4"/>
  <c r="J390" i="4" s="1"/>
  <c r="G390" i="4"/>
  <c r="F390" i="4"/>
  <c r="E390" i="4"/>
  <c r="C390" i="4"/>
  <c r="D390" i="4" s="1"/>
  <c r="B390" i="4"/>
  <c r="A390" i="4"/>
  <c r="R389" i="4"/>
  <c r="Q389" i="4"/>
  <c r="S389" i="4" s="1"/>
  <c r="P389" i="4"/>
  <c r="O389" i="4"/>
  <c r="N389" i="4"/>
  <c r="M389" i="4"/>
  <c r="L389" i="4"/>
  <c r="K389" i="4"/>
  <c r="I389" i="4"/>
  <c r="H389" i="4"/>
  <c r="F389" i="4"/>
  <c r="E389" i="4"/>
  <c r="G389" i="4" s="1"/>
  <c r="D389" i="4"/>
  <c r="C389" i="4"/>
  <c r="B389" i="4"/>
  <c r="A389" i="4"/>
  <c r="R388" i="4"/>
  <c r="Q388" i="4"/>
  <c r="O388" i="4"/>
  <c r="N388" i="4"/>
  <c r="P388" i="4" s="1"/>
  <c r="M388" i="4"/>
  <c r="L388" i="4"/>
  <c r="K388" i="4"/>
  <c r="J388" i="4"/>
  <c r="I388" i="4"/>
  <c r="H388" i="4"/>
  <c r="F388" i="4"/>
  <c r="E388" i="4"/>
  <c r="G388" i="4" s="1"/>
  <c r="C388" i="4"/>
  <c r="B388" i="4"/>
  <c r="D388" i="4" s="1"/>
  <c r="A388" i="4"/>
  <c r="S387" i="4"/>
  <c r="R387" i="4"/>
  <c r="Q387" i="4"/>
  <c r="O387" i="4"/>
  <c r="N387" i="4"/>
  <c r="P387" i="4" s="1"/>
  <c r="L387" i="4"/>
  <c r="K387" i="4"/>
  <c r="M387" i="4" s="1"/>
  <c r="J387" i="4"/>
  <c r="I387" i="4"/>
  <c r="H387" i="4"/>
  <c r="F387" i="4"/>
  <c r="G387" i="4" s="1"/>
  <c r="E387" i="4"/>
  <c r="C387" i="4"/>
  <c r="B387" i="4"/>
  <c r="A387" i="4"/>
  <c r="S386" i="4"/>
  <c r="R386" i="4"/>
  <c r="Q386" i="4"/>
  <c r="P386" i="4"/>
  <c r="O386" i="4"/>
  <c r="N386" i="4"/>
  <c r="L386" i="4"/>
  <c r="K386" i="4"/>
  <c r="M386" i="4" s="1"/>
  <c r="T386" i="4" s="1"/>
  <c r="I386" i="4"/>
  <c r="H386" i="4"/>
  <c r="J386" i="4" s="1"/>
  <c r="G386" i="4"/>
  <c r="F386" i="4"/>
  <c r="E386" i="4"/>
  <c r="C386" i="4"/>
  <c r="D386" i="4" s="1"/>
  <c r="B386" i="4"/>
  <c r="A386" i="4"/>
  <c r="R385" i="4"/>
  <c r="Q385" i="4"/>
  <c r="S385" i="4" s="1"/>
  <c r="P385" i="4"/>
  <c r="O385" i="4"/>
  <c r="N385" i="4"/>
  <c r="M385" i="4"/>
  <c r="L385" i="4"/>
  <c r="K385" i="4"/>
  <c r="I385" i="4"/>
  <c r="H385" i="4"/>
  <c r="F385" i="4"/>
  <c r="E385" i="4"/>
  <c r="G385" i="4" s="1"/>
  <c r="D385" i="4"/>
  <c r="C385" i="4"/>
  <c r="B385" i="4"/>
  <c r="A385" i="4"/>
  <c r="R384" i="4"/>
  <c r="Q384" i="4"/>
  <c r="O384" i="4"/>
  <c r="N384" i="4"/>
  <c r="P384" i="4" s="1"/>
  <c r="M384" i="4"/>
  <c r="L384" i="4"/>
  <c r="K384" i="4"/>
  <c r="J384" i="4"/>
  <c r="I384" i="4"/>
  <c r="H384" i="4"/>
  <c r="F384" i="4"/>
  <c r="E384" i="4"/>
  <c r="G384" i="4" s="1"/>
  <c r="C384" i="4"/>
  <c r="B384" i="4"/>
  <c r="D384" i="4" s="1"/>
  <c r="A384" i="4"/>
  <c r="S383" i="4"/>
  <c r="R383" i="4"/>
  <c r="Q383" i="4"/>
  <c r="O383" i="4"/>
  <c r="N383" i="4"/>
  <c r="P383" i="4" s="1"/>
  <c r="L383" i="4"/>
  <c r="K383" i="4"/>
  <c r="M383" i="4" s="1"/>
  <c r="J383" i="4"/>
  <c r="I383" i="4"/>
  <c r="H383" i="4"/>
  <c r="F383" i="4"/>
  <c r="G383" i="4" s="1"/>
  <c r="E383" i="4"/>
  <c r="C383" i="4"/>
  <c r="B383" i="4"/>
  <c r="A383" i="4"/>
  <c r="S382" i="4"/>
  <c r="R382" i="4"/>
  <c r="Q382" i="4"/>
  <c r="P382" i="4"/>
  <c r="O382" i="4"/>
  <c r="N382" i="4"/>
  <c r="L382" i="4"/>
  <c r="K382" i="4"/>
  <c r="M382" i="4" s="1"/>
  <c r="T382" i="4" s="1"/>
  <c r="I382" i="4"/>
  <c r="H382" i="4"/>
  <c r="J382" i="4" s="1"/>
  <c r="G382" i="4"/>
  <c r="F382" i="4"/>
  <c r="E382" i="4"/>
  <c r="C382" i="4"/>
  <c r="D382" i="4" s="1"/>
  <c r="B382" i="4"/>
  <c r="A382" i="4"/>
  <c r="R381" i="4"/>
  <c r="Q381" i="4"/>
  <c r="S381" i="4" s="1"/>
  <c r="P381" i="4"/>
  <c r="O381" i="4"/>
  <c r="N381" i="4"/>
  <c r="M381" i="4"/>
  <c r="L381" i="4"/>
  <c r="K381" i="4"/>
  <c r="I381" i="4"/>
  <c r="H381" i="4"/>
  <c r="F381" i="4"/>
  <c r="E381" i="4"/>
  <c r="G381" i="4" s="1"/>
  <c r="D381" i="4"/>
  <c r="C381" i="4"/>
  <c r="B381" i="4"/>
  <c r="A381" i="4"/>
  <c r="R380" i="4"/>
  <c r="Q380" i="4"/>
  <c r="O380" i="4"/>
  <c r="N380" i="4"/>
  <c r="P380" i="4" s="1"/>
  <c r="M380" i="4"/>
  <c r="L380" i="4"/>
  <c r="K380" i="4"/>
  <c r="J380" i="4"/>
  <c r="I380" i="4"/>
  <c r="H380" i="4"/>
  <c r="F380" i="4"/>
  <c r="E380" i="4"/>
  <c r="G380" i="4" s="1"/>
  <c r="C380" i="4"/>
  <c r="B380" i="4"/>
  <c r="D380" i="4" s="1"/>
  <c r="A380" i="4"/>
  <c r="S379" i="4"/>
  <c r="R379" i="4"/>
  <c r="Q379" i="4"/>
  <c r="O379" i="4"/>
  <c r="N379" i="4"/>
  <c r="P379" i="4" s="1"/>
  <c r="L379" i="4"/>
  <c r="K379" i="4"/>
  <c r="M379" i="4" s="1"/>
  <c r="J379" i="4"/>
  <c r="I379" i="4"/>
  <c r="H379" i="4"/>
  <c r="F379" i="4"/>
  <c r="G379" i="4" s="1"/>
  <c r="E379" i="4"/>
  <c r="C379" i="4"/>
  <c r="B379" i="4"/>
  <c r="A379" i="4"/>
  <c r="S378" i="4"/>
  <c r="R378" i="4"/>
  <c r="Q378" i="4"/>
  <c r="P378" i="4"/>
  <c r="O378" i="4"/>
  <c r="N378" i="4"/>
  <c r="L378" i="4"/>
  <c r="K378" i="4"/>
  <c r="M378" i="4" s="1"/>
  <c r="T378" i="4" s="1"/>
  <c r="I378" i="4"/>
  <c r="H378" i="4"/>
  <c r="J378" i="4" s="1"/>
  <c r="G378" i="4"/>
  <c r="F378" i="4"/>
  <c r="E378" i="4"/>
  <c r="C378" i="4"/>
  <c r="D378" i="4" s="1"/>
  <c r="B378" i="4"/>
  <c r="A378" i="4"/>
  <c r="R377" i="4"/>
  <c r="Q377" i="4"/>
  <c r="S377" i="4" s="1"/>
  <c r="P377" i="4"/>
  <c r="O377" i="4"/>
  <c r="N377" i="4"/>
  <c r="M377" i="4"/>
  <c r="L377" i="4"/>
  <c r="K377" i="4"/>
  <c r="I377" i="4"/>
  <c r="H377" i="4"/>
  <c r="F377" i="4"/>
  <c r="E377" i="4"/>
  <c r="G377" i="4" s="1"/>
  <c r="D377" i="4"/>
  <c r="C377" i="4"/>
  <c r="B377" i="4"/>
  <c r="A377" i="4"/>
  <c r="R376" i="4"/>
  <c r="Q376" i="4"/>
  <c r="O376" i="4"/>
  <c r="N376" i="4"/>
  <c r="P376" i="4" s="1"/>
  <c r="M376" i="4"/>
  <c r="L376" i="4"/>
  <c r="K376" i="4"/>
  <c r="J376" i="4"/>
  <c r="I376" i="4"/>
  <c r="H376" i="4"/>
  <c r="F376" i="4"/>
  <c r="E376" i="4"/>
  <c r="G376" i="4" s="1"/>
  <c r="C376" i="4"/>
  <c r="B376" i="4"/>
  <c r="D376" i="4" s="1"/>
  <c r="A376" i="4"/>
  <c r="S375" i="4"/>
  <c r="R375" i="4"/>
  <c r="Q375" i="4"/>
  <c r="O375" i="4"/>
  <c r="N375" i="4"/>
  <c r="P375" i="4" s="1"/>
  <c r="L375" i="4"/>
  <c r="K375" i="4"/>
  <c r="M375" i="4" s="1"/>
  <c r="J375" i="4"/>
  <c r="I375" i="4"/>
  <c r="H375" i="4"/>
  <c r="F375" i="4"/>
  <c r="G375" i="4" s="1"/>
  <c r="E375" i="4"/>
  <c r="C375" i="4"/>
  <c r="B375" i="4"/>
  <c r="A375" i="4"/>
  <c r="S374" i="4"/>
  <c r="R374" i="4"/>
  <c r="Q374" i="4"/>
  <c r="P374" i="4"/>
  <c r="O374" i="4"/>
  <c r="N374" i="4"/>
  <c r="L374" i="4"/>
  <c r="K374" i="4"/>
  <c r="M374" i="4" s="1"/>
  <c r="T374" i="4" s="1"/>
  <c r="I374" i="4"/>
  <c r="H374" i="4"/>
  <c r="J374" i="4" s="1"/>
  <c r="G374" i="4"/>
  <c r="F374" i="4"/>
  <c r="E374" i="4"/>
  <c r="C374" i="4"/>
  <c r="D374" i="4" s="1"/>
  <c r="B374" i="4"/>
  <c r="A374" i="4"/>
  <c r="R373" i="4"/>
  <c r="Q373" i="4"/>
  <c r="S373" i="4" s="1"/>
  <c r="P373" i="4"/>
  <c r="O373" i="4"/>
  <c r="N373" i="4"/>
  <c r="M373" i="4"/>
  <c r="L373" i="4"/>
  <c r="K373" i="4"/>
  <c r="I373" i="4"/>
  <c r="H373" i="4"/>
  <c r="F373" i="4"/>
  <c r="E373" i="4"/>
  <c r="G373" i="4" s="1"/>
  <c r="D373" i="4"/>
  <c r="C373" i="4"/>
  <c r="B373" i="4"/>
  <c r="A373" i="4"/>
  <c r="R372" i="4"/>
  <c r="Q372" i="4"/>
  <c r="O372" i="4"/>
  <c r="N372" i="4"/>
  <c r="P372" i="4" s="1"/>
  <c r="M372" i="4"/>
  <c r="L372" i="4"/>
  <c r="K372" i="4"/>
  <c r="J372" i="4"/>
  <c r="I372" i="4"/>
  <c r="H372" i="4"/>
  <c r="F372" i="4"/>
  <c r="E372" i="4"/>
  <c r="G372" i="4" s="1"/>
  <c r="C372" i="4"/>
  <c r="B372" i="4"/>
  <c r="D372" i="4" s="1"/>
  <c r="A372" i="4"/>
  <c r="S371" i="4"/>
  <c r="R371" i="4"/>
  <c r="Q371" i="4"/>
  <c r="O371" i="4"/>
  <c r="N371" i="4"/>
  <c r="P371" i="4" s="1"/>
  <c r="L371" i="4"/>
  <c r="K371" i="4"/>
  <c r="M371" i="4" s="1"/>
  <c r="J371" i="4"/>
  <c r="I371" i="4"/>
  <c r="H371" i="4"/>
  <c r="F371" i="4"/>
  <c r="G371" i="4" s="1"/>
  <c r="E371" i="4"/>
  <c r="C371" i="4"/>
  <c r="B371" i="4"/>
  <c r="A371" i="4"/>
  <c r="S370" i="4"/>
  <c r="R370" i="4"/>
  <c r="Q370" i="4"/>
  <c r="P370" i="4"/>
  <c r="O370" i="4"/>
  <c r="N370" i="4"/>
  <c r="L370" i="4"/>
  <c r="K370" i="4"/>
  <c r="M370" i="4" s="1"/>
  <c r="T370" i="4" s="1"/>
  <c r="I370" i="4"/>
  <c r="H370" i="4"/>
  <c r="J370" i="4" s="1"/>
  <c r="G370" i="4"/>
  <c r="F370" i="4"/>
  <c r="E370" i="4"/>
  <c r="C370" i="4"/>
  <c r="D370" i="4" s="1"/>
  <c r="B370" i="4"/>
  <c r="A370" i="4"/>
  <c r="R369" i="4"/>
  <c r="Q369" i="4"/>
  <c r="S369" i="4" s="1"/>
  <c r="P369" i="4"/>
  <c r="O369" i="4"/>
  <c r="N369" i="4"/>
  <c r="M369" i="4"/>
  <c r="L369" i="4"/>
  <c r="K369" i="4"/>
  <c r="I369" i="4"/>
  <c r="H369" i="4"/>
  <c r="F369" i="4"/>
  <c r="E369" i="4"/>
  <c r="G369" i="4" s="1"/>
  <c r="D369" i="4"/>
  <c r="C369" i="4"/>
  <c r="B369" i="4"/>
  <c r="A369" i="4"/>
  <c r="R368" i="4"/>
  <c r="Q368" i="4"/>
  <c r="O368" i="4"/>
  <c r="N368" i="4"/>
  <c r="P368" i="4" s="1"/>
  <c r="M368" i="4"/>
  <c r="L368" i="4"/>
  <c r="K368" i="4"/>
  <c r="J368" i="4"/>
  <c r="I368" i="4"/>
  <c r="H368" i="4"/>
  <c r="F368" i="4"/>
  <c r="E368" i="4"/>
  <c r="G368" i="4" s="1"/>
  <c r="C368" i="4"/>
  <c r="B368" i="4"/>
  <c r="D368" i="4" s="1"/>
  <c r="A368" i="4"/>
  <c r="S367" i="4"/>
  <c r="R367" i="4"/>
  <c r="Q367" i="4"/>
  <c r="O367" i="4"/>
  <c r="N367" i="4"/>
  <c r="P367" i="4" s="1"/>
  <c r="L367" i="4"/>
  <c r="K367" i="4"/>
  <c r="M367" i="4" s="1"/>
  <c r="J367" i="4"/>
  <c r="I367" i="4"/>
  <c r="H367" i="4"/>
  <c r="F367" i="4"/>
  <c r="G367" i="4" s="1"/>
  <c r="E367" i="4"/>
  <c r="C367" i="4"/>
  <c r="B367" i="4"/>
  <c r="A367" i="4"/>
  <c r="S366" i="4"/>
  <c r="R366" i="4"/>
  <c r="Q366" i="4"/>
  <c r="P366" i="4"/>
  <c r="O366" i="4"/>
  <c r="N366" i="4"/>
  <c r="L366" i="4"/>
  <c r="K366" i="4"/>
  <c r="M366" i="4" s="1"/>
  <c r="T366" i="4" s="1"/>
  <c r="I366" i="4"/>
  <c r="H366" i="4"/>
  <c r="J366" i="4" s="1"/>
  <c r="G366" i="4"/>
  <c r="F366" i="4"/>
  <c r="E366" i="4"/>
  <c r="C366" i="4"/>
  <c r="D366" i="4" s="1"/>
  <c r="B366" i="4"/>
  <c r="A366" i="4"/>
  <c r="R365" i="4"/>
  <c r="Q365" i="4"/>
  <c r="S365" i="4" s="1"/>
  <c r="P365" i="4"/>
  <c r="O365" i="4"/>
  <c r="N365" i="4"/>
  <c r="M365" i="4"/>
  <c r="L365" i="4"/>
  <c r="K365" i="4"/>
  <c r="I365" i="4"/>
  <c r="H365" i="4"/>
  <c r="F365" i="4"/>
  <c r="E365" i="4"/>
  <c r="G365" i="4" s="1"/>
  <c r="D365" i="4"/>
  <c r="C365" i="4"/>
  <c r="B365" i="4"/>
  <c r="A365" i="4"/>
  <c r="R364" i="4"/>
  <c r="Q364" i="4"/>
  <c r="O364" i="4"/>
  <c r="N364" i="4"/>
  <c r="P364" i="4" s="1"/>
  <c r="M364" i="4"/>
  <c r="L364" i="4"/>
  <c r="K364" i="4"/>
  <c r="J364" i="4"/>
  <c r="I364" i="4"/>
  <c r="H364" i="4"/>
  <c r="F364" i="4"/>
  <c r="E364" i="4"/>
  <c r="G364" i="4" s="1"/>
  <c r="C364" i="4"/>
  <c r="B364" i="4"/>
  <c r="D364" i="4" s="1"/>
  <c r="A364" i="4"/>
  <c r="S363" i="4"/>
  <c r="R363" i="4"/>
  <c r="Q363" i="4"/>
  <c r="O363" i="4"/>
  <c r="N363" i="4"/>
  <c r="P363" i="4" s="1"/>
  <c r="L363" i="4"/>
  <c r="K363" i="4"/>
  <c r="M363" i="4" s="1"/>
  <c r="J363" i="4"/>
  <c r="I363" i="4"/>
  <c r="H363" i="4"/>
  <c r="F363" i="4"/>
  <c r="G363" i="4" s="1"/>
  <c r="E363" i="4"/>
  <c r="C363" i="4"/>
  <c r="B363" i="4"/>
  <c r="A363" i="4"/>
  <c r="S362" i="4"/>
  <c r="R362" i="4"/>
  <c r="Q362" i="4"/>
  <c r="P362" i="4"/>
  <c r="O362" i="4"/>
  <c r="N362" i="4"/>
  <c r="L362" i="4"/>
  <c r="K362" i="4"/>
  <c r="M362" i="4" s="1"/>
  <c r="T362" i="4" s="1"/>
  <c r="I362" i="4"/>
  <c r="H362" i="4"/>
  <c r="J362" i="4" s="1"/>
  <c r="G362" i="4"/>
  <c r="F362" i="4"/>
  <c r="E362" i="4"/>
  <c r="C362" i="4"/>
  <c r="D362" i="4" s="1"/>
  <c r="B362" i="4"/>
  <c r="A362" i="4"/>
  <c r="R361" i="4"/>
  <c r="Q361" i="4"/>
  <c r="S361" i="4" s="1"/>
  <c r="P361" i="4"/>
  <c r="O361" i="4"/>
  <c r="N361" i="4"/>
  <c r="M361" i="4"/>
  <c r="L361" i="4"/>
  <c r="K361" i="4"/>
  <c r="I361" i="4"/>
  <c r="H361" i="4"/>
  <c r="F361" i="4"/>
  <c r="E361" i="4"/>
  <c r="G361" i="4" s="1"/>
  <c r="D361" i="4"/>
  <c r="C361" i="4"/>
  <c r="B361" i="4"/>
  <c r="A361" i="4"/>
  <c r="R360" i="4"/>
  <c r="Q360" i="4"/>
  <c r="O360" i="4"/>
  <c r="N360" i="4"/>
  <c r="P360" i="4" s="1"/>
  <c r="M360" i="4"/>
  <c r="L360" i="4"/>
  <c r="K360" i="4"/>
  <c r="J360" i="4"/>
  <c r="I360" i="4"/>
  <c r="H360" i="4"/>
  <c r="F360" i="4"/>
  <c r="E360" i="4"/>
  <c r="G360" i="4" s="1"/>
  <c r="C360" i="4"/>
  <c r="B360" i="4"/>
  <c r="D360" i="4" s="1"/>
  <c r="A360" i="4"/>
  <c r="S359" i="4"/>
  <c r="R359" i="4"/>
  <c r="Q359" i="4"/>
  <c r="O359" i="4"/>
  <c r="N359" i="4"/>
  <c r="P359" i="4" s="1"/>
  <c r="L359" i="4"/>
  <c r="K359" i="4"/>
  <c r="M359" i="4" s="1"/>
  <c r="J359" i="4"/>
  <c r="I359" i="4"/>
  <c r="H359" i="4"/>
  <c r="F359" i="4"/>
  <c r="G359" i="4" s="1"/>
  <c r="E359" i="4"/>
  <c r="C359" i="4"/>
  <c r="B359" i="4"/>
  <c r="A359" i="4"/>
  <c r="S358" i="4"/>
  <c r="R358" i="4"/>
  <c r="Q358" i="4"/>
  <c r="P358" i="4"/>
  <c r="O358" i="4"/>
  <c r="N358" i="4"/>
  <c r="L358" i="4"/>
  <c r="K358" i="4"/>
  <c r="M358" i="4" s="1"/>
  <c r="T358" i="4" s="1"/>
  <c r="I358" i="4"/>
  <c r="H358" i="4"/>
  <c r="J358" i="4" s="1"/>
  <c r="G358" i="4"/>
  <c r="F358" i="4"/>
  <c r="E358" i="4"/>
  <c r="C358" i="4"/>
  <c r="D358" i="4" s="1"/>
  <c r="B358" i="4"/>
  <c r="A358" i="4"/>
  <c r="R357" i="4"/>
  <c r="Q357" i="4"/>
  <c r="S357" i="4" s="1"/>
  <c r="P357" i="4"/>
  <c r="O357" i="4"/>
  <c r="N357" i="4"/>
  <c r="M357" i="4"/>
  <c r="L357" i="4"/>
  <c r="K357" i="4"/>
  <c r="I357" i="4"/>
  <c r="H357" i="4"/>
  <c r="F357" i="4"/>
  <c r="E357" i="4"/>
  <c r="G357" i="4" s="1"/>
  <c r="D357" i="4"/>
  <c r="C357" i="4"/>
  <c r="B357" i="4"/>
  <c r="A357" i="4"/>
  <c r="R356" i="4"/>
  <c r="Q356" i="4"/>
  <c r="O356" i="4"/>
  <c r="N356" i="4"/>
  <c r="P356" i="4" s="1"/>
  <c r="M356" i="4"/>
  <c r="L356" i="4"/>
  <c r="K356" i="4"/>
  <c r="J356" i="4"/>
  <c r="I356" i="4"/>
  <c r="H356" i="4"/>
  <c r="F356" i="4"/>
  <c r="E356" i="4"/>
  <c r="G356" i="4" s="1"/>
  <c r="C356" i="4"/>
  <c r="B356" i="4"/>
  <c r="D356" i="4" s="1"/>
  <c r="A356" i="4"/>
  <c r="S355" i="4"/>
  <c r="R355" i="4"/>
  <c r="Q355" i="4"/>
  <c r="O355" i="4"/>
  <c r="N355" i="4"/>
  <c r="P355" i="4" s="1"/>
  <c r="L355" i="4"/>
  <c r="K355" i="4"/>
  <c r="M355" i="4" s="1"/>
  <c r="J355" i="4"/>
  <c r="I355" i="4"/>
  <c r="H355" i="4"/>
  <c r="F355" i="4"/>
  <c r="G355" i="4" s="1"/>
  <c r="E355" i="4"/>
  <c r="C355" i="4"/>
  <c r="B355" i="4"/>
  <c r="A355" i="4"/>
  <c r="S354" i="4"/>
  <c r="R354" i="4"/>
  <c r="Q354" i="4"/>
  <c r="P354" i="4"/>
  <c r="O354" i="4"/>
  <c r="N354" i="4"/>
  <c r="L354" i="4"/>
  <c r="K354" i="4"/>
  <c r="M354" i="4" s="1"/>
  <c r="T354" i="4" s="1"/>
  <c r="I354" i="4"/>
  <c r="H354" i="4"/>
  <c r="J354" i="4" s="1"/>
  <c r="G354" i="4"/>
  <c r="F354" i="4"/>
  <c r="E354" i="4"/>
  <c r="C354" i="4"/>
  <c r="D354" i="4" s="1"/>
  <c r="B354" i="4"/>
  <c r="A354" i="4"/>
  <c r="R353" i="4"/>
  <c r="Q353" i="4"/>
  <c r="S353" i="4" s="1"/>
  <c r="P353" i="4"/>
  <c r="O353" i="4"/>
  <c r="N353" i="4"/>
  <c r="M353" i="4"/>
  <c r="L353" i="4"/>
  <c r="K353" i="4"/>
  <c r="I353" i="4"/>
  <c r="H353" i="4"/>
  <c r="F353" i="4"/>
  <c r="E353" i="4"/>
  <c r="G353" i="4" s="1"/>
  <c r="D353" i="4"/>
  <c r="C353" i="4"/>
  <c r="B353" i="4"/>
  <c r="A353" i="4"/>
  <c r="R352" i="4"/>
  <c r="Q352" i="4"/>
  <c r="O352" i="4"/>
  <c r="N352" i="4"/>
  <c r="P352" i="4" s="1"/>
  <c r="M352" i="4"/>
  <c r="L352" i="4"/>
  <c r="K352" i="4"/>
  <c r="J352" i="4"/>
  <c r="I352" i="4"/>
  <c r="H352" i="4"/>
  <c r="F352" i="4"/>
  <c r="E352" i="4"/>
  <c r="G352" i="4" s="1"/>
  <c r="C352" i="4"/>
  <c r="B352" i="4"/>
  <c r="D352" i="4" s="1"/>
  <c r="A352" i="4"/>
  <c r="S351" i="4"/>
  <c r="R351" i="4"/>
  <c r="Q351" i="4"/>
  <c r="O351" i="4"/>
  <c r="N351" i="4"/>
  <c r="P351" i="4" s="1"/>
  <c r="L351" i="4"/>
  <c r="K351" i="4"/>
  <c r="M351" i="4" s="1"/>
  <c r="J351" i="4"/>
  <c r="I351" i="4"/>
  <c r="H351" i="4"/>
  <c r="F351" i="4"/>
  <c r="G351" i="4" s="1"/>
  <c r="E351" i="4"/>
  <c r="C351" i="4"/>
  <c r="B351" i="4"/>
  <c r="A351" i="4"/>
  <c r="S350" i="4"/>
  <c r="R350" i="4"/>
  <c r="Q350" i="4"/>
  <c r="P350" i="4"/>
  <c r="O350" i="4"/>
  <c r="N350" i="4"/>
  <c r="L350" i="4"/>
  <c r="K350" i="4"/>
  <c r="M350" i="4" s="1"/>
  <c r="T350" i="4" s="1"/>
  <c r="I350" i="4"/>
  <c r="H350" i="4"/>
  <c r="J350" i="4" s="1"/>
  <c r="G350" i="4"/>
  <c r="F350" i="4"/>
  <c r="E350" i="4"/>
  <c r="C350" i="4"/>
  <c r="D350" i="4" s="1"/>
  <c r="B350" i="4"/>
  <c r="A350" i="4"/>
  <c r="R349" i="4"/>
  <c r="Q349" i="4"/>
  <c r="S349" i="4" s="1"/>
  <c r="P349" i="4"/>
  <c r="O349" i="4"/>
  <c r="N349" i="4"/>
  <c r="M349" i="4"/>
  <c r="L349" i="4"/>
  <c r="K349" i="4"/>
  <c r="I349" i="4"/>
  <c r="H349" i="4"/>
  <c r="F349" i="4"/>
  <c r="E349" i="4"/>
  <c r="G349" i="4" s="1"/>
  <c r="D349" i="4"/>
  <c r="C349" i="4"/>
  <c r="B349" i="4"/>
  <c r="A349" i="4"/>
  <c r="R348" i="4"/>
  <c r="Q348" i="4"/>
  <c r="O348" i="4"/>
  <c r="N348" i="4"/>
  <c r="P348" i="4" s="1"/>
  <c r="M348" i="4"/>
  <c r="L348" i="4"/>
  <c r="K348" i="4"/>
  <c r="J348" i="4"/>
  <c r="I348" i="4"/>
  <c r="H348" i="4"/>
  <c r="F348" i="4"/>
  <c r="E348" i="4"/>
  <c r="G348" i="4" s="1"/>
  <c r="C348" i="4"/>
  <c r="B348" i="4"/>
  <c r="D348" i="4" s="1"/>
  <c r="A348" i="4"/>
  <c r="S347" i="4"/>
  <c r="R347" i="4"/>
  <c r="Q347" i="4"/>
  <c r="O347" i="4"/>
  <c r="N347" i="4"/>
  <c r="P347" i="4" s="1"/>
  <c r="L347" i="4"/>
  <c r="K347" i="4"/>
  <c r="M347" i="4" s="1"/>
  <c r="J347" i="4"/>
  <c r="I347" i="4"/>
  <c r="H347" i="4"/>
  <c r="F347" i="4"/>
  <c r="G347" i="4" s="1"/>
  <c r="E347" i="4"/>
  <c r="C347" i="4"/>
  <c r="B347" i="4"/>
  <c r="A347" i="4"/>
  <c r="S346" i="4"/>
  <c r="R346" i="4"/>
  <c r="Q346" i="4"/>
  <c r="P346" i="4"/>
  <c r="O346" i="4"/>
  <c r="N346" i="4"/>
  <c r="L346" i="4"/>
  <c r="K346" i="4"/>
  <c r="M346" i="4" s="1"/>
  <c r="T346" i="4" s="1"/>
  <c r="I346" i="4"/>
  <c r="H346" i="4"/>
  <c r="J346" i="4" s="1"/>
  <c r="G346" i="4"/>
  <c r="F346" i="4"/>
  <c r="E346" i="4"/>
  <c r="C346" i="4"/>
  <c r="D346" i="4" s="1"/>
  <c r="B346" i="4"/>
  <c r="A346" i="4"/>
  <c r="R345" i="4"/>
  <c r="Q345" i="4"/>
  <c r="S345" i="4" s="1"/>
  <c r="P345" i="4"/>
  <c r="O345" i="4"/>
  <c r="N345" i="4"/>
  <c r="M345" i="4"/>
  <c r="L345" i="4"/>
  <c r="K345" i="4"/>
  <c r="I345" i="4"/>
  <c r="H345" i="4"/>
  <c r="F345" i="4"/>
  <c r="E345" i="4"/>
  <c r="G345" i="4" s="1"/>
  <c r="D345" i="4"/>
  <c r="C345" i="4"/>
  <c r="B345" i="4"/>
  <c r="A345" i="4"/>
  <c r="R344" i="4"/>
  <c r="Q344" i="4"/>
  <c r="O344" i="4"/>
  <c r="N344" i="4"/>
  <c r="P344" i="4" s="1"/>
  <c r="M344" i="4"/>
  <c r="L344" i="4"/>
  <c r="K344" i="4"/>
  <c r="J344" i="4"/>
  <c r="I344" i="4"/>
  <c r="H344" i="4"/>
  <c r="F344" i="4"/>
  <c r="E344" i="4"/>
  <c r="G344" i="4" s="1"/>
  <c r="C344" i="4"/>
  <c r="B344" i="4"/>
  <c r="D344" i="4" s="1"/>
  <c r="A344" i="4"/>
  <c r="S343" i="4"/>
  <c r="R343" i="4"/>
  <c r="Q343" i="4"/>
  <c r="O343" i="4"/>
  <c r="N343" i="4"/>
  <c r="P343" i="4" s="1"/>
  <c r="L343" i="4"/>
  <c r="K343" i="4"/>
  <c r="M343" i="4" s="1"/>
  <c r="J343" i="4"/>
  <c r="I343" i="4"/>
  <c r="H343" i="4"/>
  <c r="F343" i="4"/>
  <c r="G343" i="4" s="1"/>
  <c r="E343" i="4"/>
  <c r="C343" i="4"/>
  <c r="B343" i="4"/>
  <c r="A343" i="4"/>
  <c r="S342" i="4"/>
  <c r="R342" i="4"/>
  <c r="Q342" i="4"/>
  <c r="P342" i="4"/>
  <c r="O342" i="4"/>
  <c r="N342" i="4"/>
  <c r="L342" i="4"/>
  <c r="K342" i="4"/>
  <c r="M342" i="4" s="1"/>
  <c r="T342" i="4" s="1"/>
  <c r="I342" i="4"/>
  <c r="H342" i="4"/>
  <c r="J342" i="4" s="1"/>
  <c r="G342" i="4"/>
  <c r="F342" i="4"/>
  <c r="E342" i="4"/>
  <c r="C342" i="4"/>
  <c r="D342" i="4" s="1"/>
  <c r="B342" i="4"/>
  <c r="A342" i="4"/>
  <c r="R341" i="4"/>
  <c r="Q341" i="4"/>
  <c r="S341" i="4" s="1"/>
  <c r="P341" i="4"/>
  <c r="O341" i="4"/>
  <c r="N341" i="4"/>
  <c r="M341" i="4"/>
  <c r="L341" i="4"/>
  <c r="K341" i="4"/>
  <c r="I341" i="4"/>
  <c r="H341" i="4"/>
  <c r="F341" i="4"/>
  <c r="E341" i="4"/>
  <c r="G341" i="4" s="1"/>
  <c r="D341" i="4"/>
  <c r="C341" i="4"/>
  <c r="B341" i="4"/>
  <c r="A341" i="4"/>
  <c r="R340" i="4"/>
  <c r="Q340" i="4"/>
  <c r="O340" i="4"/>
  <c r="N340" i="4"/>
  <c r="P340" i="4" s="1"/>
  <c r="M340" i="4"/>
  <c r="L340" i="4"/>
  <c r="K340" i="4"/>
  <c r="J340" i="4"/>
  <c r="I340" i="4"/>
  <c r="H340" i="4"/>
  <c r="F340" i="4"/>
  <c r="E340" i="4"/>
  <c r="G340" i="4" s="1"/>
  <c r="C340" i="4"/>
  <c r="B340" i="4"/>
  <c r="D340" i="4" s="1"/>
  <c r="A340" i="4"/>
  <c r="S339" i="4"/>
  <c r="R339" i="4"/>
  <c r="Q339" i="4"/>
  <c r="O339" i="4"/>
  <c r="N339" i="4"/>
  <c r="P339" i="4" s="1"/>
  <c r="L339" i="4"/>
  <c r="K339" i="4"/>
  <c r="M339" i="4" s="1"/>
  <c r="J339" i="4"/>
  <c r="I339" i="4"/>
  <c r="H339" i="4"/>
  <c r="F339" i="4"/>
  <c r="G339" i="4" s="1"/>
  <c r="E339" i="4"/>
  <c r="C339" i="4"/>
  <c r="B339" i="4"/>
  <c r="A339" i="4"/>
  <c r="S338" i="4"/>
  <c r="R338" i="4"/>
  <c r="Q338" i="4"/>
  <c r="P338" i="4"/>
  <c r="O338" i="4"/>
  <c r="N338" i="4"/>
  <c r="L338" i="4"/>
  <c r="K338" i="4"/>
  <c r="M338" i="4" s="1"/>
  <c r="T338" i="4" s="1"/>
  <c r="I338" i="4"/>
  <c r="H338" i="4"/>
  <c r="J338" i="4" s="1"/>
  <c r="G338" i="4"/>
  <c r="F338" i="4"/>
  <c r="E338" i="4"/>
  <c r="C338" i="4"/>
  <c r="D338" i="4" s="1"/>
  <c r="B338" i="4"/>
  <c r="A338" i="4"/>
  <c r="R337" i="4"/>
  <c r="Q337" i="4"/>
  <c r="S337" i="4" s="1"/>
  <c r="P337" i="4"/>
  <c r="O337" i="4"/>
  <c r="N337" i="4"/>
  <c r="M337" i="4"/>
  <c r="L337" i="4"/>
  <c r="K337" i="4"/>
  <c r="I337" i="4"/>
  <c r="H337" i="4"/>
  <c r="F337" i="4"/>
  <c r="E337" i="4"/>
  <c r="G337" i="4" s="1"/>
  <c r="D337" i="4"/>
  <c r="C337" i="4"/>
  <c r="B337" i="4"/>
  <c r="A337" i="4"/>
  <c r="R336" i="4"/>
  <c r="Q336" i="4"/>
  <c r="O336" i="4"/>
  <c r="N336" i="4"/>
  <c r="P336" i="4" s="1"/>
  <c r="M336" i="4"/>
  <c r="L336" i="4"/>
  <c r="K336" i="4"/>
  <c r="J336" i="4"/>
  <c r="I336" i="4"/>
  <c r="H336" i="4"/>
  <c r="F336" i="4"/>
  <c r="E336" i="4"/>
  <c r="G336" i="4" s="1"/>
  <c r="C336" i="4"/>
  <c r="B336" i="4"/>
  <c r="D336" i="4" s="1"/>
  <c r="A336" i="4"/>
  <c r="S335" i="4"/>
  <c r="R335" i="4"/>
  <c r="Q335" i="4"/>
  <c r="O335" i="4"/>
  <c r="N335" i="4"/>
  <c r="P335" i="4" s="1"/>
  <c r="L335" i="4"/>
  <c r="K335" i="4"/>
  <c r="M335" i="4" s="1"/>
  <c r="J335" i="4"/>
  <c r="I335" i="4"/>
  <c r="H335" i="4"/>
  <c r="F335" i="4"/>
  <c r="G335" i="4" s="1"/>
  <c r="E335" i="4"/>
  <c r="C335" i="4"/>
  <c r="B335" i="4"/>
  <c r="A335" i="4"/>
  <c r="S334" i="4"/>
  <c r="R334" i="4"/>
  <c r="Q334" i="4"/>
  <c r="P334" i="4"/>
  <c r="O334" i="4"/>
  <c r="N334" i="4"/>
  <c r="L334" i="4"/>
  <c r="K334" i="4"/>
  <c r="M334" i="4" s="1"/>
  <c r="T334" i="4" s="1"/>
  <c r="I334" i="4"/>
  <c r="H334" i="4"/>
  <c r="J334" i="4" s="1"/>
  <c r="G334" i="4"/>
  <c r="F334" i="4"/>
  <c r="E334" i="4"/>
  <c r="C334" i="4"/>
  <c r="D334" i="4" s="1"/>
  <c r="B334" i="4"/>
  <c r="A334" i="4"/>
  <c r="R333" i="4"/>
  <c r="Q333" i="4"/>
  <c r="S333" i="4" s="1"/>
  <c r="P333" i="4"/>
  <c r="O333" i="4"/>
  <c r="N333" i="4"/>
  <c r="M333" i="4"/>
  <c r="L333" i="4"/>
  <c r="K333" i="4"/>
  <c r="I333" i="4"/>
  <c r="H333" i="4"/>
  <c r="F333" i="4"/>
  <c r="E333" i="4"/>
  <c r="G333" i="4" s="1"/>
  <c r="D333" i="4"/>
  <c r="C333" i="4"/>
  <c r="B333" i="4"/>
  <c r="A333" i="4"/>
  <c r="R332" i="4"/>
  <c r="Q332" i="4"/>
  <c r="O332" i="4"/>
  <c r="N332" i="4"/>
  <c r="P332" i="4" s="1"/>
  <c r="M332" i="4"/>
  <c r="L332" i="4"/>
  <c r="K332" i="4"/>
  <c r="J332" i="4"/>
  <c r="I332" i="4"/>
  <c r="H332" i="4"/>
  <c r="F332" i="4"/>
  <c r="E332" i="4"/>
  <c r="G332" i="4" s="1"/>
  <c r="C332" i="4"/>
  <c r="B332" i="4"/>
  <c r="D332" i="4" s="1"/>
  <c r="A332" i="4"/>
  <c r="S331" i="4"/>
  <c r="R331" i="4"/>
  <c r="Q331" i="4"/>
  <c r="O331" i="4"/>
  <c r="N331" i="4"/>
  <c r="P331" i="4" s="1"/>
  <c r="L331" i="4"/>
  <c r="K331" i="4"/>
  <c r="M331" i="4" s="1"/>
  <c r="J331" i="4"/>
  <c r="I331" i="4"/>
  <c r="H331" i="4"/>
  <c r="F331" i="4"/>
  <c r="G331" i="4" s="1"/>
  <c r="E331" i="4"/>
  <c r="C331" i="4"/>
  <c r="B331" i="4"/>
  <c r="A331" i="4"/>
  <c r="S330" i="4"/>
  <c r="R330" i="4"/>
  <c r="Q330" i="4"/>
  <c r="P330" i="4"/>
  <c r="O330" i="4"/>
  <c r="N330" i="4"/>
  <c r="L330" i="4"/>
  <c r="K330" i="4"/>
  <c r="M330" i="4" s="1"/>
  <c r="T330" i="4" s="1"/>
  <c r="I330" i="4"/>
  <c r="H330" i="4"/>
  <c r="J330" i="4" s="1"/>
  <c r="G330" i="4"/>
  <c r="F330" i="4"/>
  <c r="E330" i="4"/>
  <c r="C330" i="4"/>
  <c r="D330" i="4" s="1"/>
  <c r="B330" i="4"/>
  <c r="A330" i="4"/>
  <c r="R329" i="4"/>
  <c r="Q329" i="4"/>
  <c r="S329" i="4" s="1"/>
  <c r="P329" i="4"/>
  <c r="O329" i="4"/>
  <c r="N329" i="4"/>
  <c r="M329" i="4"/>
  <c r="L329" i="4"/>
  <c r="K329" i="4"/>
  <c r="I329" i="4"/>
  <c r="H329" i="4"/>
  <c r="F329" i="4"/>
  <c r="E329" i="4"/>
  <c r="G329" i="4" s="1"/>
  <c r="D329" i="4"/>
  <c r="C329" i="4"/>
  <c r="B329" i="4"/>
  <c r="A329" i="4"/>
  <c r="R328" i="4"/>
  <c r="Q328" i="4"/>
  <c r="O328" i="4"/>
  <c r="N328" i="4"/>
  <c r="P328" i="4" s="1"/>
  <c r="M328" i="4"/>
  <c r="L328" i="4"/>
  <c r="K328" i="4"/>
  <c r="J328" i="4"/>
  <c r="I328" i="4"/>
  <c r="H328" i="4"/>
  <c r="F328" i="4"/>
  <c r="E328" i="4"/>
  <c r="G328" i="4" s="1"/>
  <c r="C328" i="4"/>
  <c r="B328" i="4"/>
  <c r="D328" i="4" s="1"/>
  <c r="A328" i="4"/>
  <c r="S327" i="4"/>
  <c r="R327" i="4"/>
  <c r="Q327" i="4"/>
  <c r="O327" i="4"/>
  <c r="N327" i="4"/>
  <c r="P327" i="4" s="1"/>
  <c r="L327" i="4"/>
  <c r="K327" i="4"/>
  <c r="M327" i="4" s="1"/>
  <c r="J327" i="4"/>
  <c r="I327" i="4"/>
  <c r="H327" i="4"/>
  <c r="F327" i="4"/>
  <c r="G327" i="4" s="1"/>
  <c r="E327" i="4"/>
  <c r="C327" i="4"/>
  <c r="B327" i="4"/>
  <c r="A327" i="4"/>
  <c r="S326" i="4"/>
  <c r="R326" i="4"/>
  <c r="Q326" i="4"/>
  <c r="P326" i="4"/>
  <c r="O326" i="4"/>
  <c r="N326" i="4"/>
  <c r="L326" i="4"/>
  <c r="K326" i="4"/>
  <c r="M326" i="4" s="1"/>
  <c r="T326" i="4" s="1"/>
  <c r="I326" i="4"/>
  <c r="H326" i="4"/>
  <c r="J326" i="4" s="1"/>
  <c r="G326" i="4"/>
  <c r="F326" i="4"/>
  <c r="E326" i="4"/>
  <c r="C326" i="4"/>
  <c r="D326" i="4" s="1"/>
  <c r="B326" i="4"/>
  <c r="A326" i="4"/>
  <c r="R325" i="4"/>
  <c r="Q325" i="4"/>
  <c r="S325" i="4" s="1"/>
  <c r="P325" i="4"/>
  <c r="O325" i="4"/>
  <c r="N325" i="4"/>
  <c r="L325" i="4"/>
  <c r="M325" i="4" s="1"/>
  <c r="K325" i="4"/>
  <c r="I325" i="4"/>
  <c r="H325" i="4"/>
  <c r="F325" i="4"/>
  <c r="E325" i="4"/>
  <c r="G325" i="4" s="1"/>
  <c r="D325" i="4"/>
  <c r="C325" i="4"/>
  <c r="B325" i="4"/>
  <c r="A325" i="4"/>
  <c r="R324" i="4"/>
  <c r="Q324" i="4"/>
  <c r="O324" i="4"/>
  <c r="N324" i="4"/>
  <c r="P324" i="4" s="1"/>
  <c r="M324" i="4"/>
  <c r="L324" i="4"/>
  <c r="K324" i="4"/>
  <c r="J324" i="4"/>
  <c r="I324" i="4"/>
  <c r="H324" i="4"/>
  <c r="F324" i="4"/>
  <c r="E324" i="4"/>
  <c r="G324" i="4" s="1"/>
  <c r="C324" i="4"/>
  <c r="B324" i="4"/>
  <c r="D324" i="4" s="1"/>
  <c r="A324" i="4"/>
  <c r="S323" i="4"/>
  <c r="R323" i="4"/>
  <c r="Q323" i="4"/>
  <c r="O323" i="4"/>
  <c r="N323" i="4"/>
  <c r="P323" i="4" s="1"/>
  <c r="L323" i="4"/>
  <c r="K323" i="4"/>
  <c r="M323" i="4" s="1"/>
  <c r="J323" i="4"/>
  <c r="I323" i="4"/>
  <c r="H323" i="4"/>
  <c r="F323" i="4"/>
  <c r="G323" i="4" s="1"/>
  <c r="E323" i="4"/>
  <c r="C323" i="4"/>
  <c r="B323" i="4"/>
  <c r="D323" i="4" s="1"/>
  <c r="A323" i="4"/>
  <c r="S322" i="4"/>
  <c r="R322" i="4"/>
  <c r="Q322" i="4"/>
  <c r="P322" i="4"/>
  <c r="O322" i="4"/>
  <c r="N322" i="4"/>
  <c r="L322" i="4"/>
  <c r="K322" i="4"/>
  <c r="M322" i="4" s="1"/>
  <c r="I322" i="4"/>
  <c r="H322" i="4"/>
  <c r="J322" i="4" s="1"/>
  <c r="G322" i="4"/>
  <c r="F322" i="4"/>
  <c r="E322" i="4"/>
  <c r="C322" i="4"/>
  <c r="D322" i="4" s="1"/>
  <c r="T322" i="4" s="1"/>
  <c r="B322" i="4"/>
  <c r="A322" i="4"/>
  <c r="R321" i="4"/>
  <c r="Q321" i="4"/>
  <c r="S321" i="4" s="1"/>
  <c r="P321" i="4"/>
  <c r="O321" i="4"/>
  <c r="N321" i="4"/>
  <c r="L321" i="4"/>
  <c r="M321" i="4" s="1"/>
  <c r="K321" i="4"/>
  <c r="I321" i="4"/>
  <c r="H321" i="4"/>
  <c r="F321" i="4"/>
  <c r="E321" i="4"/>
  <c r="G321" i="4" s="1"/>
  <c r="D321" i="4"/>
  <c r="C321" i="4"/>
  <c r="B321" i="4"/>
  <c r="A321" i="4"/>
  <c r="R320" i="4"/>
  <c r="Q320" i="4"/>
  <c r="S320" i="4" s="1"/>
  <c r="O320" i="4"/>
  <c r="N320" i="4"/>
  <c r="P320" i="4" s="1"/>
  <c r="M320" i="4"/>
  <c r="L320" i="4"/>
  <c r="K320" i="4"/>
  <c r="J320" i="4"/>
  <c r="I320" i="4"/>
  <c r="H320" i="4"/>
  <c r="F320" i="4"/>
  <c r="E320" i="4"/>
  <c r="G320" i="4" s="1"/>
  <c r="C320" i="4"/>
  <c r="B320" i="4"/>
  <c r="D320" i="4" s="1"/>
  <c r="A320" i="4"/>
  <c r="S319" i="4"/>
  <c r="R319" i="4"/>
  <c r="Q319" i="4"/>
  <c r="O319" i="4"/>
  <c r="N319" i="4"/>
  <c r="P319" i="4" s="1"/>
  <c r="L319" i="4"/>
  <c r="K319" i="4"/>
  <c r="M319" i="4" s="1"/>
  <c r="J319" i="4"/>
  <c r="I319" i="4"/>
  <c r="H319" i="4"/>
  <c r="F319" i="4"/>
  <c r="G319" i="4" s="1"/>
  <c r="E319" i="4"/>
  <c r="C319" i="4"/>
  <c r="B319" i="4"/>
  <c r="D319" i="4" s="1"/>
  <c r="A319" i="4"/>
  <c r="S318" i="4"/>
  <c r="R318" i="4"/>
  <c r="Q318" i="4"/>
  <c r="P318" i="4"/>
  <c r="O318" i="4"/>
  <c r="N318" i="4"/>
  <c r="L318" i="4"/>
  <c r="K318" i="4"/>
  <c r="M318" i="4" s="1"/>
  <c r="I318" i="4"/>
  <c r="H318" i="4"/>
  <c r="J318" i="4" s="1"/>
  <c r="G318" i="4"/>
  <c r="F318" i="4"/>
  <c r="E318" i="4"/>
  <c r="C318" i="4"/>
  <c r="D318" i="4" s="1"/>
  <c r="T318" i="4" s="1"/>
  <c r="B318" i="4"/>
  <c r="A318" i="4"/>
  <c r="R317" i="4"/>
  <c r="Q317" i="4"/>
  <c r="S317" i="4" s="1"/>
  <c r="P317" i="4"/>
  <c r="O317" i="4"/>
  <c r="N317" i="4"/>
  <c r="L317" i="4"/>
  <c r="M317" i="4" s="1"/>
  <c r="K317" i="4"/>
  <c r="I317" i="4"/>
  <c r="H317" i="4"/>
  <c r="F317" i="4"/>
  <c r="E317" i="4"/>
  <c r="G317" i="4" s="1"/>
  <c r="D317" i="4"/>
  <c r="C317" i="4"/>
  <c r="B317" i="4"/>
  <c r="A317" i="4"/>
  <c r="R316" i="4"/>
  <c r="Q316" i="4"/>
  <c r="S316" i="4" s="1"/>
  <c r="O316" i="4"/>
  <c r="N316" i="4"/>
  <c r="P316" i="4" s="1"/>
  <c r="M316" i="4"/>
  <c r="L316" i="4"/>
  <c r="K316" i="4"/>
  <c r="J316" i="4"/>
  <c r="I316" i="4"/>
  <c r="H316" i="4"/>
  <c r="F316" i="4"/>
  <c r="E316" i="4"/>
  <c r="G316" i="4" s="1"/>
  <c r="C316" i="4"/>
  <c r="B316" i="4"/>
  <c r="D316" i="4" s="1"/>
  <c r="A316" i="4"/>
  <c r="S315" i="4"/>
  <c r="R315" i="4"/>
  <c r="Q315" i="4"/>
  <c r="O315" i="4"/>
  <c r="N315" i="4"/>
  <c r="P315" i="4" s="1"/>
  <c r="L315" i="4"/>
  <c r="K315" i="4"/>
  <c r="M315" i="4" s="1"/>
  <c r="J315" i="4"/>
  <c r="I315" i="4"/>
  <c r="H315" i="4"/>
  <c r="F315" i="4"/>
  <c r="G315" i="4" s="1"/>
  <c r="E315" i="4"/>
  <c r="C315" i="4"/>
  <c r="B315" i="4"/>
  <c r="D315" i="4" s="1"/>
  <c r="A315" i="4"/>
  <c r="S314" i="4"/>
  <c r="R314" i="4"/>
  <c r="Q314" i="4"/>
  <c r="P314" i="4"/>
  <c r="O314" i="4"/>
  <c r="N314" i="4"/>
  <c r="L314" i="4"/>
  <c r="K314" i="4"/>
  <c r="M314" i="4" s="1"/>
  <c r="T314" i="4" s="1"/>
  <c r="I314" i="4"/>
  <c r="H314" i="4"/>
  <c r="J314" i="4" s="1"/>
  <c r="G314" i="4"/>
  <c r="F314" i="4"/>
  <c r="E314" i="4"/>
  <c r="C314" i="4"/>
  <c r="D314" i="4" s="1"/>
  <c r="B314" i="4"/>
  <c r="A314" i="4"/>
  <c r="R313" i="4"/>
  <c r="Q313" i="4"/>
  <c r="S313" i="4" s="1"/>
  <c r="P313" i="4"/>
  <c r="O313" i="4"/>
  <c r="N313" i="4"/>
  <c r="L313" i="4"/>
  <c r="M313" i="4" s="1"/>
  <c r="K313" i="4"/>
  <c r="I313" i="4"/>
  <c r="H313" i="4"/>
  <c r="F313" i="4"/>
  <c r="E313" i="4"/>
  <c r="G313" i="4" s="1"/>
  <c r="D313" i="4"/>
  <c r="C313" i="4"/>
  <c r="B313" i="4"/>
  <c r="A313" i="4"/>
  <c r="R312" i="4"/>
  <c r="Q312" i="4"/>
  <c r="S312" i="4" s="1"/>
  <c r="O312" i="4"/>
  <c r="N312" i="4"/>
  <c r="P312" i="4" s="1"/>
  <c r="M312" i="4"/>
  <c r="L312" i="4"/>
  <c r="K312" i="4"/>
  <c r="J312" i="4"/>
  <c r="I312" i="4"/>
  <c r="H312" i="4"/>
  <c r="F312" i="4"/>
  <c r="E312" i="4"/>
  <c r="G312" i="4" s="1"/>
  <c r="C312" i="4"/>
  <c r="B312" i="4"/>
  <c r="D312" i="4" s="1"/>
  <c r="A312" i="4"/>
  <c r="S311" i="4"/>
  <c r="R311" i="4"/>
  <c r="Q311" i="4"/>
  <c r="O311" i="4"/>
  <c r="N311" i="4"/>
  <c r="P311" i="4" s="1"/>
  <c r="L311" i="4"/>
  <c r="K311" i="4"/>
  <c r="M311" i="4" s="1"/>
  <c r="J311" i="4"/>
  <c r="I311" i="4"/>
  <c r="H311" i="4"/>
  <c r="F311" i="4"/>
  <c r="G311" i="4" s="1"/>
  <c r="E311" i="4"/>
  <c r="C311" i="4"/>
  <c r="B311" i="4"/>
  <c r="D311" i="4" s="1"/>
  <c r="A311" i="4"/>
  <c r="S310" i="4"/>
  <c r="R310" i="4"/>
  <c r="Q310" i="4"/>
  <c r="P310" i="4"/>
  <c r="O310" i="4"/>
  <c r="N310" i="4"/>
  <c r="L310" i="4"/>
  <c r="K310" i="4"/>
  <c r="M310" i="4" s="1"/>
  <c r="T310" i="4" s="1"/>
  <c r="I310" i="4"/>
  <c r="H310" i="4"/>
  <c r="J310" i="4" s="1"/>
  <c r="G310" i="4"/>
  <c r="F310" i="4"/>
  <c r="E310" i="4"/>
  <c r="C310" i="4"/>
  <c r="D310" i="4" s="1"/>
  <c r="B310" i="4"/>
  <c r="A310" i="4"/>
  <c r="R309" i="4"/>
  <c r="Q309" i="4"/>
  <c r="S309" i="4" s="1"/>
  <c r="P309" i="4"/>
  <c r="O309" i="4"/>
  <c r="N309" i="4"/>
  <c r="L309" i="4"/>
  <c r="M309" i="4" s="1"/>
  <c r="K309" i="4"/>
  <c r="I309" i="4"/>
  <c r="H309" i="4"/>
  <c r="F309" i="4"/>
  <c r="E309" i="4"/>
  <c r="G309" i="4" s="1"/>
  <c r="D309" i="4"/>
  <c r="C309" i="4"/>
  <c r="B309" i="4"/>
  <c r="A309" i="4"/>
  <c r="R308" i="4"/>
  <c r="Q308" i="4"/>
  <c r="S308" i="4" s="1"/>
  <c r="O308" i="4"/>
  <c r="N308" i="4"/>
  <c r="P308" i="4" s="1"/>
  <c r="M308" i="4"/>
  <c r="L308" i="4"/>
  <c r="K308" i="4"/>
  <c r="J308" i="4"/>
  <c r="I308" i="4"/>
  <c r="H308" i="4"/>
  <c r="F308" i="4"/>
  <c r="E308" i="4"/>
  <c r="G308" i="4" s="1"/>
  <c r="C308" i="4"/>
  <c r="B308" i="4"/>
  <c r="D308" i="4" s="1"/>
  <c r="A308" i="4"/>
  <c r="S307" i="4"/>
  <c r="R307" i="4"/>
  <c r="Q307" i="4"/>
  <c r="O307" i="4"/>
  <c r="N307" i="4"/>
  <c r="P307" i="4" s="1"/>
  <c r="L307" i="4"/>
  <c r="K307" i="4"/>
  <c r="M307" i="4" s="1"/>
  <c r="J307" i="4"/>
  <c r="I307" i="4"/>
  <c r="H307" i="4"/>
  <c r="F307" i="4"/>
  <c r="G307" i="4" s="1"/>
  <c r="E307" i="4"/>
  <c r="C307" i="4"/>
  <c r="B307" i="4"/>
  <c r="D307" i="4" s="1"/>
  <c r="A307" i="4"/>
  <c r="S306" i="4"/>
  <c r="R306" i="4"/>
  <c r="Q306" i="4"/>
  <c r="P306" i="4"/>
  <c r="O306" i="4"/>
  <c r="N306" i="4"/>
  <c r="L306" i="4"/>
  <c r="K306" i="4"/>
  <c r="M306" i="4" s="1"/>
  <c r="I306" i="4"/>
  <c r="H306" i="4"/>
  <c r="J306" i="4" s="1"/>
  <c r="G306" i="4"/>
  <c r="F306" i="4"/>
  <c r="E306" i="4"/>
  <c r="C306" i="4"/>
  <c r="D306" i="4" s="1"/>
  <c r="T306" i="4" s="1"/>
  <c r="B306" i="4"/>
  <c r="A306" i="4"/>
  <c r="R305" i="4"/>
  <c r="Q305" i="4"/>
  <c r="S305" i="4" s="1"/>
  <c r="P305" i="4"/>
  <c r="O305" i="4"/>
  <c r="N305" i="4"/>
  <c r="L305" i="4"/>
  <c r="M305" i="4" s="1"/>
  <c r="K305" i="4"/>
  <c r="I305" i="4"/>
  <c r="H305" i="4"/>
  <c r="F305" i="4"/>
  <c r="E305" i="4"/>
  <c r="G305" i="4" s="1"/>
  <c r="D305" i="4"/>
  <c r="C305" i="4"/>
  <c r="B305" i="4"/>
  <c r="A305" i="4"/>
  <c r="R304" i="4"/>
  <c r="Q304" i="4"/>
  <c r="S304" i="4" s="1"/>
  <c r="O304" i="4"/>
  <c r="N304" i="4"/>
  <c r="P304" i="4" s="1"/>
  <c r="M304" i="4"/>
  <c r="L304" i="4"/>
  <c r="K304" i="4"/>
  <c r="J304" i="4"/>
  <c r="I304" i="4"/>
  <c r="H304" i="4"/>
  <c r="F304" i="4"/>
  <c r="E304" i="4"/>
  <c r="G304" i="4" s="1"/>
  <c r="C304" i="4"/>
  <c r="B304" i="4"/>
  <c r="D304" i="4" s="1"/>
  <c r="A304" i="4"/>
  <c r="S303" i="4"/>
  <c r="R303" i="4"/>
  <c r="Q303" i="4"/>
  <c r="O303" i="4"/>
  <c r="N303" i="4"/>
  <c r="P303" i="4" s="1"/>
  <c r="L303" i="4"/>
  <c r="K303" i="4"/>
  <c r="M303" i="4" s="1"/>
  <c r="J303" i="4"/>
  <c r="I303" i="4"/>
  <c r="H303" i="4"/>
  <c r="F303" i="4"/>
  <c r="G303" i="4" s="1"/>
  <c r="E303" i="4"/>
  <c r="C303" i="4"/>
  <c r="B303" i="4"/>
  <c r="D303" i="4" s="1"/>
  <c r="A303" i="4"/>
  <c r="S302" i="4"/>
  <c r="R302" i="4"/>
  <c r="Q302" i="4"/>
  <c r="P302" i="4"/>
  <c r="O302" i="4"/>
  <c r="N302" i="4"/>
  <c r="L302" i="4"/>
  <c r="K302" i="4"/>
  <c r="M302" i="4" s="1"/>
  <c r="I302" i="4"/>
  <c r="H302" i="4"/>
  <c r="J302" i="4" s="1"/>
  <c r="G302" i="4"/>
  <c r="F302" i="4"/>
  <c r="E302" i="4"/>
  <c r="C302" i="4"/>
  <c r="D302" i="4" s="1"/>
  <c r="T302" i="4" s="1"/>
  <c r="B302" i="4"/>
  <c r="A302" i="4"/>
  <c r="R301" i="4"/>
  <c r="Q301" i="4"/>
  <c r="S301" i="4" s="1"/>
  <c r="P301" i="4"/>
  <c r="O301" i="4"/>
  <c r="N301" i="4"/>
  <c r="L301" i="4"/>
  <c r="M301" i="4" s="1"/>
  <c r="K301" i="4"/>
  <c r="I301" i="4"/>
  <c r="H301" i="4"/>
  <c r="F301" i="4"/>
  <c r="E301" i="4"/>
  <c r="G301" i="4" s="1"/>
  <c r="D301" i="4"/>
  <c r="C301" i="4"/>
  <c r="B301" i="4"/>
  <c r="A301" i="4"/>
  <c r="R300" i="4"/>
  <c r="Q300" i="4"/>
  <c r="S300" i="4" s="1"/>
  <c r="O300" i="4"/>
  <c r="N300" i="4"/>
  <c r="P300" i="4" s="1"/>
  <c r="M300" i="4"/>
  <c r="L300" i="4"/>
  <c r="K300" i="4"/>
  <c r="J300" i="4"/>
  <c r="I300" i="4"/>
  <c r="H300" i="4"/>
  <c r="F300" i="4"/>
  <c r="E300" i="4"/>
  <c r="G300" i="4" s="1"/>
  <c r="C300" i="4"/>
  <c r="B300" i="4"/>
  <c r="D300" i="4" s="1"/>
  <c r="A300" i="4"/>
  <c r="S299" i="4"/>
  <c r="R299" i="4"/>
  <c r="Q299" i="4"/>
  <c r="O299" i="4"/>
  <c r="N299" i="4"/>
  <c r="P299" i="4" s="1"/>
  <c r="L299" i="4"/>
  <c r="K299" i="4"/>
  <c r="M299" i="4" s="1"/>
  <c r="J299" i="4"/>
  <c r="I299" i="4"/>
  <c r="H299" i="4"/>
  <c r="F299" i="4"/>
  <c r="G299" i="4" s="1"/>
  <c r="E299" i="4"/>
  <c r="C299" i="4"/>
  <c r="B299" i="4"/>
  <c r="D299" i="4" s="1"/>
  <c r="A299" i="4"/>
  <c r="S298" i="4"/>
  <c r="R298" i="4"/>
  <c r="Q298" i="4"/>
  <c r="P298" i="4"/>
  <c r="O298" i="4"/>
  <c r="N298" i="4"/>
  <c r="L298" i="4"/>
  <c r="K298" i="4"/>
  <c r="M298" i="4" s="1"/>
  <c r="T298" i="4" s="1"/>
  <c r="I298" i="4"/>
  <c r="H298" i="4"/>
  <c r="J298" i="4" s="1"/>
  <c r="G298" i="4"/>
  <c r="F298" i="4"/>
  <c r="E298" i="4"/>
  <c r="C298" i="4"/>
  <c r="D298" i="4" s="1"/>
  <c r="B298" i="4"/>
  <c r="A298" i="4"/>
  <c r="R297" i="4"/>
  <c r="Q297" i="4"/>
  <c r="S297" i="4" s="1"/>
  <c r="P297" i="4"/>
  <c r="O297" i="4"/>
  <c r="N297" i="4"/>
  <c r="L297" i="4"/>
  <c r="M297" i="4" s="1"/>
  <c r="K297" i="4"/>
  <c r="I297" i="4"/>
  <c r="H297" i="4"/>
  <c r="F297" i="4"/>
  <c r="E297" i="4"/>
  <c r="G297" i="4" s="1"/>
  <c r="D297" i="4"/>
  <c r="C297" i="4"/>
  <c r="B297" i="4"/>
  <c r="A297" i="4"/>
  <c r="R296" i="4"/>
  <c r="Q296" i="4"/>
  <c r="S296" i="4" s="1"/>
  <c r="O296" i="4"/>
  <c r="N296" i="4"/>
  <c r="P296" i="4" s="1"/>
  <c r="M296" i="4"/>
  <c r="L296" i="4"/>
  <c r="K296" i="4"/>
  <c r="J296" i="4"/>
  <c r="I296" i="4"/>
  <c r="H296" i="4"/>
  <c r="F296" i="4"/>
  <c r="E296" i="4"/>
  <c r="G296" i="4" s="1"/>
  <c r="C296" i="4"/>
  <c r="B296" i="4"/>
  <c r="D296" i="4" s="1"/>
  <c r="A296" i="4"/>
  <c r="S295" i="4"/>
  <c r="R295" i="4"/>
  <c r="Q295" i="4"/>
  <c r="O295" i="4"/>
  <c r="N295" i="4"/>
  <c r="P295" i="4" s="1"/>
  <c r="L295" i="4"/>
  <c r="K295" i="4"/>
  <c r="M295" i="4" s="1"/>
  <c r="J295" i="4"/>
  <c r="I295" i="4"/>
  <c r="H295" i="4"/>
  <c r="F295" i="4"/>
  <c r="G295" i="4" s="1"/>
  <c r="E295" i="4"/>
  <c r="C295" i="4"/>
  <c r="B295" i="4"/>
  <c r="D295" i="4" s="1"/>
  <c r="A295" i="4"/>
  <c r="S294" i="4"/>
  <c r="R294" i="4"/>
  <c r="Q294" i="4"/>
  <c r="P294" i="4"/>
  <c r="O294" i="4"/>
  <c r="N294" i="4"/>
  <c r="L294" i="4"/>
  <c r="K294" i="4"/>
  <c r="M294" i="4" s="1"/>
  <c r="T294" i="4" s="1"/>
  <c r="I294" i="4"/>
  <c r="H294" i="4"/>
  <c r="J294" i="4" s="1"/>
  <c r="G294" i="4"/>
  <c r="F294" i="4"/>
  <c r="E294" i="4"/>
  <c r="C294" i="4"/>
  <c r="D294" i="4" s="1"/>
  <c r="B294" i="4"/>
  <c r="A294" i="4"/>
  <c r="R293" i="4"/>
  <c r="Q293" i="4"/>
  <c r="S293" i="4" s="1"/>
  <c r="P293" i="4"/>
  <c r="O293" i="4"/>
  <c r="N293" i="4"/>
  <c r="L293" i="4"/>
  <c r="M293" i="4" s="1"/>
  <c r="K293" i="4"/>
  <c r="I293" i="4"/>
  <c r="H293" i="4"/>
  <c r="F293" i="4"/>
  <c r="E293" i="4"/>
  <c r="G293" i="4" s="1"/>
  <c r="D293" i="4"/>
  <c r="C293" i="4"/>
  <c r="B293" i="4"/>
  <c r="A293" i="4"/>
  <c r="R292" i="4"/>
  <c r="Q292" i="4"/>
  <c r="S292" i="4" s="1"/>
  <c r="O292" i="4"/>
  <c r="N292" i="4"/>
  <c r="P292" i="4" s="1"/>
  <c r="M292" i="4"/>
  <c r="L292" i="4"/>
  <c r="K292" i="4"/>
  <c r="J292" i="4"/>
  <c r="I292" i="4"/>
  <c r="H292" i="4"/>
  <c r="F292" i="4"/>
  <c r="E292" i="4"/>
  <c r="G292" i="4" s="1"/>
  <c r="C292" i="4"/>
  <c r="B292" i="4"/>
  <c r="D292" i="4" s="1"/>
  <c r="A292" i="4"/>
  <c r="S291" i="4"/>
  <c r="R291" i="4"/>
  <c r="Q291" i="4"/>
  <c r="O291" i="4"/>
  <c r="N291" i="4"/>
  <c r="P291" i="4" s="1"/>
  <c r="L291" i="4"/>
  <c r="K291" i="4"/>
  <c r="M291" i="4" s="1"/>
  <c r="J291" i="4"/>
  <c r="I291" i="4"/>
  <c r="H291" i="4"/>
  <c r="F291" i="4"/>
  <c r="G291" i="4" s="1"/>
  <c r="E291" i="4"/>
  <c r="C291" i="4"/>
  <c r="B291" i="4"/>
  <c r="D291" i="4" s="1"/>
  <c r="A291" i="4"/>
  <c r="S290" i="4"/>
  <c r="R290" i="4"/>
  <c r="Q290" i="4"/>
  <c r="P290" i="4"/>
  <c r="O290" i="4"/>
  <c r="N290" i="4"/>
  <c r="L290" i="4"/>
  <c r="K290" i="4"/>
  <c r="M290" i="4" s="1"/>
  <c r="I290" i="4"/>
  <c r="H290" i="4"/>
  <c r="J290" i="4" s="1"/>
  <c r="G290" i="4"/>
  <c r="F290" i="4"/>
  <c r="E290" i="4"/>
  <c r="C290" i="4"/>
  <c r="D290" i="4" s="1"/>
  <c r="T290" i="4" s="1"/>
  <c r="B290" i="4"/>
  <c r="A290" i="4"/>
  <c r="R289" i="4"/>
  <c r="Q289" i="4"/>
  <c r="S289" i="4" s="1"/>
  <c r="P289" i="4"/>
  <c r="O289" i="4"/>
  <c r="N289" i="4"/>
  <c r="L289" i="4"/>
  <c r="M289" i="4" s="1"/>
  <c r="K289" i="4"/>
  <c r="I289" i="4"/>
  <c r="H289" i="4"/>
  <c r="F289" i="4"/>
  <c r="E289" i="4"/>
  <c r="G289" i="4" s="1"/>
  <c r="D289" i="4"/>
  <c r="C289" i="4"/>
  <c r="B289" i="4"/>
  <c r="A289" i="4"/>
  <c r="R288" i="4"/>
  <c r="Q288" i="4"/>
  <c r="S288" i="4" s="1"/>
  <c r="O288" i="4"/>
  <c r="N288" i="4"/>
  <c r="P288" i="4" s="1"/>
  <c r="M288" i="4"/>
  <c r="L288" i="4"/>
  <c r="K288" i="4"/>
  <c r="J288" i="4"/>
  <c r="I288" i="4"/>
  <c r="H288" i="4"/>
  <c r="F288" i="4"/>
  <c r="E288" i="4"/>
  <c r="G288" i="4" s="1"/>
  <c r="C288" i="4"/>
  <c r="B288" i="4"/>
  <c r="D288" i="4" s="1"/>
  <c r="A288" i="4"/>
  <c r="S287" i="4"/>
  <c r="R287" i="4"/>
  <c r="Q287" i="4"/>
  <c r="O287" i="4"/>
  <c r="N287" i="4"/>
  <c r="P287" i="4" s="1"/>
  <c r="L287" i="4"/>
  <c r="K287" i="4"/>
  <c r="M287" i="4" s="1"/>
  <c r="J287" i="4"/>
  <c r="I287" i="4"/>
  <c r="H287" i="4"/>
  <c r="F287" i="4"/>
  <c r="G287" i="4" s="1"/>
  <c r="E287" i="4"/>
  <c r="C287" i="4"/>
  <c r="B287" i="4"/>
  <c r="D287" i="4" s="1"/>
  <c r="A287" i="4"/>
  <c r="S286" i="4"/>
  <c r="R286" i="4"/>
  <c r="Q286" i="4"/>
  <c r="P286" i="4"/>
  <c r="O286" i="4"/>
  <c r="N286" i="4"/>
  <c r="L286" i="4"/>
  <c r="K286" i="4"/>
  <c r="M286" i="4" s="1"/>
  <c r="I286" i="4"/>
  <c r="H286" i="4"/>
  <c r="J286" i="4" s="1"/>
  <c r="G286" i="4"/>
  <c r="F286" i="4"/>
  <c r="E286" i="4"/>
  <c r="C286" i="4"/>
  <c r="D286" i="4" s="1"/>
  <c r="T286" i="4" s="1"/>
  <c r="B286" i="4"/>
  <c r="A286" i="4"/>
  <c r="R285" i="4"/>
  <c r="Q285" i="4"/>
  <c r="S285" i="4" s="1"/>
  <c r="P285" i="4"/>
  <c r="O285" i="4"/>
  <c r="N285" i="4"/>
  <c r="L285" i="4"/>
  <c r="M285" i="4" s="1"/>
  <c r="K285" i="4"/>
  <c r="I285" i="4"/>
  <c r="H285" i="4"/>
  <c r="F285" i="4"/>
  <c r="E285" i="4"/>
  <c r="G285" i="4" s="1"/>
  <c r="D285" i="4"/>
  <c r="C285" i="4"/>
  <c r="B285" i="4"/>
  <c r="A285" i="4"/>
  <c r="R284" i="4"/>
  <c r="Q284" i="4"/>
  <c r="S284" i="4" s="1"/>
  <c r="O284" i="4"/>
  <c r="N284" i="4"/>
  <c r="P284" i="4" s="1"/>
  <c r="M284" i="4"/>
  <c r="L284" i="4"/>
  <c r="K284" i="4"/>
  <c r="J284" i="4"/>
  <c r="I284" i="4"/>
  <c r="H284" i="4"/>
  <c r="F284" i="4"/>
  <c r="E284" i="4"/>
  <c r="G284" i="4" s="1"/>
  <c r="C284" i="4"/>
  <c r="B284" i="4"/>
  <c r="D284" i="4" s="1"/>
  <c r="A284" i="4"/>
  <c r="S283" i="4"/>
  <c r="R283" i="4"/>
  <c r="Q283" i="4"/>
  <c r="O283" i="4"/>
  <c r="N283" i="4"/>
  <c r="P283" i="4" s="1"/>
  <c r="L283" i="4"/>
  <c r="K283" i="4"/>
  <c r="M283" i="4" s="1"/>
  <c r="J283" i="4"/>
  <c r="I283" i="4"/>
  <c r="H283" i="4"/>
  <c r="F283" i="4"/>
  <c r="G283" i="4" s="1"/>
  <c r="E283" i="4"/>
  <c r="C283" i="4"/>
  <c r="B283" i="4"/>
  <c r="D283" i="4" s="1"/>
  <c r="A283" i="4"/>
  <c r="S282" i="4"/>
  <c r="R282" i="4"/>
  <c r="Q282" i="4"/>
  <c r="P282" i="4"/>
  <c r="O282" i="4"/>
  <c r="N282" i="4"/>
  <c r="L282" i="4"/>
  <c r="K282" i="4"/>
  <c r="M282" i="4" s="1"/>
  <c r="T282" i="4" s="1"/>
  <c r="I282" i="4"/>
  <c r="H282" i="4"/>
  <c r="J282" i="4" s="1"/>
  <c r="G282" i="4"/>
  <c r="F282" i="4"/>
  <c r="E282" i="4"/>
  <c r="C282" i="4"/>
  <c r="D282" i="4" s="1"/>
  <c r="B282" i="4"/>
  <c r="A282" i="4"/>
  <c r="R281" i="4"/>
  <c r="Q281" i="4"/>
  <c r="S281" i="4" s="1"/>
  <c r="P281" i="4"/>
  <c r="O281" i="4"/>
  <c r="N281" i="4"/>
  <c r="L281" i="4"/>
  <c r="M281" i="4" s="1"/>
  <c r="K281" i="4"/>
  <c r="I281" i="4"/>
  <c r="H281" i="4"/>
  <c r="F281" i="4"/>
  <c r="E281" i="4"/>
  <c r="G281" i="4" s="1"/>
  <c r="D281" i="4"/>
  <c r="C281" i="4"/>
  <c r="B281" i="4"/>
  <c r="A281" i="4"/>
  <c r="R280" i="4"/>
  <c r="Q280" i="4"/>
  <c r="S280" i="4" s="1"/>
  <c r="O280" i="4"/>
  <c r="N280" i="4"/>
  <c r="P280" i="4" s="1"/>
  <c r="M280" i="4"/>
  <c r="L280" i="4"/>
  <c r="K280" i="4"/>
  <c r="J280" i="4"/>
  <c r="I280" i="4"/>
  <c r="H280" i="4"/>
  <c r="F280" i="4"/>
  <c r="E280" i="4"/>
  <c r="G280" i="4" s="1"/>
  <c r="C280" i="4"/>
  <c r="B280" i="4"/>
  <c r="D280" i="4" s="1"/>
  <c r="A280" i="4"/>
  <c r="S279" i="4"/>
  <c r="R279" i="4"/>
  <c r="Q279" i="4"/>
  <c r="O279" i="4"/>
  <c r="N279" i="4"/>
  <c r="P279" i="4" s="1"/>
  <c r="L279" i="4"/>
  <c r="K279" i="4"/>
  <c r="M279" i="4" s="1"/>
  <c r="J279" i="4"/>
  <c r="I279" i="4"/>
  <c r="H279" i="4"/>
  <c r="F279" i="4"/>
  <c r="G279" i="4" s="1"/>
  <c r="E279" i="4"/>
  <c r="C279" i="4"/>
  <c r="B279" i="4"/>
  <c r="D279" i="4" s="1"/>
  <c r="A279" i="4"/>
  <c r="S278" i="4"/>
  <c r="R278" i="4"/>
  <c r="Q278" i="4"/>
  <c r="P278" i="4"/>
  <c r="O278" i="4"/>
  <c r="N278" i="4"/>
  <c r="L278" i="4"/>
  <c r="K278" i="4"/>
  <c r="M278" i="4" s="1"/>
  <c r="T278" i="4" s="1"/>
  <c r="I278" i="4"/>
  <c r="H278" i="4"/>
  <c r="J278" i="4" s="1"/>
  <c r="G278" i="4"/>
  <c r="F278" i="4"/>
  <c r="E278" i="4"/>
  <c r="C278" i="4"/>
  <c r="D278" i="4" s="1"/>
  <c r="B278" i="4"/>
  <c r="A278" i="4"/>
  <c r="R277" i="4"/>
  <c r="Q277" i="4"/>
  <c r="S277" i="4" s="1"/>
  <c r="P277" i="4"/>
  <c r="O277" i="4"/>
  <c r="N277" i="4"/>
  <c r="L277" i="4"/>
  <c r="M277" i="4" s="1"/>
  <c r="K277" i="4"/>
  <c r="I277" i="4"/>
  <c r="H277" i="4"/>
  <c r="F277" i="4"/>
  <c r="E277" i="4"/>
  <c r="G277" i="4" s="1"/>
  <c r="D277" i="4"/>
  <c r="C277" i="4"/>
  <c r="B277" i="4"/>
  <c r="A277" i="4"/>
  <c r="R276" i="4"/>
  <c r="Q276" i="4"/>
  <c r="S276" i="4" s="1"/>
  <c r="O276" i="4"/>
  <c r="N276" i="4"/>
  <c r="P276" i="4" s="1"/>
  <c r="M276" i="4"/>
  <c r="L276" i="4"/>
  <c r="K276" i="4"/>
  <c r="J276" i="4"/>
  <c r="I276" i="4"/>
  <c r="H276" i="4"/>
  <c r="F276" i="4"/>
  <c r="E276" i="4"/>
  <c r="G276" i="4" s="1"/>
  <c r="C276" i="4"/>
  <c r="B276" i="4"/>
  <c r="D276" i="4" s="1"/>
  <c r="A276" i="4"/>
  <c r="S275" i="4"/>
  <c r="R275" i="4"/>
  <c r="Q275" i="4"/>
  <c r="O275" i="4"/>
  <c r="N275" i="4"/>
  <c r="P275" i="4" s="1"/>
  <c r="L275" i="4"/>
  <c r="K275" i="4"/>
  <c r="M275" i="4" s="1"/>
  <c r="J275" i="4"/>
  <c r="I275" i="4"/>
  <c r="H275" i="4"/>
  <c r="F275" i="4"/>
  <c r="G275" i="4" s="1"/>
  <c r="E275" i="4"/>
  <c r="C275" i="4"/>
  <c r="B275" i="4"/>
  <c r="D275" i="4" s="1"/>
  <c r="A275" i="4"/>
  <c r="S274" i="4"/>
  <c r="R274" i="4"/>
  <c r="Q274" i="4"/>
  <c r="P274" i="4"/>
  <c r="O274" i="4"/>
  <c r="N274" i="4"/>
  <c r="L274" i="4"/>
  <c r="K274" i="4"/>
  <c r="M274" i="4" s="1"/>
  <c r="I274" i="4"/>
  <c r="H274" i="4"/>
  <c r="J274" i="4" s="1"/>
  <c r="G274" i="4"/>
  <c r="F274" i="4"/>
  <c r="E274" i="4"/>
  <c r="C274" i="4"/>
  <c r="D274" i="4" s="1"/>
  <c r="T274" i="4" s="1"/>
  <c r="B274" i="4"/>
  <c r="A274" i="4"/>
  <c r="R273" i="4"/>
  <c r="Q273" i="4"/>
  <c r="S273" i="4" s="1"/>
  <c r="P273" i="4"/>
  <c r="O273" i="4"/>
  <c r="N273" i="4"/>
  <c r="L273" i="4"/>
  <c r="M273" i="4" s="1"/>
  <c r="K273" i="4"/>
  <c r="I273" i="4"/>
  <c r="H273" i="4"/>
  <c r="F273" i="4"/>
  <c r="E273" i="4"/>
  <c r="G273" i="4" s="1"/>
  <c r="D273" i="4"/>
  <c r="C273" i="4"/>
  <c r="B273" i="4"/>
  <c r="A273" i="4"/>
  <c r="R272" i="4"/>
  <c r="Q272" i="4"/>
  <c r="S272" i="4" s="1"/>
  <c r="O272" i="4"/>
  <c r="N272" i="4"/>
  <c r="P272" i="4" s="1"/>
  <c r="M272" i="4"/>
  <c r="L272" i="4"/>
  <c r="K272" i="4"/>
  <c r="J272" i="4"/>
  <c r="I272" i="4"/>
  <c r="H272" i="4"/>
  <c r="F272" i="4"/>
  <c r="E272" i="4"/>
  <c r="G272" i="4" s="1"/>
  <c r="C272" i="4"/>
  <c r="B272" i="4"/>
  <c r="D272" i="4" s="1"/>
  <c r="A272" i="4"/>
  <c r="S271" i="4"/>
  <c r="R271" i="4"/>
  <c r="Q271" i="4"/>
  <c r="O271" i="4"/>
  <c r="N271" i="4"/>
  <c r="P271" i="4" s="1"/>
  <c r="L271" i="4"/>
  <c r="K271" i="4"/>
  <c r="M271" i="4" s="1"/>
  <c r="J271" i="4"/>
  <c r="I271" i="4"/>
  <c r="H271" i="4"/>
  <c r="F271" i="4"/>
  <c r="G271" i="4" s="1"/>
  <c r="E271" i="4"/>
  <c r="C271" i="4"/>
  <c r="B271" i="4"/>
  <c r="D271" i="4" s="1"/>
  <c r="A271" i="4"/>
  <c r="S270" i="4"/>
  <c r="R270" i="4"/>
  <c r="Q270" i="4"/>
  <c r="P270" i="4"/>
  <c r="O270" i="4"/>
  <c r="N270" i="4"/>
  <c r="L270" i="4"/>
  <c r="K270" i="4"/>
  <c r="M270" i="4" s="1"/>
  <c r="I270" i="4"/>
  <c r="H270" i="4"/>
  <c r="J270" i="4" s="1"/>
  <c r="G270" i="4"/>
  <c r="F270" i="4"/>
  <c r="E270" i="4"/>
  <c r="C270" i="4"/>
  <c r="D270" i="4" s="1"/>
  <c r="T270" i="4" s="1"/>
  <c r="B270" i="4"/>
  <c r="A270" i="4"/>
  <c r="R269" i="4"/>
  <c r="Q269" i="4"/>
  <c r="S269" i="4" s="1"/>
  <c r="P269" i="4"/>
  <c r="O269" i="4"/>
  <c r="N269" i="4"/>
  <c r="L269" i="4"/>
  <c r="M269" i="4" s="1"/>
  <c r="K269" i="4"/>
  <c r="I269" i="4"/>
  <c r="H269" i="4"/>
  <c r="F269" i="4"/>
  <c r="E269" i="4"/>
  <c r="G269" i="4" s="1"/>
  <c r="D269" i="4"/>
  <c r="C269" i="4"/>
  <c r="B269" i="4"/>
  <c r="A269" i="4"/>
  <c r="R268" i="4"/>
  <c r="Q268" i="4"/>
  <c r="S268" i="4" s="1"/>
  <c r="O268" i="4"/>
  <c r="N268" i="4"/>
  <c r="P268" i="4" s="1"/>
  <c r="M268" i="4"/>
  <c r="L268" i="4"/>
  <c r="K268" i="4"/>
  <c r="J268" i="4"/>
  <c r="I268" i="4"/>
  <c r="H268" i="4"/>
  <c r="F268" i="4"/>
  <c r="E268" i="4"/>
  <c r="G268" i="4" s="1"/>
  <c r="C268" i="4"/>
  <c r="B268" i="4"/>
  <c r="D268" i="4" s="1"/>
  <c r="A268" i="4"/>
  <c r="S267" i="4"/>
  <c r="R267" i="4"/>
  <c r="Q267" i="4"/>
  <c r="O267" i="4"/>
  <c r="N267" i="4"/>
  <c r="P267" i="4" s="1"/>
  <c r="L267" i="4"/>
  <c r="K267" i="4"/>
  <c r="M267" i="4" s="1"/>
  <c r="J267" i="4"/>
  <c r="I267" i="4"/>
  <c r="H267" i="4"/>
  <c r="F267" i="4"/>
  <c r="G267" i="4" s="1"/>
  <c r="E267" i="4"/>
  <c r="C267" i="4"/>
  <c r="B267" i="4"/>
  <c r="D267" i="4" s="1"/>
  <c r="A267" i="4"/>
  <c r="S266" i="4"/>
  <c r="R266" i="4"/>
  <c r="Q266" i="4"/>
  <c r="P266" i="4"/>
  <c r="O266" i="4"/>
  <c r="N266" i="4"/>
  <c r="L266" i="4"/>
  <c r="K266" i="4"/>
  <c r="M266" i="4" s="1"/>
  <c r="T266" i="4" s="1"/>
  <c r="I266" i="4"/>
  <c r="H266" i="4"/>
  <c r="J266" i="4" s="1"/>
  <c r="G266" i="4"/>
  <c r="F266" i="4"/>
  <c r="E266" i="4"/>
  <c r="C266" i="4"/>
  <c r="D266" i="4" s="1"/>
  <c r="B266" i="4"/>
  <c r="A266" i="4"/>
  <c r="R265" i="4"/>
  <c r="Q265" i="4"/>
  <c r="S265" i="4" s="1"/>
  <c r="P265" i="4"/>
  <c r="O265" i="4"/>
  <c r="N265" i="4"/>
  <c r="L265" i="4"/>
  <c r="M265" i="4" s="1"/>
  <c r="K265" i="4"/>
  <c r="I265" i="4"/>
  <c r="H265" i="4"/>
  <c r="F265" i="4"/>
  <c r="E265" i="4"/>
  <c r="G265" i="4" s="1"/>
  <c r="D265" i="4"/>
  <c r="C265" i="4"/>
  <c r="B265" i="4"/>
  <c r="A265" i="4"/>
  <c r="R264" i="4"/>
  <c r="Q264" i="4"/>
  <c r="S264" i="4" s="1"/>
  <c r="O264" i="4"/>
  <c r="N264" i="4"/>
  <c r="P264" i="4" s="1"/>
  <c r="M264" i="4"/>
  <c r="L264" i="4"/>
  <c r="K264" i="4"/>
  <c r="J264" i="4"/>
  <c r="I264" i="4"/>
  <c r="H264" i="4"/>
  <c r="F264" i="4"/>
  <c r="E264" i="4"/>
  <c r="G264" i="4" s="1"/>
  <c r="C264" i="4"/>
  <c r="B264" i="4"/>
  <c r="D264" i="4" s="1"/>
  <c r="A264" i="4"/>
  <c r="S263" i="4"/>
  <c r="R263" i="4"/>
  <c r="Q263" i="4"/>
  <c r="O263" i="4"/>
  <c r="N263" i="4"/>
  <c r="P263" i="4" s="1"/>
  <c r="L263" i="4"/>
  <c r="K263" i="4"/>
  <c r="M263" i="4" s="1"/>
  <c r="J263" i="4"/>
  <c r="I263" i="4"/>
  <c r="H263" i="4"/>
  <c r="F263" i="4"/>
  <c r="G263" i="4" s="1"/>
  <c r="E263" i="4"/>
  <c r="C263" i="4"/>
  <c r="B263" i="4"/>
  <c r="D263" i="4" s="1"/>
  <c r="A263" i="4"/>
  <c r="S262" i="4"/>
  <c r="R262" i="4"/>
  <c r="Q262" i="4"/>
  <c r="P262" i="4"/>
  <c r="O262" i="4"/>
  <c r="N262" i="4"/>
  <c r="L262" i="4"/>
  <c r="K262" i="4"/>
  <c r="M262" i="4" s="1"/>
  <c r="T262" i="4" s="1"/>
  <c r="I262" i="4"/>
  <c r="H262" i="4"/>
  <c r="J262" i="4" s="1"/>
  <c r="G262" i="4"/>
  <c r="F262" i="4"/>
  <c r="E262" i="4"/>
  <c r="C262" i="4"/>
  <c r="D262" i="4" s="1"/>
  <c r="B262" i="4"/>
  <c r="A262" i="4"/>
  <c r="R261" i="4"/>
  <c r="Q261" i="4"/>
  <c r="S261" i="4" s="1"/>
  <c r="P261" i="4"/>
  <c r="O261" i="4"/>
  <c r="N261" i="4"/>
  <c r="L261" i="4"/>
  <c r="M261" i="4" s="1"/>
  <c r="K261" i="4"/>
  <c r="I261" i="4"/>
  <c r="H261" i="4"/>
  <c r="F261" i="4"/>
  <c r="E261" i="4"/>
  <c r="G261" i="4" s="1"/>
  <c r="D261" i="4"/>
  <c r="C261" i="4"/>
  <c r="B261" i="4"/>
  <c r="A261" i="4"/>
  <c r="R260" i="4"/>
  <c r="Q260" i="4"/>
  <c r="S260" i="4" s="1"/>
  <c r="O260" i="4"/>
  <c r="N260" i="4"/>
  <c r="P260" i="4" s="1"/>
  <c r="M260" i="4"/>
  <c r="L260" i="4"/>
  <c r="K260" i="4"/>
  <c r="J260" i="4"/>
  <c r="I260" i="4"/>
  <c r="H260" i="4"/>
  <c r="F260" i="4"/>
  <c r="E260" i="4"/>
  <c r="G260" i="4" s="1"/>
  <c r="C260" i="4"/>
  <c r="B260" i="4"/>
  <c r="D260" i="4" s="1"/>
  <c r="A260" i="4"/>
  <c r="S259" i="4"/>
  <c r="R259" i="4"/>
  <c r="Q259" i="4"/>
  <c r="O259" i="4"/>
  <c r="N259" i="4"/>
  <c r="P259" i="4" s="1"/>
  <c r="L259" i="4"/>
  <c r="K259" i="4"/>
  <c r="M259" i="4" s="1"/>
  <c r="J259" i="4"/>
  <c r="I259" i="4"/>
  <c r="H259" i="4"/>
  <c r="F259" i="4"/>
  <c r="G259" i="4" s="1"/>
  <c r="E259" i="4"/>
  <c r="C259" i="4"/>
  <c r="B259" i="4"/>
  <c r="D259" i="4" s="1"/>
  <c r="A259" i="4"/>
  <c r="S258" i="4"/>
  <c r="R258" i="4"/>
  <c r="Q258" i="4"/>
  <c r="P258" i="4"/>
  <c r="O258" i="4"/>
  <c r="N258" i="4"/>
  <c r="L258" i="4"/>
  <c r="K258" i="4"/>
  <c r="M258" i="4" s="1"/>
  <c r="I258" i="4"/>
  <c r="H258" i="4"/>
  <c r="J258" i="4" s="1"/>
  <c r="G258" i="4"/>
  <c r="F258" i="4"/>
  <c r="E258" i="4"/>
  <c r="C258" i="4"/>
  <c r="D258" i="4" s="1"/>
  <c r="T258" i="4" s="1"/>
  <c r="B258" i="4"/>
  <c r="A258" i="4"/>
  <c r="R257" i="4"/>
  <c r="Q257" i="4"/>
  <c r="S257" i="4" s="1"/>
  <c r="P257" i="4"/>
  <c r="O257" i="4"/>
  <c r="N257" i="4"/>
  <c r="L257" i="4"/>
  <c r="M257" i="4" s="1"/>
  <c r="K257" i="4"/>
  <c r="I257" i="4"/>
  <c r="H257" i="4"/>
  <c r="F257" i="4"/>
  <c r="E257" i="4"/>
  <c r="G257" i="4" s="1"/>
  <c r="D257" i="4"/>
  <c r="C257" i="4"/>
  <c r="B257" i="4"/>
  <c r="A257" i="4"/>
  <c r="R256" i="4"/>
  <c r="Q256" i="4"/>
  <c r="S256" i="4" s="1"/>
  <c r="O256" i="4"/>
  <c r="N256" i="4"/>
  <c r="P256" i="4" s="1"/>
  <c r="M256" i="4"/>
  <c r="L256" i="4"/>
  <c r="K256" i="4"/>
  <c r="J256" i="4"/>
  <c r="I256" i="4"/>
  <c r="H256" i="4"/>
  <c r="F256" i="4"/>
  <c r="E256" i="4"/>
  <c r="G256" i="4" s="1"/>
  <c r="C256" i="4"/>
  <c r="B256" i="4"/>
  <c r="D256" i="4" s="1"/>
  <c r="A256" i="4"/>
  <c r="S255" i="4"/>
  <c r="R255" i="4"/>
  <c r="Q255" i="4"/>
  <c r="O255" i="4"/>
  <c r="N255" i="4"/>
  <c r="P255" i="4" s="1"/>
  <c r="L255" i="4"/>
  <c r="K255" i="4"/>
  <c r="M255" i="4" s="1"/>
  <c r="J255" i="4"/>
  <c r="I255" i="4"/>
  <c r="H255" i="4"/>
  <c r="F255" i="4"/>
  <c r="G255" i="4" s="1"/>
  <c r="E255" i="4"/>
  <c r="C255" i="4"/>
  <c r="B255" i="4"/>
  <c r="D255" i="4" s="1"/>
  <c r="A255" i="4"/>
  <c r="S254" i="4"/>
  <c r="R254" i="4"/>
  <c r="Q254" i="4"/>
  <c r="P254" i="4"/>
  <c r="O254" i="4"/>
  <c r="N254" i="4"/>
  <c r="L254" i="4"/>
  <c r="K254" i="4"/>
  <c r="M254" i="4" s="1"/>
  <c r="I254" i="4"/>
  <c r="H254" i="4"/>
  <c r="J254" i="4" s="1"/>
  <c r="G254" i="4"/>
  <c r="F254" i="4"/>
  <c r="E254" i="4"/>
  <c r="C254" i="4"/>
  <c r="D254" i="4" s="1"/>
  <c r="T254" i="4" s="1"/>
  <c r="B254" i="4"/>
  <c r="A254" i="4"/>
  <c r="R253" i="4"/>
  <c r="Q253" i="4"/>
  <c r="S253" i="4" s="1"/>
  <c r="P253" i="4"/>
  <c r="O253" i="4"/>
  <c r="N253" i="4"/>
  <c r="L253" i="4"/>
  <c r="M253" i="4" s="1"/>
  <c r="K253" i="4"/>
  <c r="I253" i="4"/>
  <c r="H253" i="4"/>
  <c r="F253" i="4"/>
  <c r="E253" i="4"/>
  <c r="G253" i="4" s="1"/>
  <c r="D253" i="4"/>
  <c r="C253" i="4"/>
  <c r="B253" i="4"/>
  <c r="A253" i="4"/>
  <c r="R252" i="4"/>
  <c r="Q252" i="4"/>
  <c r="S252" i="4" s="1"/>
  <c r="O252" i="4"/>
  <c r="N252" i="4"/>
  <c r="P252" i="4" s="1"/>
  <c r="M252" i="4"/>
  <c r="L252" i="4"/>
  <c r="K252" i="4"/>
  <c r="J252" i="4"/>
  <c r="I252" i="4"/>
  <c r="H252" i="4"/>
  <c r="F252" i="4"/>
  <c r="E252" i="4"/>
  <c r="G252" i="4" s="1"/>
  <c r="C252" i="4"/>
  <c r="B252" i="4"/>
  <c r="D252" i="4" s="1"/>
  <c r="A252" i="4"/>
  <c r="S251" i="4"/>
  <c r="R251" i="4"/>
  <c r="Q251" i="4"/>
  <c r="O251" i="4"/>
  <c r="N251" i="4"/>
  <c r="P251" i="4" s="1"/>
  <c r="L251" i="4"/>
  <c r="K251" i="4"/>
  <c r="M251" i="4" s="1"/>
  <c r="J251" i="4"/>
  <c r="I251" i="4"/>
  <c r="H251" i="4"/>
  <c r="F251" i="4"/>
  <c r="G251" i="4" s="1"/>
  <c r="E251" i="4"/>
  <c r="C251" i="4"/>
  <c r="B251" i="4"/>
  <c r="D251" i="4" s="1"/>
  <c r="A251" i="4"/>
  <c r="S250" i="4"/>
  <c r="R250" i="4"/>
  <c r="Q250" i="4"/>
  <c r="P250" i="4"/>
  <c r="O250" i="4"/>
  <c r="N250" i="4"/>
  <c r="L250" i="4"/>
  <c r="K250" i="4"/>
  <c r="M250" i="4" s="1"/>
  <c r="T250" i="4" s="1"/>
  <c r="I250" i="4"/>
  <c r="H250" i="4"/>
  <c r="J250" i="4" s="1"/>
  <c r="G250" i="4"/>
  <c r="F250" i="4"/>
  <c r="E250" i="4"/>
  <c r="C250" i="4"/>
  <c r="D250" i="4" s="1"/>
  <c r="B250" i="4"/>
  <c r="A250" i="4"/>
  <c r="R249" i="4"/>
  <c r="Q249" i="4"/>
  <c r="S249" i="4" s="1"/>
  <c r="P249" i="4"/>
  <c r="O249" i="4"/>
  <c r="N249" i="4"/>
  <c r="L249" i="4"/>
  <c r="M249" i="4" s="1"/>
  <c r="K249" i="4"/>
  <c r="I249" i="4"/>
  <c r="H249" i="4"/>
  <c r="F249" i="4"/>
  <c r="E249" i="4"/>
  <c r="G249" i="4" s="1"/>
  <c r="D249" i="4"/>
  <c r="C249" i="4"/>
  <c r="B249" i="4"/>
  <c r="A249" i="4"/>
  <c r="R248" i="4"/>
  <c r="Q248" i="4"/>
  <c r="S248" i="4" s="1"/>
  <c r="O248" i="4"/>
  <c r="N248" i="4"/>
  <c r="P248" i="4" s="1"/>
  <c r="M248" i="4"/>
  <c r="L248" i="4"/>
  <c r="K248" i="4"/>
  <c r="J248" i="4"/>
  <c r="I248" i="4"/>
  <c r="H248" i="4"/>
  <c r="F248" i="4"/>
  <c r="E248" i="4"/>
  <c r="G248" i="4" s="1"/>
  <c r="C248" i="4"/>
  <c r="B248" i="4"/>
  <c r="D248" i="4" s="1"/>
  <c r="A248" i="4"/>
  <c r="S247" i="4"/>
  <c r="R247" i="4"/>
  <c r="Q247" i="4"/>
  <c r="O247" i="4"/>
  <c r="N247" i="4"/>
  <c r="P247" i="4" s="1"/>
  <c r="L247" i="4"/>
  <c r="K247" i="4"/>
  <c r="M247" i="4" s="1"/>
  <c r="J247" i="4"/>
  <c r="I247" i="4"/>
  <c r="H247" i="4"/>
  <c r="F247" i="4"/>
  <c r="G247" i="4" s="1"/>
  <c r="E247" i="4"/>
  <c r="C247" i="4"/>
  <c r="B247" i="4"/>
  <c r="D247" i="4" s="1"/>
  <c r="A247" i="4"/>
  <c r="S246" i="4"/>
  <c r="R246" i="4"/>
  <c r="Q246" i="4"/>
  <c r="P246" i="4"/>
  <c r="O246" i="4"/>
  <c r="N246" i="4"/>
  <c r="L246" i="4"/>
  <c r="K246" i="4"/>
  <c r="M246" i="4" s="1"/>
  <c r="T246" i="4" s="1"/>
  <c r="I246" i="4"/>
  <c r="H246" i="4"/>
  <c r="J246" i="4" s="1"/>
  <c r="G246" i="4"/>
  <c r="F246" i="4"/>
  <c r="E246" i="4"/>
  <c r="C246" i="4"/>
  <c r="D246" i="4" s="1"/>
  <c r="B246" i="4"/>
  <c r="A246" i="4"/>
  <c r="R245" i="4"/>
  <c r="Q245" i="4"/>
  <c r="S245" i="4" s="1"/>
  <c r="P245" i="4"/>
  <c r="O245" i="4"/>
  <c r="N245" i="4"/>
  <c r="L245" i="4"/>
  <c r="M245" i="4" s="1"/>
  <c r="K245" i="4"/>
  <c r="I245" i="4"/>
  <c r="H245" i="4"/>
  <c r="F245" i="4"/>
  <c r="E245" i="4"/>
  <c r="G245" i="4" s="1"/>
  <c r="D245" i="4"/>
  <c r="C245" i="4"/>
  <c r="B245" i="4"/>
  <c r="A245" i="4"/>
  <c r="R244" i="4"/>
  <c r="Q244" i="4"/>
  <c r="S244" i="4" s="1"/>
  <c r="O244" i="4"/>
  <c r="N244" i="4"/>
  <c r="P244" i="4" s="1"/>
  <c r="M244" i="4"/>
  <c r="L244" i="4"/>
  <c r="K244" i="4"/>
  <c r="J244" i="4"/>
  <c r="I244" i="4"/>
  <c r="H244" i="4"/>
  <c r="F244" i="4"/>
  <c r="E244" i="4"/>
  <c r="G244" i="4" s="1"/>
  <c r="C244" i="4"/>
  <c r="B244" i="4"/>
  <c r="D244" i="4" s="1"/>
  <c r="A244" i="4"/>
  <c r="S243" i="4"/>
  <c r="R243" i="4"/>
  <c r="Q243" i="4"/>
  <c r="O243" i="4"/>
  <c r="N243" i="4"/>
  <c r="P243" i="4" s="1"/>
  <c r="L243" i="4"/>
  <c r="K243" i="4"/>
  <c r="M243" i="4" s="1"/>
  <c r="J243" i="4"/>
  <c r="I243" i="4"/>
  <c r="H243" i="4"/>
  <c r="F243" i="4"/>
  <c r="G243" i="4" s="1"/>
  <c r="E243" i="4"/>
  <c r="C243" i="4"/>
  <c r="B243" i="4"/>
  <c r="D243" i="4" s="1"/>
  <c r="A243" i="4"/>
  <c r="S242" i="4"/>
  <c r="R242" i="4"/>
  <c r="Q242" i="4"/>
  <c r="P242" i="4"/>
  <c r="O242" i="4"/>
  <c r="N242" i="4"/>
  <c r="L242" i="4"/>
  <c r="K242" i="4"/>
  <c r="M242" i="4" s="1"/>
  <c r="I242" i="4"/>
  <c r="H242" i="4"/>
  <c r="J242" i="4" s="1"/>
  <c r="G242" i="4"/>
  <c r="F242" i="4"/>
  <c r="E242" i="4"/>
  <c r="C242" i="4"/>
  <c r="D242" i="4" s="1"/>
  <c r="T242" i="4" s="1"/>
  <c r="B242" i="4"/>
  <c r="A242" i="4"/>
  <c r="R241" i="4"/>
  <c r="Q241" i="4"/>
  <c r="S241" i="4" s="1"/>
  <c r="P241" i="4"/>
  <c r="O241" i="4"/>
  <c r="N241" i="4"/>
  <c r="L241" i="4"/>
  <c r="M241" i="4" s="1"/>
  <c r="K241" i="4"/>
  <c r="I241" i="4"/>
  <c r="H241" i="4"/>
  <c r="F241" i="4"/>
  <c r="E241" i="4"/>
  <c r="G241" i="4" s="1"/>
  <c r="D241" i="4"/>
  <c r="C241" i="4"/>
  <c r="B241" i="4"/>
  <c r="A241" i="4"/>
  <c r="R240" i="4"/>
  <c r="Q240" i="4"/>
  <c r="S240" i="4" s="1"/>
  <c r="O240" i="4"/>
  <c r="N240" i="4"/>
  <c r="P240" i="4" s="1"/>
  <c r="M240" i="4"/>
  <c r="L240" i="4"/>
  <c r="K240" i="4"/>
  <c r="J240" i="4"/>
  <c r="I240" i="4"/>
  <c r="H240" i="4"/>
  <c r="F240" i="4"/>
  <c r="E240" i="4"/>
  <c r="G240" i="4" s="1"/>
  <c r="C240" i="4"/>
  <c r="B240" i="4"/>
  <c r="D240" i="4" s="1"/>
  <c r="A240" i="4"/>
  <c r="S239" i="4"/>
  <c r="R239" i="4"/>
  <c r="Q239" i="4"/>
  <c r="O239" i="4"/>
  <c r="N239" i="4"/>
  <c r="P239" i="4" s="1"/>
  <c r="L239" i="4"/>
  <c r="K239" i="4"/>
  <c r="M239" i="4" s="1"/>
  <c r="J239" i="4"/>
  <c r="I239" i="4"/>
  <c r="H239" i="4"/>
  <c r="F239" i="4"/>
  <c r="G239" i="4" s="1"/>
  <c r="E239" i="4"/>
  <c r="C239" i="4"/>
  <c r="B239" i="4"/>
  <c r="D239" i="4" s="1"/>
  <c r="A239" i="4"/>
  <c r="S238" i="4"/>
  <c r="R238" i="4"/>
  <c r="Q238" i="4"/>
  <c r="P238" i="4"/>
  <c r="O238" i="4"/>
  <c r="N238" i="4"/>
  <c r="L238" i="4"/>
  <c r="K238" i="4"/>
  <c r="M238" i="4" s="1"/>
  <c r="I238" i="4"/>
  <c r="H238" i="4"/>
  <c r="J238" i="4" s="1"/>
  <c r="G238" i="4"/>
  <c r="F238" i="4"/>
  <c r="E238" i="4"/>
  <c r="C238" i="4"/>
  <c r="D238" i="4" s="1"/>
  <c r="T238" i="4" s="1"/>
  <c r="B238" i="4"/>
  <c r="A238" i="4"/>
  <c r="R237" i="4"/>
  <c r="Q237" i="4"/>
  <c r="S237" i="4" s="1"/>
  <c r="P237" i="4"/>
  <c r="O237" i="4"/>
  <c r="N237" i="4"/>
  <c r="L237" i="4"/>
  <c r="M237" i="4" s="1"/>
  <c r="K237" i="4"/>
  <c r="I237" i="4"/>
  <c r="H237" i="4"/>
  <c r="F237" i="4"/>
  <c r="E237" i="4"/>
  <c r="G237" i="4" s="1"/>
  <c r="D237" i="4"/>
  <c r="C237" i="4"/>
  <c r="B237" i="4"/>
  <c r="A237" i="4"/>
  <c r="R236" i="4"/>
  <c r="Q236" i="4"/>
  <c r="S236" i="4" s="1"/>
  <c r="O236" i="4"/>
  <c r="N236" i="4"/>
  <c r="P236" i="4" s="1"/>
  <c r="M236" i="4"/>
  <c r="L236" i="4"/>
  <c r="K236" i="4"/>
  <c r="J236" i="4"/>
  <c r="I236" i="4"/>
  <c r="H236" i="4"/>
  <c r="F236" i="4"/>
  <c r="E236" i="4"/>
  <c r="G236" i="4" s="1"/>
  <c r="C236" i="4"/>
  <c r="B236" i="4"/>
  <c r="D236" i="4" s="1"/>
  <c r="A236" i="4"/>
  <c r="S235" i="4"/>
  <c r="R235" i="4"/>
  <c r="Q235" i="4"/>
  <c r="O235" i="4"/>
  <c r="N235" i="4"/>
  <c r="P235" i="4" s="1"/>
  <c r="L235" i="4"/>
  <c r="K235" i="4"/>
  <c r="M235" i="4" s="1"/>
  <c r="J235" i="4"/>
  <c r="I235" i="4"/>
  <c r="H235" i="4"/>
  <c r="F235" i="4"/>
  <c r="G235" i="4" s="1"/>
  <c r="E235" i="4"/>
  <c r="C235" i="4"/>
  <c r="B235" i="4"/>
  <c r="D235" i="4" s="1"/>
  <c r="A235" i="4"/>
  <c r="S234" i="4"/>
  <c r="R234" i="4"/>
  <c r="Q234" i="4"/>
  <c r="P234" i="4"/>
  <c r="O234" i="4"/>
  <c r="N234" i="4"/>
  <c r="L234" i="4"/>
  <c r="K234" i="4"/>
  <c r="M234" i="4" s="1"/>
  <c r="T234" i="4" s="1"/>
  <c r="I234" i="4"/>
  <c r="H234" i="4"/>
  <c r="J234" i="4" s="1"/>
  <c r="G234" i="4"/>
  <c r="F234" i="4"/>
  <c r="E234" i="4"/>
  <c r="C234" i="4"/>
  <c r="D234" i="4" s="1"/>
  <c r="B234" i="4"/>
  <c r="A234" i="4"/>
  <c r="R233" i="4"/>
  <c r="Q233" i="4"/>
  <c r="S233" i="4" s="1"/>
  <c r="P233" i="4"/>
  <c r="O233" i="4"/>
  <c r="N233" i="4"/>
  <c r="L233" i="4"/>
  <c r="M233" i="4" s="1"/>
  <c r="K233" i="4"/>
  <c r="I233" i="4"/>
  <c r="H233" i="4"/>
  <c r="F233" i="4"/>
  <c r="E233" i="4"/>
  <c r="G233" i="4" s="1"/>
  <c r="D233" i="4"/>
  <c r="C233" i="4"/>
  <c r="B233" i="4"/>
  <c r="A233" i="4"/>
  <c r="R232" i="4"/>
  <c r="Q232" i="4"/>
  <c r="S232" i="4" s="1"/>
  <c r="O232" i="4"/>
  <c r="N232" i="4"/>
  <c r="P232" i="4" s="1"/>
  <c r="M232" i="4"/>
  <c r="L232" i="4"/>
  <c r="K232" i="4"/>
  <c r="J232" i="4"/>
  <c r="I232" i="4"/>
  <c r="H232" i="4"/>
  <c r="F232" i="4"/>
  <c r="E232" i="4"/>
  <c r="G232" i="4" s="1"/>
  <c r="C232" i="4"/>
  <c r="B232" i="4"/>
  <c r="D232" i="4" s="1"/>
  <c r="A232" i="4"/>
  <c r="S231" i="4"/>
  <c r="R231" i="4"/>
  <c r="Q231" i="4"/>
  <c r="O231" i="4"/>
  <c r="N231" i="4"/>
  <c r="P231" i="4" s="1"/>
  <c r="L231" i="4"/>
  <c r="K231" i="4"/>
  <c r="M231" i="4" s="1"/>
  <c r="J231" i="4"/>
  <c r="I231" i="4"/>
  <c r="H231" i="4"/>
  <c r="F231" i="4"/>
  <c r="G231" i="4" s="1"/>
  <c r="E231" i="4"/>
  <c r="C231" i="4"/>
  <c r="B231" i="4"/>
  <c r="D231" i="4" s="1"/>
  <c r="A231" i="4"/>
  <c r="S230" i="4"/>
  <c r="R230" i="4"/>
  <c r="Q230" i="4"/>
  <c r="P230" i="4"/>
  <c r="O230" i="4"/>
  <c r="N230" i="4"/>
  <c r="L230" i="4"/>
  <c r="K230" i="4"/>
  <c r="M230" i="4" s="1"/>
  <c r="T230" i="4" s="1"/>
  <c r="I230" i="4"/>
  <c r="H230" i="4"/>
  <c r="J230" i="4" s="1"/>
  <c r="G230" i="4"/>
  <c r="F230" i="4"/>
  <c r="E230" i="4"/>
  <c r="C230" i="4"/>
  <c r="D230" i="4" s="1"/>
  <c r="B230" i="4"/>
  <c r="A230" i="4"/>
  <c r="R229" i="4"/>
  <c r="Q229" i="4"/>
  <c r="S229" i="4" s="1"/>
  <c r="P229" i="4"/>
  <c r="O229" i="4"/>
  <c r="N229" i="4"/>
  <c r="L229" i="4"/>
  <c r="M229" i="4" s="1"/>
  <c r="K229" i="4"/>
  <c r="I229" i="4"/>
  <c r="H229" i="4"/>
  <c r="F229" i="4"/>
  <c r="E229" i="4"/>
  <c r="G229" i="4" s="1"/>
  <c r="D229" i="4"/>
  <c r="C229" i="4"/>
  <c r="B229" i="4"/>
  <c r="A229" i="4"/>
  <c r="R228" i="4"/>
  <c r="Q228" i="4"/>
  <c r="S228" i="4" s="1"/>
  <c r="O228" i="4"/>
  <c r="N228" i="4"/>
  <c r="P228" i="4" s="1"/>
  <c r="M228" i="4"/>
  <c r="L228" i="4"/>
  <c r="K228" i="4"/>
  <c r="J228" i="4"/>
  <c r="I228" i="4"/>
  <c r="H228" i="4"/>
  <c r="F228" i="4"/>
  <c r="E228" i="4"/>
  <c r="G228" i="4" s="1"/>
  <c r="C228" i="4"/>
  <c r="B228" i="4"/>
  <c r="D228" i="4" s="1"/>
  <c r="A228" i="4"/>
  <c r="S227" i="4"/>
  <c r="R227" i="4"/>
  <c r="Q227" i="4"/>
  <c r="O227" i="4"/>
  <c r="N227" i="4"/>
  <c r="P227" i="4" s="1"/>
  <c r="L227" i="4"/>
  <c r="K227" i="4"/>
  <c r="M227" i="4" s="1"/>
  <c r="J227" i="4"/>
  <c r="I227" i="4"/>
  <c r="H227" i="4"/>
  <c r="F227" i="4"/>
  <c r="G227" i="4" s="1"/>
  <c r="E227" i="4"/>
  <c r="C227" i="4"/>
  <c r="B227" i="4"/>
  <c r="D227" i="4" s="1"/>
  <c r="A227" i="4"/>
  <c r="S226" i="4"/>
  <c r="R226" i="4"/>
  <c r="Q226" i="4"/>
  <c r="P226" i="4"/>
  <c r="O226" i="4"/>
  <c r="N226" i="4"/>
  <c r="L226" i="4"/>
  <c r="K226" i="4"/>
  <c r="M226" i="4" s="1"/>
  <c r="I226" i="4"/>
  <c r="H226" i="4"/>
  <c r="J226" i="4" s="1"/>
  <c r="G226" i="4"/>
  <c r="F226" i="4"/>
  <c r="E226" i="4"/>
  <c r="C226" i="4"/>
  <c r="D226" i="4" s="1"/>
  <c r="T226" i="4" s="1"/>
  <c r="B226" i="4"/>
  <c r="A226" i="4"/>
  <c r="R225" i="4"/>
  <c r="Q225" i="4"/>
  <c r="S225" i="4" s="1"/>
  <c r="P225" i="4"/>
  <c r="O225" i="4"/>
  <c r="N225" i="4"/>
  <c r="L225" i="4"/>
  <c r="M225" i="4" s="1"/>
  <c r="K225" i="4"/>
  <c r="I225" i="4"/>
  <c r="H225" i="4"/>
  <c r="F225" i="4"/>
  <c r="E225" i="4"/>
  <c r="G225" i="4" s="1"/>
  <c r="D225" i="4"/>
  <c r="C225" i="4"/>
  <c r="B225" i="4"/>
  <c r="A225" i="4"/>
  <c r="R224" i="4"/>
  <c r="Q224" i="4"/>
  <c r="S224" i="4" s="1"/>
  <c r="O224" i="4"/>
  <c r="N224" i="4"/>
  <c r="P224" i="4" s="1"/>
  <c r="M224" i="4"/>
  <c r="L224" i="4"/>
  <c r="K224" i="4"/>
  <c r="J224" i="4"/>
  <c r="I224" i="4"/>
  <c r="H224" i="4"/>
  <c r="F224" i="4"/>
  <c r="E224" i="4"/>
  <c r="G224" i="4" s="1"/>
  <c r="C224" i="4"/>
  <c r="B224" i="4"/>
  <c r="D224" i="4" s="1"/>
  <c r="A224" i="4"/>
  <c r="S223" i="4"/>
  <c r="R223" i="4"/>
  <c r="Q223" i="4"/>
  <c r="O223" i="4"/>
  <c r="N223" i="4"/>
  <c r="P223" i="4" s="1"/>
  <c r="L223" i="4"/>
  <c r="K223" i="4"/>
  <c r="M223" i="4" s="1"/>
  <c r="J223" i="4"/>
  <c r="I223" i="4"/>
  <c r="H223" i="4"/>
  <c r="F223" i="4"/>
  <c r="G223" i="4" s="1"/>
  <c r="E223" i="4"/>
  <c r="C223" i="4"/>
  <c r="B223" i="4"/>
  <c r="D223" i="4" s="1"/>
  <c r="A223" i="4"/>
  <c r="S222" i="4"/>
  <c r="R222" i="4"/>
  <c r="Q222" i="4"/>
  <c r="P222" i="4"/>
  <c r="O222" i="4"/>
  <c r="N222" i="4"/>
  <c r="L222" i="4"/>
  <c r="K222" i="4"/>
  <c r="M222" i="4" s="1"/>
  <c r="I222" i="4"/>
  <c r="H222" i="4"/>
  <c r="J222" i="4" s="1"/>
  <c r="G222" i="4"/>
  <c r="F222" i="4"/>
  <c r="E222" i="4"/>
  <c r="C222" i="4"/>
  <c r="D222" i="4" s="1"/>
  <c r="T222" i="4" s="1"/>
  <c r="B222" i="4"/>
  <c r="A222" i="4"/>
  <c r="R221" i="4"/>
  <c r="Q221" i="4"/>
  <c r="S221" i="4" s="1"/>
  <c r="P221" i="4"/>
  <c r="O221" i="4"/>
  <c r="N221" i="4"/>
  <c r="L221" i="4"/>
  <c r="M221" i="4" s="1"/>
  <c r="K221" i="4"/>
  <c r="I221" i="4"/>
  <c r="H221" i="4"/>
  <c r="F221" i="4"/>
  <c r="E221" i="4"/>
  <c r="G221" i="4" s="1"/>
  <c r="D221" i="4"/>
  <c r="C221" i="4"/>
  <c r="B221" i="4"/>
  <c r="A221" i="4"/>
  <c r="R220" i="4"/>
  <c r="Q220" i="4"/>
  <c r="S220" i="4" s="1"/>
  <c r="O220" i="4"/>
  <c r="N220" i="4"/>
  <c r="P220" i="4" s="1"/>
  <c r="M220" i="4"/>
  <c r="L220" i="4"/>
  <c r="K220" i="4"/>
  <c r="J220" i="4"/>
  <c r="I220" i="4"/>
  <c r="H220" i="4"/>
  <c r="F220" i="4"/>
  <c r="E220" i="4"/>
  <c r="G220" i="4" s="1"/>
  <c r="C220" i="4"/>
  <c r="B220" i="4"/>
  <c r="D220" i="4" s="1"/>
  <c r="A220" i="4"/>
  <c r="S219" i="4"/>
  <c r="R219" i="4"/>
  <c r="Q219" i="4"/>
  <c r="O219" i="4"/>
  <c r="N219" i="4"/>
  <c r="P219" i="4" s="1"/>
  <c r="L219" i="4"/>
  <c r="K219" i="4"/>
  <c r="M219" i="4" s="1"/>
  <c r="J219" i="4"/>
  <c r="I219" i="4"/>
  <c r="H219" i="4"/>
  <c r="F219" i="4"/>
  <c r="G219" i="4" s="1"/>
  <c r="E219" i="4"/>
  <c r="C219" i="4"/>
  <c r="B219" i="4"/>
  <c r="D219" i="4" s="1"/>
  <c r="A219" i="4"/>
  <c r="S218" i="4"/>
  <c r="R218" i="4"/>
  <c r="Q218" i="4"/>
  <c r="P218" i="4"/>
  <c r="O218" i="4"/>
  <c r="N218" i="4"/>
  <c r="L218" i="4"/>
  <c r="K218" i="4"/>
  <c r="M218" i="4" s="1"/>
  <c r="T218" i="4" s="1"/>
  <c r="I218" i="4"/>
  <c r="H218" i="4"/>
  <c r="J218" i="4" s="1"/>
  <c r="G218" i="4"/>
  <c r="F218" i="4"/>
  <c r="E218" i="4"/>
  <c r="C218" i="4"/>
  <c r="D218" i="4" s="1"/>
  <c r="B218" i="4"/>
  <c r="A218" i="4"/>
  <c r="R217" i="4"/>
  <c r="Q217" i="4"/>
  <c r="S217" i="4" s="1"/>
  <c r="P217" i="4"/>
  <c r="O217" i="4"/>
  <c r="N217" i="4"/>
  <c r="L217" i="4"/>
  <c r="M217" i="4" s="1"/>
  <c r="K217" i="4"/>
  <c r="I217" i="4"/>
  <c r="H217" i="4"/>
  <c r="F217" i="4"/>
  <c r="E217" i="4"/>
  <c r="G217" i="4" s="1"/>
  <c r="D217" i="4"/>
  <c r="C217" i="4"/>
  <c r="B217" i="4"/>
  <c r="A217" i="4"/>
  <c r="R216" i="4"/>
  <c r="Q216" i="4"/>
  <c r="S216" i="4" s="1"/>
  <c r="O216" i="4"/>
  <c r="N216" i="4"/>
  <c r="P216" i="4" s="1"/>
  <c r="M216" i="4"/>
  <c r="L216" i="4"/>
  <c r="K216" i="4"/>
  <c r="J216" i="4"/>
  <c r="I216" i="4"/>
  <c r="H216" i="4"/>
  <c r="F216" i="4"/>
  <c r="E216" i="4"/>
  <c r="G216" i="4" s="1"/>
  <c r="C216" i="4"/>
  <c r="B216" i="4"/>
  <c r="D216" i="4" s="1"/>
  <c r="A216" i="4"/>
  <c r="S215" i="4"/>
  <c r="R215" i="4"/>
  <c r="Q215" i="4"/>
  <c r="O215" i="4"/>
  <c r="N215" i="4"/>
  <c r="P215" i="4" s="1"/>
  <c r="L215" i="4"/>
  <c r="K215" i="4"/>
  <c r="M215" i="4" s="1"/>
  <c r="J215" i="4"/>
  <c r="I215" i="4"/>
  <c r="H215" i="4"/>
  <c r="F215" i="4"/>
  <c r="G215" i="4" s="1"/>
  <c r="E215" i="4"/>
  <c r="C215" i="4"/>
  <c r="B215" i="4"/>
  <c r="D215" i="4" s="1"/>
  <c r="A215" i="4"/>
  <c r="S214" i="4"/>
  <c r="R214" i="4"/>
  <c r="Q214" i="4"/>
  <c r="P214" i="4"/>
  <c r="O214" i="4"/>
  <c r="N214" i="4"/>
  <c r="L214" i="4"/>
  <c r="K214" i="4"/>
  <c r="M214" i="4" s="1"/>
  <c r="T214" i="4" s="1"/>
  <c r="I214" i="4"/>
  <c r="H214" i="4"/>
  <c r="J214" i="4" s="1"/>
  <c r="G214" i="4"/>
  <c r="F214" i="4"/>
  <c r="E214" i="4"/>
  <c r="C214" i="4"/>
  <c r="D214" i="4" s="1"/>
  <c r="B214" i="4"/>
  <c r="A214" i="4"/>
  <c r="R213" i="4"/>
  <c r="Q213" i="4"/>
  <c r="S213" i="4" s="1"/>
  <c r="P213" i="4"/>
  <c r="O213" i="4"/>
  <c r="N213" i="4"/>
  <c r="L213" i="4"/>
  <c r="M213" i="4" s="1"/>
  <c r="K213" i="4"/>
  <c r="I213" i="4"/>
  <c r="H213" i="4"/>
  <c r="F213" i="4"/>
  <c r="E213" i="4"/>
  <c r="G213" i="4" s="1"/>
  <c r="D213" i="4"/>
  <c r="C213" i="4"/>
  <c r="B213" i="4"/>
  <c r="A213" i="4"/>
  <c r="R212" i="4"/>
  <c r="Q212" i="4"/>
  <c r="S212" i="4" s="1"/>
  <c r="O212" i="4"/>
  <c r="N212" i="4"/>
  <c r="P212" i="4" s="1"/>
  <c r="M212" i="4"/>
  <c r="L212" i="4"/>
  <c r="K212" i="4"/>
  <c r="J212" i="4"/>
  <c r="I212" i="4"/>
  <c r="H212" i="4"/>
  <c r="F212" i="4"/>
  <c r="E212" i="4"/>
  <c r="G212" i="4" s="1"/>
  <c r="C212" i="4"/>
  <c r="B212" i="4"/>
  <c r="D212" i="4" s="1"/>
  <c r="A212" i="4"/>
  <c r="S211" i="4"/>
  <c r="R211" i="4"/>
  <c r="Q211" i="4"/>
  <c r="O211" i="4"/>
  <c r="N211" i="4"/>
  <c r="P211" i="4" s="1"/>
  <c r="L211" i="4"/>
  <c r="K211" i="4"/>
  <c r="M211" i="4" s="1"/>
  <c r="J211" i="4"/>
  <c r="I211" i="4"/>
  <c r="H211" i="4"/>
  <c r="F211" i="4"/>
  <c r="G211" i="4" s="1"/>
  <c r="E211" i="4"/>
  <c r="C211" i="4"/>
  <c r="B211" i="4"/>
  <c r="D211" i="4" s="1"/>
  <c r="A211" i="4"/>
  <c r="S210" i="4"/>
  <c r="R210" i="4"/>
  <c r="Q210" i="4"/>
  <c r="P210" i="4"/>
  <c r="O210" i="4"/>
  <c r="N210" i="4"/>
  <c r="L210" i="4"/>
  <c r="K210" i="4"/>
  <c r="M210" i="4" s="1"/>
  <c r="I210" i="4"/>
  <c r="H210" i="4"/>
  <c r="J210" i="4" s="1"/>
  <c r="G210" i="4"/>
  <c r="F210" i="4"/>
  <c r="E210" i="4"/>
  <c r="C210" i="4"/>
  <c r="D210" i="4" s="1"/>
  <c r="T210" i="4" s="1"/>
  <c r="B210" i="4"/>
  <c r="A210" i="4"/>
  <c r="R209" i="4"/>
  <c r="Q209" i="4"/>
  <c r="S209" i="4" s="1"/>
  <c r="P209" i="4"/>
  <c r="O209" i="4"/>
  <c r="N209" i="4"/>
  <c r="L209" i="4"/>
  <c r="M209" i="4" s="1"/>
  <c r="K209" i="4"/>
  <c r="I209" i="4"/>
  <c r="H209" i="4"/>
  <c r="F209" i="4"/>
  <c r="E209" i="4"/>
  <c r="G209" i="4" s="1"/>
  <c r="D209" i="4"/>
  <c r="C209" i="4"/>
  <c r="B209" i="4"/>
  <c r="A209" i="4"/>
  <c r="R208" i="4"/>
  <c r="Q208" i="4"/>
  <c r="S208" i="4" s="1"/>
  <c r="O208" i="4"/>
  <c r="N208" i="4"/>
  <c r="P208" i="4" s="1"/>
  <c r="M208" i="4"/>
  <c r="L208" i="4"/>
  <c r="K208" i="4"/>
  <c r="J208" i="4"/>
  <c r="I208" i="4"/>
  <c r="H208" i="4"/>
  <c r="F208" i="4"/>
  <c r="E208" i="4"/>
  <c r="G208" i="4" s="1"/>
  <c r="C208" i="4"/>
  <c r="B208" i="4"/>
  <c r="D208" i="4" s="1"/>
  <c r="A208" i="4"/>
  <c r="S207" i="4"/>
  <c r="R207" i="4"/>
  <c r="Q207" i="4"/>
  <c r="O207" i="4"/>
  <c r="N207" i="4"/>
  <c r="P207" i="4" s="1"/>
  <c r="L207" i="4"/>
  <c r="K207" i="4"/>
  <c r="M207" i="4" s="1"/>
  <c r="J207" i="4"/>
  <c r="I207" i="4"/>
  <c r="H207" i="4"/>
  <c r="F207" i="4"/>
  <c r="G207" i="4" s="1"/>
  <c r="E207" i="4"/>
  <c r="C207" i="4"/>
  <c r="B207" i="4"/>
  <c r="D207" i="4" s="1"/>
  <c r="A207" i="4"/>
  <c r="S206" i="4"/>
  <c r="R206" i="4"/>
  <c r="Q206" i="4"/>
  <c r="P206" i="4"/>
  <c r="O206" i="4"/>
  <c r="N206" i="4"/>
  <c r="L206" i="4"/>
  <c r="K206" i="4"/>
  <c r="M206" i="4" s="1"/>
  <c r="I206" i="4"/>
  <c r="H206" i="4"/>
  <c r="J206" i="4" s="1"/>
  <c r="G206" i="4"/>
  <c r="F206" i="4"/>
  <c r="E206" i="4"/>
  <c r="C206" i="4"/>
  <c r="D206" i="4" s="1"/>
  <c r="T206" i="4" s="1"/>
  <c r="B206" i="4"/>
  <c r="A206" i="4"/>
  <c r="R205" i="4"/>
  <c r="Q205" i="4"/>
  <c r="S205" i="4" s="1"/>
  <c r="P205" i="4"/>
  <c r="O205" i="4"/>
  <c r="N205" i="4"/>
  <c r="L205" i="4"/>
  <c r="M205" i="4" s="1"/>
  <c r="K205" i="4"/>
  <c r="I205" i="4"/>
  <c r="H205" i="4"/>
  <c r="F205" i="4"/>
  <c r="E205" i="4"/>
  <c r="G205" i="4" s="1"/>
  <c r="D205" i="4"/>
  <c r="C205" i="4"/>
  <c r="B205" i="4"/>
  <c r="A205" i="4"/>
  <c r="R204" i="4"/>
  <c r="Q204" i="4"/>
  <c r="S204" i="4" s="1"/>
  <c r="O204" i="4"/>
  <c r="N204" i="4"/>
  <c r="P204" i="4" s="1"/>
  <c r="M204" i="4"/>
  <c r="L204" i="4"/>
  <c r="K204" i="4"/>
  <c r="J204" i="4"/>
  <c r="I204" i="4"/>
  <c r="H204" i="4"/>
  <c r="F204" i="4"/>
  <c r="E204" i="4"/>
  <c r="G204" i="4" s="1"/>
  <c r="C204" i="4"/>
  <c r="B204" i="4"/>
  <c r="D204" i="4" s="1"/>
  <c r="A204" i="4"/>
  <c r="S203" i="4"/>
  <c r="R203" i="4"/>
  <c r="Q203" i="4"/>
  <c r="O203" i="4"/>
  <c r="N203" i="4"/>
  <c r="P203" i="4" s="1"/>
  <c r="L203" i="4"/>
  <c r="K203" i="4"/>
  <c r="M203" i="4" s="1"/>
  <c r="J203" i="4"/>
  <c r="I203" i="4"/>
  <c r="H203" i="4"/>
  <c r="F203" i="4"/>
  <c r="G203" i="4" s="1"/>
  <c r="E203" i="4"/>
  <c r="C203" i="4"/>
  <c r="B203" i="4"/>
  <c r="D203" i="4" s="1"/>
  <c r="A203" i="4"/>
  <c r="S202" i="4"/>
  <c r="R202" i="4"/>
  <c r="Q202" i="4"/>
  <c r="P202" i="4"/>
  <c r="O202" i="4"/>
  <c r="N202" i="4"/>
  <c r="L202" i="4"/>
  <c r="K202" i="4"/>
  <c r="M202" i="4" s="1"/>
  <c r="T202" i="4" s="1"/>
  <c r="I202" i="4"/>
  <c r="H202" i="4"/>
  <c r="J202" i="4" s="1"/>
  <c r="G202" i="4"/>
  <c r="F202" i="4"/>
  <c r="E202" i="4"/>
  <c r="C202" i="4"/>
  <c r="B202" i="4"/>
  <c r="D202" i="4" s="1"/>
  <c r="A202" i="4"/>
  <c r="S201" i="4"/>
  <c r="R201" i="4"/>
  <c r="Q201" i="4"/>
  <c r="O201" i="4"/>
  <c r="P201" i="4" s="1"/>
  <c r="N201" i="4"/>
  <c r="L201" i="4"/>
  <c r="K201" i="4"/>
  <c r="M201" i="4" s="1"/>
  <c r="I201" i="4"/>
  <c r="H201" i="4"/>
  <c r="J201" i="4" s="1"/>
  <c r="G201" i="4"/>
  <c r="F201" i="4"/>
  <c r="E201" i="4"/>
  <c r="C201" i="4"/>
  <c r="D201" i="4" s="1"/>
  <c r="B201" i="4"/>
  <c r="A201" i="4"/>
  <c r="R200" i="4"/>
  <c r="Q200" i="4"/>
  <c r="O200" i="4"/>
  <c r="N200" i="4"/>
  <c r="P200" i="4" s="1"/>
  <c r="L200" i="4"/>
  <c r="M200" i="4" s="1"/>
  <c r="K200" i="4"/>
  <c r="J200" i="4"/>
  <c r="I200" i="4"/>
  <c r="H200" i="4"/>
  <c r="F200" i="4"/>
  <c r="E200" i="4"/>
  <c r="G200" i="4" s="1"/>
  <c r="C200" i="4"/>
  <c r="B200" i="4"/>
  <c r="D200" i="4" s="1"/>
  <c r="A200" i="4"/>
  <c r="R199" i="4"/>
  <c r="Q199" i="4"/>
  <c r="S199" i="4" s="1"/>
  <c r="O199" i="4"/>
  <c r="N199" i="4"/>
  <c r="P199" i="4" s="1"/>
  <c r="M199" i="4"/>
  <c r="L199" i="4"/>
  <c r="K199" i="4"/>
  <c r="I199" i="4"/>
  <c r="J199" i="4" s="1"/>
  <c r="H199" i="4"/>
  <c r="F199" i="4"/>
  <c r="E199" i="4"/>
  <c r="G199" i="4" s="1"/>
  <c r="C199" i="4"/>
  <c r="B199" i="4"/>
  <c r="A199" i="4"/>
  <c r="S198" i="4"/>
  <c r="R198" i="4"/>
  <c r="Q198" i="4"/>
  <c r="O198" i="4"/>
  <c r="P198" i="4" s="1"/>
  <c r="N198" i="4"/>
  <c r="L198" i="4"/>
  <c r="K198" i="4"/>
  <c r="M198" i="4" s="1"/>
  <c r="J198" i="4"/>
  <c r="I198" i="4"/>
  <c r="H198" i="4"/>
  <c r="F198" i="4"/>
  <c r="G198" i="4" s="1"/>
  <c r="E198" i="4"/>
  <c r="C198" i="4"/>
  <c r="B198" i="4"/>
  <c r="D198" i="4" s="1"/>
  <c r="A198" i="4"/>
  <c r="S197" i="4"/>
  <c r="R197" i="4"/>
  <c r="Q197" i="4"/>
  <c r="O197" i="4"/>
  <c r="P197" i="4" s="1"/>
  <c r="N197" i="4"/>
  <c r="L197" i="4"/>
  <c r="K197" i="4"/>
  <c r="M197" i="4" s="1"/>
  <c r="I197" i="4"/>
  <c r="H197" i="4"/>
  <c r="J197" i="4" s="1"/>
  <c r="G197" i="4"/>
  <c r="F197" i="4"/>
  <c r="E197" i="4"/>
  <c r="C197" i="4"/>
  <c r="D197" i="4" s="1"/>
  <c r="T197" i="4" s="1"/>
  <c r="B197" i="4"/>
  <c r="A197" i="4"/>
  <c r="R196" i="4"/>
  <c r="Q196" i="4"/>
  <c r="O196" i="4"/>
  <c r="N196" i="4"/>
  <c r="P196" i="4" s="1"/>
  <c r="L196" i="4"/>
  <c r="M196" i="4" s="1"/>
  <c r="K196" i="4"/>
  <c r="J196" i="4"/>
  <c r="I196" i="4"/>
  <c r="H196" i="4"/>
  <c r="F196" i="4"/>
  <c r="E196" i="4"/>
  <c r="G196" i="4" s="1"/>
  <c r="C196" i="4"/>
  <c r="B196" i="4"/>
  <c r="D196" i="4" s="1"/>
  <c r="A196" i="4"/>
  <c r="R195" i="4"/>
  <c r="Q195" i="4"/>
  <c r="S195" i="4" s="1"/>
  <c r="O195" i="4"/>
  <c r="N195" i="4"/>
  <c r="P195" i="4" s="1"/>
  <c r="M195" i="4"/>
  <c r="L195" i="4"/>
  <c r="K195" i="4"/>
  <c r="I195" i="4"/>
  <c r="J195" i="4" s="1"/>
  <c r="H195" i="4"/>
  <c r="F195" i="4"/>
  <c r="E195" i="4"/>
  <c r="G195" i="4" s="1"/>
  <c r="C195" i="4"/>
  <c r="B195" i="4"/>
  <c r="D195" i="4" s="1"/>
  <c r="T195" i="4" s="1"/>
  <c r="A195" i="4"/>
  <c r="R194" i="4"/>
  <c r="S194" i="4" s="1"/>
  <c r="Q194" i="4"/>
  <c r="O194" i="4"/>
  <c r="N194" i="4"/>
  <c r="P194" i="4" s="1"/>
  <c r="L194" i="4"/>
  <c r="K194" i="4"/>
  <c r="M194" i="4" s="1"/>
  <c r="J194" i="4"/>
  <c r="I194" i="4"/>
  <c r="H194" i="4"/>
  <c r="F194" i="4"/>
  <c r="G194" i="4" s="1"/>
  <c r="E194" i="4"/>
  <c r="C194" i="4"/>
  <c r="B194" i="4"/>
  <c r="D194" i="4" s="1"/>
  <c r="A194" i="4"/>
  <c r="S193" i="4"/>
  <c r="R193" i="4"/>
  <c r="Q193" i="4"/>
  <c r="O193" i="4"/>
  <c r="P193" i="4" s="1"/>
  <c r="N193" i="4"/>
  <c r="L193" i="4"/>
  <c r="K193" i="4"/>
  <c r="M193" i="4" s="1"/>
  <c r="I193" i="4"/>
  <c r="H193" i="4"/>
  <c r="J193" i="4" s="1"/>
  <c r="G193" i="4"/>
  <c r="F193" i="4"/>
  <c r="E193" i="4"/>
  <c r="C193" i="4"/>
  <c r="D193" i="4" s="1"/>
  <c r="T193" i="4" s="1"/>
  <c r="B193" i="4"/>
  <c r="A193" i="4"/>
  <c r="R192" i="4"/>
  <c r="Q192" i="4"/>
  <c r="S192" i="4" s="1"/>
  <c r="P192" i="4"/>
  <c r="O192" i="4"/>
  <c r="N192" i="4"/>
  <c r="L192" i="4"/>
  <c r="M192" i="4" s="1"/>
  <c r="K192" i="4"/>
  <c r="I192" i="4"/>
  <c r="H192" i="4"/>
  <c r="J192" i="4" s="1"/>
  <c r="F192" i="4"/>
  <c r="E192" i="4"/>
  <c r="G192" i="4" s="1"/>
  <c r="D192" i="4"/>
  <c r="T192" i="4" s="1"/>
  <c r="C192" i="4"/>
  <c r="B192" i="4"/>
  <c r="A192" i="4"/>
  <c r="R191" i="4"/>
  <c r="Q191" i="4"/>
  <c r="S191" i="4" s="1"/>
  <c r="O191" i="4"/>
  <c r="N191" i="4"/>
  <c r="P191" i="4" s="1"/>
  <c r="M191" i="4"/>
  <c r="L191" i="4"/>
  <c r="K191" i="4"/>
  <c r="I191" i="4"/>
  <c r="J191" i="4" s="1"/>
  <c r="H191" i="4"/>
  <c r="F191" i="4"/>
  <c r="E191" i="4"/>
  <c r="G191" i="4" s="1"/>
  <c r="C191" i="4"/>
  <c r="B191" i="4"/>
  <c r="D191" i="4" s="1"/>
  <c r="T191" i="4" s="1"/>
  <c r="A191" i="4"/>
  <c r="R190" i="4"/>
  <c r="S190" i="4" s="1"/>
  <c r="Q190" i="4"/>
  <c r="O190" i="4"/>
  <c r="N190" i="4"/>
  <c r="P190" i="4" s="1"/>
  <c r="L190" i="4"/>
  <c r="K190" i="4"/>
  <c r="M190" i="4" s="1"/>
  <c r="J190" i="4"/>
  <c r="I190" i="4"/>
  <c r="H190" i="4"/>
  <c r="F190" i="4"/>
  <c r="G190" i="4" s="1"/>
  <c r="E190" i="4"/>
  <c r="C190" i="4"/>
  <c r="B190" i="4"/>
  <c r="D190" i="4" s="1"/>
  <c r="A190" i="4"/>
  <c r="S189" i="4"/>
  <c r="R189" i="4"/>
  <c r="Q189" i="4"/>
  <c r="O189" i="4"/>
  <c r="P189" i="4" s="1"/>
  <c r="N189" i="4"/>
  <c r="L189" i="4"/>
  <c r="K189" i="4"/>
  <c r="M189" i="4" s="1"/>
  <c r="I189" i="4"/>
  <c r="H189" i="4"/>
  <c r="J189" i="4" s="1"/>
  <c r="G189" i="4"/>
  <c r="F189" i="4"/>
  <c r="E189" i="4"/>
  <c r="C189" i="4"/>
  <c r="D189" i="4" s="1"/>
  <c r="T189" i="4" s="1"/>
  <c r="B189" i="4"/>
  <c r="A189" i="4"/>
  <c r="R188" i="4"/>
  <c r="Q188" i="4"/>
  <c r="S188" i="4" s="1"/>
  <c r="P188" i="4"/>
  <c r="O188" i="4"/>
  <c r="N188" i="4"/>
  <c r="L188" i="4"/>
  <c r="M188" i="4" s="1"/>
  <c r="K188" i="4"/>
  <c r="I188" i="4"/>
  <c r="H188" i="4"/>
  <c r="J188" i="4" s="1"/>
  <c r="F188" i="4"/>
  <c r="E188" i="4"/>
  <c r="G188" i="4" s="1"/>
  <c r="D188" i="4"/>
  <c r="T188" i="4" s="1"/>
  <c r="C188" i="4"/>
  <c r="B188" i="4"/>
  <c r="A188" i="4"/>
  <c r="R187" i="4"/>
  <c r="Q187" i="4"/>
  <c r="S187" i="4" s="1"/>
  <c r="O187" i="4"/>
  <c r="N187" i="4"/>
  <c r="P187" i="4" s="1"/>
  <c r="M187" i="4"/>
  <c r="L187" i="4"/>
  <c r="K187" i="4"/>
  <c r="I187" i="4"/>
  <c r="J187" i="4" s="1"/>
  <c r="H187" i="4"/>
  <c r="F187" i="4"/>
  <c r="E187" i="4"/>
  <c r="G187" i="4" s="1"/>
  <c r="C187" i="4"/>
  <c r="B187" i="4"/>
  <c r="D187" i="4" s="1"/>
  <c r="T187" i="4" s="1"/>
  <c r="A187" i="4"/>
  <c r="R186" i="4"/>
  <c r="S186" i="4" s="1"/>
  <c r="Q186" i="4"/>
  <c r="O186" i="4"/>
  <c r="N186" i="4"/>
  <c r="P186" i="4" s="1"/>
  <c r="L186" i="4"/>
  <c r="K186" i="4"/>
  <c r="M186" i="4" s="1"/>
  <c r="J186" i="4"/>
  <c r="I186" i="4"/>
  <c r="H186" i="4"/>
  <c r="F186" i="4"/>
  <c r="G186" i="4" s="1"/>
  <c r="E186" i="4"/>
  <c r="C186" i="4"/>
  <c r="B186" i="4"/>
  <c r="D186" i="4" s="1"/>
  <c r="A186" i="4"/>
  <c r="S185" i="4"/>
  <c r="R185" i="4"/>
  <c r="Q185" i="4"/>
  <c r="O185" i="4"/>
  <c r="P185" i="4" s="1"/>
  <c r="N185" i="4"/>
  <c r="L185" i="4"/>
  <c r="K185" i="4"/>
  <c r="M185" i="4" s="1"/>
  <c r="I185" i="4"/>
  <c r="H185" i="4"/>
  <c r="J185" i="4" s="1"/>
  <c r="G185" i="4"/>
  <c r="F185" i="4"/>
  <c r="E185" i="4"/>
  <c r="C185" i="4"/>
  <c r="D185" i="4" s="1"/>
  <c r="T185" i="4" s="1"/>
  <c r="B185" i="4"/>
  <c r="A185" i="4"/>
  <c r="R184" i="4"/>
  <c r="Q184" i="4"/>
  <c r="S184" i="4" s="1"/>
  <c r="P184" i="4"/>
  <c r="O184" i="4"/>
  <c r="N184" i="4"/>
  <c r="L184" i="4"/>
  <c r="M184" i="4" s="1"/>
  <c r="K184" i="4"/>
  <c r="I184" i="4"/>
  <c r="H184" i="4"/>
  <c r="J184" i="4" s="1"/>
  <c r="F184" i="4"/>
  <c r="E184" i="4"/>
  <c r="G184" i="4" s="1"/>
  <c r="D184" i="4"/>
  <c r="T184" i="4" s="1"/>
  <c r="C184" i="4"/>
  <c r="B184" i="4"/>
  <c r="A184" i="4"/>
  <c r="R183" i="4"/>
  <c r="Q183" i="4"/>
  <c r="S183" i="4" s="1"/>
  <c r="O183" i="4"/>
  <c r="N183" i="4"/>
  <c r="P183" i="4" s="1"/>
  <c r="M183" i="4"/>
  <c r="L183" i="4"/>
  <c r="K183" i="4"/>
  <c r="I183" i="4"/>
  <c r="J183" i="4" s="1"/>
  <c r="H183" i="4"/>
  <c r="F183" i="4"/>
  <c r="E183" i="4"/>
  <c r="G183" i="4" s="1"/>
  <c r="C183" i="4"/>
  <c r="B183" i="4"/>
  <c r="D183" i="4" s="1"/>
  <c r="T183" i="4" s="1"/>
  <c r="A183" i="4"/>
  <c r="R182" i="4"/>
  <c r="S182" i="4" s="1"/>
  <c r="Q182" i="4"/>
  <c r="O182" i="4"/>
  <c r="N182" i="4"/>
  <c r="P182" i="4" s="1"/>
  <c r="L182" i="4"/>
  <c r="K182" i="4"/>
  <c r="M182" i="4" s="1"/>
  <c r="J182" i="4"/>
  <c r="I182" i="4"/>
  <c r="H182" i="4"/>
  <c r="F182" i="4"/>
  <c r="G182" i="4" s="1"/>
  <c r="E182" i="4"/>
  <c r="C182" i="4"/>
  <c r="B182" i="4"/>
  <c r="D182" i="4" s="1"/>
  <c r="A182" i="4"/>
  <c r="S181" i="4"/>
  <c r="R181" i="4"/>
  <c r="Q181" i="4"/>
  <c r="O181" i="4"/>
  <c r="P181" i="4" s="1"/>
  <c r="N181" i="4"/>
  <c r="L181" i="4"/>
  <c r="K181" i="4"/>
  <c r="M181" i="4" s="1"/>
  <c r="I181" i="4"/>
  <c r="H181" i="4"/>
  <c r="J181" i="4" s="1"/>
  <c r="G181" i="4"/>
  <c r="F181" i="4"/>
  <c r="E181" i="4"/>
  <c r="C181" i="4"/>
  <c r="D181" i="4" s="1"/>
  <c r="T181" i="4" s="1"/>
  <c r="B181" i="4"/>
  <c r="A181" i="4"/>
  <c r="R180" i="4"/>
  <c r="Q180" i="4"/>
  <c r="S180" i="4" s="1"/>
  <c r="P180" i="4"/>
  <c r="O180" i="4"/>
  <c r="N180" i="4"/>
  <c r="L180" i="4"/>
  <c r="M180" i="4" s="1"/>
  <c r="K180" i="4"/>
  <c r="I180" i="4"/>
  <c r="H180" i="4"/>
  <c r="J180" i="4" s="1"/>
  <c r="F180" i="4"/>
  <c r="E180" i="4"/>
  <c r="G180" i="4" s="1"/>
  <c r="D180" i="4"/>
  <c r="T180" i="4" s="1"/>
  <c r="C180" i="4"/>
  <c r="B180" i="4"/>
  <c r="A180" i="4"/>
  <c r="R179" i="4"/>
  <c r="Q179" i="4"/>
  <c r="S179" i="4" s="1"/>
  <c r="O179" i="4"/>
  <c r="N179" i="4"/>
  <c r="P179" i="4" s="1"/>
  <c r="M179" i="4"/>
  <c r="L179" i="4"/>
  <c r="K179" i="4"/>
  <c r="I179" i="4"/>
  <c r="J179" i="4" s="1"/>
  <c r="H179" i="4"/>
  <c r="F179" i="4"/>
  <c r="E179" i="4"/>
  <c r="G179" i="4" s="1"/>
  <c r="C179" i="4"/>
  <c r="B179" i="4"/>
  <c r="D179" i="4" s="1"/>
  <c r="T179" i="4" s="1"/>
  <c r="A179" i="4"/>
  <c r="R178" i="4"/>
  <c r="S178" i="4" s="1"/>
  <c r="Q178" i="4"/>
  <c r="O178" i="4"/>
  <c r="N178" i="4"/>
  <c r="P178" i="4" s="1"/>
  <c r="L178" i="4"/>
  <c r="K178" i="4"/>
  <c r="M178" i="4" s="1"/>
  <c r="J178" i="4"/>
  <c r="I178" i="4"/>
  <c r="H178" i="4"/>
  <c r="F178" i="4"/>
  <c r="G178" i="4" s="1"/>
  <c r="E178" i="4"/>
  <c r="C178" i="4"/>
  <c r="B178" i="4"/>
  <c r="D178" i="4" s="1"/>
  <c r="A178" i="4"/>
  <c r="S177" i="4"/>
  <c r="R177" i="4"/>
  <c r="Q177" i="4"/>
  <c r="O177" i="4"/>
  <c r="P177" i="4" s="1"/>
  <c r="N177" i="4"/>
  <c r="L177" i="4"/>
  <c r="K177" i="4"/>
  <c r="M177" i="4" s="1"/>
  <c r="I177" i="4"/>
  <c r="H177" i="4"/>
  <c r="J177" i="4" s="1"/>
  <c r="G177" i="4"/>
  <c r="F177" i="4"/>
  <c r="E177" i="4"/>
  <c r="C177" i="4"/>
  <c r="D177" i="4" s="1"/>
  <c r="T177" i="4" s="1"/>
  <c r="B177" i="4"/>
  <c r="A177" i="4"/>
  <c r="R176" i="4"/>
  <c r="Q176" i="4"/>
  <c r="S176" i="4" s="1"/>
  <c r="P176" i="4"/>
  <c r="O176" i="4"/>
  <c r="N176" i="4"/>
  <c r="L176" i="4"/>
  <c r="M176" i="4" s="1"/>
  <c r="K176" i="4"/>
  <c r="I176" i="4"/>
  <c r="H176" i="4"/>
  <c r="J176" i="4" s="1"/>
  <c r="F176" i="4"/>
  <c r="E176" i="4"/>
  <c r="G176" i="4" s="1"/>
  <c r="D176" i="4"/>
  <c r="T176" i="4" s="1"/>
  <c r="C176" i="4"/>
  <c r="B176" i="4"/>
  <c r="A176" i="4"/>
  <c r="R175" i="4"/>
  <c r="Q175" i="4"/>
  <c r="S175" i="4" s="1"/>
  <c r="O175" i="4"/>
  <c r="N175" i="4"/>
  <c r="P175" i="4" s="1"/>
  <c r="M175" i="4"/>
  <c r="L175" i="4"/>
  <c r="K175" i="4"/>
  <c r="I175" i="4"/>
  <c r="J175" i="4" s="1"/>
  <c r="H175" i="4"/>
  <c r="F175" i="4"/>
  <c r="E175" i="4"/>
  <c r="G175" i="4" s="1"/>
  <c r="C175" i="4"/>
  <c r="B175" i="4"/>
  <c r="D175" i="4" s="1"/>
  <c r="T175" i="4" s="1"/>
  <c r="A175" i="4"/>
  <c r="R174" i="4"/>
  <c r="S174" i="4" s="1"/>
  <c r="Q174" i="4"/>
  <c r="O174" i="4"/>
  <c r="N174" i="4"/>
  <c r="P174" i="4" s="1"/>
  <c r="L174" i="4"/>
  <c r="K174" i="4"/>
  <c r="M174" i="4" s="1"/>
  <c r="J174" i="4"/>
  <c r="I174" i="4"/>
  <c r="H174" i="4"/>
  <c r="F174" i="4"/>
  <c r="G174" i="4" s="1"/>
  <c r="E174" i="4"/>
  <c r="C174" i="4"/>
  <c r="B174" i="4"/>
  <c r="D174" i="4" s="1"/>
  <c r="A174" i="4"/>
  <c r="S173" i="4"/>
  <c r="R173" i="4"/>
  <c r="Q173" i="4"/>
  <c r="O173" i="4"/>
  <c r="P173" i="4" s="1"/>
  <c r="N173" i="4"/>
  <c r="L173" i="4"/>
  <c r="K173" i="4"/>
  <c r="M173" i="4" s="1"/>
  <c r="I173" i="4"/>
  <c r="H173" i="4"/>
  <c r="J173" i="4" s="1"/>
  <c r="G173" i="4"/>
  <c r="F173" i="4"/>
  <c r="E173" i="4"/>
  <c r="C173" i="4"/>
  <c r="D173" i="4" s="1"/>
  <c r="T173" i="4" s="1"/>
  <c r="B173" i="4"/>
  <c r="A173" i="4"/>
  <c r="R172" i="4"/>
  <c r="Q172" i="4"/>
  <c r="S172" i="4" s="1"/>
  <c r="P172" i="4"/>
  <c r="O172" i="4"/>
  <c r="N172" i="4"/>
  <c r="L172" i="4"/>
  <c r="M172" i="4" s="1"/>
  <c r="K172" i="4"/>
  <c r="I172" i="4"/>
  <c r="H172" i="4"/>
  <c r="J172" i="4" s="1"/>
  <c r="F172" i="4"/>
  <c r="E172" i="4"/>
  <c r="G172" i="4" s="1"/>
  <c r="D172" i="4"/>
  <c r="T172" i="4" s="1"/>
  <c r="C172" i="4"/>
  <c r="B172" i="4"/>
  <c r="A172" i="4"/>
  <c r="R171" i="4"/>
  <c r="Q171" i="4"/>
  <c r="S171" i="4" s="1"/>
  <c r="O171" i="4"/>
  <c r="N171" i="4"/>
  <c r="P171" i="4" s="1"/>
  <c r="M171" i="4"/>
  <c r="L171" i="4"/>
  <c r="K171" i="4"/>
  <c r="I171" i="4"/>
  <c r="J171" i="4" s="1"/>
  <c r="H171" i="4"/>
  <c r="F171" i="4"/>
  <c r="E171" i="4"/>
  <c r="G171" i="4" s="1"/>
  <c r="C171" i="4"/>
  <c r="B171" i="4"/>
  <c r="D171" i="4" s="1"/>
  <c r="T171" i="4" s="1"/>
  <c r="A171" i="4"/>
  <c r="R170" i="4"/>
  <c r="S170" i="4" s="1"/>
  <c r="Q170" i="4"/>
  <c r="O170" i="4"/>
  <c r="N170" i="4"/>
  <c r="P170" i="4" s="1"/>
  <c r="L170" i="4"/>
  <c r="K170" i="4"/>
  <c r="M170" i="4" s="1"/>
  <c r="J170" i="4"/>
  <c r="I170" i="4"/>
  <c r="H170" i="4"/>
  <c r="F170" i="4"/>
  <c r="G170" i="4" s="1"/>
  <c r="E170" i="4"/>
  <c r="C170" i="4"/>
  <c r="B170" i="4"/>
  <c r="D170" i="4" s="1"/>
  <c r="A170" i="4"/>
  <c r="S169" i="4"/>
  <c r="R169" i="4"/>
  <c r="Q169" i="4"/>
  <c r="O169" i="4"/>
  <c r="P169" i="4" s="1"/>
  <c r="N169" i="4"/>
  <c r="L169" i="4"/>
  <c r="K169" i="4"/>
  <c r="M169" i="4" s="1"/>
  <c r="I169" i="4"/>
  <c r="H169" i="4"/>
  <c r="J169" i="4" s="1"/>
  <c r="G169" i="4"/>
  <c r="F169" i="4"/>
  <c r="E169" i="4"/>
  <c r="C169" i="4"/>
  <c r="D169" i="4" s="1"/>
  <c r="T169" i="4" s="1"/>
  <c r="B169" i="4"/>
  <c r="A169" i="4"/>
  <c r="R168" i="4"/>
  <c r="Q168" i="4"/>
  <c r="S168" i="4" s="1"/>
  <c r="P168" i="4"/>
  <c r="O168" i="4"/>
  <c r="N168" i="4"/>
  <c r="L168" i="4"/>
  <c r="M168" i="4" s="1"/>
  <c r="K168" i="4"/>
  <c r="I168" i="4"/>
  <c r="H168" i="4"/>
  <c r="J168" i="4" s="1"/>
  <c r="F168" i="4"/>
  <c r="E168" i="4"/>
  <c r="G168" i="4" s="1"/>
  <c r="D168" i="4"/>
  <c r="T168" i="4" s="1"/>
  <c r="C168" i="4"/>
  <c r="B168" i="4"/>
  <c r="A168" i="4"/>
  <c r="R167" i="4"/>
  <c r="Q167" i="4"/>
  <c r="S167" i="4" s="1"/>
  <c r="O167" i="4"/>
  <c r="N167" i="4"/>
  <c r="P167" i="4" s="1"/>
  <c r="M167" i="4"/>
  <c r="L167" i="4"/>
  <c r="K167" i="4"/>
  <c r="I167" i="4"/>
  <c r="J167" i="4" s="1"/>
  <c r="H167" i="4"/>
  <c r="F167" i="4"/>
  <c r="E167" i="4"/>
  <c r="G167" i="4" s="1"/>
  <c r="C167" i="4"/>
  <c r="B167" i="4"/>
  <c r="D167" i="4" s="1"/>
  <c r="T167" i="4" s="1"/>
  <c r="A167" i="4"/>
  <c r="R166" i="4"/>
  <c r="S166" i="4" s="1"/>
  <c r="Q166" i="4"/>
  <c r="O166" i="4"/>
  <c r="N166" i="4"/>
  <c r="P166" i="4" s="1"/>
  <c r="L166" i="4"/>
  <c r="K166" i="4"/>
  <c r="M166" i="4" s="1"/>
  <c r="J166" i="4"/>
  <c r="I166" i="4"/>
  <c r="H166" i="4"/>
  <c r="F166" i="4"/>
  <c r="G166" i="4" s="1"/>
  <c r="E166" i="4"/>
  <c r="C166" i="4"/>
  <c r="B166" i="4"/>
  <c r="D166" i="4" s="1"/>
  <c r="A166" i="4"/>
  <c r="S165" i="4"/>
  <c r="R165" i="4"/>
  <c r="Q165" i="4"/>
  <c r="O165" i="4"/>
  <c r="P165" i="4" s="1"/>
  <c r="N165" i="4"/>
  <c r="L165" i="4"/>
  <c r="K165" i="4"/>
  <c r="M165" i="4" s="1"/>
  <c r="I165" i="4"/>
  <c r="H165" i="4"/>
  <c r="J165" i="4" s="1"/>
  <c r="G165" i="4"/>
  <c r="F165" i="4"/>
  <c r="E165" i="4"/>
  <c r="C165" i="4"/>
  <c r="D165" i="4" s="1"/>
  <c r="T165" i="4" s="1"/>
  <c r="B165" i="4"/>
  <c r="A165" i="4"/>
  <c r="R164" i="4"/>
  <c r="Q164" i="4"/>
  <c r="S164" i="4" s="1"/>
  <c r="P164" i="4"/>
  <c r="O164" i="4"/>
  <c r="N164" i="4"/>
  <c r="L164" i="4"/>
  <c r="M164" i="4" s="1"/>
  <c r="K164" i="4"/>
  <c r="I164" i="4"/>
  <c r="H164" i="4"/>
  <c r="J164" i="4" s="1"/>
  <c r="F164" i="4"/>
  <c r="E164" i="4"/>
  <c r="G164" i="4" s="1"/>
  <c r="D164" i="4"/>
  <c r="T164" i="4" s="1"/>
  <c r="C164" i="4"/>
  <c r="B164" i="4"/>
  <c r="A164" i="4"/>
  <c r="R163" i="4"/>
  <c r="Q163" i="4"/>
  <c r="S163" i="4" s="1"/>
  <c r="O163" i="4"/>
  <c r="N163" i="4"/>
  <c r="P163" i="4" s="1"/>
  <c r="M163" i="4"/>
  <c r="L163" i="4"/>
  <c r="K163" i="4"/>
  <c r="I163" i="4"/>
  <c r="J163" i="4" s="1"/>
  <c r="H163" i="4"/>
  <c r="F163" i="4"/>
  <c r="E163" i="4"/>
  <c r="G163" i="4" s="1"/>
  <c r="C163" i="4"/>
  <c r="B163" i="4"/>
  <c r="D163" i="4" s="1"/>
  <c r="T163" i="4" s="1"/>
  <c r="A163" i="4"/>
  <c r="R162" i="4"/>
  <c r="S162" i="4" s="1"/>
  <c r="Q162" i="4"/>
  <c r="O162" i="4"/>
  <c r="N162" i="4"/>
  <c r="P162" i="4" s="1"/>
  <c r="L162" i="4"/>
  <c r="K162" i="4"/>
  <c r="M162" i="4" s="1"/>
  <c r="J162" i="4"/>
  <c r="I162" i="4"/>
  <c r="H162" i="4"/>
  <c r="F162" i="4"/>
  <c r="G162" i="4" s="1"/>
  <c r="E162" i="4"/>
  <c r="C162" i="4"/>
  <c r="B162" i="4"/>
  <c r="D162" i="4" s="1"/>
  <c r="A162" i="4"/>
  <c r="S161" i="4"/>
  <c r="R161" i="4"/>
  <c r="Q161" i="4"/>
  <c r="O161" i="4"/>
  <c r="P161" i="4" s="1"/>
  <c r="N161" i="4"/>
  <c r="L161" i="4"/>
  <c r="K161" i="4"/>
  <c r="M161" i="4" s="1"/>
  <c r="I161" i="4"/>
  <c r="H161" i="4"/>
  <c r="J161" i="4" s="1"/>
  <c r="G161" i="4"/>
  <c r="F161" i="4"/>
  <c r="E161" i="4"/>
  <c r="C161" i="4"/>
  <c r="D161" i="4" s="1"/>
  <c r="T161" i="4" s="1"/>
  <c r="B161" i="4"/>
  <c r="A161" i="4"/>
  <c r="R160" i="4"/>
  <c r="Q160" i="4"/>
  <c r="S160" i="4" s="1"/>
  <c r="P160" i="4"/>
  <c r="O160" i="4"/>
  <c r="N160" i="4"/>
  <c r="L160" i="4"/>
  <c r="M160" i="4" s="1"/>
  <c r="K160" i="4"/>
  <c r="I160" i="4"/>
  <c r="H160" i="4"/>
  <c r="J160" i="4" s="1"/>
  <c r="F160" i="4"/>
  <c r="E160" i="4"/>
  <c r="G160" i="4" s="1"/>
  <c r="D160" i="4"/>
  <c r="T160" i="4" s="1"/>
  <c r="C160" i="4"/>
  <c r="B160" i="4"/>
  <c r="A160" i="4"/>
  <c r="R159" i="4"/>
  <c r="Q159" i="4"/>
  <c r="S159" i="4" s="1"/>
  <c r="O159" i="4"/>
  <c r="N159" i="4"/>
  <c r="P159" i="4" s="1"/>
  <c r="M159" i="4"/>
  <c r="L159" i="4"/>
  <c r="K159" i="4"/>
  <c r="I159" i="4"/>
  <c r="J159" i="4" s="1"/>
  <c r="H159" i="4"/>
  <c r="F159" i="4"/>
  <c r="E159" i="4"/>
  <c r="G159" i="4" s="1"/>
  <c r="C159" i="4"/>
  <c r="B159" i="4"/>
  <c r="D159" i="4" s="1"/>
  <c r="T159" i="4" s="1"/>
  <c r="A159" i="4"/>
  <c r="R158" i="4"/>
  <c r="S158" i="4" s="1"/>
  <c r="Q158" i="4"/>
  <c r="O158" i="4"/>
  <c r="N158" i="4"/>
  <c r="P158" i="4" s="1"/>
  <c r="L158" i="4"/>
  <c r="K158" i="4"/>
  <c r="M158" i="4" s="1"/>
  <c r="J158" i="4"/>
  <c r="I158" i="4"/>
  <c r="H158" i="4"/>
  <c r="F158" i="4"/>
  <c r="G158" i="4" s="1"/>
  <c r="E158" i="4"/>
  <c r="C158" i="4"/>
  <c r="B158" i="4"/>
  <c r="D158" i="4" s="1"/>
  <c r="A158" i="4"/>
  <c r="S157" i="4"/>
  <c r="R157" i="4"/>
  <c r="Q157" i="4"/>
  <c r="O157" i="4"/>
  <c r="P157" i="4" s="1"/>
  <c r="N157" i="4"/>
  <c r="L157" i="4"/>
  <c r="K157" i="4"/>
  <c r="M157" i="4" s="1"/>
  <c r="I157" i="4"/>
  <c r="H157" i="4"/>
  <c r="J157" i="4" s="1"/>
  <c r="G157" i="4"/>
  <c r="F157" i="4"/>
  <c r="E157" i="4"/>
  <c r="C157" i="4"/>
  <c r="D157" i="4" s="1"/>
  <c r="T157" i="4" s="1"/>
  <c r="B157" i="4"/>
  <c r="A157" i="4"/>
  <c r="R156" i="4"/>
  <c r="Q156" i="4"/>
  <c r="S156" i="4" s="1"/>
  <c r="P156" i="4"/>
  <c r="O156" i="4"/>
  <c r="N156" i="4"/>
  <c r="L156" i="4"/>
  <c r="M156" i="4" s="1"/>
  <c r="K156" i="4"/>
  <c r="I156" i="4"/>
  <c r="H156" i="4"/>
  <c r="J156" i="4" s="1"/>
  <c r="F156" i="4"/>
  <c r="E156" i="4"/>
  <c r="G156" i="4" s="1"/>
  <c r="D156" i="4"/>
  <c r="T156" i="4" s="1"/>
  <c r="C156" i="4"/>
  <c r="B156" i="4"/>
  <c r="A156" i="4"/>
  <c r="R155" i="4"/>
  <c r="Q155" i="4"/>
  <c r="S155" i="4" s="1"/>
  <c r="O155" i="4"/>
  <c r="N155" i="4"/>
  <c r="P155" i="4" s="1"/>
  <c r="M155" i="4"/>
  <c r="L155" i="4"/>
  <c r="K155" i="4"/>
  <c r="I155" i="4"/>
  <c r="J155" i="4" s="1"/>
  <c r="H155" i="4"/>
  <c r="F155" i="4"/>
  <c r="E155" i="4"/>
  <c r="G155" i="4" s="1"/>
  <c r="C155" i="4"/>
  <c r="B155" i="4"/>
  <c r="D155" i="4" s="1"/>
  <c r="T155" i="4" s="1"/>
  <c r="A155" i="4"/>
  <c r="R154" i="4"/>
  <c r="S154" i="4" s="1"/>
  <c r="Q154" i="4"/>
  <c r="O154" i="4"/>
  <c r="N154" i="4"/>
  <c r="P154" i="4" s="1"/>
  <c r="L154" i="4"/>
  <c r="K154" i="4"/>
  <c r="M154" i="4" s="1"/>
  <c r="J154" i="4"/>
  <c r="I154" i="4"/>
  <c r="H154" i="4"/>
  <c r="F154" i="4"/>
  <c r="G154" i="4" s="1"/>
  <c r="E154" i="4"/>
  <c r="C154" i="4"/>
  <c r="B154" i="4"/>
  <c r="D154" i="4" s="1"/>
  <c r="A154" i="4"/>
  <c r="S153" i="4"/>
  <c r="R153" i="4"/>
  <c r="Q153" i="4"/>
  <c r="O153" i="4"/>
  <c r="P153" i="4" s="1"/>
  <c r="N153" i="4"/>
  <c r="L153" i="4"/>
  <c r="K153" i="4"/>
  <c r="M153" i="4" s="1"/>
  <c r="I153" i="4"/>
  <c r="H153" i="4"/>
  <c r="J153" i="4" s="1"/>
  <c r="G153" i="4"/>
  <c r="F153" i="4"/>
  <c r="E153" i="4"/>
  <c r="C153" i="4"/>
  <c r="D153" i="4" s="1"/>
  <c r="T153" i="4" s="1"/>
  <c r="B153" i="4"/>
  <c r="A153" i="4"/>
  <c r="R152" i="4"/>
  <c r="Q152" i="4"/>
  <c r="S152" i="4" s="1"/>
  <c r="P152" i="4"/>
  <c r="O152" i="4"/>
  <c r="N152" i="4"/>
  <c r="L152" i="4"/>
  <c r="M152" i="4" s="1"/>
  <c r="K152" i="4"/>
  <c r="I152" i="4"/>
  <c r="H152" i="4"/>
  <c r="J152" i="4" s="1"/>
  <c r="F152" i="4"/>
  <c r="E152" i="4"/>
  <c r="G152" i="4" s="1"/>
  <c r="D152" i="4"/>
  <c r="T152" i="4" s="1"/>
  <c r="C152" i="4"/>
  <c r="B152" i="4"/>
  <c r="A152" i="4"/>
  <c r="R151" i="4"/>
  <c r="Q151" i="4"/>
  <c r="S151" i="4" s="1"/>
  <c r="O151" i="4"/>
  <c r="N151" i="4"/>
  <c r="P151" i="4" s="1"/>
  <c r="M151" i="4"/>
  <c r="L151" i="4"/>
  <c r="K151" i="4"/>
  <c r="I151" i="4"/>
  <c r="J151" i="4" s="1"/>
  <c r="H151" i="4"/>
  <c r="F151" i="4"/>
  <c r="E151" i="4"/>
  <c r="G151" i="4" s="1"/>
  <c r="C151" i="4"/>
  <c r="B151" i="4"/>
  <c r="D151" i="4" s="1"/>
  <c r="T151" i="4" s="1"/>
  <c r="A151" i="4"/>
  <c r="R150" i="4"/>
  <c r="S150" i="4" s="1"/>
  <c r="Q150" i="4"/>
  <c r="O150" i="4"/>
  <c r="N150" i="4"/>
  <c r="P150" i="4" s="1"/>
  <c r="L150" i="4"/>
  <c r="K150" i="4"/>
  <c r="M150" i="4" s="1"/>
  <c r="J150" i="4"/>
  <c r="I150" i="4"/>
  <c r="H150" i="4"/>
  <c r="F150" i="4"/>
  <c r="G150" i="4" s="1"/>
  <c r="E150" i="4"/>
  <c r="C150" i="4"/>
  <c r="B150" i="4"/>
  <c r="D150" i="4" s="1"/>
  <c r="A150" i="4"/>
  <c r="S149" i="4"/>
  <c r="R149" i="4"/>
  <c r="Q149" i="4"/>
  <c r="O149" i="4"/>
  <c r="P149" i="4" s="1"/>
  <c r="N149" i="4"/>
  <c r="L149" i="4"/>
  <c r="K149" i="4"/>
  <c r="M149" i="4" s="1"/>
  <c r="I149" i="4"/>
  <c r="H149" i="4"/>
  <c r="J149" i="4" s="1"/>
  <c r="G149" i="4"/>
  <c r="F149" i="4"/>
  <c r="E149" i="4"/>
  <c r="C149" i="4"/>
  <c r="D149" i="4" s="1"/>
  <c r="T149" i="4" s="1"/>
  <c r="B149" i="4"/>
  <c r="A149" i="4"/>
  <c r="R148" i="4"/>
  <c r="Q148" i="4"/>
  <c r="S148" i="4" s="1"/>
  <c r="P148" i="4"/>
  <c r="O148" i="4"/>
  <c r="N148" i="4"/>
  <c r="L148" i="4"/>
  <c r="M148" i="4" s="1"/>
  <c r="K148" i="4"/>
  <c r="I148" i="4"/>
  <c r="H148" i="4"/>
  <c r="J148" i="4" s="1"/>
  <c r="F148" i="4"/>
  <c r="E148" i="4"/>
  <c r="G148" i="4" s="1"/>
  <c r="D148" i="4"/>
  <c r="T148" i="4" s="1"/>
  <c r="C148" i="4"/>
  <c r="B148" i="4"/>
  <c r="A148" i="4"/>
  <c r="R147" i="4"/>
  <c r="Q147" i="4"/>
  <c r="S147" i="4" s="1"/>
  <c r="O147" i="4"/>
  <c r="N147" i="4"/>
  <c r="P147" i="4" s="1"/>
  <c r="M147" i="4"/>
  <c r="L147" i="4"/>
  <c r="K147" i="4"/>
  <c r="I147" i="4"/>
  <c r="J147" i="4" s="1"/>
  <c r="H147" i="4"/>
  <c r="F147" i="4"/>
  <c r="E147" i="4"/>
  <c r="G147" i="4" s="1"/>
  <c r="C147" i="4"/>
  <c r="B147" i="4"/>
  <c r="D147" i="4" s="1"/>
  <c r="T147" i="4" s="1"/>
  <c r="A147" i="4"/>
  <c r="R146" i="4"/>
  <c r="S146" i="4" s="1"/>
  <c r="Q146" i="4"/>
  <c r="O146" i="4"/>
  <c r="N146" i="4"/>
  <c r="P146" i="4" s="1"/>
  <c r="L146" i="4"/>
  <c r="K146" i="4"/>
  <c r="M146" i="4" s="1"/>
  <c r="J146" i="4"/>
  <c r="I146" i="4"/>
  <c r="H146" i="4"/>
  <c r="F146" i="4"/>
  <c r="G146" i="4" s="1"/>
  <c r="E146" i="4"/>
  <c r="C146" i="4"/>
  <c r="B146" i="4"/>
  <c r="D146" i="4" s="1"/>
  <c r="A146" i="4"/>
  <c r="S145" i="4"/>
  <c r="R145" i="4"/>
  <c r="Q145" i="4"/>
  <c r="O145" i="4"/>
  <c r="P145" i="4" s="1"/>
  <c r="N145" i="4"/>
  <c r="L145" i="4"/>
  <c r="K145" i="4"/>
  <c r="M145" i="4" s="1"/>
  <c r="I145" i="4"/>
  <c r="H145" i="4"/>
  <c r="J145" i="4" s="1"/>
  <c r="G145" i="4"/>
  <c r="F145" i="4"/>
  <c r="E145" i="4"/>
  <c r="C145" i="4"/>
  <c r="D145" i="4" s="1"/>
  <c r="T145" i="4" s="1"/>
  <c r="B145" i="4"/>
  <c r="A145" i="4"/>
  <c r="R144" i="4"/>
  <c r="Q144" i="4"/>
  <c r="S144" i="4" s="1"/>
  <c r="P144" i="4"/>
  <c r="O144" i="4"/>
  <c r="N144" i="4"/>
  <c r="L144" i="4"/>
  <c r="M144" i="4" s="1"/>
  <c r="K144" i="4"/>
  <c r="I144" i="4"/>
  <c r="H144" i="4"/>
  <c r="J144" i="4" s="1"/>
  <c r="F144" i="4"/>
  <c r="E144" i="4"/>
  <c r="G144" i="4" s="1"/>
  <c r="D144" i="4"/>
  <c r="T144" i="4" s="1"/>
  <c r="C144" i="4"/>
  <c r="B144" i="4"/>
  <c r="A144" i="4"/>
  <c r="R143" i="4"/>
  <c r="Q143" i="4"/>
  <c r="S143" i="4" s="1"/>
  <c r="O143" i="4"/>
  <c r="N143" i="4"/>
  <c r="P143" i="4" s="1"/>
  <c r="M143" i="4"/>
  <c r="L143" i="4"/>
  <c r="K143" i="4"/>
  <c r="I143" i="4"/>
  <c r="J143" i="4" s="1"/>
  <c r="H143" i="4"/>
  <c r="F143" i="4"/>
  <c r="E143" i="4"/>
  <c r="G143" i="4" s="1"/>
  <c r="C143" i="4"/>
  <c r="B143" i="4"/>
  <c r="D143" i="4" s="1"/>
  <c r="T143" i="4" s="1"/>
  <c r="A143" i="4"/>
  <c r="R142" i="4"/>
  <c r="S142" i="4" s="1"/>
  <c r="Q142" i="4"/>
  <c r="O142" i="4"/>
  <c r="N142" i="4"/>
  <c r="P142" i="4" s="1"/>
  <c r="L142" i="4"/>
  <c r="K142" i="4"/>
  <c r="M142" i="4" s="1"/>
  <c r="J142" i="4"/>
  <c r="I142" i="4"/>
  <c r="H142" i="4"/>
  <c r="F142" i="4"/>
  <c r="G142" i="4" s="1"/>
  <c r="E142" i="4"/>
  <c r="C142" i="4"/>
  <c r="B142" i="4"/>
  <c r="D142" i="4" s="1"/>
  <c r="A142" i="4"/>
  <c r="S141" i="4"/>
  <c r="R141" i="4"/>
  <c r="Q141" i="4"/>
  <c r="O141" i="4"/>
  <c r="P141" i="4" s="1"/>
  <c r="N141" i="4"/>
  <c r="L141" i="4"/>
  <c r="K141" i="4"/>
  <c r="M141" i="4" s="1"/>
  <c r="I141" i="4"/>
  <c r="H141" i="4"/>
  <c r="J141" i="4" s="1"/>
  <c r="G141" i="4"/>
  <c r="F141" i="4"/>
  <c r="E141" i="4"/>
  <c r="C141" i="4"/>
  <c r="D141" i="4" s="1"/>
  <c r="T141" i="4" s="1"/>
  <c r="B141" i="4"/>
  <c r="A141" i="4"/>
  <c r="R140" i="4"/>
  <c r="Q140" i="4"/>
  <c r="S140" i="4" s="1"/>
  <c r="P140" i="4"/>
  <c r="O140" i="4"/>
  <c r="N140" i="4"/>
  <c r="L140" i="4"/>
  <c r="M140" i="4" s="1"/>
  <c r="K140" i="4"/>
  <c r="I140" i="4"/>
  <c r="H140" i="4"/>
  <c r="J140" i="4" s="1"/>
  <c r="F140" i="4"/>
  <c r="E140" i="4"/>
  <c r="G140" i="4" s="1"/>
  <c r="D140" i="4"/>
  <c r="T140" i="4" s="1"/>
  <c r="C140" i="4"/>
  <c r="B140" i="4"/>
  <c r="A140" i="4"/>
  <c r="R139" i="4"/>
  <c r="Q139" i="4"/>
  <c r="S139" i="4" s="1"/>
  <c r="O139" i="4"/>
  <c r="N139" i="4"/>
  <c r="P139" i="4" s="1"/>
  <c r="M139" i="4"/>
  <c r="L139" i="4"/>
  <c r="K139" i="4"/>
  <c r="I139" i="4"/>
  <c r="J139" i="4" s="1"/>
  <c r="H139" i="4"/>
  <c r="F139" i="4"/>
  <c r="E139" i="4"/>
  <c r="G139" i="4" s="1"/>
  <c r="C139" i="4"/>
  <c r="B139" i="4"/>
  <c r="D139" i="4" s="1"/>
  <c r="T139" i="4" s="1"/>
  <c r="A139" i="4"/>
  <c r="R138" i="4"/>
  <c r="S138" i="4" s="1"/>
  <c r="Q138" i="4"/>
  <c r="O138" i="4"/>
  <c r="N138" i="4"/>
  <c r="P138" i="4" s="1"/>
  <c r="L138" i="4"/>
  <c r="K138" i="4"/>
  <c r="M138" i="4" s="1"/>
  <c r="J138" i="4"/>
  <c r="I138" i="4"/>
  <c r="H138" i="4"/>
  <c r="F138" i="4"/>
  <c r="G138" i="4" s="1"/>
  <c r="E138" i="4"/>
  <c r="C138" i="4"/>
  <c r="B138" i="4"/>
  <c r="D138" i="4" s="1"/>
  <c r="A138" i="4"/>
  <c r="S137" i="4"/>
  <c r="R137" i="4"/>
  <c r="Q137" i="4"/>
  <c r="O137" i="4"/>
  <c r="P137" i="4" s="1"/>
  <c r="N137" i="4"/>
  <c r="L137" i="4"/>
  <c r="K137" i="4"/>
  <c r="M137" i="4" s="1"/>
  <c r="I137" i="4"/>
  <c r="H137" i="4"/>
  <c r="J137" i="4" s="1"/>
  <c r="G137" i="4"/>
  <c r="F137" i="4"/>
  <c r="E137" i="4"/>
  <c r="C137" i="4"/>
  <c r="D137" i="4" s="1"/>
  <c r="T137" i="4" s="1"/>
  <c r="B137" i="4"/>
  <c r="A137" i="4"/>
  <c r="R136" i="4"/>
  <c r="Q136" i="4"/>
  <c r="S136" i="4" s="1"/>
  <c r="P136" i="4"/>
  <c r="O136" i="4"/>
  <c r="N136" i="4"/>
  <c r="L136" i="4"/>
  <c r="M136" i="4" s="1"/>
  <c r="K136" i="4"/>
  <c r="I136" i="4"/>
  <c r="H136" i="4"/>
  <c r="J136" i="4" s="1"/>
  <c r="F136" i="4"/>
  <c r="E136" i="4"/>
  <c r="G136" i="4" s="1"/>
  <c r="D136" i="4"/>
  <c r="T136" i="4" s="1"/>
  <c r="C136" i="4"/>
  <c r="B136" i="4"/>
  <c r="A136" i="4"/>
  <c r="R135" i="4"/>
  <c r="Q135" i="4"/>
  <c r="S135" i="4" s="1"/>
  <c r="O135" i="4"/>
  <c r="N135" i="4"/>
  <c r="P135" i="4" s="1"/>
  <c r="M135" i="4"/>
  <c r="L135" i="4"/>
  <c r="K135" i="4"/>
  <c r="I135" i="4"/>
  <c r="J135" i="4" s="1"/>
  <c r="H135" i="4"/>
  <c r="F135" i="4"/>
  <c r="E135" i="4"/>
  <c r="G135" i="4" s="1"/>
  <c r="C135" i="4"/>
  <c r="B135" i="4"/>
  <c r="D135" i="4" s="1"/>
  <c r="T135" i="4" s="1"/>
  <c r="A135" i="4"/>
  <c r="R134" i="4"/>
  <c r="S134" i="4" s="1"/>
  <c r="Q134" i="4"/>
  <c r="O134" i="4"/>
  <c r="N134" i="4"/>
  <c r="P134" i="4" s="1"/>
  <c r="L134" i="4"/>
  <c r="K134" i="4"/>
  <c r="M134" i="4" s="1"/>
  <c r="J134" i="4"/>
  <c r="I134" i="4"/>
  <c r="H134" i="4"/>
  <c r="F134" i="4"/>
  <c r="G134" i="4" s="1"/>
  <c r="E134" i="4"/>
  <c r="C134" i="4"/>
  <c r="B134" i="4"/>
  <c r="D134" i="4" s="1"/>
  <c r="A134" i="4"/>
  <c r="S133" i="4"/>
  <c r="R133" i="4"/>
  <c r="Q133" i="4"/>
  <c r="O133" i="4"/>
  <c r="P133" i="4" s="1"/>
  <c r="N133" i="4"/>
  <c r="L133" i="4"/>
  <c r="K133" i="4"/>
  <c r="M133" i="4" s="1"/>
  <c r="I133" i="4"/>
  <c r="H133" i="4"/>
  <c r="J133" i="4" s="1"/>
  <c r="G133" i="4"/>
  <c r="F133" i="4"/>
  <c r="E133" i="4"/>
  <c r="C133" i="4"/>
  <c r="D133" i="4" s="1"/>
  <c r="T133" i="4" s="1"/>
  <c r="B133" i="4"/>
  <c r="A133" i="4"/>
  <c r="R132" i="4"/>
  <c r="Q132" i="4"/>
  <c r="S132" i="4" s="1"/>
  <c r="P132" i="4"/>
  <c r="O132" i="4"/>
  <c r="N132" i="4"/>
  <c r="L132" i="4"/>
  <c r="M132" i="4" s="1"/>
  <c r="K132" i="4"/>
  <c r="I132" i="4"/>
  <c r="H132" i="4"/>
  <c r="J132" i="4" s="1"/>
  <c r="F132" i="4"/>
  <c r="E132" i="4"/>
  <c r="G132" i="4" s="1"/>
  <c r="D132" i="4"/>
  <c r="T132" i="4" s="1"/>
  <c r="C132" i="4"/>
  <c r="B132" i="4"/>
  <c r="A132" i="4"/>
  <c r="R131" i="4"/>
  <c r="Q131" i="4"/>
  <c r="S131" i="4" s="1"/>
  <c r="O131" i="4"/>
  <c r="N131" i="4"/>
  <c r="P131" i="4" s="1"/>
  <c r="M131" i="4"/>
  <c r="L131" i="4"/>
  <c r="K131" i="4"/>
  <c r="I131" i="4"/>
  <c r="J131" i="4" s="1"/>
  <c r="H131" i="4"/>
  <c r="F131" i="4"/>
  <c r="E131" i="4"/>
  <c r="G131" i="4" s="1"/>
  <c r="C131" i="4"/>
  <c r="B131" i="4"/>
  <c r="D131" i="4" s="1"/>
  <c r="T131" i="4" s="1"/>
  <c r="A131" i="4"/>
  <c r="R130" i="4"/>
  <c r="S130" i="4" s="1"/>
  <c r="Q130" i="4"/>
  <c r="O130" i="4"/>
  <c r="N130" i="4"/>
  <c r="P130" i="4" s="1"/>
  <c r="L130" i="4"/>
  <c r="K130" i="4"/>
  <c r="M130" i="4" s="1"/>
  <c r="J130" i="4"/>
  <c r="I130" i="4"/>
  <c r="H130" i="4"/>
  <c r="F130" i="4"/>
  <c r="G130" i="4" s="1"/>
  <c r="E130" i="4"/>
  <c r="C130" i="4"/>
  <c r="B130" i="4"/>
  <c r="D130" i="4" s="1"/>
  <c r="A130" i="4"/>
  <c r="S129" i="4"/>
  <c r="R129" i="4"/>
  <c r="Q129" i="4"/>
  <c r="O129" i="4"/>
  <c r="P129" i="4" s="1"/>
  <c r="N129" i="4"/>
  <c r="L129" i="4"/>
  <c r="K129" i="4"/>
  <c r="M129" i="4" s="1"/>
  <c r="I129" i="4"/>
  <c r="H129" i="4"/>
  <c r="J129" i="4" s="1"/>
  <c r="G129" i="4"/>
  <c r="F129" i="4"/>
  <c r="E129" i="4"/>
  <c r="C129" i="4"/>
  <c r="D129" i="4" s="1"/>
  <c r="T129" i="4" s="1"/>
  <c r="B129" i="4"/>
  <c r="A129" i="4"/>
  <c r="R128" i="4"/>
  <c r="Q128" i="4"/>
  <c r="S128" i="4" s="1"/>
  <c r="P128" i="4"/>
  <c r="O128" i="4"/>
  <c r="N128" i="4"/>
  <c r="L128" i="4"/>
  <c r="M128" i="4" s="1"/>
  <c r="K128" i="4"/>
  <c r="I128" i="4"/>
  <c r="H128" i="4"/>
  <c r="J128" i="4" s="1"/>
  <c r="F128" i="4"/>
  <c r="E128" i="4"/>
  <c r="G128" i="4" s="1"/>
  <c r="D128" i="4"/>
  <c r="T128" i="4" s="1"/>
  <c r="C128" i="4"/>
  <c r="B128" i="4"/>
  <c r="A128" i="4"/>
  <c r="R127" i="4"/>
  <c r="Q127" i="4"/>
  <c r="S127" i="4" s="1"/>
  <c r="O127" i="4"/>
  <c r="N127" i="4"/>
  <c r="P127" i="4" s="1"/>
  <c r="M127" i="4"/>
  <c r="L127" i="4"/>
  <c r="K127" i="4"/>
  <c r="I127" i="4"/>
  <c r="J127" i="4" s="1"/>
  <c r="H127" i="4"/>
  <c r="F127" i="4"/>
  <c r="E127" i="4"/>
  <c r="G127" i="4" s="1"/>
  <c r="C127" i="4"/>
  <c r="B127" i="4"/>
  <c r="D127" i="4" s="1"/>
  <c r="T127" i="4" s="1"/>
  <c r="A127" i="4"/>
  <c r="R126" i="4"/>
  <c r="S126" i="4" s="1"/>
  <c r="Q126" i="4"/>
  <c r="O126" i="4"/>
  <c r="N126" i="4"/>
  <c r="P126" i="4" s="1"/>
  <c r="L126" i="4"/>
  <c r="K126" i="4"/>
  <c r="M126" i="4" s="1"/>
  <c r="J126" i="4"/>
  <c r="I126" i="4"/>
  <c r="H126" i="4"/>
  <c r="F126" i="4"/>
  <c r="G126" i="4" s="1"/>
  <c r="E126" i="4"/>
  <c r="C126" i="4"/>
  <c r="B126" i="4"/>
  <c r="D126" i="4" s="1"/>
  <c r="A126" i="4"/>
  <c r="S125" i="4"/>
  <c r="R125" i="4"/>
  <c r="Q125" i="4"/>
  <c r="O125" i="4"/>
  <c r="P125" i="4" s="1"/>
  <c r="N125" i="4"/>
  <c r="L125" i="4"/>
  <c r="K125" i="4"/>
  <c r="M125" i="4" s="1"/>
  <c r="I125" i="4"/>
  <c r="H125" i="4"/>
  <c r="J125" i="4" s="1"/>
  <c r="G125" i="4"/>
  <c r="F125" i="4"/>
  <c r="E125" i="4"/>
  <c r="C125" i="4"/>
  <c r="D125" i="4" s="1"/>
  <c r="T125" i="4" s="1"/>
  <c r="B125" i="4"/>
  <c r="A125" i="4"/>
  <c r="R124" i="4"/>
  <c r="Q124" i="4"/>
  <c r="S124" i="4" s="1"/>
  <c r="P124" i="4"/>
  <c r="O124" i="4"/>
  <c r="N124" i="4"/>
  <c r="L124" i="4"/>
  <c r="M124" i="4" s="1"/>
  <c r="K124" i="4"/>
  <c r="I124" i="4"/>
  <c r="H124" i="4"/>
  <c r="J124" i="4" s="1"/>
  <c r="F124" i="4"/>
  <c r="E124" i="4"/>
  <c r="G124" i="4" s="1"/>
  <c r="D124" i="4"/>
  <c r="T124" i="4" s="1"/>
  <c r="C124" i="4"/>
  <c r="B124" i="4"/>
  <c r="A124" i="4"/>
  <c r="R123" i="4"/>
  <c r="Q123" i="4"/>
  <c r="S123" i="4" s="1"/>
  <c r="O123" i="4"/>
  <c r="N123" i="4"/>
  <c r="P123" i="4" s="1"/>
  <c r="M123" i="4"/>
  <c r="L123" i="4"/>
  <c r="K123" i="4"/>
  <c r="I123" i="4"/>
  <c r="J123" i="4" s="1"/>
  <c r="H123" i="4"/>
  <c r="F123" i="4"/>
  <c r="E123" i="4"/>
  <c r="G123" i="4" s="1"/>
  <c r="C123" i="4"/>
  <c r="B123" i="4"/>
  <c r="D123" i="4" s="1"/>
  <c r="T123" i="4" s="1"/>
  <c r="A123" i="4"/>
  <c r="R122" i="4"/>
  <c r="S122" i="4" s="1"/>
  <c r="Q122" i="4"/>
  <c r="O122" i="4"/>
  <c r="N122" i="4"/>
  <c r="P122" i="4" s="1"/>
  <c r="L122" i="4"/>
  <c r="K122" i="4"/>
  <c r="M122" i="4" s="1"/>
  <c r="J122" i="4"/>
  <c r="I122" i="4"/>
  <c r="H122" i="4"/>
  <c r="F122" i="4"/>
  <c r="G122" i="4" s="1"/>
  <c r="E122" i="4"/>
  <c r="C122" i="4"/>
  <c r="B122" i="4"/>
  <c r="D122" i="4" s="1"/>
  <c r="A122" i="4"/>
  <c r="S121" i="4"/>
  <c r="R121" i="4"/>
  <c r="Q121" i="4"/>
  <c r="O121" i="4"/>
  <c r="P121" i="4" s="1"/>
  <c r="N121" i="4"/>
  <c r="L121" i="4"/>
  <c r="K121" i="4"/>
  <c r="M121" i="4" s="1"/>
  <c r="I121" i="4"/>
  <c r="H121" i="4"/>
  <c r="J121" i="4" s="1"/>
  <c r="G121" i="4"/>
  <c r="F121" i="4"/>
  <c r="E121" i="4"/>
  <c r="C121" i="4"/>
  <c r="D121" i="4" s="1"/>
  <c r="T121" i="4" s="1"/>
  <c r="B121" i="4"/>
  <c r="A121" i="4"/>
  <c r="R120" i="4"/>
  <c r="Q120" i="4"/>
  <c r="S120" i="4" s="1"/>
  <c r="P120" i="4"/>
  <c r="O120" i="4"/>
  <c r="N120" i="4"/>
  <c r="L120" i="4"/>
  <c r="M120" i="4" s="1"/>
  <c r="K120" i="4"/>
  <c r="I120" i="4"/>
  <c r="H120" i="4"/>
  <c r="J120" i="4" s="1"/>
  <c r="F120" i="4"/>
  <c r="E120" i="4"/>
  <c r="G120" i="4" s="1"/>
  <c r="D120" i="4"/>
  <c r="T120" i="4" s="1"/>
  <c r="C120" i="4"/>
  <c r="B120" i="4"/>
  <c r="A120" i="4"/>
  <c r="R119" i="4"/>
  <c r="Q119" i="4"/>
  <c r="S119" i="4" s="1"/>
  <c r="O119" i="4"/>
  <c r="N119" i="4"/>
  <c r="P119" i="4" s="1"/>
  <c r="M119" i="4"/>
  <c r="L119" i="4"/>
  <c r="K119" i="4"/>
  <c r="I119" i="4"/>
  <c r="J119" i="4" s="1"/>
  <c r="H119" i="4"/>
  <c r="F119" i="4"/>
  <c r="E119" i="4"/>
  <c r="G119" i="4" s="1"/>
  <c r="C119" i="4"/>
  <c r="B119" i="4"/>
  <c r="D119" i="4" s="1"/>
  <c r="T119" i="4" s="1"/>
  <c r="A119" i="4"/>
  <c r="R118" i="4"/>
  <c r="S118" i="4" s="1"/>
  <c r="Q118" i="4"/>
  <c r="O118" i="4"/>
  <c r="N118" i="4"/>
  <c r="P118" i="4" s="1"/>
  <c r="L118" i="4"/>
  <c r="K118" i="4"/>
  <c r="M118" i="4" s="1"/>
  <c r="J118" i="4"/>
  <c r="I118" i="4"/>
  <c r="H118" i="4"/>
  <c r="F118" i="4"/>
  <c r="G118" i="4" s="1"/>
  <c r="E118" i="4"/>
  <c r="C118" i="4"/>
  <c r="B118" i="4"/>
  <c r="D118" i="4" s="1"/>
  <c r="A118" i="4"/>
  <c r="S117" i="4"/>
  <c r="R117" i="4"/>
  <c r="Q117" i="4"/>
  <c r="O117" i="4"/>
  <c r="P117" i="4" s="1"/>
  <c r="N117" i="4"/>
  <c r="L117" i="4"/>
  <c r="K117" i="4"/>
  <c r="M117" i="4" s="1"/>
  <c r="I117" i="4"/>
  <c r="H117" i="4"/>
  <c r="J117" i="4" s="1"/>
  <c r="G117" i="4"/>
  <c r="F117" i="4"/>
  <c r="E117" i="4"/>
  <c r="C117" i="4"/>
  <c r="D117" i="4" s="1"/>
  <c r="T117" i="4" s="1"/>
  <c r="B117" i="4"/>
  <c r="A117" i="4"/>
  <c r="R116" i="4"/>
  <c r="Q116" i="4"/>
  <c r="S116" i="4" s="1"/>
  <c r="P116" i="4"/>
  <c r="O116" i="4"/>
  <c r="N116" i="4"/>
  <c r="L116" i="4"/>
  <c r="M116" i="4" s="1"/>
  <c r="K116" i="4"/>
  <c r="I116" i="4"/>
  <c r="H116" i="4"/>
  <c r="J116" i="4" s="1"/>
  <c r="F116" i="4"/>
  <c r="E116" i="4"/>
  <c r="G116" i="4" s="1"/>
  <c r="D116" i="4"/>
  <c r="T116" i="4" s="1"/>
  <c r="C116" i="4"/>
  <c r="B116" i="4"/>
  <c r="A116" i="4"/>
  <c r="R115" i="4"/>
  <c r="Q115" i="4"/>
  <c r="S115" i="4" s="1"/>
  <c r="O115" i="4"/>
  <c r="N115" i="4"/>
  <c r="P115" i="4" s="1"/>
  <c r="M115" i="4"/>
  <c r="L115" i="4"/>
  <c r="K115" i="4"/>
  <c r="I115" i="4"/>
  <c r="J115" i="4" s="1"/>
  <c r="H115" i="4"/>
  <c r="F115" i="4"/>
  <c r="E115" i="4"/>
  <c r="G115" i="4" s="1"/>
  <c r="C115" i="4"/>
  <c r="B115" i="4"/>
  <c r="D115" i="4" s="1"/>
  <c r="T115" i="4" s="1"/>
  <c r="A115" i="4"/>
  <c r="R114" i="4"/>
  <c r="S114" i="4" s="1"/>
  <c r="Q114" i="4"/>
  <c r="O114" i="4"/>
  <c r="N114" i="4"/>
  <c r="P114" i="4" s="1"/>
  <c r="L114" i="4"/>
  <c r="K114" i="4"/>
  <c r="M114" i="4" s="1"/>
  <c r="J114" i="4"/>
  <c r="I114" i="4"/>
  <c r="H114" i="4"/>
  <c r="F114" i="4"/>
  <c r="G114" i="4" s="1"/>
  <c r="E114" i="4"/>
  <c r="C114" i="4"/>
  <c r="B114" i="4"/>
  <c r="D114" i="4" s="1"/>
  <c r="A114" i="4"/>
  <c r="S113" i="4"/>
  <c r="R113" i="4"/>
  <c r="Q113" i="4"/>
  <c r="O113" i="4"/>
  <c r="P113" i="4" s="1"/>
  <c r="N113" i="4"/>
  <c r="L113" i="4"/>
  <c r="K113" i="4"/>
  <c r="M113" i="4" s="1"/>
  <c r="I113" i="4"/>
  <c r="H113" i="4"/>
  <c r="J113" i="4" s="1"/>
  <c r="G113" i="4"/>
  <c r="F113" i="4"/>
  <c r="E113" i="4"/>
  <c r="C113" i="4"/>
  <c r="D113" i="4" s="1"/>
  <c r="T113" i="4" s="1"/>
  <c r="B113" i="4"/>
  <c r="A113" i="4"/>
  <c r="R112" i="4"/>
  <c r="Q112" i="4"/>
  <c r="S112" i="4" s="1"/>
  <c r="P112" i="4"/>
  <c r="O112" i="4"/>
  <c r="N112" i="4"/>
  <c r="L112" i="4"/>
  <c r="M112" i="4" s="1"/>
  <c r="K112" i="4"/>
  <c r="I112" i="4"/>
  <c r="H112" i="4"/>
  <c r="J112" i="4" s="1"/>
  <c r="F112" i="4"/>
  <c r="E112" i="4"/>
  <c r="G112" i="4" s="1"/>
  <c r="D112" i="4"/>
  <c r="T112" i="4" s="1"/>
  <c r="C112" i="4"/>
  <c r="B112" i="4"/>
  <c r="A112" i="4"/>
  <c r="R111" i="4"/>
  <c r="Q111" i="4"/>
  <c r="S111" i="4" s="1"/>
  <c r="O111" i="4"/>
  <c r="N111" i="4"/>
  <c r="P111" i="4" s="1"/>
  <c r="M111" i="4"/>
  <c r="L111" i="4"/>
  <c r="K111" i="4"/>
  <c r="I111" i="4"/>
  <c r="J111" i="4" s="1"/>
  <c r="H111" i="4"/>
  <c r="F111" i="4"/>
  <c r="E111" i="4"/>
  <c r="G111" i="4" s="1"/>
  <c r="C111" i="4"/>
  <c r="B111" i="4"/>
  <c r="D111" i="4" s="1"/>
  <c r="T111" i="4" s="1"/>
  <c r="A111" i="4"/>
  <c r="R110" i="4"/>
  <c r="S110" i="4" s="1"/>
  <c r="Q110" i="4"/>
  <c r="O110" i="4"/>
  <c r="N110" i="4"/>
  <c r="P110" i="4" s="1"/>
  <c r="L110" i="4"/>
  <c r="K110" i="4"/>
  <c r="M110" i="4" s="1"/>
  <c r="J110" i="4"/>
  <c r="I110" i="4"/>
  <c r="H110" i="4"/>
  <c r="F110" i="4"/>
  <c r="G110" i="4" s="1"/>
  <c r="E110" i="4"/>
  <c r="C110" i="4"/>
  <c r="B110" i="4"/>
  <c r="D110" i="4" s="1"/>
  <c r="A110" i="4"/>
  <c r="S109" i="4"/>
  <c r="R109" i="4"/>
  <c r="Q109" i="4"/>
  <c r="O109" i="4"/>
  <c r="P109" i="4" s="1"/>
  <c r="N109" i="4"/>
  <c r="L109" i="4"/>
  <c r="K109" i="4"/>
  <c r="M109" i="4" s="1"/>
  <c r="I109" i="4"/>
  <c r="H109" i="4"/>
  <c r="J109" i="4" s="1"/>
  <c r="G109" i="4"/>
  <c r="F109" i="4"/>
  <c r="E109" i="4"/>
  <c r="C109" i="4"/>
  <c r="D109" i="4" s="1"/>
  <c r="T109" i="4" s="1"/>
  <c r="B109" i="4"/>
  <c r="A109" i="4"/>
  <c r="R108" i="4"/>
  <c r="Q108" i="4"/>
  <c r="S108" i="4" s="1"/>
  <c r="P108" i="4"/>
  <c r="O108" i="4"/>
  <c r="N108" i="4"/>
  <c r="L108" i="4"/>
  <c r="M108" i="4" s="1"/>
  <c r="K108" i="4"/>
  <c r="I108" i="4"/>
  <c r="H108" i="4"/>
  <c r="J108" i="4" s="1"/>
  <c r="F108" i="4"/>
  <c r="E108" i="4"/>
  <c r="G108" i="4" s="1"/>
  <c r="D108" i="4"/>
  <c r="T108" i="4" s="1"/>
  <c r="C108" i="4"/>
  <c r="B108" i="4"/>
  <c r="A108" i="4"/>
  <c r="R107" i="4"/>
  <c r="Q107" i="4"/>
  <c r="S107" i="4" s="1"/>
  <c r="O107" i="4"/>
  <c r="N107" i="4"/>
  <c r="P107" i="4" s="1"/>
  <c r="M107" i="4"/>
  <c r="L107" i="4"/>
  <c r="K107" i="4"/>
  <c r="I107" i="4"/>
  <c r="J107" i="4" s="1"/>
  <c r="H107" i="4"/>
  <c r="F107" i="4"/>
  <c r="E107" i="4"/>
  <c r="G107" i="4" s="1"/>
  <c r="C107" i="4"/>
  <c r="B107" i="4"/>
  <c r="D107" i="4" s="1"/>
  <c r="T107" i="4" s="1"/>
  <c r="A107" i="4"/>
  <c r="R106" i="4"/>
  <c r="S106" i="4" s="1"/>
  <c r="Q106" i="4"/>
  <c r="O106" i="4"/>
  <c r="N106" i="4"/>
  <c r="P106" i="4" s="1"/>
  <c r="L106" i="4"/>
  <c r="K106" i="4"/>
  <c r="M106" i="4" s="1"/>
  <c r="J106" i="4"/>
  <c r="I106" i="4"/>
  <c r="H106" i="4"/>
  <c r="F106" i="4"/>
  <c r="G106" i="4" s="1"/>
  <c r="E106" i="4"/>
  <c r="C106" i="4"/>
  <c r="B106" i="4"/>
  <c r="D106" i="4" s="1"/>
  <c r="A106" i="4"/>
  <c r="S105" i="4"/>
  <c r="R105" i="4"/>
  <c r="Q105" i="4"/>
  <c r="O105" i="4"/>
  <c r="P105" i="4" s="1"/>
  <c r="N105" i="4"/>
  <c r="L105" i="4"/>
  <c r="K105" i="4"/>
  <c r="M105" i="4" s="1"/>
  <c r="I105" i="4"/>
  <c r="H105" i="4"/>
  <c r="J105" i="4" s="1"/>
  <c r="G105" i="4"/>
  <c r="F105" i="4"/>
  <c r="E105" i="4"/>
  <c r="C105" i="4"/>
  <c r="D105" i="4" s="1"/>
  <c r="T105" i="4" s="1"/>
  <c r="B105" i="4"/>
  <c r="A105" i="4"/>
  <c r="R104" i="4"/>
  <c r="Q104" i="4"/>
  <c r="S104" i="4" s="1"/>
  <c r="P104" i="4"/>
  <c r="O104" i="4"/>
  <c r="N104" i="4"/>
  <c r="L104" i="4"/>
  <c r="M104" i="4" s="1"/>
  <c r="K104" i="4"/>
  <c r="I104" i="4"/>
  <c r="H104" i="4"/>
  <c r="J104" i="4" s="1"/>
  <c r="F104" i="4"/>
  <c r="E104" i="4"/>
  <c r="G104" i="4" s="1"/>
  <c r="D104" i="4"/>
  <c r="T104" i="4" s="1"/>
  <c r="C104" i="4"/>
  <c r="B104" i="4"/>
  <c r="A104" i="4"/>
  <c r="R103" i="4"/>
  <c r="Q103" i="4"/>
  <c r="O103" i="4"/>
  <c r="N103" i="4"/>
  <c r="P103" i="4" s="1"/>
  <c r="M103" i="4"/>
  <c r="L103" i="4"/>
  <c r="K103" i="4"/>
  <c r="I103" i="4"/>
  <c r="J103" i="4" s="1"/>
  <c r="H103" i="4"/>
  <c r="F103" i="4"/>
  <c r="E103" i="4"/>
  <c r="G103" i="4" s="1"/>
  <c r="C103" i="4"/>
  <c r="B103" i="4"/>
  <c r="D103" i="4" s="1"/>
  <c r="A103" i="4"/>
  <c r="R102" i="4"/>
  <c r="S102" i="4" s="1"/>
  <c r="Q102" i="4"/>
  <c r="O102" i="4"/>
  <c r="N102" i="4"/>
  <c r="P102" i="4" s="1"/>
  <c r="L102" i="4"/>
  <c r="K102" i="4"/>
  <c r="M102" i="4" s="1"/>
  <c r="J102" i="4"/>
  <c r="I102" i="4"/>
  <c r="H102" i="4"/>
  <c r="F102" i="4"/>
  <c r="G102" i="4" s="1"/>
  <c r="E102" i="4"/>
  <c r="C102" i="4"/>
  <c r="B102" i="4"/>
  <c r="A102" i="4"/>
  <c r="S101" i="4"/>
  <c r="R101" i="4"/>
  <c r="Q101" i="4"/>
  <c r="O101" i="4"/>
  <c r="P101" i="4" s="1"/>
  <c r="N101" i="4"/>
  <c r="L101" i="4"/>
  <c r="K101" i="4"/>
  <c r="M101" i="4" s="1"/>
  <c r="T101" i="4" s="1"/>
  <c r="I101" i="4"/>
  <c r="H101" i="4"/>
  <c r="J101" i="4" s="1"/>
  <c r="G101" i="4"/>
  <c r="F101" i="4"/>
  <c r="E101" i="4"/>
  <c r="D101" i="4"/>
  <c r="C101" i="4"/>
  <c r="B101" i="4"/>
  <c r="A101" i="4"/>
  <c r="R100" i="4"/>
  <c r="Q100" i="4"/>
  <c r="S100" i="4" s="1"/>
  <c r="P100" i="4"/>
  <c r="O100" i="4"/>
  <c r="N100" i="4"/>
  <c r="M100" i="4"/>
  <c r="L100" i="4"/>
  <c r="K100" i="4"/>
  <c r="I100" i="4"/>
  <c r="H100" i="4"/>
  <c r="J100" i="4" s="1"/>
  <c r="F100" i="4"/>
  <c r="E100" i="4"/>
  <c r="G100" i="4" s="1"/>
  <c r="D100" i="4"/>
  <c r="T100" i="4" s="1"/>
  <c r="C100" i="4"/>
  <c r="B100" i="4"/>
  <c r="A100" i="4"/>
  <c r="R99" i="4"/>
  <c r="Q99" i="4"/>
  <c r="O99" i="4"/>
  <c r="N99" i="4"/>
  <c r="P99" i="4" s="1"/>
  <c r="M99" i="4"/>
  <c r="L99" i="4"/>
  <c r="K99" i="4"/>
  <c r="I99" i="4"/>
  <c r="J99" i="4" s="1"/>
  <c r="H99" i="4"/>
  <c r="F99" i="4"/>
  <c r="E99" i="4"/>
  <c r="G99" i="4" s="1"/>
  <c r="C99" i="4"/>
  <c r="B99" i="4"/>
  <c r="D99" i="4" s="1"/>
  <c r="A99" i="4"/>
  <c r="R98" i="4"/>
  <c r="S98" i="4" s="1"/>
  <c r="Q98" i="4"/>
  <c r="O98" i="4"/>
  <c r="N98" i="4"/>
  <c r="P98" i="4" s="1"/>
  <c r="L98" i="4"/>
  <c r="K98" i="4"/>
  <c r="M98" i="4" s="1"/>
  <c r="J98" i="4"/>
  <c r="I98" i="4"/>
  <c r="H98" i="4"/>
  <c r="G98" i="4"/>
  <c r="F98" i="4"/>
  <c r="E98" i="4"/>
  <c r="C98" i="4"/>
  <c r="B98" i="4"/>
  <c r="A98" i="4"/>
  <c r="S97" i="4"/>
  <c r="R97" i="4"/>
  <c r="Q97" i="4"/>
  <c r="O97" i="4"/>
  <c r="P97" i="4" s="1"/>
  <c r="N97" i="4"/>
  <c r="L97" i="4"/>
  <c r="K97" i="4"/>
  <c r="M97" i="4" s="1"/>
  <c r="I97" i="4"/>
  <c r="H97" i="4"/>
  <c r="J97" i="4" s="1"/>
  <c r="G97" i="4"/>
  <c r="F97" i="4"/>
  <c r="E97" i="4"/>
  <c r="C97" i="4"/>
  <c r="D97" i="4" s="1"/>
  <c r="B97" i="4"/>
  <c r="A97" i="4"/>
  <c r="R96" i="4"/>
  <c r="Q96" i="4"/>
  <c r="S96" i="4" s="1"/>
  <c r="P96" i="4"/>
  <c r="O96" i="4"/>
  <c r="N96" i="4"/>
  <c r="M96" i="4"/>
  <c r="L96" i="4"/>
  <c r="K96" i="4"/>
  <c r="I96" i="4"/>
  <c r="H96" i="4"/>
  <c r="J96" i="4" s="1"/>
  <c r="F96" i="4"/>
  <c r="E96" i="4"/>
  <c r="G96" i="4" s="1"/>
  <c r="D96" i="4"/>
  <c r="T96" i="4" s="1"/>
  <c r="C96" i="4"/>
  <c r="B96" i="4"/>
  <c r="A96" i="4"/>
  <c r="R95" i="4"/>
  <c r="Q95" i="4"/>
  <c r="O95" i="4"/>
  <c r="N95" i="4"/>
  <c r="P95" i="4" s="1"/>
  <c r="M95" i="4"/>
  <c r="L95" i="4"/>
  <c r="K95" i="4"/>
  <c r="I95" i="4"/>
  <c r="J95" i="4" s="1"/>
  <c r="H95" i="4"/>
  <c r="F95" i="4"/>
  <c r="E95" i="4"/>
  <c r="G95" i="4" s="1"/>
  <c r="C95" i="4"/>
  <c r="B95" i="4"/>
  <c r="D95" i="4" s="1"/>
  <c r="A95" i="4"/>
  <c r="R94" i="4"/>
  <c r="S94" i="4" s="1"/>
  <c r="Q94" i="4"/>
  <c r="O94" i="4"/>
  <c r="N94" i="4"/>
  <c r="P94" i="4" s="1"/>
  <c r="L94" i="4"/>
  <c r="K94" i="4"/>
  <c r="M94" i="4" s="1"/>
  <c r="J94" i="4"/>
  <c r="I94" i="4"/>
  <c r="H94" i="4"/>
  <c r="F94" i="4"/>
  <c r="G94" i="4" s="1"/>
  <c r="E94" i="4"/>
  <c r="C94" i="4"/>
  <c r="B94" i="4"/>
  <c r="A94" i="4"/>
  <c r="S93" i="4"/>
  <c r="R93" i="4"/>
  <c r="Q93" i="4"/>
  <c r="O93" i="4"/>
  <c r="P93" i="4" s="1"/>
  <c r="N93" i="4"/>
  <c r="L93" i="4"/>
  <c r="K93" i="4"/>
  <c r="M93" i="4" s="1"/>
  <c r="I93" i="4"/>
  <c r="H93" i="4"/>
  <c r="J93" i="4" s="1"/>
  <c r="G93" i="4"/>
  <c r="F93" i="4"/>
  <c r="E93" i="4"/>
  <c r="C93" i="4"/>
  <c r="D93" i="4" s="1"/>
  <c r="B93" i="4"/>
  <c r="A93" i="4"/>
  <c r="R92" i="4"/>
  <c r="Q92" i="4"/>
  <c r="S92" i="4" s="1"/>
  <c r="P92" i="4"/>
  <c r="O92" i="4"/>
  <c r="N92" i="4"/>
  <c r="M92" i="4"/>
  <c r="L92" i="4"/>
  <c r="K92" i="4"/>
  <c r="I92" i="4"/>
  <c r="H92" i="4"/>
  <c r="J92" i="4" s="1"/>
  <c r="F92" i="4"/>
  <c r="E92" i="4"/>
  <c r="G92" i="4" s="1"/>
  <c r="D92" i="4"/>
  <c r="T92" i="4" s="1"/>
  <c r="C92" i="4"/>
  <c r="B92" i="4"/>
  <c r="A92" i="4"/>
  <c r="R91" i="4"/>
  <c r="Q91" i="4"/>
  <c r="O91" i="4"/>
  <c r="N91" i="4"/>
  <c r="P91" i="4" s="1"/>
  <c r="M91" i="4"/>
  <c r="L91" i="4"/>
  <c r="K91" i="4"/>
  <c r="I91" i="4"/>
  <c r="J91" i="4" s="1"/>
  <c r="H91" i="4"/>
  <c r="F91" i="4"/>
  <c r="E91" i="4"/>
  <c r="G91" i="4" s="1"/>
  <c r="C91" i="4"/>
  <c r="B91" i="4"/>
  <c r="D91" i="4" s="1"/>
  <c r="A91" i="4"/>
  <c r="R90" i="4"/>
  <c r="S90" i="4" s="1"/>
  <c r="Q90" i="4"/>
  <c r="O90" i="4"/>
  <c r="N90" i="4"/>
  <c r="P90" i="4" s="1"/>
  <c r="L90" i="4"/>
  <c r="K90" i="4"/>
  <c r="M90" i="4" s="1"/>
  <c r="J90" i="4"/>
  <c r="I90" i="4"/>
  <c r="H90" i="4"/>
  <c r="F90" i="4"/>
  <c r="G90" i="4" s="1"/>
  <c r="E90" i="4"/>
  <c r="C90" i="4"/>
  <c r="B90" i="4"/>
  <c r="A90" i="4"/>
  <c r="S89" i="4"/>
  <c r="R89" i="4"/>
  <c r="Q89" i="4"/>
  <c r="O89" i="4"/>
  <c r="P89" i="4" s="1"/>
  <c r="N89" i="4"/>
  <c r="L89" i="4"/>
  <c r="K89" i="4"/>
  <c r="M89" i="4" s="1"/>
  <c r="I89" i="4"/>
  <c r="H89" i="4"/>
  <c r="J89" i="4" s="1"/>
  <c r="G89" i="4"/>
  <c r="F89" i="4"/>
  <c r="E89" i="4"/>
  <c r="C89" i="4"/>
  <c r="D89" i="4" s="1"/>
  <c r="B89" i="4"/>
  <c r="A89" i="4"/>
  <c r="R88" i="4"/>
  <c r="Q88" i="4"/>
  <c r="S88" i="4" s="1"/>
  <c r="P88" i="4"/>
  <c r="O88" i="4"/>
  <c r="N88" i="4"/>
  <c r="M88" i="4"/>
  <c r="L88" i="4"/>
  <c r="K88" i="4"/>
  <c r="I88" i="4"/>
  <c r="H88" i="4"/>
  <c r="J88" i="4" s="1"/>
  <c r="F88" i="4"/>
  <c r="E88" i="4"/>
  <c r="G88" i="4" s="1"/>
  <c r="D88" i="4"/>
  <c r="T88" i="4" s="1"/>
  <c r="C88" i="4"/>
  <c r="B88" i="4"/>
  <c r="A88" i="4"/>
  <c r="R87" i="4"/>
  <c r="Q87" i="4"/>
  <c r="O87" i="4"/>
  <c r="N87" i="4"/>
  <c r="P87" i="4" s="1"/>
  <c r="M87" i="4"/>
  <c r="L87" i="4"/>
  <c r="K87" i="4"/>
  <c r="I87" i="4"/>
  <c r="J87" i="4" s="1"/>
  <c r="H87" i="4"/>
  <c r="F87" i="4"/>
  <c r="E87" i="4"/>
  <c r="G87" i="4" s="1"/>
  <c r="C87" i="4"/>
  <c r="B87" i="4"/>
  <c r="D87" i="4" s="1"/>
  <c r="A87" i="4"/>
  <c r="R86" i="4"/>
  <c r="S86" i="4" s="1"/>
  <c r="Q86" i="4"/>
  <c r="O86" i="4"/>
  <c r="N86" i="4"/>
  <c r="P86" i="4" s="1"/>
  <c r="L86" i="4"/>
  <c r="K86" i="4"/>
  <c r="M86" i="4" s="1"/>
  <c r="J86" i="4"/>
  <c r="I86" i="4"/>
  <c r="H86" i="4"/>
  <c r="G86" i="4"/>
  <c r="F86" i="4"/>
  <c r="E86" i="4"/>
  <c r="C86" i="4"/>
  <c r="B86" i="4"/>
  <c r="A86" i="4"/>
  <c r="S85" i="4"/>
  <c r="R85" i="4"/>
  <c r="Q85" i="4"/>
  <c r="P85" i="4"/>
  <c r="O85" i="4"/>
  <c r="N85" i="4"/>
  <c r="L85" i="4"/>
  <c r="K85" i="4"/>
  <c r="M85" i="4" s="1"/>
  <c r="T85" i="4" s="1"/>
  <c r="I85" i="4"/>
  <c r="H85" i="4"/>
  <c r="J85" i="4" s="1"/>
  <c r="G85" i="4"/>
  <c r="F85" i="4"/>
  <c r="E85" i="4"/>
  <c r="D85" i="4"/>
  <c r="C85" i="4"/>
  <c r="B85" i="4"/>
  <c r="A85" i="4"/>
  <c r="R84" i="4"/>
  <c r="Q84" i="4"/>
  <c r="S84" i="4" s="1"/>
  <c r="P84" i="4"/>
  <c r="O84" i="4"/>
  <c r="N84" i="4"/>
  <c r="M84" i="4"/>
  <c r="L84" i="4"/>
  <c r="K84" i="4"/>
  <c r="I84" i="4"/>
  <c r="H84" i="4"/>
  <c r="J84" i="4" s="1"/>
  <c r="F84" i="4"/>
  <c r="E84" i="4"/>
  <c r="G84" i="4" s="1"/>
  <c r="D84" i="4"/>
  <c r="T84" i="4" s="1"/>
  <c r="C84" i="4"/>
  <c r="B84" i="4"/>
  <c r="A84" i="4"/>
  <c r="R83" i="4"/>
  <c r="Q83" i="4"/>
  <c r="O83" i="4"/>
  <c r="N83" i="4"/>
  <c r="P83" i="4" s="1"/>
  <c r="M83" i="4"/>
  <c r="L83" i="4"/>
  <c r="K83" i="4"/>
  <c r="I83" i="4"/>
  <c r="J83" i="4" s="1"/>
  <c r="H83" i="4"/>
  <c r="F83" i="4"/>
  <c r="E83" i="4"/>
  <c r="G83" i="4" s="1"/>
  <c r="C83" i="4"/>
  <c r="B83" i="4"/>
  <c r="D83" i="4" s="1"/>
  <c r="A83" i="4"/>
  <c r="S82" i="4"/>
  <c r="R82" i="4"/>
  <c r="Q82" i="4"/>
  <c r="O82" i="4"/>
  <c r="N82" i="4"/>
  <c r="P82" i="4" s="1"/>
  <c r="L82" i="4"/>
  <c r="K82" i="4"/>
  <c r="M82" i="4" s="1"/>
  <c r="J82" i="4"/>
  <c r="I82" i="4"/>
  <c r="H82" i="4"/>
  <c r="G82" i="4"/>
  <c r="F82" i="4"/>
  <c r="E82" i="4"/>
  <c r="C82" i="4"/>
  <c r="B82" i="4"/>
  <c r="A82" i="4"/>
  <c r="S81" i="4"/>
  <c r="R81" i="4"/>
  <c r="Q81" i="4"/>
  <c r="P81" i="4"/>
  <c r="O81" i="4"/>
  <c r="N81" i="4"/>
  <c r="L81" i="4"/>
  <c r="K81" i="4"/>
  <c r="M81" i="4" s="1"/>
  <c r="T81" i="4" s="1"/>
  <c r="I81" i="4"/>
  <c r="H81" i="4"/>
  <c r="J81" i="4" s="1"/>
  <c r="G81" i="4"/>
  <c r="F81" i="4"/>
  <c r="E81" i="4"/>
  <c r="D81" i="4"/>
  <c r="C81" i="4"/>
  <c r="B81" i="4"/>
  <c r="A81" i="4"/>
  <c r="R80" i="4"/>
  <c r="Q80" i="4"/>
  <c r="S80" i="4" s="1"/>
  <c r="P80" i="4"/>
  <c r="O80" i="4"/>
  <c r="N80" i="4"/>
  <c r="M80" i="4"/>
  <c r="L80" i="4"/>
  <c r="K80" i="4"/>
  <c r="I80" i="4"/>
  <c r="H80" i="4"/>
  <c r="J80" i="4" s="1"/>
  <c r="F80" i="4"/>
  <c r="E80" i="4"/>
  <c r="G80" i="4" s="1"/>
  <c r="D80" i="4"/>
  <c r="T80" i="4" s="1"/>
  <c r="C80" i="4"/>
  <c r="B80" i="4"/>
  <c r="A80" i="4"/>
  <c r="R79" i="4"/>
  <c r="Q79" i="4"/>
  <c r="O79" i="4"/>
  <c r="N79" i="4"/>
  <c r="P79" i="4" s="1"/>
  <c r="M79" i="4"/>
  <c r="L79" i="4"/>
  <c r="K79" i="4"/>
  <c r="I79" i="4"/>
  <c r="J79" i="4" s="1"/>
  <c r="H79" i="4"/>
  <c r="F79" i="4"/>
  <c r="E79" i="4"/>
  <c r="G79" i="4" s="1"/>
  <c r="C79" i="4"/>
  <c r="B79" i="4"/>
  <c r="D79" i="4" s="1"/>
  <c r="A79" i="4"/>
  <c r="S78" i="4"/>
  <c r="R78" i="4"/>
  <c r="Q78" i="4"/>
  <c r="O78" i="4"/>
  <c r="N78" i="4"/>
  <c r="P78" i="4" s="1"/>
  <c r="L78" i="4"/>
  <c r="K78" i="4"/>
  <c r="M78" i="4" s="1"/>
  <c r="J78" i="4"/>
  <c r="I78" i="4"/>
  <c r="H78" i="4"/>
  <c r="G78" i="4"/>
  <c r="F78" i="4"/>
  <c r="E78" i="4"/>
  <c r="C78" i="4"/>
  <c r="B78" i="4"/>
  <c r="A78" i="4"/>
  <c r="S77" i="4"/>
  <c r="R77" i="4"/>
  <c r="Q77" i="4"/>
  <c r="O77" i="4"/>
  <c r="P77" i="4" s="1"/>
  <c r="N77" i="4"/>
  <c r="L77" i="4"/>
  <c r="K77" i="4"/>
  <c r="M77" i="4" s="1"/>
  <c r="T77" i="4" s="1"/>
  <c r="I77" i="4"/>
  <c r="H77" i="4"/>
  <c r="J77" i="4" s="1"/>
  <c r="G77" i="4"/>
  <c r="F77" i="4"/>
  <c r="E77" i="4"/>
  <c r="D77" i="4"/>
  <c r="C77" i="4"/>
  <c r="B77" i="4"/>
  <c r="A77" i="4"/>
  <c r="R76" i="4"/>
  <c r="Q76" i="4"/>
  <c r="S76" i="4" s="1"/>
  <c r="P76" i="4"/>
  <c r="O76" i="4"/>
  <c r="N76" i="4"/>
  <c r="M76" i="4"/>
  <c r="L76" i="4"/>
  <c r="K76" i="4"/>
  <c r="I76" i="4"/>
  <c r="H76" i="4"/>
  <c r="J76" i="4" s="1"/>
  <c r="F76" i="4"/>
  <c r="E76" i="4"/>
  <c r="G76" i="4" s="1"/>
  <c r="D76" i="4"/>
  <c r="T76" i="4" s="1"/>
  <c r="C76" i="4"/>
  <c r="B76" i="4"/>
  <c r="A76" i="4"/>
  <c r="R75" i="4"/>
  <c r="Q75" i="4"/>
  <c r="O75" i="4"/>
  <c r="N75" i="4"/>
  <c r="P75" i="4" s="1"/>
  <c r="M75" i="4"/>
  <c r="L75" i="4"/>
  <c r="K75" i="4"/>
  <c r="I75" i="4"/>
  <c r="J75" i="4" s="1"/>
  <c r="H75" i="4"/>
  <c r="F75" i="4"/>
  <c r="E75" i="4"/>
  <c r="G75" i="4" s="1"/>
  <c r="C75" i="4"/>
  <c r="B75" i="4"/>
  <c r="D75" i="4" s="1"/>
  <c r="A75" i="4"/>
  <c r="R74" i="4"/>
  <c r="S74" i="4" s="1"/>
  <c r="Q74" i="4"/>
  <c r="O74" i="4"/>
  <c r="N74" i="4"/>
  <c r="P74" i="4" s="1"/>
  <c r="L74" i="4"/>
  <c r="K74" i="4"/>
  <c r="M74" i="4" s="1"/>
  <c r="J74" i="4"/>
  <c r="I74" i="4"/>
  <c r="H74" i="4"/>
  <c r="G74" i="4"/>
  <c r="F74" i="4"/>
  <c r="E74" i="4"/>
  <c r="C74" i="4"/>
  <c r="B74" i="4"/>
  <c r="A74" i="4"/>
  <c r="S73" i="4"/>
  <c r="R73" i="4"/>
  <c r="Q73" i="4"/>
  <c r="O73" i="4"/>
  <c r="P73" i="4" s="1"/>
  <c r="N73" i="4"/>
  <c r="L73" i="4"/>
  <c r="K73" i="4"/>
  <c r="M73" i="4" s="1"/>
  <c r="T73" i="4" s="1"/>
  <c r="I73" i="4"/>
  <c r="H73" i="4"/>
  <c r="J73" i="4" s="1"/>
  <c r="G73" i="4"/>
  <c r="F73" i="4"/>
  <c r="E73" i="4"/>
  <c r="D73" i="4"/>
  <c r="C73" i="4"/>
  <c r="B73" i="4"/>
  <c r="A73" i="4"/>
  <c r="R72" i="4"/>
  <c r="Q72" i="4"/>
  <c r="S72" i="4" s="1"/>
  <c r="P72" i="4"/>
  <c r="O72" i="4"/>
  <c r="N72" i="4"/>
  <c r="M72" i="4"/>
  <c r="L72" i="4"/>
  <c r="K72" i="4"/>
  <c r="I72" i="4"/>
  <c r="H72" i="4"/>
  <c r="J72" i="4" s="1"/>
  <c r="F72" i="4"/>
  <c r="E72" i="4"/>
  <c r="G72" i="4" s="1"/>
  <c r="D72" i="4"/>
  <c r="T72" i="4" s="1"/>
  <c r="C72" i="4"/>
  <c r="B72" i="4"/>
  <c r="A72" i="4"/>
  <c r="R71" i="4"/>
  <c r="Q71" i="4"/>
  <c r="O71" i="4"/>
  <c r="N71" i="4"/>
  <c r="P71" i="4" s="1"/>
  <c r="M71" i="4"/>
  <c r="L71" i="4"/>
  <c r="K71" i="4"/>
  <c r="I71" i="4"/>
  <c r="J71" i="4" s="1"/>
  <c r="H71" i="4"/>
  <c r="F71" i="4"/>
  <c r="E71" i="4"/>
  <c r="G71" i="4" s="1"/>
  <c r="C71" i="4"/>
  <c r="B71" i="4"/>
  <c r="D71" i="4" s="1"/>
  <c r="A71" i="4"/>
  <c r="R70" i="4"/>
  <c r="S70" i="4" s="1"/>
  <c r="Q70" i="4"/>
  <c r="O70" i="4"/>
  <c r="N70" i="4"/>
  <c r="P70" i="4" s="1"/>
  <c r="L70" i="4"/>
  <c r="K70" i="4"/>
  <c r="M70" i="4" s="1"/>
  <c r="J70" i="4"/>
  <c r="I70" i="4"/>
  <c r="H70" i="4"/>
  <c r="F70" i="4"/>
  <c r="G70" i="4" s="1"/>
  <c r="E70" i="4"/>
  <c r="C70" i="4"/>
  <c r="B70" i="4"/>
  <c r="A70" i="4"/>
  <c r="S69" i="4"/>
  <c r="R69" i="4"/>
  <c r="Q69" i="4"/>
  <c r="O69" i="4"/>
  <c r="P69" i="4" s="1"/>
  <c r="N69" i="4"/>
  <c r="L69" i="4"/>
  <c r="K69" i="4"/>
  <c r="M69" i="4" s="1"/>
  <c r="I69" i="4"/>
  <c r="H69" i="4"/>
  <c r="J69" i="4" s="1"/>
  <c r="G69" i="4"/>
  <c r="F69" i="4"/>
  <c r="E69" i="4"/>
  <c r="C69" i="4"/>
  <c r="D69" i="4" s="1"/>
  <c r="T69" i="4" s="1"/>
  <c r="B69" i="4"/>
  <c r="A69" i="4"/>
  <c r="R68" i="4"/>
  <c r="Q68" i="4"/>
  <c r="S68" i="4" s="1"/>
  <c r="P68" i="4"/>
  <c r="O68" i="4"/>
  <c r="N68" i="4"/>
  <c r="M68" i="4"/>
  <c r="L68" i="4"/>
  <c r="K68" i="4"/>
  <c r="I68" i="4"/>
  <c r="H68" i="4"/>
  <c r="J68" i="4" s="1"/>
  <c r="F68" i="4"/>
  <c r="E68" i="4"/>
  <c r="G68" i="4" s="1"/>
  <c r="D68" i="4"/>
  <c r="T68" i="4" s="1"/>
  <c r="C68" i="4"/>
  <c r="B68" i="4"/>
  <c r="A68" i="4"/>
  <c r="R67" i="4"/>
  <c r="Q67" i="4"/>
  <c r="O67" i="4"/>
  <c r="N67" i="4"/>
  <c r="P67" i="4" s="1"/>
  <c r="M67" i="4"/>
  <c r="L67" i="4"/>
  <c r="K67" i="4"/>
  <c r="I67" i="4"/>
  <c r="J67" i="4" s="1"/>
  <c r="H67" i="4"/>
  <c r="F67" i="4"/>
  <c r="E67" i="4"/>
  <c r="G67" i="4" s="1"/>
  <c r="C67" i="4"/>
  <c r="B67" i="4"/>
  <c r="D67" i="4" s="1"/>
  <c r="A67" i="4"/>
  <c r="R66" i="4"/>
  <c r="S66" i="4" s="1"/>
  <c r="Q66" i="4"/>
  <c r="O66" i="4"/>
  <c r="N66" i="4"/>
  <c r="P66" i="4" s="1"/>
  <c r="L66" i="4"/>
  <c r="K66" i="4"/>
  <c r="M66" i="4" s="1"/>
  <c r="J66" i="4"/>
  <c r="I66" i="4"/>
  <c r="H66" i="4"/>
  <c r="G66" i="4"/>
  <c r="F66" i="4"/>
  <c r="E66" i="4"/>
  <c r="C66" i="4"/>
  <c r="B66" i="4"/>
  <c r="A66" i="4"/>
  <c r="S65" i="4"/>
  <c r="R65" i="4"/>
  <c r="Q65" i="4"/>
  <c r="O65" i="4"/>
  <c r="P65" i="4" s="1"/>
  <c r="N65" i="4"/>
  <c r="L65" i="4"/>
  <c r="K65" i="4"/>
  <c r="M65" i="4" s="1"/>
  <c r="I65" i="4"/>
  <c r="H65" i="4"/>
  <c r="J65" i="4" s="1"/>
  <c r="G65" i="4"/>
  <c r="F65" i="4"/>
  <c r="E65" i="4"/>
  <c r="D65" i="4"/>
  <c r="C65" i="4"/>
  <c r="B65" i="4"/>
  <c r="A65" i="4"/>
  <c r="R64" i="4"/>
  <c r="Q64" i="4"/>
  <c r="S64" i="4" s="1"/>
  <c r="P64" i="4"/>
  <c r="O64" i="4"/>
  <c r="N64" i="4"/>
  <c r="M64" i="4"/>
  <c r="L64" i="4"/>
  <c r="K64" i="4"/>
  <c r="I64" i="4"/>
  <c r="H64" i="4"/>
  <c r="J64" i="4" s="1"/>
  <c r="F64" i="4"/>
  <c r="E64" i="4"/>
  <c r="G64" i="4" s="1"/>
  <c r="D64" i="4"/>
  <c r="T64" i="4" s="1"/>
  <c r="C64" i="4"/>
  <c r="B64" i="4"/>
  <c r="A64" i="4"/>
  <c r="R63" i="4"/>
  <c r="Q63" i="4"/>
  <c r="O63" i="4"/>
  <c r="N63" i="4"/>
  <c r="P63" i="4" s="1"/>
  <c r="M63" i="4"/>
  <c r="L63" i="4"/>
  <c r="K63" i="4"/>
  <c r="I63" i="4"/>
  <c r="J63" i="4" s="1"/>
  <c r="H63" i="4"/>
  <c r="F63" i="4"/>
  <c r="E63" i="4"/>
  <c r="G63" i="4" s="1"/>
  <c r="C63" i="4"/>
  <c r="B63" i="4"/>
  <c r="D63" i="4" s="1"/>
  <c r="A63" i="4"/>
  <c r="R62" i="4"/>
  <c r="S62" i="4" s="1"/>
  <c r="Q62" i="4"/>
  <c r="O62" i="4"/>
  <c r="N62" i="4"/>
  <c r="P62" i="4" s="1"/>
  <c r="L62" i="4"/>
  <c r="K62" i="4"/>
  <c r="M62" i="4" s="1"/>
  <c r="J62" i="4"/>
  <c r="I62" i="4"/>
  <c r="H62" i="4"/>
  <c r="G62" i="4"/>
  <c r="F62" i="4"/>
  <c r="E62" i="4"/>
  <c r="C62" i="4"/>
  <c r="B62" i="4"/>
  <c r="A62" i="4"/>
  <c r="S61" i="4"/>
  <c r="R61" i="4"/>
  <c r="Q61" i="4"/>
  <c r="O61" i="4"/>
  <c r="P61" i="4" s="1"/>
  <c r="N61" i="4"/>
  <c r="L61" i="4"/>
  <c r="K61" i="4"/>
  <c r="M61" i="4" s="1"/>
  <c r="I61" i="4"/>
  <c r="H61" i="4"/>
  <c r="J61" i="4" s="1"/>
  <c r="G61" i="4"/>
  <c r="F61" i="4"/>
  <c r="E61" i="4"/>
  <c r="D61" i="4"/>
  <c r="C61" i="4"/>
  <c r="B61" i="4"/>
  <c r="A61" i="4"/>
  <c r="R60" i="4"/>
  <c r="Q60" i="4"/>
  <c r="S60" i="4" s="1"/>
  <c r="P60" i="4"/>
  <c r="O60" i="4"/>
  <c r="N60" i="4"/>
  <c r="M60" i="4"/>
  <c r="L60" i="4"/>
  <c r="K60" i="4"/>
  <c r="I60" i="4"/>
  <c r="H60" i="4"/>
  <c r="J60" i="4" s="1"/>
  <c r="F60" i="4"/>
  <c r="E60" i="4"/>
  <c r="G60" i="4" s="1"/>
  <c r="D60" i="4"/>
  <c r="T60" i="4" s="1"/>
  <c r="C60" i="4"/>
  <c r="B60" i="4"/>
  <c r="A60" i="4"/>
  <c r="R59" i="4"/>
  <c r="Q59" i="4"/>
  <c r="O59" i="4"/>
  <c r="N59" i="4"/>
  <c r="P59" i="4" s="1"/>
  <c r="M59" i="4"/>
  <c r="L59" i="4"/>
  <c r="K59" i="4"/>
  <c r="I59" i="4"/>
  <c r="J59" i="4" s="1"/>
  <c r="H59" i="4"/>
  <c r="F59" i="4"/>
  <c r="E59" i="4"/>
  <c r="G59" i="4" s="1"/>
  <c r="C59" i="4"/>
  <c r="B59" i="4"/>
  <c r="D59" i="4" s="1"/>
  <c r="A59" i="4"/>
  <c r="R58" i="4"/>
  <c r="S58" i="4" s="1"/>
  <c r="Q58" i="4"/>
  <c r="O58" i="4"/>
  <c r="N58" i="4"/>
  <c r="P58" i="4" s="1"/>
  <c r="L58" i="4"/>
  <c r="K58" i="4"/>
  <c r="M58" i="4" s="1"/>
  <c r="J58" i="4"/>
  <c r="I58" i="4"/>
  <c r="H58" i="4"/>
  <c r="G58" i="4"/>
  <c r="F58" i="4"/>
  <c r="E58" i="4"/>
  <c r="C58" i="4"/>
  <c r="B58" i="4"/>
  <c r="A58" i="4"/>
  <c r="S57" i="4"/>
  <c r="R57" i="4"/>
  <c r="Q57" i="4"/>
  <c r="O57" i="4"/>
  <c r="P57" i="4" s="1"/>
  <c r="N57" i="4"/>
  <c r="L57" i="4"/>
  <c r="K57" i="4"/>
  <c r="M57" i="4" s="1"/>
  <c r="T57" i="4" s="1"/>
  <c r="I57" i="4"/>
  <c r="H57" i="4"/>
  <c r="J57" i="4" s="1"/>
  <c r="G57" i="4"/>
  <c r="F57" i="4"/>
  <c r="E57" i="4"/>
  <c r="D57" i="4"/>
  <c r="C57" i="4"/>
  <c r="B57" i="4"/>
  <c r="A57" i="4"/>
  <c r="R56" i="4"/>
  <c r="Q56" i="4"/>
  <c r="S56" i="4" s="1"/>
  <c r="P56" i="4"/>
  <c r="O56" i="4"/>
  <c r="N56" i="4"/>
  <c r="M56" i="4"/>
  <c r="L56" i="4"/>
  <c r="K56" i="4"/>
  <c r="I56" i="4"/>
  <c r="H56" i="4"/>
  <c r="J56" i="4" s="1"/>
  <c r="F56" i="4"/>
  <c r="E56" i="4"/>
  <c r="G56" i="4" s="1"/>
  <c r="D56" i="4"/>
  <c r="T56" i="4" s="1"/>
  <c r="C56" i="4"/>
  <c r="B56" i="4"/>
  <c r="A56" i="4"/>
  <c r="R55" i="4"/>
  <c r="Q55" i="4"/>
  <c r="O55" i="4"/>
  <c r="N55" i="4"/>
  <c r="P55" i="4" s="1"/>
  <c r="M55" i="4"/>
  <c r="L55" i="4"/>
  <c r="K55" i="4"/>
  <c r="I55" i="4"/>
  <c r="J55" i="4" s="1"/>
  <c r="H55" i="4"/>
  <c r="F55" i="4"/>
  <c r="E55" i="4"/>
  <c r="G55" i="4" s="1"/>
  <c r="C55" i="4"/>
  <c r="B55" i="4"/>
  <c r="D55" i="4" s="1"/>
  <c r="A55" i="4"/>
  <c r="R54" i="4"/>
  <c r="S54" i="4" s="1"/>
  <c r="Q54" i="4"/>
  <c r="O54" i="4"/>
  <c r="N54" i="4"/>
  <c r="P54" i="4" s="1"/>
  <c r="L54" i="4"/>
  <c r="K54" i="4"/>
  <c r="M54" i="4" s="1"/>
  <c r="J54" i="4"/>
  <c r="I54" i="4"/>
  <c r="H54" i="4"/>
  <c r="G54" i="4"/>
  <c r="F54" i="4"/>
  <c r="E54" i="4"/>
  <c r="C54" i="4"/>
  <c r="B54" i="4"/>
  <c r="A54" i="4"/>
  <c r="S53" i="4"/>
  <c r="R53" i="4"/>
  <c r="Q53" i="4"/>
  <c r="O53" i="4"/>
  <c r="P53" i="4" s="1"/>
  <c r="N53" i="4"/>
  <c r="L53" i="4"/>
  <c r="K53" i="4"/>
  <c r="M53" i="4" s="1"/>
  <c r="I53" i="4"/>
  <c r="H53" i="4"/>
  <c r="J53" i="4" s="1"/>
  <c r="G53" i="4"/>
  <c r="F53" i="4"/>
  <c r="E53" i="4"/>
  <c r="C53" i="4"/>
  <c r="D53" i="4" s="1"/>
  <c r="T53" i="4" s="1"/>
  <c r="B53" i="4"/>
  <c r="A53" i="4"/>
  <c r="R52" i="4"/>
  <c r="Q52" i="4"/>
  <c r="S52" i="4" s="1"/>
  <c r="P52" i="4"/>
  <c r="O52" i="4"/>
  <c r="N52" i="4"/>
  <c r="M52" i="4"/>
  <c r="L52" i="4"/>
  <c r="K52" i="4"/>
  <c r="I52" i="4"/>
  <c r="H52" i="4"/>
  <c r="J52" i="4" s="1"/>
  <c r="F52" i="4"/>
  <c r="E52" i="4"/>
  <c r="G52" i="4" s="1"/>
  <c r="D52" i="4"/>
  <c r="T52" i="4" s="1"/>
  <c r="C52" i="4"/>
  <c r="B52" i="4"/>
  <c r="A52" i="4"/>
  <c r="R51" i="4"/>
  <c r="Q51" i="4"/>
  <c r="O51" i="4"/>
  <c r="N51" i="4"/>
  <c r="P51" i="4" s="1"/>
  <c r="M51" i="4"/>
  <c r="L51" i="4"/>
  <c r="K51" i="4"/>
  <c r="I51" i="4"/>
  <c r="J51" i="4" s="1"/>
  <c r="H51" i="4"/>
  <c r="F51" i="4"/>
  <c r="E51" i="4"/>
  <c r="G51" i="4" s="1"/>
  <c r="C51" i="4"/>
  <c r="B51" i="4"/>
  <c r="D51" i="4" s="1"/>
  <c r="A51" i="4"/>
  <c r="R50" i="4"/>
  <c r="S50" i="4" s="1"/>
  <c r="Q50" i="4"/>
  <c r="O50" i="4"/>
  <c r="N50" i="4"/>
  <c r="P50" i="4" s="1"/>
  <c r="L50" i="4"/>
  <c r="K50" i="4"/>
  <c r="M50" i="4" s="1"/>
  <c r="J50" i="4"/>
  <c r="I50" i="4"/>
  <c r="H50" i="4"/>
  <c r="G50" i="4"/>
  <c r="F50" i="4"/>
  <c r="E50" i="4"/>
  <c r="C50" i="4"/>
  <c r="B50" i="4"/>
  <c r="A50" i="4"/>
  <c r="S49" i="4"/>
  <c r="R49" i="4"/>
  <c r="Q49" i="4"/>
  <c r="O49" i="4"/>
  <c r="P49" i="4" s="1"/>
  <c r="N49" i="4"/>
  <c r="L49" i="4"/>
  <c r="K49" i="4"/>
  <c r="M49" i="4" s="1"/>
  <c r="I49" i="4"/>
  <c r="H49" i="4"/>
  <c r="J49" i="4" s="1"/>
  <c r="G49" i="4"/>
  <c r="F49" i="4"/>
  <c r="E49" i="4"/>
  <c r="C49" i="4"/>
  <c r="D49" i="4" s="1"/>
  <c r="B49" i="4"/>
  <c r="A49" i="4"/>
  <c r="R48" i="4"/>
  <c r="Q48" i="4"/>
  <c r="S48" i="4" s="1"/>
  <c r="P48" i="4"/>
  <c r="O48" i="4"/>
  <c r="N48" i="4"/>
  <c r="M48" i="4"/>
  <c r="L48" i="4"/>
  <c r="K48" i="4"/>
  <c r="I48" i="4"/>
  <c r="H48" i="4"/>
  <c r="J48" i="4" s="1"/>
  <c r="F48" i="4"/>
  <c r="E48" i="4"/>
  <c r="G48" i="4" s="1"/>
  <c r="D48" i="4"/>
  <c r="T48" i="4" s="1"/>
  <c r="C48" i="4"/>
  <c r="B48" i="4"/>
  <c r="A48" i="4"/>
  <c r="R47" i="4"/>
  <c r="Q47" i="4"/>
  <c r="O47" i="4"/>
  <c r="N47" i="4"/>
  <c r="P47" i="4" s="1"/>
  <c r="M47" i="4"/>
  <c r="L47" i="4"/>
  <c r="K47" i="4"/>
  <c r="I47" i="4"/>
  <c r="J47" i="4" s="1"/>
  <c r="H47" i="4"/>
  <c r="F47" i="4"/>
  <c r="E47" i="4"/>
  <c r="G47" i="4" s="1"/>
  <c r="C47" i="4"/>
  <c r="B47" i="4"/>
  <c r="D47" i="4" s="1"/>
  <c r="A47" i="4"/>
  <c r="S46" i="4"/>
  <c r="R46" i="4"/>
  <c r="Q46" i="4"/>
  <c r="O46" i="4"/>
  <c r="N46" i="4"/>
  <c r="P46" i="4" s="1"/>
  <c r="L46" i="4"/>
  <c r="K46" i="4"/>
  <c r="M46" i="4" s="1"/>
  <c r="J46" i="4"/>
  <c r="I46" i="4"/>
  <c r="H46" i="4"/>
  <c r="G46" i="4"/>
  <c r="F46" i="4"/>
  <c r="E46" i="4"/>
  <c r="C46" i="4"/>
  <c r="B46" i="4"/>
  <c r="A46" i="4"/>
  <c r="S45" i="4"/>
  <c r="R45" i="4"/>
  <c r="Q45" i="4"/>
  <c r="O45" i="4"/>
  <c r="P45" i="4" s="1"/>
  <c r="N45" i="4"/>
  <c r="L45" i="4"/>
  <c r="K45" i="4"/>
  <c r="M45" i="4" s="1"/>
  <c r="T45" i="4" s="1"/>
  <c r="I45" i="4"/>
  <c r="H45" i="4"/>
  <c r="J45" i="4" s="1"/>
  <c r="G45" i="4"/>
  <c r="F45" i="4"/>
  <c r="E45" i="4"/>
  <c r="D45" i="4"/>
  <c r="C45" i="4"/>
  <c r="B45" i="4"/>
  <c r="A45" i="4"/>
  <c r="R44" i="4"/>
  <c r="Q44" i="4"/>
  <c r="S44" i="4" s="1"/>
  <c r="P44" i="4"/>
  <c r="O44" i="4"/>
  <c r="N44" i="4"/>
  <c r="M44" i="4"/>
  <c r="L44" i="4"/>
  <c r="K44" i="4"/>
  <c r="I44" i="4"/>
  <c r="H44" i="4"/>
  <c r="J44" i="4" s="1"/>
  <c r="F44" i="4"/>
  <c r="E44" i="4"/>
  <c r="G44" i="4" s="1"/>
  <c r="D44" i="4"/>
  <c r="T44" i="4" s="1"/>
  <c r="C44" i="4"/>
  <c r="B44" i="4"/>
  <c r="A44" i="4"/>
  <c r="R43" i="4"/>
  <c r="Q43" i="4"/>
  <c r="O43" i="4"/>
  <c r="N43" i="4"/>
  <c r="P43" i="4" s="1"/>
  <c r="M43" i="4"/>
  <c r="L43" i="4"/>
  <c r="K43" i="4"/>
  <c r="I43" i="4"/>
  <c r="J43" i="4" s="1"/>
  <c r="H43" i="4"/>
  <c r="F43" i="4"/>
  <c r="E43" i="4"/>
  <c r="G43" i="4" s="1"/>
  <c r="C43" i="4"/>
  <c r="B43" i="4"/>
  <c r="D43" i="4" s="1"/>
  <c r="A43" i="4"/>
  <c r="R42" i="4"/>
  <c r="S42" i="4" s="1"/>
  <c r="Q42" i="4"/>
  <c r="O42" i="4"/>
  <c r="N42" i="4"/>
  <c r="P42" i="4" s="1"/>
  <c r="L42" i="4"/>
  <c r="K42" i="4"/>
  <c r="M42" i="4" s="1"/>
  <c r="J42" i="4"/>
  <c r="I42" i="4"/>
  <c r="H42" i="4"/>
  <c r="G42" i="4"/>
  <c r="F42" i="4"/>
  <c r="E42" i="4"/>
  <c r="C42" i="4"/>
  <c r="B42" i="4"/>
  <c r="A42" i="4"/>
  <c r="S41" i="4"/>
  <c r="R41" i="4"/>
  <c r="Q41" i="4"/>
  <c r="O41" i="4"/>
  <c r="P41" i="4" s="1"/>
  <c r="N41" i="4"/>
  <c r="L41" i="4"/>
  <c r="K41" i="4"/>
  <c r="M41" i="4" s="1"/>
  <c r="I41" i="4"/>
  <c r="H41" i="4"/>
  <c r="J41" i="4" s="1"/>
  <c r="G41" i="4"/>
  <c r="F41" i="4"/>
  <c r="E41" i="4"/>
  <c r="C41" i="4"/>
  <c r="D41" i="4" s="1"/>
  <c r="B41" i="4"/>
  <c r="A41" i="4"/>
  <c r="R40" i="4"/>
  <c r="Q40" i="4"/>
  <c r="S40" i="4" s="1"/>
  <c r="P40" i="4"/>
  <c r="O40" i="4"/>
  <c r="N40" i="4"/>
  <c r="M40" i="4"/>
  <c r="L40" i="4"/>
  <c r="K40" i="4"/>
  <c r="I40" i="4"/>
  <c r="H40" i="4"/>
  <c r="J40" i="4" s="1"/>
  <c r="F40" i="4"/>
  <c r="E40" i="4"/>
  <c r="G40" i="4" s="1"/>
  <c r="D40" i="4"/>
  <c r="T40" i="4" s="1"/>
  <c r="C40" i="4"/>
  <c r="B40" i="4"/>
  <c r="A40" i="4"/>
  <c r="R39" i="4"/>
  <c r="Q39" i="4"/>
  <c r="O39" i="4"/>
  <c r="N39" i="4"/>
  <c r="P39" i="4" s="1"/>
  <c r="M39" i="4"/>
  <c r="L39" i="4"/>
  <c r="K39" i="4"/>
  <c r="I39" i="4"/>
  <c r="J39" i="4" s="1"/>
  <c r="H39" i="4"/>
  <c r="F39" i="4"/>
  <c r="E39" i="4"/>
  <c r="G39" i="4" s="1"/>
  <c r="C39" i="4"/>
  <c r="B39" i="4"/>
  <c r="D39" i="4" s="1"/>
  <c r="A39" i="4"/>
  <c r="R38" i="4"/>
  <c r="S38" i="4" s="1"/>
  <c r="Q38" i="4"/>
  <c r="O38" i="4"/>
  <c r="N38" i="4"/>
  <c r="P38" i="4" s="1"/>
  <c r="L38" i="4"/>
  <c r="K38" i="4"/>
  <c r="M38" i="4" s="1"/>
  <c r="J38" i="4"/>
  <c r="I38" i="4"/>
  <c r="H38" i="4"/>
  <c r="G38" i="4"/>
  <c r="F38" i="4"/>
  <c r="E38" i="4"/>
  <c r="C38" i="4"/>
  <c r="B38" i="4"/>
  <c r="A38" i="4"/>
  <c r="S37" i="4"/>
  <c r="R37" i="4"/>
  <c r="Q37" i="4"/>
  <c r="O37" i="4"/>
  <c r="P37" i="4" s="1"/>
  <c r="N37" i="4"/>
  <c r="L37" i="4"/>
  <c r="K37" i="4"/>
  <c r="M37" i="4" s="1"/>
  <c r="I37" i="4"/>
  <c r="H37" i="4"/>
  <c r="J37" i="4" s="1"/>
  <c r="G37" i="4"/>
  <c r="F37" i="4"/>
  <c r="E37" i="4"/>
  <c r="D37" i="4"/>
  <c r="C37" i="4"/>
  <c r="B37" i="4"/>
  <c r="A37" i="4"/>
  <c r="R36" i="4"/>
  <c r="Q36" i="4"/>
  <c r="S36" i="4" s="1"/>
  <c r="P36" i="4"/>
  <c r="O36" i="4"/>
  <c r="N36" i="4"/>
  <c r="M36" i="4"/>
  <c r="L36" i="4"/>
  <c r="K36" i="4"/>
  <c r="I36" i="4"/>
  <c r="H36" i="4"/>
  <c r="J36" i="4" s="1"/>
  <c r="F36" i="4"/>
  <c r="E36" i="4"/>
  <c r="G36" i="4" s="1"/>
  <c r="D36" i="4"/>
  <c r="T36" i="4" s="1"/>
  <c r="C36" i="4"/>
  <c r="B36" i="4"/>
  <c r="A36" i="4"/>
  <c r="R35" i="4"/>
  <c r="Q35" i="4"/>
  <c r="O35" i="4"/>
  <c r="N35" i="4"/>
  <c r="P35" i="4" s="1"/>
  <c r="M35" i="4"/>
  <c r="L35" i="4"/>
  <c r="K35" i="4"/>
  <c r="I35" i="4"/>
  <c r="J35" i="4" s="1"/>
  <c r="H35" i="4"/>
  <c r="F35" i="4"/>
  <c r="E35" i="4"/>
  <c r="G35" i="4" s="1"/>
  <c r="C35" i="4"/>
  <c r="B35" i="4"/>
  <c r="D35" i="4" s="1"/>
  <c r="A35" i="4"/>
  <c r="R34" i="4"/>
  <c r="S34" i="4" s="1"/>
  <c r="Q34" i="4"/>
  <c r="O34" i="4"/>
  <c r="N34" i="4"/>
  <c r="P34" i="4" s="1"/>
  <c r="L34" i="4"/>
  <c r="K34" i="4"/>
  <c r="M34" i="4" s="1"/>
  <c r="J34" i="4"/>
  <c r="I34" i="4"/>
  <c r="H34" i="4"/>
  <c r="F34" i="4"/>
  <c r="G34" i="4" s="1"/>
  <c r="E34" i="4"/>
  <c r="C34" i="4"/>
  <c r="B34" i="4"/>
  <c r="A34" i="4"/>
  <c r="S33" i="4"/>
  <c r="R33" i="4"/>
  <c r="Q33" i="4"/>
  <c r="O33" i="4"/>
  <c r="P33" i="4" s="1"/>
  <c r="N33" i="4"/>
  <c r="L33" i="4"/>
  <c r="K33" i="4"/>
  <c r="M33" i="4" s="1"/>
  <c r="I33" i="4"/>
  <c r="H33" i="4"/>
  <c r="J33" i="4" s="1"/>
  <c r="G33" i="4"/>
  <c r="F33" i="4"/>
  <c r="E33" i="4"/>
  <c r="C33" i="4"/>
  <c r="D33" i="4" s="1"/>
  <c r="T33" i="4" s="1"/>
  <c r="B33" i="4"/>
  <c r="A33" i="4"/>
  <c r="R32" i="4"/>
  <c r="Q32" i="4"/>
  <c r="S32" i="4" s="1"/>
  <c r="P32" i="4"/>
  <c r="O32" i="4"/>
  <c r="N32" i="4"/>
  <c r="M32" i="4"/>
  <c r="L32" i="4"/>
  <c r="K32" i="4"/>
  <c r="I32" i="4"/>
  <c r="H32" i="4"/>
  <c r="J32" i="4" s="1"/>
  <c r="F32" i="4"/>
  <c r="E32" i="4"/>
  <c r="G32" i="4" s="1"/>
  <c r="D32" i="4"/>
  <c r="T32" i="4" s="1"/>
  <c r="C32" i="4"/>
  <c r="B32" i="4"/>
  <c r="A32" i="4"/>
  <c r="R31" i="4"/>
  <c r="Q31" i="4"/>
  <c r="O31" i="4"/>
  <c r="N31" i="4"/>
  <c r="P31" i="4" s="1"/>
  <c r="M31" i="4"/>
  <c r="L31" i="4"/>
  <c r="K31" i="4"/>
  <c r="I31" i="4"/>
  <c r="J31" i="4" s="1"/>
  <c r="H31" i="4"/>
  <c r="F31" i="4"/>
  <c r="E31" i="4"/>
  <c r="G31" i="4" s="1"/>
  <c r="C31" i="4"/>
  <c r="B31" i="4"/>
  <c r="D31" i="4" s="1"/>
  <c r="A31" i="4"/>
  <c r="R30" i="4"/>
  <c r="S30" i="4" s="1"/>
  <c r="Q30" i="4"/>
  <c r="O30" i="4"/>
  <c r="N30" i="4"/>
  <c r="P30" i="4" s="1"/>
  <c r="L30" i="4"/>
  <c r="K30" i="4"/>
  <c r="M30" i="4" s="1"/>
  <c r="J30" i="4"/>
  <c r="I30" i="4"/>
  <c r="H30" i="4"/>
  <c r="G30" i="4"/>
  <c r="F30" i="4"/>
  <c r="E30" i="4"/>
  <c r="C30" i="4"/>
  <c r="B30" i="4"/>
  <c r="A30" i="4"/>
  <c r="S29" i="4"/>
  <c r="R29" i="4"/>
  <c r="Q29" i="4"/>
  <c r="O29" i="4"/>
  <c r="P29" i="4" s="1"/>
  <c r="N29" i="4"/>
  <c r="L29" i="4"/>
  <c r="K29" i="4"/>
  <c r="M29" i="4" s="1"/>
  <c r="I29" i="4"/>
  <c r="H29" i="4"/>
  <c r="J29" i="4" s="1"/>
  <c r="G29" i="4"/>
  <c r="F29" i="4"/>
  <c r="E29" i="4"/>
  <c r="D29" i="4"/>
  <c r="C29" i="4"/>
  <c r="B29" i="4"/>
  <c r="A29" i="4"/>
  <c r="R28" i="4"/>
  <c r="Q28" i="4"/>
  <c r="S28" i="4" s="1"/>
  <c r="P28" i="4"/>
  <c r="O28" i="4"/>
  <c r="N28" i="4"/>
  <c r="M28" i="4"/>
  <c r="L28" i="4"/>
  <c r="K28" i="4"/>
  <c r="I28" i="4"/>
  <c r="H28" i="4"/>
  <c r="J28" i="4" s="1"/>
  <c r="F28" i="4"/>
  <c r="E28" i="4"/>
  <c r="G28" i="4" s="1"/>
  <c r="D28" i="4"/>
  <c r="T28" i="4" s="1"/>
  <c r="C28" i="4"/>
  <c r="B28" i="4"/>
  <c r="A28" i="4"/>
  <c r="R27" i="4"/>
  <c r="Q27" i="4"/>
  <c r="O27" i="4"/>
  <c r="N27" i="4"/>
  <c r="P27" i="4" s="1"/>
  <c r="M27" i="4"/>
  <c r="L27" i="4"/>
  <c r="K27" i="4"/>
  <c r="I27" i="4"/>
  <c r="J27" i="4" s="1"/>
  <c r="H27" i="4"/>
  <c r="F27" i="4"/>
  <c r="E27" i="4"/>
  <c r="G27" i="4" s="1"/>
  <c r="C27" i="4"/>
  <c r="B27" i="4"/>
  <c r="D27" i="4" s="1"/>
  <c r="A27" i="4"/>
  <c r="R26" i="4"/>
  <c r="S26" i="4" s="1"/>
  <c r="Q26" i="4"/>
  <c r="O26" i="4"/>
  <c r="N26" i="4"/>
  <c r="P26" i="4" s="1"/>
  <c r="L26" i="4"/>
  <c r="K26" i="4"/>
  <c r="M26" i="4" s="1"/>
  <c r="J26" i="4"/>
  <c r="I26" i="4"/>
  <c r="H26" i="4"/>
  <c r="G26" i="4"/>
  <c r="F26" i="4"/>
  <c r="E26" i="4"/>
  <c r="C26" i="4"/>
  <c r="B26" i="4"/>
  <c r="A26" i="4"/>
  <c r="S25" i="4"/>
  <c r="R25" i="4"/>
  <c r="Q25" i="4"/>
  <c r="O25" i="4"/>
  <c r="P25" i="4" s="1"/>
  <c r="N25" i="4"/>
  <c r="L25" i="4"/>
  <c r="K25" i="4"/>
  <c r="M25" i="4" s="1"/>
  <c r="I25" i="4"/>
  <c r="H25" i="4"/>
  <c r="J25" i="4" s="1"/>
  <c r="G25" i="4"/>
  <c r="F25" i="4"/>
  <c r="E25" i="4"/>
  <c r="D25" i="4"/>
  <c r="C25" i="4"/>
  <c r="B25" i="4"/>
  <c r="A25" i="4"/>
  <c r="R24" i="4"/>
  <c r="Q24" i="4"/>
  <c r="S24" i="4" s="1"/>
  <c r="P24" i="4"/>
  <c r="O24" i="4"/>
  <c r="N24" i="4"/>
  <c r="M24" i="4"/>
  <c r="L24" i="4"/>
  <c r="K24" i="4"/>
  <c r="I24" i="4"/>
  <c r="H24" i="4"/>
  <c r="J24" i="4" s="1"/>
  <c r="F24" i="4"/>
  <c r="E24" i="4"/>
  <c r="G24" i="4" s="1"/>
  <c r="D24" i="4"/>
  <c r="T24" i="4" s="1"/>
  <c r="C24" i="4"/>
  <c r="B24" i="4"/>
  <c r="A24" i="4"/>
  <c r="R23" i="4"/>
  <c r="Q23" i="4"/>
  <c r="O23" i="4"/>
  <c r="N23" i="4"/>
  <c r="P23" i="4" s="1"/>
  <c r="M23" i="4"/>
  <c r="L23" i="4"/>
  <c r="K23" i="4"/>
  <c r="I23" i="4"/>
  <c r="J23" i="4" s="1"/>
  <c r="H23" i="4"/>
  <c r="F23" i="4"/>
  <c r="E23" i="4"/>
  <c r="G23" i="4" s="1"/>
  <c r="C23" i="4"/>
  <c r="B23" i="4"/>
  <c r="D23" i="4" s="1"/>
  <c r="A23" i="4"/>
  <c r="R22" i="4"/>
  <c r="S22" i="4" s="1"/>
  <c r="Q22" i="4"/>
  <c r="O22" i="4"/>
  <c r="N22" i="4"/>
  <c r="P22" i="4" s="1"/>
  <c r="L22" i="4"/>
  <c r="K22" i="4"/>
  <c r="M22" i="4" s="1"/>
  <c r="J22" i="4"/>
  <c r="I22" i="4"/>
  <c r="H22" i="4"/>
  <c r="G22" i="4"/>
  <c r="F22" i="4"/>
  <c r="E22" i="4"/>
  <c r="C22" i="4"/>
  <c r="B22" i="4"/>
  <c r="A22" i="4"/>
  <c r="R21" i="4"/>
  <c r="Q21" i="4"/>
  <c r="P21" i="4"/>
  <c r="O21" i="4"/>
  <c r="N21" i="4"/>
  <c r="L21" i="4"/>
  <c r="M21" i="4" s="1"/>
  <c r="K21" i="4"/>
  <c r="I21" i="4"/>
  <c r="H21" i="4"/>
  <c r="J21" i="4" s="1"/>
  <c r="F21" i="4"/>
  <c r="E21" i="4"/>
  <c r="C21" i="4"/>
  <c r="B21" i="4"/>
  <c r="D21" i="4" s="1"/>
  <c r="A21" i="4"/>
  <c r="S20" i="4"/>
  <c r="R20" i="4"/>
  <c r="Q20" i="4"/>
  <c r="O20" i="4"/>
  <c r="P20" i="4" s="1"/>
  <c r="N20" i="4"/>
  <c r="L20" i="4"/>
  <c r="K20" i="4"/>
  <c r="M20" i="4" s="1"/>
  <c r="J20" i="4"/>
  <c r="I20" i="4"/>
  <c r="H20" i="4"/>
  <c r="F20" i="4"/>
  <c r="G20" i="4" s="1"/>
  <c r="E20" i="4"/>
  <c r="C20" i="4"/>
  <c r="B20" i="4"/>
  <c r="D20" i="4" s="1"/>
  <c r="A20" i="4"/>
  <c r="R19" i="4"/>
  <c r="Q19" i="4"/>
  <c r="S19" i="4" s="1"/>
  <c r="P19" i="4"/>
  <c r="O19" i="4"/>
  <c r="N19" i="4"/>
  <c r="L19" i="4"/>
  <c r="M19" i="4" s="1"/>
  <c r="K19" i="4"/>
  <c r="I19" i="4"/>
  <c r="H19" i="4"/>
  <c r="J19" i="4" s="1"/>
  <c r="F19" i="4"/>
  <c r="E19" i="4"/>
  <c r="C19" i="4"/>
  <c r="B19" i="4"/>
  <c r="D19" i="4" s="1"/>
  <c r="A19" i="4"/>
  <c r="R18" i="4"/>
  <c r="S18" i="4" s="1"/>
  <c r="Q18" i="4"/>
  <c r="O18" i="4"/>
  <c r="N18" i="4"/>
  <c r="P18" i="4" s="1"/>
  <c r="M18" i="4"/>
  <c r="L18" i="4"/>
  <c r="K18" i="4"/>
  <c r="I18" i="4"/>
  <c r="J18" i="4" s="1"/>
  <c r="H18" i="4"/>
  <c r="F18" i="4"/>
  <c r="E18" i="4"/>
  <c r="G18" i="4" s="1"/>
  <c r="C18" i="4"/>
  <c r="B18" i="4"/>
  <c r="D18" i="4" s="1"/>
  <c r="A18" i="4"/>
  <c r="R17" i="4"/>
  <c r="S17" i="4" s="1"/>
  <c r="Q17" i="4"/>
  <c r="P17" i="4"/>
  <c r="O17" i="4"/>
  <c r="N17" i="4"/>
  <c r="L17" i="4"/>
  <c r="K17" i="4"/>
  <c r="M17" i="4" s="1"/>
  <c r="I17" i="4"/>
  <c r="H17" i="4"/>
  <c r="J17" i="4" s="1"/>
  <c r="G17" i="4"/>
  <c r="F17" i="4"/>
  <c r="E17" i="4"/>
  <c r="C17" i="4"/>
  <c r="D17" i="4" s="1"/>
  <c r="T17" i="4" s="1"/>
  <c r="B17" i="4"/>
  <c r="A17" i="4"/>
  <c r="R16" i="4"/>
  <c r="Q16" i="4"/>
  <c r="S16" i="4" s="1"/>
  <c r="P16" i="4"/>
  <c r="O16" i="4"/>
  <c r="N16" i="4"/>
  <c r="M16" i="4"/>
  <c r="L16" i="4"/>
  <c r="K16" i="4"/>
  <c r="I16" i="4"/>
  <c r="H16" i="4"/>
  <c r="J16" i="4" s="1"/>
  <c r="F16" i="4"/>
  <c r="E16" i="4"/>
  <c r="G16" i="4" s="1"/>
  <c r="D16" i="4"/>
  <c r="C16" i="4"/>
  <c r="B16" i="4"/>
  <c r="A16" i="4"/>
  <c r="R15" i="4"/>
  <c r="S15" i="4" s="1"/>
  <c r="Q15" i="4"/>
  <c r="P15" i="4"/>
  <c r="O15" i="4"/>
  <c r="N15" i="4"/>
  <c r="L15" i="4"/>
  <c r="K15" i="4"/>
  <c r="I15" i="4"/>
  <c r="H15" i="4"/>
  <c r="J15" i="4" s="1"/>
  <c r="G15" i="4"/>
  <c r="F15" i="4"/>
  <c r="E15" i="4"/>
  <c r="D15" i="4"/>
  <c r="C15" i="4"/>
  <c r="B15" i="4"/>
  <c r="A15" i="4"/>
  <c r="R14" i="4"/>
  <c r="Q14" i="4"/>
  <c r="S14" i="4" s="1"/>
  <c r="P14" i="4"/>
  <c r="O14" i="4"/>
  <c r="N14" i="4"/>
  <c r="M14" i="4"/>
  <c r="L14" i="4"/>
  <c r="K14" i="4"/>
  <c r="I14" i="4"/>
  <c r="H14" i="4"/>
  <c r="J14" i="4" s="1"/>
  <c r="G14" i="4"/>
  <c r="F14" i="4"/>
  <c r="E14" i="4"/>
  <c r="D14" i="4"/>
  <c r="T14" i="4" s="1"/>
  <c r="C14" i="4"/>
  <c r="B14" i="4"/>
  <c r="A14" i="4"/>
  <c r="R13" i="4"/>
  <c r="Q13" i="4"/>
  <c r="S13" i="4" s="1"/>
  <c r="P13" i="4"/>
  <c r="O13" i="4"/>
  <c r="N13" i="4"/>
  <c r="L13" i="4"/>
  <c r="M13" i="4" s="1"/>
  <c r="K13" i="4"/>
  <c r="I13" i="4"/>
  <c r="H13" i="4"/>
  <c r="J13" i="4" s="1"/>
  <c r="F13" i="4"/>
  <c r="E13" i="4"/>
  <c r="C13" i="4"/>
  <c r="B13" i="4"/>
  <c r="D13" i="4" s="1"/>
  <c r="A13" i="4"/>
  <c r="Y12" i="4"/>
  <c r="S12" i="4"/>
  <c r="R12" i="4"/>
  <c r="Q12" i="4"/>
  <c r="P12" i="4"/>
  <c r="O12" i="4"/>
  <c r="N12" i="4"/>
  <c r="L12" i="4"/>
  <c r="K12" i="4"/>
  <c r="M12" i="4" s="1"/>
  <c r="J12" i="4"/>
  <c r="I12" i="4"/>
  <c r="H12" i="4"/>
  <c r="G12" i="4"/>
  <c r="F12" i="4"/>
  <c r="E12" i="4"/>
  <c r="C12" i="4"/>
  <c r="B12" i="4"/>
  <c r="D12" i="4" s="1"/>
  <c r="T12" i="4" s="1"/>
  <c r="A12" i="4"/>
  <c r="S11" i="4"/>
  <c r="R11" i="4"/>
  <c r="Q11" i="4"/>
  <c r="P11" i="4"/>
  <c r="O11" i="4"/>
  <c r="N11" i="4"/>
  <c r="L11" i="4"/>
  <c r="K11" i="4"/>
  <c r="M11" i="4" s="1"/>
  <c r="I11" i="4"/>
  <c r="H11" i="4"/>
  <c r="J11" i="4" s="1"/>
  <c r="G11" i="4"/>
  <c r="F11" i="4"/>
  <c r="E11" i="4"/>
  <c r="C11" i="4"/>
  <c r="D11" i="4" s="1"/>
  <c r="T11" i="4" s="1"/>
  <c r="B11" i="4"/>
  <c r="A11" i="4"/>
  <c r="R10" i="4"/>
  <c r="Q10" i="4"/>
  <c r="O10" i="4"/>
  <c r="N10" i="4"/>
  <c r="P10" i="4" s="1"/>
  <c r="L10" i="4"/>
  <c r="M10" i="4" s="1"/>
  <c r="K10" i="4"/>
  <c r="J10" i="4"/>
  <c r="I10" i="4"/>
  <c r="H10" i="4"/>
  <c r="F10" i="4"/>
  <c r="E10" i="4"/>
  <c r="C10" i="4"/>
  <c r="B10" i="4"/>
  <c r="D10" i="4" s="1"/>
  <c r="A10" i="4"/>
  <c r="R9" i="4"/>
  <c r="Q9" i="4"/>
  <c r="S9" i="4" s="1"/>
  <c r="O9" i="4"/>
  <c r="N9" i="4"/>
  <c r="P9" i="4" s="1"/>
  <c r="M9" i="4"/>
  <c r="L9" i="4"/>
  <c r="K9" i="4"/>
  <c r="I9" i="4"/>
  <c r="J9" i="4" s="1"/>
  <c r="H9" i="4"/>
  <c r="F9" i="4"/>
  <c r="E9" i="4"/>
  <c r="G9" i="4" s="1"/>
  <c r="C9" i="4"/>
  <c r="B9" i="4"/>
  <c r="A9" i="4"/>
  <c r="S8" i="4"/>
  <c r="R8" i="4"/>
  <c r="Q8" i="4"/>
  <c r="P8" i="4"/>
  <c r="O8" i="4"/>
  <c r="N8" i="4"/>
  <c r="L8" i="4"/>
  <c r="K8" i="4"/>
  <c r="M8" i="4" s="1"/>
  <c r="J8" i="4"/>
  <c r="I8" i="4"/>
  <c r="H8" i="4"/>
  <c r="G8" i="4"/>
  <c r="F8" i="4"/>
  <c r="E8" i="4"/>
  <c r="C8" i="4"/>
  <c r="B8" i="4"/>
  <c r="D8" i="4" s="1"/>
  <c r="T8" i="4" s="1"/>
  <c r="A8" i="4"/>
  <c r="S7" i="4"/>
  <c r="R7" i="4"/>
  <c r="Q7" i="4"/>
  <c r="P7" i="4"/>
  <c r="O7" i="4"/>
  <c r="N7" i="4"/>
  <c r="L7" i="4"/>
  <c r="K7" i="4"/>
  <c r="M7" i="4" s="1"/>
  <c r="I7" i="4"/>
  <c r="H7" i="4"/>
  <c r="J7" i="4" s="1"/>
  <c r="G7" i="4"/>
  <c r="F7" i="4"/>
  <c r="E7" i="4"/>
  <c r="C7" i="4"/>
  <c r="D7" i="4" s="1"/>
  <c r="B7" i="4"/>
  <c r="A7" i="4"/>
  <c r="R6" i="4"/>
  <c r="Q6" i="4"/>
  <c r="O6" i="4"/>
  <c r="N6" i="4"/>
  <c r="P6" i="4" s="1"/>
  <c r="L6" i="4"/>
  <c r="M6" i="4" s="1"/>
  <c r="K6" i="4"/>
  <c r="J6" i="4"/>
  <c r="I6" i="4"/>
  <c r="H6" i="4"/>
  <c r="F6" i="4"/>
  <c r="E6" i="4"/>
  <c r="C6" i="4"/>
  <c r="B6" i="4"/>
  <c r="D6" i="4" s="1"/>
  <c r="A6" i="4"/>
  <c r="R5" i="4"/>
  <c r="Q5" i="4"/>
  <c r="S5" i="4" s="1"/>
  <c r="O5" i="4"/>
  <c r="N5" i="4"/>
  <c r="P5" i="4" s="1"/>
  <c r="M5" i="4"/>
  <c r="L5" i="4"/>
  <c r="K5" i="4"/>
  <c r="I5" i="4"/>
  <c r="J5" i="4" s="1"/>
  <c r="H5" i="4"/>
  <c r="F5" i="4"/>
  <c r="E5" i="4"/>
  <c r="G5" i="4" s="1"/>
  <c r="C5" i="4"/>
  <c r="B5" i="4"/>
  <c r="A5" i="4"/>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T41" i="4" l="1"/>
  <c r="T89" i="4"/>
  <c r="T25" i="4"/>
  <c r="T16" i="4"/>
  <c r="T29" i="4"/>
  <c r="T37" i="4"/>
  <c r="T49" i="4"/>
  <c r="T61" i="4"/>
  <c r="T97" i="4"/>
  <c r="T7" i="4"/>
  <c r="T20" i="4"/>
  <c r="T65" i="4"/>
  <c r="T93" i="4"/>
  <c r="G6" i="4"/>
  <c r="T6" i="4" s="1"/>
  <c r="G10" i="4"/>
  <c r="T10" i="4" s="1"/>
  <c r="M15" i="4"/>
  <c r="T15" i="4" s="1"/>
  <c r="T18" i="4"/>
  <c r="S21" i="4"/>
  <c r="T106" i="4"/>
  <c r="T110" i="4"/>
  <c r="T114" i="4"/>
  <c r="T118" i="4"/>
  <c r="T122" i="4"/>
  <c r="T126" i="4"/>
  <c r="T130" i="4"/>
  <c r="T134" i="4"/>
  <c r="T138" i="4"/>
  <c r="T142" i="4"/>
  <c r="T146" i="4"/>
  <c r="T150" i="4"/>
  <c r="T154" i="4"/>
  <c r="T158" i="4"/>
  <c r="T162" i="4"/>
  <c r="T166" i="4"/>
  <c r="T170" i="4"/>
  <c r="T174" i="4"/>
  <c r="T178" i="4"/>
  <c r="T182" i="4"/>
  <c r="T186" i="4"/>
  <c r="T190" i="4"/>
  <c r="T194" i="4"/>
  <c r="D5" i="4"/>
  <c r="T5" i="4" s="1"/>
  <c r="S6" i="4"/>
  <c r="D9" i="4"/>
  <c r="T9" i="4" s="1"/>
  <c r="S10" i="4"/>
  <c r="G13" i="4"/>
  <c r="T13" i="4" s="1"/>
  <c r="G19" i="4"/>
  <c r="T19" i="4" s="1"/>
  <c r="G21" i="4"/>
  <c r="T21" i="4" s="1"/>
  <c r="D22" i="4"/>
  <c r="T22" i="4" s="1"/>
  <c r="T23" i="4"/>
  <c r="S23" i="4"/>
  <c r="D26" i="4"/>
  <c r="T26" i="4" s="1"/>
  <c r="S27" i="4"/>
  <c r="T27" i="4" s="1"/>
  <c r="D30" i="4"/>
  <c r="T30" i="4" s="1"/>
  <c r="T31" i="4"/>
  <c r="S31" i="4"/>
  <c r="D34" i="4"/>
  <c r="T34" i="4" s="1"/>
  <c r="S35" i="4"/>
  <c r="T35" i="4" s="1"/>
  <c r="D38" i="4"/>
  <c r="T38" i="4" s="1"/>
  <c r="T39" i="4"/>
  <c r="S39" i="4"/>
  <c r="D42" i="4"/>
  <c r="T42" i="4" s="1"/>
  <c r="S43" i="4"/>
  <c r="T43" i="4" s="1"/>
  <c r="D46" i="4"/>
  <c r="T46" i="4" s="1"/>
  <c r="T47" i="4"/>
  <c r="S47" i="4"/>
  <c r="D50" i="4"/>
  <c r="T50" i="4" s="1"/>
  <c r="S51" i="4"/>
  <c r="T51" i="4" s="1"/>
  <c r="D54" i="4"/>
  <c r="T54" i="4" s="1"/>
  <c r="T55" i="4"/>
  <c r="S55" i="4"/>
  <c r="D58" i="4"/>
  <c r="T58" i="4" s="1"/>
  <c r="S59" i="4"/>
  <c r="T59" i="4" s="1"/>
  <c r="D62" i="4"/>
  <c r="T62" i="4" s="1"/>
  <c r="T63" i="4"/>
  <c r="S63" i="4"/>
  <c r="D66" i="4"/>
  <c r="T66" i="4" s="1"/>
  <c r="S67" i="4"/>
  <c r="T67" i="4" s="1"/>
  <c r="D70" i="4"/>
  <c r="T70" i="4" s="1"/>
  <c r="T71" i="4"/>
  <c r="S71" i="4"/>
  <c r="D74" i="4"/>
  <c r="T74" i="4" s="1"/>
  <c r="S75" i="4"/>
  <c r="T75" i="4" s="1"/>
  <c r="D78" i="4"/>
  <c r="T78" i="4" s="1"/>
  <c r="T79" i="4"/>
  <c r="S79" i="4"/>
  <c r="D82" i="4"/>
  <c r="T82" i="4" s="1"/>
  <c r="S83" i="4"/>
  <c r="T83" i="4" s="1"/>
  <c r="D86" i="4"/>
  <c r="T86" i="4" s="1"/>
  <c r="T87" i="4"/>
  <c r="S87" i="4"/>
  <c r="D90" i="4"/>
  <c r="T90" i="4" s="1"/>
  <c r="S91" i="4"/>
  <c r="T91" i="4" s="1"/>
  <c r="D94" i="4"/>
  <c r="T94" i="4" s="1"/>
  <c r="T95" i="4"/>
  <c r="S95" i="4"/>
  <c r="D98" i="4"/>
  <c r="T98" i="4" s="1"/>
  <c r="S99" i="4"/>
  <c r="T99" i="4" s="1"/>
  <c r="D102" i="4"/>
  <c r="T102" i="4" s="1"/>
  <c r="T103" i="4"/>
  <c r="S103" i="4"/>
  <c r="T198" i="4"/>
  <c r="T201" i="4"/>
  <c r="T855" i="4"/>
  <c r="T599" i="4"/>
  <c r="T607" i="4"/>
  <c r="T615" i="4"/>
  <c r="T623" i="4"/>
  <c r="T631" i="4"/>
  <c r="T639" i="4"/>
  <c r="T647" i="4"/>
  <c r="T655" i="4"/>
  <c r="T663" i="4"/>
  <c r="T671" i="4"/>
  <c r="T679" i="4"/>
  <c r="T687" i="4"/>
  <c r="T695" i="4"/>
  <c r="T703" i="4"/>
  <c r="T711" i="4"/>
  <c r="T719" i="4"/>
  <c r="T727" i="4"/>
  <c r="T735" i="4"/>
  <c r="T743" i="4"/>
  <c r="T751" i="4"/>
  <c r="T759" i="4"/>
  <c r="T767" i="4"/>
  <c r="T775" i="4"/>
  <c r="T783" i="4"/>
  <c r="T799" i="4"/>
  <c r="T807" i="4"/>
  <c r="T815" i="4"/>
  <c r="T823" i="4"/>
  <c r="T831" i="4"/>
  <c r="T591" i="4"/>
  <c r="T794" i="4"/>
  <c r="T835" i="4"/>
  <c r="T842" i="4"/>
  <c r="T843" i="4"/>
  <c r="T850" i="4"/>
  <c r="T851" i="4"/>
  <c r="T203" i="4"/>
  <c r="T204" i="4"/>
  <c r="T207" i="4"/>
  <c r="T208" i="4"/>
  <c r="T211" i="4"/>
  <c r="T212" i="4"/>
  <c r="T215" i="4"/>
  <c r="T216" i="4"/>
  <c r="T219" i="4"/>
  <c r="T220" i="4"/>
  <c r="T223" i="4"/>
  <c r="T224" i="4"/>
  <c r="T227" i="4"/>
  <c r="T228" i="4"/>
  <c r="T231" i="4"/>
  <c r="T232" i="4"/>
  <c r="T235" i="4"/>
  <c r="T236" i="4"/>
  <c r="T239" i="4"/>
  <c r="T240" i="4"/>
  <c r="T243" i="4"/>
  <c r="T244" i="4"/>
  <c r="T247" i="4"/>
  <c r="T248" i="4"/>
  <c r="T251" i="4"/>
  <c r="T252" i="4"/>
  <c r="T255" i="4"/>
  <c r="T256" i="4"/>
  <c r="T259" i="4"/>
  <c r="T260" i="4"/>
  <c r="T263" i="4"/>
  <c r="T264" i="4"/>
  <c r="T267" i="4"/>
  <c r="T268" i="4"/>
  <c r="T271" i="4"/>
  <c r="T272" i="4"/>
  <c r="T275" i="4"/>
  <c r="T276" i="4"/>
  <c r="T279" i="4"/>
  <c r="T280" i="4"/>
  <c r="T283" i="4"/>
  <c r="T284" i="4"/>
  <c r="T287" i="4"/>
  <c r="T288" i="4"/>
  <c r="T291" i="4"/>
  <c r="T292" i="4"/>
  <c r="T295" i="4"/>
  <c r="T296" i="4"/>
  <c r="T299" i="4"/>
  <c r="T300" i="4"/>
  <c r="T303" i="4"/>
  <c r="T304" i="4"/>
  <c r="T307" i="4"/>
  <c r="T308" i="4"/>
  <c r="T311" i="4"/>
  <c r="T312" i="4"/>
  <c r="T315" i="4"/>
  <c r="T316" i="4"/>
  <c r="T319" i="4"/>
  <c r="T320" i="4"/>
  <c r="T323" i="4"/>
  <c r="S324" i="4"/>
  <c r="T324" i="4" s="1"/>
  <c r="D327" i="4"/>
  <c r="T327" i="4" s="1"/>
  <c r="T328" i="4"/>
  <c r="S328" i="4"/>
  <c r="D331" i="4"/>
  <c r="T331" i="4" s="1"/>
  <c r="S332" i="4"/>
  <c r="T332" i="4" s="1"/>
  <c r="D335" i="4"/>
  <c r="T335" i="4" s="1"/>
  <c r="T336" i="4"/>
  <c r="S336" i="4"/>
  <c r="D339" i="4"/>
  <c r="T339" i="4" s="1"/>
  <c r="S340" i="4"/>
  <c r="T340" i="4" s="1"/>
  <c r="D343" i="4"/>
  <c r="T343" i="4" s="1"/>
  <c r="T344" i="4"/>
  <c r="S344" i="4"/>
  <c r="D347" i="4"/>
  <c r="T347" i="4" s="1"/>
  <c r="S348" i="4"/>
  <c r="T348" i="4" s="1"/>
  <c r="D351" i="4"/>
  <c r="T351" i="4" s="1"/>
  <c r="T352" i="4"/>
  <c r="S352" i="4"/>
  <c r="D355" i="4"/>
  <c r="T355" i="4" s="1"/>
  <c r="S356" i="4"/>
  <c r="T356" i="4" s="1"/>
  <c r="D359" i="4"/>
  <c r="T359" i="4" s="1"/>
  <c r="T360" i="4"/>
  <c r="S360" i="4"/>
  <c r="D363" i="4"/>
  <c r="T363" i="4" s="1"/>
  <c r="S364" i="4"/>
  <c r="T364" i="4" s="1"/>
  <c r="D367" i="4"/>
  <c r="T367" i="4" s="1"/>
  <c r="T368" i="4"/>
  <c r="S368" i="4"/>
  <c r="D371" i="4"/>
  <c r="T371" i="4" s="1"/>
  <c r="S372" i="4"/>
  <c r="T372" i="4" s="1"/>
  <c r="D375" i="4"/>
  <c r="T375" i="4" s="1"/>
  <c r="T376" i="4"/>
  <c r="S376" i="4"/>
  <c r="D379" i="4"/>
  <c r="T379" i="4" s="1"/>
  <c r="S380" i="4"/>
  <c r="T380" i="4" s="1"/>
  <c r="D383" i="4"/>
  <c r="T383" i="4" s="1"/>
  <c r="T384" i="4"/>
  <c r="S384" i="4"/>
  <c r="D387" i="4"/>
  <c r="T387" i="4" s="1"/>
  <c r="S388" i="4"/>
  <c r="T388" i="4" s="1"/>
  <c r="D391" i="4"/>
  <c r="T391" i="4" s="1"/>
  <c r="T392" i="4"/>
  <c r="S392" i="4"/>
  <c r="D395" i="4"/>
  <c r="T395" i="4" s="1"/>
  <c r="S396" i="4"/>
  <c r="T396" i="4" s="1"/>
  <c r="D399" i="4"/>
  <c r="T399" i="4" s="1"/>
  <c r="T400" i="4"/>
  <c r="S400" i="4"/>
  <c r="D403" i="4"/>
  <c r="T403" i="4" s="1"/>
  <c r="S404" i="4"/>
  <c r="T404" i="4" s="1"/>
  <c r="D407" i="4"/>
  <c r="T407" i="4" s="1"/>
  <c r="T408" i="4"/>
  <c r="S408" i="4"/>
  <c r="D411" i="4"/>
  <c r="T411" i="4" s="1"/>
  <c r="S412" i="4"/>
  <c r="T412" i="4" s="1"/>
  <c r="D415" i="4"/>
  <c r="T415" i="4" s="1"/>
  <c r="T416" i="4"/>
  <c r="S416" i="4"/>
  <c r="D419" i="4"/>
  <c r="T419" i="4" s="1"/>
  <c r="S420" i="4"/>
  <c r="T420" i="4" s="1"/>
  <c r="D423" i="4"/>
  <c r="T423" i="4" s="1"/>
  <c r="T424" i="4"/>
  <c r="S424" i="4"/>
  <c r="D427" i="4"/>
  <c r="T427" i="4" s="1"/>
  <c r="S428" i="4"/>
  <c r="T428" i="4" s="1"/>
  <c r="D431" i="4"/>
  <c r="T431" i="4" s="1"/>
  <c r="T432" i="4"/>
  <c r="S432" i="4"/>
  <c r="D435" i="4"/>
  <c r="T435" i="4" s="1"/>
  <c r="S436" i="4"/>
  <c r="T436" i="4" s="1"/>
  <c r="D439" i="4"/>
  <c r="T439" i="4" s="1"/>
  <c r="T440" i="4"/>
  <c r="S440" i="4"/>
  <c r="D443" i="4"/>
  <c r="T443" i="4" s="1"/>
  <c r="S444" i="4"/>
  <c r="T444" i="4" s="1"/>
  <c r="D447" i="4"/>
  <c r="T447" i="4" s="1"/>
  <c r="T448" i="4"/>
  <c r="S448" i="4"/>
  <c r="D451" i="4"/>
  <c r="T451" i="4" s="1"/>
  <c r="S452" i="4"/>
  <c r="T452" i="4" s="1"/>
  <c r="D455" i="4"/>
  <c r="T455" i="4" s="1"/>
  <c r="T456" i="4"/>
  <c r="T459" i="4"/>
  <c r="T460" i="4"/>
  <c r="T463" i="4"/>
  <c r="T464" i="4"/>
  <c r="T467" i="4"/>
  <c r="T468" i="4"/>
  <c r="T471" i="4"/>
  <c r="T472" i="4"/>
  <c r="T475" i="4"/>
  <c r="T476" i="4"/>
  <c r="T479" i="4"/>
  <c r="T480" i="4"/>
  <c r="T483" i="4"/>
  <c r="T484" i="4"/>
  <c r="T487" i="4"/>
  <c r="T488" i="4"/>
  <c r="T491" i="4"/>
  <c r="T492" i="4"/>
  <c r="T495" i="4"/>
  <c r="T496" i="4"/>
  <c r="D499" i="4"/>
  <c r="T499" i="4" s="1"/>
  <c r="T500" i="4"/>
  <c r="S500" i="4"/>
  <c r="D503" i="4"/>
  <c r="T503" i="4" s="1"/>
  <c r="S504" i="4"/>
  <c r="T504" i="4" s="1"/>
  <c r="D507" i="4"/>
  <c r="T507" i="4" s="1"/>
  <c r="T508" i="4"/>
  <c r="S508" i="4"/>
  <c r="D511" i="4"/>
  <c r="T511" i="4" s="1"/>
  <c r="S512" i="4"/>
  <c r="T512" i="4" s="1"/>
  <c r="D515" i="4"/>
  <c r="T515" i="4" s="1"/>
  <c r="T516" i="4"/>
  <c r="S516" i="4"/>
  <c r="D519" i="4"/>
  <c r="T519" i="4" s="1"/>
  <c r="S520" i="4"/>
  <c r="T520" i="4" s="1"/>
  <c r="D523" i="4"/>
  <c r="T523" i="4" s="1"/>
  <c r="T524" i="4"/>
  <c r="S524" i="4"/>
  <c r="D527" i="4"/>
  <c r="T527" i="4" s="1"/>
  <c r="S528" i="4"/>
  <c r="T528" i="4" s="1"/>
  <c r="D531" i="4"/>
  <c r="T531" i="4" s="1"/>
  <c r="T532" i="4"/>
  <c r="S532" i="4"/>
  <c r="D535" i="4"/>
  <c r="T535" i="4" s="1"/>
  <c r="T536" i="4"/>
  <c r="T539" i="4"/>
  <c r="T540" i="4"/>
  <c r="T543" i="4"/>
  <c r="T544" i="4"/>
  <c r="T547" i="4"/>
  <c r="T548" i="4"/>
  <c r="T551" i="4"/>
  <c r="T552" i="4"/>
  <c r="T555" i="4"/>
  <c r="T556" i="4"/>
  <c r="T559" i="4"/>
  <c r="T560" i="4"/>
  <c r="T563" i="4"/>
  <c r="T564" i="4"/>
  <c r="T567" i="4"/>
  <c r="T568" i="4"/>
  <c r="T571" i="4"/>
  <c r="S572" i="4"/>
  <c r="T572" i="4" s="1"/>
  <c r="D575" i="4"/>
  <c r="T575" i="4" s="1"/>
  <c r="T576" i="4"/>
  <c r="S576" i="4"/>
  <c r="D579" i="4"/>
  <c r="T579" i="4" s="1"/>
  <c r="S580" i="4"/>
  <c r="T580" i="4" s="1"/>
  <c r="D583" i="4"/>
  <c r="T583" i="4" s="1"/>
  <c r="S584" i="4"/>
  <c r="T584" i="4" s="1"/>
  <c r="J587" i="4"/>
  <c r="J595" i="4"/>
  <c r="S598" i="4"/>
  <c r="D601" i="4"/>
  <c r="T603" i="4"/>
  <c r="S606" i="4"/>
  <c r="D609" i="4"/>
  <c r="T611" i="4"/>
  <c r="S614" i="4"/>
  <c r="D617" i="4"/>
  <c r="T619" i="4"/>
  <c r="S622" i="4"/>
  <c r="D625" i="4"/>
  <c r="T627" i="4"/>
  <c r="S630" i="4"/>
  <c r="D633" i="4"/>
  <c r="T635" i="4"/>
  <c r="S638" i="4"/>
  <c r="D641" i="4"/>
  <c r="T643" i="4"/>
  <c r="S646" i="4"/>
  <c r="D649" i="4"/>
  <c r="T651" i="4"/>
  <c r="S654" i="4"/>
  <c r="D657" i="4"/>
  <c r="T659" i="4"/>
  <c r="S662" i="4"/>
  <c r="D665" i="4"/>
  <c r="T667" i="4"/>
  <c r="S670" i="4"/>
  <c r="D673" i="4"/>
  <c r="T675" i="4"/>
  <c r="S678" i="4"/>
  <c r="D681" i="4"/>
  <c r="T683" i="4"/>
  <c r="S686" i="4"/>
  <c r="D689" i="4"/>
  <c r="T691" i="4"/>
  <c r="S694" i="4"/>
  <c r="D697" i="4"/>
  <c r="T699" i="4"/>
  <c r="S702" i="4"/>
  <c r="D705" i="4"/>
  <c r="T707" i="4"/>
  <c r="S710" i="4"/>
  <c r="D713" i="4"/>
  <c r="T715" i="4"/>
  <c r="S718" i="4"/>
  <c r="D721" i="4"/>
  <c r="T723" i="4"/>
  <c r="S726" i="4"/>
  <c r="D729" i="4"/>
  <c r="T731" i="4"/>
  <c r="S734" i="4"/>
  <c r="D737" i="4"/>
  <c r="T739" i="4"/>
  <c r="S742" i="4"/>
  <c r="D745" i="4"/>
  <c r="T747" i="4"/>
  <c r="S750" i="4"/>
  <c r="D753" i="4"/>
  <c r="T755" i="4"/>
  <c r="S758" i="4"/>
  <c r="D761" i="4"/>
  <c r="T763" i="4"/>
  <c r="S766" i="4"/>
  <c r="D769" i="4"/>
  <c r="T771" i="4"/>
  <c r="S774" i="4"/>
  <c r="D777" i="4"/>
  <c r="T779" i="4"/>
  <c r="S782" i="4"/>
  <c r="D785" i="4"/>
  <c r="T787" i="4"/>
  <c r="S790" i="4"/>
  <c r="D793" i="4"/>
  <c r="T793" i="4" s="1"/>
  <c r="T795" i="4"/>
  <c r="T803" i="4"/>
  <c r="T811" i="4"/>
  <c r="T819" i="4"/>
  <c r="T827" i="4"/>
  <c r="T859" i="4"/>
  <c r="T1227" i="4"/>
  <c r="S196" i="4"/>
  <c r="T196" i="4" s="1"/>
  <c r="D199" i="4"/>
  <c r="T199" i="4" s="1"/>
  <c r="S200" i="4"/>
  <c r="T200" i="4" s="1"/>
  <c r="J205" i="4"/>
  <c r="T205" i="4" s="1"/>
  <c r="J209" i="4"/>
  <c r="T209" i="4" s="1"/>
  <c r="J213" i="4"/>
  <c r="T213" i="4" s="1"/>
  <c r="J217" i="4"/>
  <c r="T217" i="4" s="1"/>
  <c r="J221" i="4"/>
  <c r="T221" i="4" s="1"/>
  <c r="J225" i="4"/>
  <c r="T225" i="4" s="1"/>
  <c r="J229" i="4"/>
  <c r="T229" i="4" s="1"/>
  <c r="J233" i="4"/>
  <c r="T233" i="4" s="1"/>
  <c r="J237" i="4"/>
  <c r="T237" i="4" s="1"/>
  <c r="J241" i="4"/>
  <c r="T241" i="4" s="1"/>
  <c r="J245" i="4"/>
  <c r="T245" i="4" s="1"/>
  <c r="J249" i="4"/>
  <c r="T249" i="4" s="1"/>
  <c r="J253" i="4"/>
  <c r="T253" i="4" s="1"/>
  <c r="J257" i="4"/>
  <c r="T257" i="4" s="1"/>
  <c r="J261" i="4"/>
  <c r="T261" i="4" s="1"/>
  <c r="J265" i="4"/>
  <c r="T265" i="4" s="1"/>
  <c r="J269" i="4"/>
  <c r="T269" i="4" s="1"/>
  <c r="J273" i="4"/>
  <c r="T273" i="4" s="1"/>
  <c r="J277" i="4"/>
  <c r="T277" i="4" s="1"/>
  <c r="J281" i="4"/>
  <c r="T281" i="4" s="1"/>
  <c r="J285" i="4"/>
  <c r="T285" i="4" s="1"/>
  <c r="J289" i="4"/>
  <c r="T289" i="4" s="1"/>
  <c r="J293" i="4"/>
  <c r="T293" i="4" s="1"/>
  <c r="J297" i="4"/>
  <c r="T297" i="4" s="1"/>
  <c r="J301" i="4"/>
  <c r="T301" i="4" s="1"/>
  <c r="J305" i="4"/>
  <c r="T305" i="4" s="1"/>
  <c r="J309" i="4"/>
  <c r="T309" i="4" s="1"/>
  <c r="J313" i="4"/>
  <c r="T313" i="4" s="1"/>
  <c r="J317" i="4"/>
  <c r="T317" i="4" s="1"/>
  <c r="J321" i="4"/>
  <c r="T321" i="4" s="1"/>
  <c r="J325" i="4"/>
  <c r="T325" i="4" s="1"/>
  <c r="J329" i="4"/>
  <c r="T329" i="4" s="1"/>
  <c r="J333" i="4"/>
  <c r="T333" i="4" s="1"/>
  <c r="J337" i="4"/>
  <c r="T337" i="4" s="1"/>
  <c r="J341" i="4"/>
  <c r="T341" i="4" s="1"/>
  <c r="J345" i="4"/>
  <c r="T345" i="4" s="1"/>
  <c r="J349" i="4"/>
  <c r="T349" i="4" s="1"/>
  <c r="J353" i="4"/>
  <c r="T353" i="4" s="1"/>
  <c r="J357" i="4"/>
  <c r="T357" i="4" s="1"/>
  <c r="J361" i="4"/>
  <c r="T361" i="4" s="1"/>
  <c r="J365" i="4"/>
  <c r="T365" i="4" s="1"/>
  <c r="J369" i="4"/>
  <c r="T369" i="4" s="1"/>
  <c r="J373" i="4"/>
  <c r="T373" i="4" s="1"/>
  <c r="J377" i="4"/>
  <c r="T377" i="4" s="1"/>
  <c r="J381" i="4"/>
  <c r="T381" i="4" s="1"/>
  <c r="J385" i="4"/>
  <c r="T385" i="4" s="1"/>
  <c r="J389" i="4"/>
  <c r="T389" i="4" s="1"/>
  <c r="J393" i="4"/>
  <c r="T393" i="4" s="1"/>
  <c r="J397" i="4"/>
  <c r="T397" i="4" s="1"/>
  <c r="J401" i="4"/>
  <c r="T401" i="4" s="1"/>
  <c r="J405" i="4"/>
  <c r="T405" i="4" s="1"/>
  <c r="J409" i="4"/>
  <c r="T409" i="4" s="1"/>
  <c r="J413" i="4"/>
  <c r="T413" i="4" s="1"/>
  <c r="J417" i="4"/>
  <c r="T417" i="4" s="1"/>
  <c r="J421" i="4"/>
  <c r="T421" i="4" s="1"/>
  <c r="J425" i="4"/>
  <c r="T425" i="4" s="1"/>
  <c r="J429" i="4"/>
  <c r="T429" i="4" s="1"/>
  <c r="J433" i="4"/>
  <c r="T433" i="4" s="1"/>
  <c r="J437" i="4"/>
  <c r="T437" i="4" s="1"/>
  <c r="J441" i="4"/>
  <c r="T441" i="4" s="1"/>
  <c r="J445" i="4"/>
  <c r="T445" i="4" s="1"/>
  <c r="J449" i="4"/>
  <c r="T449" i="4" s="1"/>
  <c r="J453" i="4"/>
  <c r="T453" i="4" s="1"/>
  <c r="J457" i="4"/>
  <c r="T457" i="4" s="1"/>
  <c r="J461" i="4"/>
  <c r="T461" i="4" s="1"/>
  <c r="J465" i="4"/>
  <c r="T465" i="4" s="1"/>
  <c r="J469" i="4"/>
  <c r="T469" i="4" s="1"/>
  <c r="J473" i="4"/>
  <c r="T473" i="4" s="1"/>
  <c r="J477" i="4"/>
  <c r="T477" i="4" s="1"/>
  <c r="J481" i="4"/>
  <c r="T481" i="4" s="1"/>
  <c r="J485" i="4"/>
  <c r="T485" i="4" s="1"/>
  <c r="J489" i="4"/>
  <c r="T489" i="4" s="1"/>
  <c r="J493" i="4"/>
  <c r="T493" i="4" s="1"/>
  <c r="J497" i="4"/>
  <c r="T497" i="4" s="1"/>
  <c r="J501" i="4"/>
  <c r="T501" i="4" s="1"/>
  <c r="J505" i="4"/>
  <c r="T505" i="4" s="1"/>
  <c r="J509" i="4"/>
  <c r="T509" i="4" s="1"/>
  <c r="J513" i="4"/>
  <c r="T513" i="4" s="1"/>
  <c r="J517" i="4"/>
  <c r="T517" i="4" s="1"/>
  <c r="J521" i="4"/>
  <c r="T521" i="4" s="1"/>
  <c r="J525" i="4"/>
  <c r="T525" i="4" s="1"/>
  <c r="J529" i="4"/>
  <c r="T529" i="4" s="1"/>
  <c r="J533" i="4"/>
  <c r="T533" i="4" s="1"/>
  <c r="J537" i="4"/>
  <c r="T537" i="4" s="1"/>
  <c r="J541" i="4"/>
  <c r="T541" i="4" s="1"/>
  <c r="J545" i="4"/>
  <c r="T545" i="4" s="1"/>
  <c r="J549" i="4"/>
  <c r="T549" i="4" s="1"/>
  <c r="J553" i="4"/>
  <c r="T553" i="4" s="1"/>
  <c r="J557" i="4"/>
  <c r="T557" i="4" s="1"/>
  <c r="J561" i="4"/>
  <c r="T561" i="4" s="1"/>
  <c r="J565" i="4"/>
  <c r="T565" i="4" s="1"/>
  <c r="J569" i="4"/>
  <c r="T569" i="4" s="1"/>
  <c r="J573" i="4"/>
  <c r="T573" i="4" s="1"/>
  <c r="J577" i="4"/>
  <c r="T577" i="4" s="1"/>
  <c r="J581" i="4"/>
  <c r="T581" i="4" s="1"/>
  <c r="J585" i="4"/>
  <c r="T585" i="4" s="1"/>
  <c r="T587" i="4"/>
  <c r="P589" i="4"/>
  <c r="T589" i="4" s="1"/>
  <c r="J590" i="4"/>
  <c r="T593" i="4"/>
  <c r="T595" i="4"/>
  <c r="P597" i="4"/>
  <c r="T597" i="4" s="1"/>
  <c r="T622" i="4"/>
  <c r="T654" i="4"/>
  <c r="T686" i="4"/>
  <c r="T718" i="4"/>
  <c r="T790" i="4"/>
  <c r="T791" i="4"/>
  <c r="T838" i="4"/>
  <c r="T839" i="4"/>
  <c r="T846" i="4"/>
  <c r="T847" i="4"/>
  <c r="T884" i="4"/>
  <c r="T950" i="4"/>
  <c r="G586" i="4"/>
  <c r="T586" i="4" s="1"/>
  <c r="G590" i="4"/>
  <c r="T590" i="4" s="1"/>
  <c r="G594" i="4"/>
  <c r="T594" i="4" s="1"/>
  <c r="G598" i="4"/>
  <c r="T598" i="4" s="1"/>
  <c r="M600" i="4"/>
  <c r="T600" i="4" s="1"/>
  <c r="P601" i="4"/>
  <c r="G602" i="4"/>
  <c r="T602" i="4" s="1"/>
  <c r="M604" i="4"/>
  <c r="T604" i="4" s="1"/>
  <c r="P605" i="4"/>
  <c r="T605" i="4" s="1"/>
  <c r="G606" i="4"/>
  <c r="T606" i="4" s="1"/>
  <c r="M608" i="4"/>
  <c r="T608" i="4" s="1"/>
  <c r="P609" i="4"/>
  <c r="G610" i="4"/>
  <c r="T610" i="4" s="1"/>
  <c r="M612" i="4"/>
  <c r="T612" i="4" s="1"/>
  <c r="P613" i="4"/>
  <c r="T613" i="4" s="1"/>
  <c r="G614" i="4"/>
  <c r="T614" i="4" s="1"/>
  <c r="M616" i="4"/>
  <c r="T616" i="4" s="1"/>
  <c r="P617" i="4"/>
  <c r="G618" i="4"/>
  <c r="T618" i="4" s="1"/>
  <c r="M620" i="4"/>
  <c r="T620" i="4" s="1"/>
  <c r="P621" i="4"/>
  <c r="T621" i="4" s="1"/>
  <c r="G622" i="4"/>
  <c r="M624" i="4"/>
  <c r="T624" i="4" s="1"/>
  <c r="P625" i="4"/>
  <c r="G626" i="4"/>
  <c r="T626" i="4" s="1"/>
  <c r="M628" i="4"/>
  <c r="T628" i="4" s="1"/>
  <c r="P629" i="4"/>
  <c r="T629" i="4" s="1"/>
  <c r="G630" i="4"/>
  <c r="T630" i="4" s="1"/>
  <c r="M632" i="4"/>
  <c r="T632" i="4" s="1"/>
  <c r="P633" i="4"/>
  <c r="G634" i="4"/>
  <c r="T634" i="4" s="1"/>
  <c r="M636" i="4"/>
  <c r="T636" i="4" s="1"/>
  <c r="P637" i="4"/>
  <c r="T637" i="4" s="1"/>
  <c r="G638" i="4"/>
  <c r="T638" i="4" s="1"/>
  <c r="M640" i="4"/>
  <c r="T640" i="4" s="1"/>
  <c r="P641" i="4"/>
  <c r="G642" i="4"/>
  <c r="T642" i="4" s="1"/>
  <c r="M644" i="4"/>
  <c r="T644" i="4" s="1"/>
  <c r="P645" i="4"/>
  <c r="T645" i="4" s="1"/>
  <c r="G646" i="4"/>
  <c r="T646" i="4" s="1"/>
  <c r="M648" i="4"/>
  <c r="T648" i="4" s="1"/>
  <c r="P649" i="4"/>
  <c r="G650" i="4"/>
  <c r="T650" i="4" s="1"/>
  <c r="M652" i="4"/>
  <c r="T652" i="4" s="1"/>
  <c r="P653" i="4"/>
  <c r="T653" i="4" s="1"/>
  <c r="G654" i="4"/>
  <c r="M656" i="4"/>
  <c r="T656" i="4" s="1"/>
  <c r="P657" i="4"/>
  <c r="G658" i="4"/>
  <c r="T658" i="4" s="1"/>
  <c r="M660" i="4"/>
  <c r="T660" i="4" s="1"/>
  <c r="P661" i="4"/>
  <c r="T661" i="4" s="1"/>
  <c r="G662" i="4"/>
  <c r="T662" i="4" s="1"/>
  <c r="M664" i="4"/>
  <c r="T664" i="4" s="1"/>
  <c r="P665" i="4"/>
  <c r="G666" i="4"/>
  <c r="T666" i="4" s="1"/>
  <c r="M668" i="4"/>
  <c r="T668" i="4" s="1"/>
  <c r="P669" i="4"/>
  <c r="T669" i="4" s="1"/>
  <c r="G670" i="4"/>
  <c r="T670" i="4" s="1"/>
  <c r="M672" i="4"/>
  <c r="T672" i="4" s="1"/>
  <c r="P673" i="4"/>
  <c r="G674" i="4"/>
  <c r="T674" i="4" s="1"/>
  <c r="M676" i="4"/>
  <c r="T676" i="4" s="1"/>
  <c r="P677" i="4"/>
  <c r="T677" i="4" s="1"/>
  <c r="G678" i="4"/>
  <c r="T678" i="4" s="1"/>
  <c r="M680" i="4"/>
  <c r="T680" i="4" s="1"/>
  <c r="P681" i="4"/>
  <c r="G682" i="4"/>
  <c r="T682" i="4" s="1"/>
  <c r="M684" i="4"/>
  <c r="T684" i="4" s="1"/>
  <c r="P685" i="4"/>
  <c r="T685" i="4" s="1"/>
  <c r="G686" i="4"/>
  <c r="M688" i="4"/>
  <c r="T688" i="4" s="1"/>
  <c r="P689" i="4"/>
  <c r="G690" i="4"/>
  <c r="T690" i="4" s="1"/>
  <c r="M692" i="4"/>
  <c r="T692" i="4" s="1"/>
  <c r="P693" i="4"/>
  <c r="T693" i="4" s="1"/>
  <c r="G694" i="4"/>
  <c r="T694" i="4" s="1"/>
  <c r="M696" i="4"/>
  <c r="T696" i="4" s="1"/>
  <c r="P697" i="4"/>
  <c r="G698" i="4"/>
  <c r="T698" i="4" s="1"/>
  <c r="M700" i="4"/>
  <c r="T700" i="4" s="1"/>
  <c r="P701" i="4"/>
  <c r="T701" i="4" s="1"/>
  <c r="G702" i="4"/>
  <c r="T702" i="4" s="1"/>
  <c r="M704" i="4"/>
  <c r="T704" i="4" s="1"/>
  <c r="P705" i="4"/>
  <c r="G706" i="4"/>
  <c r="T706" i="4" s="1"/>
  <c r="M708" i="4"/>
  <c r="T708" i="4" s="1"/>
  <c r="P709" i="4"/>
  <c r="T709" i="4" s="1"/>
  <c r="G710" i="4"/>
  <c r="T710" i="4" s="1"/>
  <c r="M712" i="4"/>
  <c r="T712" i="4" s="1"/>
  <c r="P713" i="4"/>
  <c r="G714" i="4"/>
  <c r="T714" i="4" s="1"/>
  <c r="M716" i="4"/>
  <c r="T716" i="4" s="1"/>
  <c r="P717" i="4"/>
  <c r="T717" i="4" s="1"/>
  <c r="G718" i="4"/>
  <c r="M720" i="4"/>
  <c r="T720" i="4" s="1"/>
  <c r="P721" i="4"/>
  <c r="G722" i="4"/>
  <c r="T722" i="4" s="1"/>
  <c r="M724" i="4"/>
  <c r="T724" i="4" s="1"/>
  <c r="P725" i="4"/>
  <c r="T725" i="4" s="1"/>
  <c r="G726" i="4"/>
  <c r="T726" i="4" s="1"/>
  <c r="M728" i="4"/>
  <c r="T728" i="4" s="1"/>
  <c r="P729" i="4"/>
  <c r="G730" i="4"/>
  <c r="T730" i="4" s="1"/>
  <c r="M732" i="4"/>
  <c r="T732" i="4" s="1"/>
  <c r="P733" i="4"/>
  <c r="T733" i="4" s="1"/>
  <c r="G734" i="4"/>
  <c r="T734" i="4" s="1"/>
  <c r="M736" i="4"/>
  <c r="T736" i="4" s="1"/>
  <c r="P737" i="4"/>
  <c r="G738" i="4"/>
  <c r="T738" i="4" s="1"/>
  <c r="M740" i="4"/>
  <c r="T740" i="4" s="1"/>
  <c r="P741" i="4"/>
  <c r="T741" i="4" s="1"/>
  <c r="G742" i="4"/>
  <c r="T742" i="4" s="1"/>
  <c r="M744" i="4"/>
  <c r="T744" i="4" s="1"/>
  <c r="P745" i="4"/>
  <c r="G746" i="4"/>
  <c r="T746" i="4" s="1"/>
  <c r="M748" i="4"/>
  <c r="T748" i="4" s="1"/>
  <c r="P749" i="4"/>
  <c r="T749" i="4" s="1"/>
  <c r="G750" i="4"/>
  <c r="T750" i="4" s="1"/>
  <c r="M752" i="4"/>
  <c r="T752" i="4" s="1"/>
  <c r="P753" i="4"/>
  <c r="G754" i="4"/>
  <c r="T754" i="4" s="1"/>
  <c r="M756" i="4"/>
  <c r="T756" i="4" s="1"/>
  <c r="P757" i="4"/>
  <c r="T757" i="4" s="1"/>
  <c r="G758" i="4"/>
  <c r="T758" i="4" s="1"/>
  <c r="M760" i="4"/>
  <c r="T760" i="4" s="1"/>
  <c r="P761" i="4"/>
  <c r="G762" i="4"/>
  <c r="T762" i="4" s="1"/>
  <c r="M764" i="4"/>
  <c r="T764" i="4" s="1"/>
  <c r="P765" i="4"/>
  <c r="T765" i="4" s="1"/>
  <c r="G766" i="4"/>
  <c r="T766" i="4" s="1"/>
  <c r="M768" i="4"/>
  <c r="T768" i="4" s="1"/>
  <c r="P769" i="4"/>
  <c r="G770" i="4"/>
  <c r="T770" i="4" s="1"/>
  <c r="M772" i="4"/>
  <c r="T772" i="4" s="1"/>
  <c r="P773" i="4"/>
  <c r="T773" i="4" s="1"/>
  <c r="G774" i="4"/>
  <c r="T774" i="4" s="1"/>
  <c r="M776" i="4"/>
  <c r="T776" i="4" s="1"/>
  <c r="P777" i="4"/>
  <c r="G778" i="4"/>
  <c r="T778" i="4" s="1"/>
  <c r="M780" i="4"/>
  <c r="T780" i="4" s="1"/>
  <c r="P781" i="4"/>
  <c r="T781" i="4" s="1"/>
  <c r="G782" i="4"/>
  <c r="T782" i="4" s="1"/>
  <c r="M784" i="4"/>
  <c r="T784" i="4" s="1"/>
  <c r="P785" i="4"/>
  <c r="G786" i="4"/>
  <c r="T786" i="4" s="1"/>
  <c r="M788" i="4"/>
  <c r="T788" i="4" s="1"/>
  <c r="M796" i="4"/>
  <c r="T796" i="4" s="1"/>
  <c r="P797" i="4"/>
  <c r="T797" i="4" s="1"/>
  <c r="G798" i="4"/>
  <c r="T798" i="4" s="1"/>
  <c r="M800" i="4"/>
  <c r="T800" i="4" s="1"/>
  <c r="P801" i="4"/>
  <c r="T801" i="4" s="1"/>
  <c r="G802" i="4"/>
  <c r="T802" i="4" s="1"/>
  <c r="M804" i="4"/>
  <c r="T804" i="4" s="1"/>
  <c r="P805" i="4"/>
  <c r="T805" i="4" s="1"/>
  <c r="G806" i="4"/>
  <c r="T806" i="4" s="1"/>
  <c r="M808" i="4"/>
  <c r="T808" i="4" s="1"/>
  <c r="P809" i="4"/>
  <c r="T809" i="4" s="1"/>
  <c r="G810" i="4"/>
  <c r="T810" i="4" s="1"/>
  <c r="M812" i="4"/>
  <c r="T812" i="4" s="1"/>
  <c r="P813" i="4"/>
  <c r="T813" i="4" s="1"/>
  <c r="G814" i="4"/>
  <c r="T814" i="4" s="1"/>
  <c r="M816" i="4"/>
  <c r="T816" i="4" s="1"/>
  <c r="P817" i="4"/>
  <c r="T817" i="4" s="1"/>
  <c r="G818" i="4"/>
  <c r="T818" i="4" s="1"/>
  <c r="M820" i="4"/>
  <c r="T820" i="4" s="1"/>
  <c r="P821" i="4"/>
  <c r="T821" i="4" s="1"/>
  <c r="G822" i="4"/>
  <c r="T822" i="4" s="1"/>
  <c r="M824" i="4"/>
  <c r="T824" i="4" s="1"/>
  <c r="P825" i="4"/>
  <c r="T825" i="4" s="1"/>
  <c r="G826" i="4"/>
  <c r="T826" i="4" s="1"/>
  <c r="M828" i="4"/>
  <c r="T828" i="4" s="1"/>
  <c r="P829" i="4"/>
  <c r="T829" i="4" s="1"/>
  <c r="G830" i="4"/>
  <c r="T830" i="4" s="1"/>
  <c r="M832" i="4"/>
  <c r="T832" i="4" s="1"/>
  <c r="P833" i="4"/>
  <c r="T833" i="4" s="1"/>
  <c r="G834" i="4"/>
  <c r="T834" i="4" s="1"/>
  <c r="T880" i="4"/>
  <c r="M588" i="4"/>
  <c r="T588" i="4" s="1"/>
  <c r="M592" i="4"/>
  <c r="T592" i="4" s="1"/>
  <c r="M596" i="4"/>
  <c r="T596" i="4" s="1"/>
  <c r="M854" i="4"/>
  <c r="G857" i="4"/>
  <c r="T857" i="4" s="1"/>
  <c r="S860" i="4"/>
  <c r="D863" i="4"/>
  <c r="T863" i="4" s="1"/>
  <c r="P871" i="4"/>
  <c r="J872" i="4"/>
  <c r="T872" i="4" s="1"/>
  <c r="P874" i="4"/>
  <c r="T876" i="4"/>
  <c r="T976" i="4"/>
  <c r="T992" i="4"/>
  <c r="J854" i="4"/>
  <c r="T854" i="4" s="1"/>
  <c r="P856" i="4"/>
  <c r="J858" i="4"/>
  <c r="T858" i="4" s="1"/>
  <c r="P860" i="4"/>
  <c r="J862" i="4"/>
  <c r="T862" i="4" s="1"/>
  <c r="P864" i="4"/>
  <c r="J866" i="4"/>
  <c r="T866" i="4" s="1"/>
  <c r="P868" i="4"/>
  <c r="J869" i="4"/>
  <c r="T869" i="4" s="1"/>
  <c r="D871" i="4"/>
  <c r="T871" i="4" s="1"/>
  <c r="J873" i="4"/>
  <c r="D875" i="4"/>
  <c r="T875" i="4" s="1"/>
  <c r="J877" i="4"/>
  <c r="D879" i="4"/>
  <c r="T879" i="4" s="1"/>
  <c r="J881" i="4"/>
  <c r="D883" i="4"/>
  <c r="T883" i="4" s="1"/>
  <c r="J885" i="4"/>
  <c r="P887" i="4"/>
  <c r="T887" i="4" s="1"/>
  <c r="J888" i="4"/>
  <c r="P891" i="4"/>
  <c r="T891" i="4" s="1"/>
  <c r="J892" i="4"/>
  <c r="P895" i="4"/>
  <c r="T895" i="4" s="1"/>
  <c r="J896" i="4"/>
  <c r="P899" i="4"/>
  <c r="T899" i="4" s="1"/>
  <c r="J900" i="4"/>
  <c r="P903" i="4"/>
  <c r="T903" i="4" s="1"/>
  <c r="J904" i="4"/>
  <c r="P907" i="4"/>
  <c r="T907" i="4" s="1"/>
  <c r="J908" i="4"/>
  <c r="P911" i="4"/>
  <c r="T911" i="4" s="1"/>
  <c r="J912" i="4"/>
  <c r="P915" i="4"/>
  <c r="T915" i="4" s="1"/>
  <c r="J916" i="4"/>
  <c r="P919" i="4"/>
  <c r="T919" i="4" s="1"/>
  <c r="J920" i="4"/>
  <c r="P923" i="4"/>
  <c r="T923" i="4" s="1"/>
  <c r="J924" i="4"/>
  <c r="P927" i="4"/>
  <c r="T927" i="4" s="1"/>
  <c r="J928" i="4"/>
  <c r="P931" i="4"/>
  <c r="T931" i="4" s="1"/>
  <c r="J932" i="4"/>
  <c r="P935" i="4"/>
  <c r="T935" i="4" s="1"/>
  <c r="J936" i="4"/>
  <c r="P939" i="4"/>
  <c r="T939" i="4" s="1"/>
  <c r="J940" i="4"/>
  <c r="P943" i="4"/>
  <c r="T943" i="4" s="1"/>
  <c r="J944" i="4"/>
  <c r="P947" i="4"/>
  <c r="T947" i="4" s="1"/>
  <c r="J948" i="4"/>
  <c r="T956" i="4"/>
  <c r="T964" i="4"/>
  <c r="T969" i="4"/>
  <c r="T972" i="4"/>
  <c r="T985" i="4"/>
  <c r="T988" i="4"/>
  <c r="T1008" i="4"/>
  <c r="T1024" i="4"/>
  <c r="T1040" i="4"/>
  <c r="T1056" i="4"/>
  <c r="T1072" i="4"/>
  <c r="T1235" i="4"/>
  <c r="T1254" i="4"/>
  <c r="S853" i="4"/>
  <c r="T853" i="4" s="1"/>
  <c r="D856" i="4"/>
  <c r="T856" i="4" s="1"/>
  <c r="S857" i="4"/>
  <c r="D860" i="4"/>
  <c r="T860" i="4" s="1"/>
  <c r="S861" i="4"/>
  <c r="T861" i="4" s="1"/>
  <c r="D864" i="4"/>
  <c r="T864" i="4" s="1"/>
  <c r="S865" i="4"/>
  <c r="T865" i="4" s="1"/>
  <c r="D868" i="4"/>
  <c r="T868" i="4" s="1"/>
  <c r="T873" i="4"/>
  <c r="T877" i="4"/>
  <c r="T881" i="4"/>
  <c r="T885" i="4"/>
  <c r="T888" i="4"/>
  <c r="J889" i="4"/>
  <c r="T889" i="4" s="1"/>
  <c r="T892" i="4"/>
  <c r="J893" i="4"/>
  <c r="T893" i="4" s="1"/>
  <c r="T896" i="4"/>
  <c r="J897" i="4"/>
  <c r="T897" i="4" s="1"/>
  <c r="T900" i="4"/>
  <c r="J901" i="4"/>
  <c r="T901" i="4" s="1"/>
  <c r="T904" i="4"/>
  <c r="J905" i="4"/>
  <c r="T905" i="4" s="1"/>
  <c r="T908" i="4"/>
  <c r="J909" i="4"/>
  <c r="T909" i="4" s="1"/>
  <c r="T912" i="4"/>
  <c r="J913" i="4"/>
  <c r="T913" i="4" s="1"/>
  <c r="T916" i="4"/>
  <c r="J917" i="4"/>
  <c r="T917" i="4" s="1"/>
  <c r="T920" i="4"/>
  <c r="J921" i="4"/>
  <c r="T921" i="4" s="1"/>
  <c r="T924" i="4"/>
  <c r="J925" i="4"/>
  <c r="T925" i="4" s="1"/>
  <c r="T928" i="4"/>
  <c r="J929" i="4"/>
  <c r="T929" i="4" s="1"/>
  <c r="T932" i="4"/>
  <c r="J933" i="4"/>
  <c r="T933" i="4" s="1"/>
  <c r="T936" i="4"/>
  <c r="J937" i="4"/>
  <c r="T937" i="4" s="1"/>
  <c r="T940" i="4"/>
  <c r="J941" i="4"/>
  <c r="T941" i="4" s="1"/>
  <c r="T944" i="4"/>
  <c r="J945" i="4"/>
  <c r="T945" i="4" s="1"/>
  <c r="T948" i="4"/>
  <c r="J949" i="4"/>
  <c r="T949" i="4" s="1"/>
  <c r="T954" i="4"/>
  <c r="T962" i="4"/>
  <c r="T981" i="4"/>
  <c r="T1004" i="4"/>
  <c r="T1013" i="4"/>
  <c r="T1020" i="4"/>
  <c r="T1036" i="4"/>
  <c r="T1045" i="4"/>
  <c r="T1052" i="4"/>
  <c r="T1068" i="4"/>
  <c r="T1251" i="4"/>
  <c r="M993" i="4"/>
  <c r="T993" i="4" s="1"/>
  <c r="P994" i="4"/>
  <c r="G995" i="4"/>
  <c r="M997" i="4"/>
  <c r="T997" i="4" s="1"/>
  <c r="P998" i="4"/>
  <c r="G999" i="4"/>
  <c r="M1001" i="4"/>
  <c r="T1001" i="4" s="1"/>
  <c r="P1002" i="4"/>
  <c r="G1003" i="4"/>
  <c r="M1005" i="4"/>
  <c r="T1005" i="4" s="1"/>
  <c r="P1006" i="4"/>
  <c r="G1007" i="4"/>
  <c r="M1009" i="4"/>
  <c r="T1009" i="4" s="1"/>
  <c r="P1010" i="4"/>
  <c r="G1011" i="4"/>
  <c r="M1013" i="4"/>
  <c r="P1014" i="4"/>
  <c r="G1015" i="4"/>
  <c r="M1017" i="4"/>
  <c r="T1017" i="4" s="1"/>
  <c r="P1018" i="4"/>
  <c r="G1019" i="4"/>
  <c r="M1021" i="4"/>
  <c r="T1021" i="4" s="1"/>
  <c r="P1022" i="4"/>
  <c r="G1023" i="4"/>
  <c r="M1025" i="4"/>
  <c r="T1025" i="4" s="1"/>
  <c r="P1026" i="4"/>
  <c r="G1027" i="4"/>
  <c r="M1029" i="4"/>
  <c r="T1029" i="4" s="1"/>
  <c r="P1030" i="4"/>
  <c r="G1031" i="4"/>
  <c r="M1033" i="4"/>
  <c r="T1033" i="4" s="1"/>
  <c r="P1034" i="4"/>
  <c r="G1035" i="4"/>
  <c r="M1037" i="4"/>
  <c r="T1037" i="4" s="1"/>
  <c r="P1038" i="4"/>
  <c r="G1039" i="4"/>
  <c r="M1041" i="4"/>
  <c r="T1041" i="4" s="1"/>
  <c r="P1042" i="4"/>
  <c r="G1043" i="4"/>
  <c r="M1045" i="4"/>
  <c r="P1046" i="4"/>
  <c r="G1047" i="4"/>
  <c r="M1049" i="4"/>
  <c r="T1049" i="4" s="1"/>
  <c r="P1050" i="4"/>
  <c r="G1051" i="4"/>
  <c r="M1053" i="4"/>
  <c r="T1053" i="4" s="1"/>
  <c r="P1054" i="4"/>
  <c r="G1055" i="4"/>
  <c r="M1057" i="4"/>
  <c r="T1057" i="4" s="1"/>
  <c r="P1058" i="4"/>
  <c r="G1059" i="4"/>
  <c r="M1061" i="4"/>
  <c r="T1061" i="4" s="1"/>
  <c r="P1062" i="4"/>
  <c r="G1063" i="4"/>
  <c r="M1065" i="4"/>
  <c r="T1065" i="4" s="1"/>
  <c r="P1066" i="4"/>
  <c r="G1067" i="4"/>
  <c r="M1069" i="4"/>
  <c r="T1069" i="4" s="1"/>
  <c r="P1070" i="4"/>
  <c r="G1071" i="4"/>
  <c r="M1073" i="4"/>
  <c r="T1073" i="4" s="1"/>
  <c r="M1077" i="4"/>
  <c r="T1077" i="4" s="1"/>
  <c r="M1081" i="4"/>
  <c r="T1081" i="4" s="1"/>
  <c r="M1085" i="4"/>
  <c r="T1085" i="4" s="1"/>
  <c r="M1089" i="4"/>
  <c r="T1089" i="4" s="1"/>
  <c r="M1187" i="4"/>
  <c r="M870" i="4"/>
  <c r="T870" i="4" s="1"/>
  <c r="M874" i="4"/>
  <c r="T874" i="4" s="1"/>
  <c r="M878" i="4"/>
  <c r="T878" i="4" s="1"/>
  <c r="M882" i="4"/>
  <c r="T882" i="4" s="1"/>
  <c r="M886" i="4"/>
  <c r="T886" i="4" s="1"/>
  <c r="M890" i="4"/>
  <c r="T890" i="4" s="1"/>
  <c r="M894" i="4"/>
  <c r="T894" i="4" s="1"/>
  <c r="M898" i="4"/>
  <c r="T898" i="4" s="1"/>
  <c r="M902" i="4"/>
  <c r="T902" i="4" s="1"/>
  <c r="M906" i="4"/>
  <c r="T906" i="4" s="1"/>
  <c r="M910" i="4"/>
  <c r="T910" i="4" s="1"/>
  <c r="M914" i="4"/>
  <c r="T914" i="4" s="1"/>
  <c r="M918" i="4"/>
  <c r="T918" i="4" s="1"/>
  <c r="M922" i="4"/>
  <c r="T922" i="4" s="1"/>
  <c r="M926" i="4"/>
  <c r="T926" i="4" s="1"/>
  <c r="M930" i="4"/>
  <c r="T930" i="4" s="1"/>
  <c r="M934" i="4"/>
  <c r="T934" i="4" s="1"/>
  <c r="M938" i="4"/>
  <c r="T938" i="4" s="1"/>
  <c r="M942" i="4"/>
  <c r="T942" i="4" s="1"/>
  <c r="M946" i="4"/>
  <c r="T946" i="4" s="1"/>
  <c r="T1191" i="4"/>
  <c r="T1207" i="4"/>
  <c r="T1223" i="4"/>
  <c r="P951" i="4"/>
  <c r="T951" i="4" s="1"/>
  <c r="J953" i="4"/>
  <c r="T953" i="4" s="1"/>
  <c r="P955" i="4"/>
  <c r="T955" i="4" s="1"/>
  <c r="J957" i="4"/>
  <c r="T957" i="4" s="1"/>
  <c r="P959" i="4"/>
  <c r="T959" i="4" s="1"/>
  <c r="J961" i="4"/>
  <c r="T961" i="4" s="1"/>
  <c r="P963" i="4"/>
  <c r="T963" i="4" s="1"/>
  <c r="J965" i="4"/>
  <c r="T965" i="4" s="1"/>
  <c r="P967" i="4"/>
  <c r="T967" i="4" s="1"/>
  <c r="D970" i="4"/>
  <c r="T970" i="4" s="1"/>
  <c r="T971" i="4"/>
  <c r="S971" i="4"/>
  <c r="D974" i="4"/>
  <c r="T974" i="4" s="1"/>
  <c r="T975" i="4"/>
  <c r="S975" i="4"/>
  <c r="D978" i="4"/>
  <c r="T978" i="4" s="1"/>
  <c r="S979" i="4"/>
  <c r="T979" i="4" s="1"/>
  <c r="D982" i="4"/>
  <c r="T982" i="4" s="1"/>
  <c r="S983" i="4"/>
  <c r="T983" i="4" s="1"/>
  <c r="D986" i="4"/>
  <c r="T986" i="4" s="1"/>
  <c r="T987" i="4"/>
  <c r="S987" i="4"/>
  <c r="D990" i="4"/>
  <c r="T990" i="4" s="1"/>
  <c r="T991" i="4"/>
  <c r="S991" i="4"/>
  <c r="D994" i="4"/>
  <c r="T994" i="4" s="1"/>
  <c r="S995" i="4"/>
  <c r="T995" i="4" s="1"/>
  <c r="D998" i="4"/>
  <c r="T998" i="4" s="1"/>
  <c r="S999" i="4"/>
  <c r="T999" i="4" s="1"/>
  <c r="D1002" i="4"/>
  <c r="T1002" i="4" s="1"/>
  <c r="T1003" i="4"/>
  <c r="S1003" i="4"/>
  <c r="D1006" i="4"/>
  <c r="T1006" i="4" s="1"/>
  <c r="T1007" i="4"/>
  <c r="S1007" i="4"/>
  <c r="D1010" i="4"/>
  <c r="T1010" i="4" s="1"/>
  <c r="S1011" i="4"/>
  <c r="T1011" i="4" s="1"/>
  <c r="D1014" i="4"/>
  <c r="T1014" i="4" s="1"/>
  <c r="T1015" i="4"/>
  <c r="S1015" i="4"/>
  <c r="D1018" i="4"/>
  <c r="T1018" i="4" s="1"/>
  <c r="T1019" i="4"/>
  <c r="S1019" i="4"/>
  <c r="D1022" i="4"/>
  <c r="T1022" i="4" s="1"/>
  <c r="T1023" i="4"/>
  <c r="S1023" i="4"/>
  <c r="D1026" i="4"/>
  <c r="T1026" i="4" s="1"/>
  <c r="S1027" i="4"/>
  <c r="T1027" i="4" s="1"/>
  <c r="D1030" i="4"/>
  <c r="T1030" i="4" s="1"/>
  <c r="T1031" i="4"/>
  <c r="S1031" i="4"/>
  <c r="D1034" i="4"/>
  <c r="T1034" i="4" s="1"/>
  <c r="T1035" i="4"/>
  <c r="S1035" i="4"/>
  <c r="D1038" i="4"/>
  <c r="T1038" i="4" s="1"/>
  <c r="S1039" i="4"/>
  <c r="T1039" i="4" s="1"/>
  <c r="D1042" i="4"/>
  <c r="T1042" i="4" s="1"/>
  <c r="S1043" i="4"/>
  <c r="T1043" i="4" s="1"/>
  <c r="D1046" i="4"/>
  <c r="T1046" i="4" s="1"/>
  <c r="T1047" i="4"/>
  <c r="S1047" i="4"/>
  <c r="D1050" i="4"/>
  <c r="T1050" i="4" s="1"/>
  <c r="T1051" i="4"/>
  <c r="S1051" i="4"/>
  <c r="D1054" i="4"/>
  <c r="T1054" i="4" s="1"/>
  <c r="S1055" i="4"/>
  <c r="T1055" i="4" s="1"/>
  <c r="D1058" i="4"/>
  <c r="T1058" i="4" s="1"/>
  <c r="S1059" i="4"/>
  <c r="T1059" i="4" s="1"/>
  <c r="D1062" i="4"/>
  <c r="T1062" i="4" s="1"/>
  <c r="T1063" i="4"/>
  <c r="S1063" i="4"/>
  <c r="D1066" i="4"/>
  <c r="T1066" i="4" s="1"/>
  <c r="T1067" i="4"/>
  <c r="S1067" i="4"/>
  <c r="D1070" i="4"/>
  <c r="T1070" i="4" s="1"/>
  <c r="S1071" i="4"/>
  <c r="T1071" i="4" s="1"/>
  <c r="T1111" i="4"/>
  <c r="T1143" i="4"/>
  <c r="T1175" i="4"/>
  <c r="T1187" i="4"/>
  <c r="M1195" i="4"/>
  <c r="T1195" i="4" s="1"/>
  <c r="T1203" i="4"/>
  <c r="M1211" i="4"/>
  <c r="T1211" i="4" s="1"/>
  <c r="T1219" i="4"/>
  <c r="T1074" i="4"/>
  <c r="T1078" i="4"/>
  <c r="T1082" i="4"/>
  <c r="T1086" i="4"/>
  <c r="T1090" i="4"/>
  <c r="M1269" i="4"/>
  <c r="T1269" i="4" s="1"/>
  <c r="G1270" i="4"/>
  <c r="G1271" i="4"/>
  <c r="G1075" i="4"/>
  <c r="T1075" i="4" s="1"/>
  <c r="G1079" i="4"/>
  <c r="T1079" i="4" s="1"/>
  <c r="G1083" i="4"/>
  <c r="T1083" i="4" s="1"/>
  <c r="G1087" i="4"/>
  <c r="T1087" i="4" s="1"/>
  <c r="G1091" i="4"/>
  <c r="T1091" i="4" s="1"/>
  <c r="M1093" i="4"/>
  <c r="T1093" i="4" s="1"/>
  <c r="P1094" i="4"/>
  <c r="T1094" i="4" s="1"/>
  <c r="G1095" i="4"/>
  <c r="T1095" i="4" s="1"/>
  <c r="M1097" i="4"/>
  <c r="T1097" i="4" s="1"/>
  <c r="P1098" i="4"/>
  <c r="T1098" i="4" s="1"/>
  <c r="G1099" i="4"/>
  <c r="T1099" i="4" s="1"/>
  <c r="M1101" i="4"/>
  <c r="T1101" i="4" s="1"/>
  <c r="P1102" i="4"/>
  <c r="T1102" i="4" s="1"/>
  <c r="G1103" i="4"/>
  <c r="T1103" i="4" s="1"/>
  <c r="M1105" i="4"/>
  <c r="T1105" i="4" s="1"/>
  <c r="P1106" i="4"/>
  <c r="T1106" i="4" s="1"/>
  <c r="G1107" i="4"/>
  <c r="T1107" i="4" s="1"/>
  <c r="M1109" i="4"/>
  <c r="T1109" i="4" s="1"/>
  <c r="P1110" i="4"/>
  <c r="T1110" i="4" s="1"/>
  <c r="G1111" i="4"/>
  <c r="M1113" i="4"/>
  <c r="T1113" i="4" s="1"/>
  <c r="P1114" i="4"/>
  <c r="T1114" i="4" s="1"/>
  <c r="G1115" i="4"/>
  <c r="T1115" i="4" s="1"/>
  <c r="M1117" i="4"/>
  <c r="T1117" i="4" s="1"/>
  <c r="P1118" i="4"/>
  <c r="T1118" i="4" s="1"/>
  <c r="G1119" i="4"/>
  <c r="T1119" i="4" s="1"/>
  <c r="M1121" i="4"/>
  <c r="T1121" i="4" s="1"/>
  <c r="P1122" i="4"/>
  <c r="T1122" i="4" s="1"/>
  <c r="G1123" i="4"/>
  <c r="T1123" i="4" s="1"/>
  <c r="M1125" i="4"/>
  <c r="T1125" i="4" s="1"/>
  <c r="P1126" i="4"/>
  <c r="T1126" i="4" s="1"/>
  <c r="G1127" i="4"/>
  <c r="T1127" i="4" s="1"/>
  <c r="M1129" i="4"/>
  <c r="T1129" i="4" s="1"/>
  <c r="P1130" i="4"/>
  <c r="T1130" i="4" s="1"/>
  <c r="G1131" i="4"/>
  <c r="T1131" i="4" s="1"/>
  <c r="M1133" i="4"/>
  <c r="T1133" i="4" s="1"/>
  <c r="P1134" i="4"/>
  <c r="T1134" i="4" s="1"/>
  <c r="G1135" i="4"/>
  <c r="T1135" i="4" s="1"/>
  <c r="M1137" i="4"/>
  <c r="T1137" i="4" s="1"/>
  <c r="P1138" i="4"/>
  <c r="T1138" i="4" s="1"/>
  <c r="G1139" i="4"/>
  <c r="T1139" i="4" s="1"/>
  <c r="M1141" i="4"/>
  <c r="T1141" i="4" s="1"/>
  <c r="P1142" i="4"/>
  <c r="T1142" i="4" s="1"/>
  <c r="G1143" i="4"/>
  <c r="M1145" i="4"/>
  <c r="T1145" i="4" s="1"/>
  <c r="P1146" i="4"/>
  <c r="T1146" i="4" s="1"/>
  <c r="G1147" i="4"/>
  <c r="T1147" i="4" s="1"/>
  <c r="M1149" i="4"/>
  <c r="T1149" i="4" s="1"/>
  <c r="P1150" i="4"/>
  <c r="T1150" i="4" s="1"/>
  <c r="G1151" i="4"/>
  <c r="T1151" i="4" s="1"/>
  <c r="M1153" i="4"/>
  <c r="T1153" i="4" s="1"/>
  <c r="P1154" i="4"/>
  <c r="T1154" i="4" s="1"/>
  <c r="G1155" i="4"/>
  <c r="T1155" i="4" s="1"/>
  <c r="M1157" i="4"/>
  <c r="T1157" i="4" s="1"/>
  <c r="P1158" i="4"/>
  <c r="T1158" i="4" s="1"/>
  <c r="G1159" i="4"/>
  <c r="T1159" i="4" s="1"/>
  <c r="M1161" i="4"/>
  <c r="T1161" i="4" s="1"/>
  <c r="P1162" i="4"/>
  <c r="T1162" i="4" s="1"/>
  <c r="G1163" i="4"/>
  <c r="T1163" i="4" s="1"/>
  <c r="M1165" i="4"/>
  <c r="T1165" i="4" s="1"/>
  <c r="P1166" i="4"/>
  <c r="T1166" i="4" s="1"/>
  <c r="G1167" i="4"/>
  <c r="T1167" i="4" s="1"/>
  <c r="M1169" i="4"/>
  <c r="T1169" i="4" s="1"/>
  <c r="P1170" i="4"/>
  <c r="T1170" i="4" s="1"/>
  <c r="G1171" i="4"/>
  <c r="T1171" i="4" s="1"/>
  <c r="M1173" i="4"/>
  <c r="T1173" i="4" s="1"/>
  <c r="P1174" i="4"/>
  <c r="T1174" i="4" s="1"/>
  <c r="G1175" i="4"/>
  <c r="M1177" i="4"/>
  <c r="T1177" i="4" s="1"/>
  <c r="P1178" i="4"/>
  <c r="T1178" i="4" s="1"/>
  <c r="G1179" i="4"/>
  <c r="T1179" i="4" s="1"/>
  <c r="M1181" i="4"/>
  <c r="T1181" i="4" s="1"/>
  <c r="G1184" i="4"/>
  <c r="G1188" i="4"/>
  <c r="G1192" i="4"/>
  <c r="G1196" i="4"/>
  <c r="G1200" i="4"/>
  <c r="G1204" i="4"/>
  <c r="G1208" i="4"/>
  <c r="G1212" i="4"/>
  <c r="G1216" i="4"/>
  <c r="G1220" i="4"/>
  <c r="G1224" i="4"/>
  <c r="M1226" i="4"/>
  <c r="T1226" i="4" s="1"/>
  <c r="D1231" i="4"/>
  <c r="T1231" i="4" s="1"/>
  <c r="M1234" i="4"/>
  <c r="T1234" i="4" s="1"/>
  <c r="D1239" i="4"/>
  <c r="T1239" i="4" s="1"/>
  <c r="M1242" i="4"/>
  <c r="T1242" i="4" s="1"/>
  <c r="D1247" i="4"/>
  <c r="T1247" i="4" s="1"/>
  <c r="M1250" i="4"/>
  <c r="T1250" i="4" s="1"/>
  <c r="D1255" i="4"/>
  <c r="G1185" i="4"/>
  <c r="T1185" i="4" s="1"/>
  <c r="G1189" i="4"/>
  <c r="T1189" i="4" s="1"/>
  <c r="G1193" i="4"/>
  <c r="T1193" i="4" s="1"/>
  <c r="G1197" i="4"/>
  <c r="T1197" i="4" s="1"/>
  <c r="G1201" i="4"/>
  <c r="T1201" i="4" s="1"/>
  <c r="G1205" i="4"/>
  <c r="T1205" i="4" s="1"/>
  <c r="G1209" i="4"/>
  <c r="T1209" i="4" s="1"/>
  <c r="G1213" i="4"/>
  <c r="T1213" i="4" s="1"/>
  <c r="G1217" i="4"/>
  <c r="T1217" i="4" s="1"/>
  <c r="G1221" i="4"/>
  <c r="T1221" i="4" s="1"/>
  <c r="D1281" i="4"/>
  <c r="T1281" i="4" s="1"/>
  <c r="T1184" i="4"/>
  <c r="T1188" i="4"/>
  <c r="T1192" i="4"/>
  <c r="T1196" i="4"/>
  <c r="T1200" i="4"/>
  <c r="T1204" i="4"/>
  <c r="T1208" i="4"/>
  <c r="T1212" i="4"/>
  <c r="T1216" i="4"/>
  <c r="T1220" i="4"/>
  <c r="T1224" i="4"/>
  <c r="M1301" i="4"/>
  <c r="M1305" i="4"/>
  <c r="M1309" i="4"/>
  <c r="S1225" i="4"/>
  <c r="T1225" i="4" s="1"/>
  <c r="D1228" i="4"/>
  <c r="T1228" i="4" s="1"/>
  <c r="S1229" i="4"/>
  <c r="T1229" i="4" s="1"/>
  <c r="D1232" i="4"/>
  <c r="T1232" i="4" s="1"/>
  <c r="S1233" i="4"/>
  <c r="T1233" i="4" s="1"/>
  <c r="D1236" i="4"/>
  <c r="T1236" i="4" s="1"/>
  <c r="S1237" i="4"/>
  <c r="T1237" i="4" s="1"/>
  <c r="D1240" i="4"/>
  <c r="T1240" i="4" s="1"/>
  <c r="S1241" i="4"/>
  <c r="T1241" i="4" s="1"/>
  <c r="D1244" i="4"/>
  <c r="T1244" i="4" s="1"/>
  <c r="S1245" i="4"/>
  <c r="T1245" i="4" s="1"/>
  <c r="D1248" i="4"/>
  <c r="T1248" i="4" s="1"/>
  <c r="S1249" i="4"/>
  <c r="T1249" i="4" s="1"/>
  <c r="D1252" i="4"/>
  <c r="T1252" i="4" s="1"/>
  <c r="S1253" i="4"/>
  <c r="T1253" i="4" s="1"/>
  <c r="G1279" i="4"/>
  <c r="T1279" i="4" s="1"/>
  <c r="M1280" i="4"/>
  <c r="T1280" i="4" s="1"/>
  <c r="G1283" i="4"/>
  <c r="M1284" i="4"/>
  <c r="T1284" i="4" s="1"/>
  <c r="T1292" i="4"/>
  <c r="T1297" i="4"/>
  <c r="S1255" i="4"/>
  <c r="D1258" i="4"/>
  <c r="T1258" i="4" s="1"/>
  <c r="S1259" i="4"/>
  <c r="T1259" i="4" s="1"/>
  <c r="D1262" i="4"/>
  <c r="T1262" i="4" s="1"/>
  <c r="S1263" i="4"/>
  <c r="T1263" i="4" s="1"/>
  <c r="D1266" i="4"/>
  <c r="T1266" i="4" s="1"/>
  <c r="S1267" i="4"/>
  <c r="T1267" i="4" s="1"/>
  <c r="D1270" i="4"/>
  <c r="T1270" i="4" s="1"/>
  <c r="S1271" i="4"/>
  <c r="D1274" i="4"/>
  <c r="T1274" i="4" s="1"/>
  <c r="S1275" i="4"/>
  <c r="T1275" i="4" s="1"/>
  <c r="D1278" i="4"/>
  <c r="T1278" i="4" s="1"/>
  <c r="S1279" i="4"/>
  <c r="D1282" i="4"/>
  <c r="T1282" i="4" s="1"/>
  <c r="S1283" i="4"/>
  <c r="P1285" i="4"/>
  <c r="T1285" i="4" s="1"/>
  <c r="G1286" i="4"/>
  <c r="T1286" i="4" s="1"/>
  <c r="M1288" i="4"/>
  <c r="T1288" i="4" s="1"/>
  <c r="P1289" i="4"/>
  <c r="T1289" i="4" s="1"/>
  <c r="G1290" i="4"/>
  <c r="T1290" i="4" s="1"/>
  <c r="M1292" i="4"/>
  <c r="P1293" i="4"/>
  <c r="T1293" i="4" s="1"/>
  <c r="G1294" i="4"/>
  <c r="T1294" i="4" s="1"/>
  <c r="M1296" i="4"/>
  <c r="T1296" i="4" s="1"/>
  <c r="P1297" i="4"/>
  <c r="G1298" i="4"/>
  <c r="T1298" i="4" s="1"/>
  <c r="J1300" i="4"/>
  <c r="J1304" i="4"/>
  <c r="J1308" i="4"/>
  <c r="T1311" i="4"/>
  <c r="T1323" i="4"/>
  <c r="T1327" i="4"/>
  <c r="T1339" i="4"/>
  <c r="T1359" i="4"/>
  <c r="T1367" i="4"/>
  <c r="T1382" i="4"/>
  <c r="T1390" i="4"/>
  <c r="T1301" i="4"/>
  <c r="T1344" i="4"/>
  <c r="T1302" i="4"/>
  <c r="J1302" i="4"/>
  <c r="M1303" i="4"/>
  <c r="T1303" i="4" s="1"/>
  <c r="J1306" i="4"/>
  <c r="T1306" i="4" s="1"/>
  <c r="M1307" i="4"/>
  <c r="T1307" i="4" s="1"/>
  <c r="T1310" i="4"/>
  <c r="J1310" i="4"/>
  <c r="D1314" i="4"/>
  <c r="D1318" i="4"/>
  <c r="D1322" i="4"/>
  <c r="T1322" i="4" s="1"/>
  <c r="D1334" i="4"/>
  <c r="D1338" i="4"/>
  <c r="D1342" i="4"/>
  <c r="D1346" i="4"/>
  <c r="T1346" i="4" s="1"/>
  <c r="D1350" i="4"/>
  <c r="D1354" i="4"/>
  <c r="D1358" i="4"/>
  <c r="T1358" i="4" s="1"/>
  <c r="D1362" i="4"/>
  <c r="D1300" i="4"/>
  <c r="T1300" i="4" s="1"/>
  <c r="G1301" i="4"/>
  <c r="D1304" i="4"/>
  <c r="T1304" i="4" s="1"/>
  <c r="G1305" i="4"/>
  <c r="T1305" i="4" s="1"/>
  <c r="P1306" i="4"/>
  <c r="S1307" i="4"/>
  <c r="D1308" i="4"/>
  <c r="T1308" i="4" s="1"/>
  <c r="G1309" i="4"/>
  <c r="T1309" i="4" s="1"/>
  <c r="T1312" i="4"/>
  <c r="J1312" i="4"/>
  <c r="P1314" i="4"/>
  <c r="G1315" i="4"/>
  <c r="T1315" i="4" s="1"/>
  <c r="T1316" i="4"/>
  <c r="J1316" i="4"/>
  <c r="P1318" i="4"/>
  <c r="G1319" i="4"/>
  <c r="T1319" i="4" s="1"/>
  <c r="T1320" i="4"/>
  <c r="J1320" i="4"/>
  <c r="T1324" i="4"/>
  <c r="J1324" i="4"/>
  <c r="T1326" i="4"/>
  <c r="J1328" i="4"/>
  <c r="T1328" i="4" s="1"/>
  <c r="T1330" i="4"/>
  <c r="P1330" i="4"/>
  <c r="G1331" i="4"/>
  <c r="T1331" i="4" s="1"/>
  <c r="J1332" i="4"/>
  <c r="T1332" i="4" s="1"/>
  <c r="P1334" i="4"/>
  <c r="G1335" i="4"/>
  <c r="T1335" i="4" s="1"/>
  <c r="J1336" i="4"/>
  <c r="T1336" i="4" s="1"/>
  <c r="P1338" i="4"/>
  <c r="T1340" i="4"/>
  <c r="J1340" i="4"/>
  <c r="P1342" i="4"/>
  <c r="G1343" i="4"/>
  <c r="T1343" i="4" s="1"/>
  <c r="J1344" i="4"/>
  <c r="P1346" i="4"/>
  <c r="G1347" i="4"/>
  <c r="T1347" i="4" s="1"/>
  <c r="T1348" i="4"/>
  <c r="J1348" i="4"/>
  <c r="P1350" i="4"/>
  <c r="G1351" i="4"/>
  <c r="T1351" i="4" s="1"/>
  <c r="T1352" i="4"/>
  <c r="J1352" i="4"/>
  <c r="P1354" i="4"/>
  <c r="G1355" i="4"/>
  <c r="T1355" i="4" s="1"/>
  <c r="J1356" i="4"/>
  <c r="T1356" i="4" s="1"/>
  <c r="P1358" i="4"/>
  <c r="G1359" i="4"/>
  <c r="J1360" i="4"/>
  <c r="T1360" i="4" s="1"/>
  <c r="P1362" i="4"/>
  <c r="G1363" i="4"/>
  <c r="T1363" i="4" s="1"/>
  <c r="J1364" i="4"/>
  <c r="T1364" i="4" s="1"/>
  <c r="T1366" i="4"/>
  <c r="T1368" i="4"/>
  <c r="T1370" i="4"/>
  <c r="T1371" i="4"/>
  <c r="T1375" i="4"/>
  <c r="T1402" i="4"/>
  <c r="M1372" i="4"/>
  <c r="S1373" i="4"/>
  <c r="D1376" i="4"/>
  <c r="T1376" i="4" s="1"/>
  <c r="T1405" i="4"/>
  <c r="T1380" i="4"/>
  <c r="T1384" i="4"/>
  <c r="T1388" i="4"/>
  <c r="T1392" i="4"/>
  <c r="T1396" i="4"/>
  <c r="T1400" i="4"/>
  <c r="T1434" i="4"/>
  <c r="P1372" i="4"/>
  <c r="G1373" i="4"/>
  <c r="T1373" i="4" s="1"/>
  <c r="M1375" i="4"/>
  <c r="T1406" i="4"/>
  <c r="T1430" i="4"/>
  <c r="T1439" i="4"/>
  <c r="T1410" i="4"/>
  <c r="T1414" i="4"/>
  <c r="T1418" i="4"/>
  <c r="T1422" i="4"/>
  <c r="T1426" i="4"/>
  <c r="T1428" i="4"/>
  <c r="S1404" i="4"/>
  <c r="T1404" i="4" s="1"/>
  <c r="D1407" i="4"/>
  <c r="T1407" i="4" s="1"/>
  <c r="T1440" i="4"/>
  <c r="T1444" i="4"/>
  <c r="T1448" i="4"/>
  <c r="T1456" i="4"/>
  <c r="T1460" i="4"/>
  <c r="T1425" i="4"/>
  <c r="T1429" i="4"/>
  <c r="T1455" i="4"/>
  <c r="G1424" i="4"/>
  <c r="T1424" i="4" s="1"/>
  <c r="D1427" i="4"/>
  <c r="T1427" i="4" s="1"/>
  <c r="G1428" i="4"/>
  <c r="D1431" i="4"/>
  <c r="T1431" i="4" s="1"/>
  <c r="G1432" i="4"/>
  <c r="T1432" i="4" s="1"/>
  <c r="P1433" i="4"/>
  <c r="T1433" i="4" s="1"/>
  <c r="S1434" i="4"/>
  <c r="D1435" i="4"/>
  <c r="T1435" i="4" s="1"/>
  <c r="P1437" i="4"/>
  <c r="T1437" i="4" s="1"/>
  <c r="S1438" i="4"/>
  <c r="T1438" i="4" s="1"/>
  <c r="J1441" i="4"/>
  <c r="T1441" i="4" s="1"/>
  <c r="T1443" i="4"/>
  <c r="T1445" i="4"/>
  <c r="J1445" i="4"/>
  <c r="T1447" i="4"/>
  <c r="T1449" i="4"/>
  <c r="J1449" i="4"/>
  <c r="P1451" i="4"/>
  <c r="T1451" i="4" s="1"/>
  <c r="G1452" i="4"/>
  <c r="T1452" i="4" s="1"/>
  <c r="J1453" i="4"/>
  <c r="T1453" i="4" s="1"/>
  <c r="P1455" i="4"/>
  <c r="G1456" i="4"/>
  <c r="J1457" i="4"/>
  <c r="T1457" i="4" s="1"/>
  <c r="T1459" i="4"/>
  <c r="T1461" i="4"/>
  <c r="J1463" i="4"/>
  <c r="T1463" i="4" s="1"/>
  <c r="T1467" i="4"/>
  <c r="T1475" i="4"/>
  <c r="T1483" i="4"/>
  <c r="T1491" i="4"/>
  <c r="T1499" i="4"/>
  <c r="T1469" i="4"/>
  <c r="T1470" i="4"/>
  <c r="T1477" i="4"/>
  <c r="T1478" i="4"/>
  <c r="T1485" i="4"/>
  <c r="T1486" i="4"/>
  <c r="T1493" i="4"/>
  <c r="T1494" i="4"/>
  <c r="T1501" i="4"/>
  <c r="S1502" i="4"/>
  <c r="T1502" i="4" s="1"/>
  <c r="T1471" i="4"/>
  <c r="T1479" i="4"/>
  <c r="T1487" i="4"/>
  <c r="T1495" i="4"/>
  <c r="T1503" i="4"/>
  <c r="T1372" i="4" l="1"/>
  <c r="T1342" i="4"/>
  <c r="T1318" i="4"/>
  <c r="T1362" i="4"/>
  <c r="T785" i="4"/>
  <c r="T777" i="4"/>
  <c r="T769" i="4"/>
  <c r="T761" i="4"/>
  <c r="T753" i="4"/>
  <c r="T745" i="4"/>
  <c r="T737" i="4"/>
  <c r="T729" i="4"/>
  <c r="T721" i="4"/>
  <c r="T713" i="4"/>
  <c r="T705" i="4"/>
  <c r="T697" i="4"/>
  <c r="T689" i="4"/>
  <c r="T681" i="4"/>
  <c r="T673" i="4"/>
  <c r="T665" i="4"/>
  <c r="T657" i="4"/>
  <c r="T649" i="4"/>
  <c r="T641" i="4"/>
  <c r="T633" i="4"/>
  <c r="T625" i="4"/>
  <c r="T617" i="4"/>
  <c r="T609" i="4"/>
  <c r="T601" i="4"/>
  <c r="T1354" i="4"/>
  <c r="T1338" i="4"/>
  <c r="T1314" i="4"/>
  <c r="Y15" i="4"/>
  <c r="U1432" i="4" s="1"/>
  <c r="Y16" i="4"/>
  <c r="T1350" i="4"/>
  <c r="T1334" i="4"/>
  <c r="T1283" i="4"/>
  <c r="T1255" i="4"/>
  <c r="T1271" i="4"/>
  <c r="O1432" i="1" l="1"/>
  <c r="N1432" i="1"/>
  <c r="U146" i="4"/>
  <c r="U47" i="4"/>
  <c r="U599" i="4"/>
  <c r="U727" i="4"/>
  <c r="U219" i="4"/>
  <c r="U251" i="4"/>
  <c r="U315" i="4"/>
  <c r="U376" i="4"/>
  <c r="U440" i="4"/>
  <c r="U503" i="4"/>
  <c r="U567" i="4"/>
  <c r="U651" i="4"/>
  <c r="U715" i="4"/>
  <c r="U779" i="4"/>
  <c r="U587" i="4"/>
  <c r="U858" i="4"/>
  <c r="U877" i="4"/>
  <c r="U982" i="4"/>
  <c r="U1046" i="4"/>
  <c r="U1281" i="4"/>
  <c r="U1292" i="4"/>
  <c r="U118" i="4"/>
  <c r="U182" i="4"/>
  <c r="U623" i="4"/>
  <c r="U236" i="4"/>
  <c r="U300" i="4"/>
  <c r="U415" i="4"/>
  <c r="U499" i="4"/>
  <c r="U575" i="4"/>
  <c r="U985" i="4"/>
  <c r="U940" i="4"/>
  <c r="U1081" i="4"/>
  <c r="U1010" i="4"/>
  <c r="U1086" i="4"/>
  <c r="U1236" i="4"/>
  <c r="U1297" i="4"/>
  <c r="U1367" i="4"/>
  <c r="U1300" i="4"/>
  <c r="U162" i="4"/>
  <c r="U90" i="4"/>
  <c r="U851" i="4"/>
  <c r="U291" i="4"/>
  <c r="U355" i="4"/>
  <c r="U451" i="4"/>
  <c r="U543" i="4"/>
  <c r="U627" i="4"/>
  <c r="U723" i="4"/>
  <c r="U787" i="4"/>
  <c r="U718" i="4"/>
  <c r="U1072" i="4"/>
  <c r="U1251" i="4"/>
  <c r="U1019" i="4"/>
  <c r="U1203" i="4"/>
  <c r="U1390" i="4"/>
  <c r="U22" i="4"/>
  <c r="U783" i="4"/>
  <c r="U244" i="4"/>
  <c r="U308" i="4"/>
  <c r="U367" i="4"/>
  <c r="U431" i="4"/>
  <c r="U475" i="4"/>
  <c r="U515" i="4"/>
  <c r="U552" i="4"/>
  <c r="U819" i="4"/>
  <c r="U881" i="4"/>
  <c r="U916" i="4"/>
  <c r="U948" i="4"/>
  <c r="U1223" i="4"/>
  <c r="U1015" i="4"/>
  <c r="U1047" i="4"/>
  <c r="U1271" i="4"/>
  <c r="U1208" i="4"/>
  <c r="U1244" i="4"/>
  <c r="U1262" i="4"/>
  <c r="U1382" i="4"/>
  <c r="U25" i="4"/>
  <c r="U154" i="4"/>
  <c r="U114" i="4"/>
  <c r="U178" i="4"/>
  <c r="U31" i="4"/>
  <c r="U63" i="4"/>
  <c r="U95" i="4"/>
  <c r="U663" i="4"/>
  <c r="U815" i="4"/>
  <c r="U203" i="4"/>
  <c r="U235" i="4"/>
  <c r="U267" i="4"/>
  <c r="U299" i="4"/>
  <c r="U328" i="4"/>
  <c r="U360" i="4"/>
  <c r="U392" i="4"/>
  <c r="U424" i="4"/>
  <c r="U456" i="4"/>
  <c r="U488" i="4"/>
  <c r="U519" i="4"/>
  <c r="U551" i="4"/>
  <c r="U603" i="4"/>
  <c r="U635" i="4"/>
  <c r="U667" i="4"/>
  <c r="U699" i="4"/>
  <c r="U731" i="4"/>
  <c r="U763" i="4"/>
  <c r="U795" i="4"/>
  <c r="U622" i="4"/>
  <c r="U838" i="4"/>
  <c r="U972" i="4"/>
  <c r="U856" i="4"/>
  <c r="U981" i="4"/>
  <c r="U1077" i="4"/>
  <c r="U998" i="4"/>
  <c r="U1030" i="4"/>
  <c r="U1062" i="4"/>
  <c r="U1219" i="4"/>
  <c r="U1204" i="4"/>
  <c r="U41" i="4"/>
  <c r="U7" i="4"/>
  <c r="U150" i="4"/>
  <c r="U38" i="4"/>
  <c r="U102" i="4"/>
  <c r="U687" i="4"/>
  <c r="U807" i="4"/>
  <c r="U220" i="4"/>
  <c r="U252" i="4"/>
  <c r="U284" i="4"/>
  <c r="U316" i="4"/>
  <c r="U383" i="4"/>
  <c r="U447" i="4"/>
  <c r="U483" i="4"/>
  <c r="U531" i="4"/>
  <c r="U560" i="4"/>
  <c r="U859" i="4"/>
  <c r="U875" i="4"/>
  <c r="U892" i="4"/>
  <c r="U924" i="4"/>
  <c r="U1020" i="4"/>
  <c r="U978" i="4"/>
  <c r="U1026" i="4"/>
  <c r="U1058" i="4"/>
  <c r="U1239" i="4"/>
  <c r="U1224" i="4"/>
  <c r="U1252" i="4"/>
  <c r="U1270" i="4"/>
  <c r="U1334" i="4"/>
  <c r="U106" i="4"/>
  <c r="U170" i="4"/>
  <c r="U5" i="4"/>
  <c r="U50" i="4"/>
  <c r="U82" i="4"/>
  <c r="U855" i="4"/>
  <c r="U711" i="4"/>
  <c r="U831" i="4"/>
  <c r="U215" i="4"/>
  <c r="U247" i="4"/>
  <c r="U279" i="4"/>
  <c r="U311" i="4"/>
  <c r="U347" i="4"/>
  <c r="U379" i="4"/>
  <c r="U411" i="4"/>
  <c r="U443" i="4"/>
  <c r="U476" i="4"/>
  <c r="U511" i="4"/>
  <c r="U539" i="4"/>
  <c r="U571" i="4"/>
  <c r="U791" i="4"/>
  <c r="U863" i="4"/>
  <c r="U988" i="4"/>
  <c r="U860" i="4"/>
  <c r="U1085" i="4"/>
  <c r="U1006" i="4"/>
  <c r="U1070" i="4"/>
  <c r="U1212" i="4"/>
  <c r="U1338" i="4"/>
  <c r="U97" i="4"/>
  <c r="U142" i="4"/>
  <c r="U30" i="4"/>
  <c r="U94" i="4"/>
  <c r="U703" i="4"/>
  <c r="U850" i="4"/>
  <c r="U232" i="4"/>
  <c r="U264" i="4"/>
  <c r="U296" i="4"/>
  <c r="U327" i="4"/>
  <c r="U391" i="4"/>
  <c r="U455" i="4"/>
  <c r="U487" i="4"/>
  <c r="U540" i="4"/>
  <c r="U583" i="4"/>
  <c r="U625" i="4"/>
  <c r="U657" i="4"/>
  <c r="U689" i="4"/>
  <c r="U721" i="4"/>
  <c r="U753" i="4"/>
  <c r="U785" i="4"/>
  <c r="U593" i="4"/>
  <c r="U879" i="4"/>
  <c r="U888" i="4"/>
  <c r="U920" i="4"/>
  <c r="U1004" i="4"/>
  <c r="U1089" i="4"/>
  <c r="U986" i="4"/>
  <c r="U1018" i="4"/>
  <c r="U1066" i="4"/>
  <c r="U1078" i="4"/>
  <c r="U1200" i="4"/>
  <c r="U1248" i="4"/>
  <c r="U1282" i="4"/>
  <c r="U91" i="4"/>
  <c r="U444" i="4"/>
  <c r="U237" i="4"/>
  <c r="U301" i="4"/>
  <c r="U365" i="4"/>
  <c r="U429" i="4"/>
  <c r="U493" i="4"/>
  <c r="U557" i="4"/>
  <c r="U608" i="4"/>
  <c r="U629" i="4"/>
  <c r="U650" i="4"/>
  <c r="U672" i="4"/>
  <c r="U693" i="4"/>
  <c r="U714" i="4"/>
  <c r="U736" i="4"/>
  <c r="U757" i="4"/>
  <c r="U778" i="4"/>
  <c r="U806" i="4"/>
  <c r="U828" i="4"/>
  <c r="U869" i="4"/>
  <c r="U1061" i="4"/>
  <c r="U922" i="4"/>
  <c r="U983" i="4"/>
  <c r="U1094" i="4"/>
  <c r="U1115" i="4"/>
  <c r="U1137" i="4"/>
  <c r="U1158" i="4"/>
  <c r="U1179" i="4"/>
  <c r="U1237" i="4"/>
  <c r="U1288" i="4"/>
  <c r="U1322" i="4"/>
  <c r="U1309" i="4"/>
  <c r="U1363" i="4"/>
  <c r="U1430" i="4"/>
  <c r="U1445" i="4"/>
  <c r="U1485" i="4"/>
  <c r="U1435" i="4"/>
  <c r="U6" i="4"/>
  <c r="U99" i="4"/>
  <c r="U420" i="4"/>
  <c r="U196" i="4"/>
  <c r="U257" i="4"/>
  <c r="U321" i="4"/>
  <c r="U385" i="4"/>
  <c r="U449" i="4"/>
  <c r="U513" i="4"/>
  <c r="U577" i="4"/>
  <c r="U604" i="4"/>
  <c r="U636" i="4"/>
  <c r="U668" i="4"/>
  <c r="U700" i="4"/>
  <c r="U732" i="4"/>
  <c r="U764" i="4"/>
  <c r="U802" i="4"/>
  <c r="U824" i="4"/>
  <c r="U887" i="4"/>
  <c r="U919" i="4"/>
  <c r="U893" i="4"/>
  <c r="U925" i="4"/>
  <c r="U993" i="4"/>
  <c r="U1057" i="4"/>
  <c r="U926" i="4"/>
  <c r="U1027" i="4"/>
  <c r="U1087" i="4"/>
  <c r="U1117" i="4"/>
  <c r="U1138" i="4"/>
  <c r="U1165" i="4"/>
  <c r="U1242" i="4"/>
  <c r="U1279" i="4"/>
  <c r="U1289" i="4"/>
  <c r="U1303" i="4"/>
  <c r="U1326" i="4"/>
  <c r="U1371" i="4"/>
  <c r="U1410" i="4"/>
  <c r="U1483" i="4"/>
  <c r="U1431" i="4"/>
  <c r="U10" i="4"/>
  <c r="U332" i="4"/>
  <c r="U520" i="4"/>
  <c r="U245" i="4"/>
  <c r="U309" i="4"/>
  <c r="U373" i="4"/>
  <c r="U437" i="4"/>
  <c r="U501" i="4"/>
  <c r="U565" i="4"/>
  <c r="U605" i="4"/>
  <c r="U626" i="4"/>
  <c r="U648" i="4"/>
  <c r="U669" i="4"/>
  <c r="U690" i="4"/>
  <c r="U712" i="4"/>
  <c r="U733" i="4"/>
  <c r="U754" i="4"/>
  <c r="U776" i="4"/>
  <c r="U804" i="4"/>
  <c r="U825" i="4"/>
  <c r="U861" i="4"/>
  <c r="U1053" i="4"/>
  <c r="U914" i="4"/>
  <c r="U959" i="4"/>
  <c r="U1011" i="4"/>
  <c r="U1097" i="4"/>
  <c r="U1118" i="4"/>
  <c r="U1139" i="4"/>
  <c r="U1161" i="4"/>
  <c r="U1189" i="4"/>
  <c r="U1233" i="4"/>
  <c r="U1285" i="4"/>
  <c r="U1344" i="4"/>
  <c r="U1347" i="4"/>
  <c r="U1366" i="4"/>
  <c r="U1439" i="4"/>
  <c r="U1456" i="4"/>
  <c r="U1478" i="4"/>
  <c r="U83" i="4"/>
  <c r="U436" i="4"/>
  <c r="U217" i="4"/>
  <c r="U281" i="4"/>
  <c r="U345" i="4"/>
  <c r="U409" i="4"/>
  <c r="U473" i="4"/>
  <c r="U537" i="4"/>
  <c r="U590" i="4"/>
  <c r="U638" i="4"/>
  <c r="U676" i="4"/>
  <c r="U724" i="4"/>
  <c r="U756" i="4"/>
  <c r="U788" i="4"/>
  <c r="U816" i="4"/>
  <c r="U588" i="4"/>
  <c r="U899" i="4"/>
  <c r="U931" i="4"/>
  <c r="U897" i="4"/>
  <c r="U929" i="4"/>
  <c r="U1017" i="4"/>
  <c r="U870" i="4"/>
  <c r="U934" i="4"/>
  <c r="U1055" i="4"/>
  <c r="U1098" i="4"/>
  <c r="U1119" i="4"/>
  <c r="U1141" i="4"/>
  <c r="U1162" i="4"/>
  <c r="U1234" i="4"/>
  <c r="U1263" i="4"/>
  <c r="U1318" i="4"/>
  <c r="U1308" i="4"/>
  <c r="U1352" i="4"/>
  <c r="U1405" i="4"/>
  <c r="U1418" i="4"/>
  <c r="U1443" i="4"/>
  <c r="U1433" i="4"/>
  <c r="U1457" i="4"/>
  <c r="U1441" i="4"/>
  <c r="U1452" i="4"/>
  <c r="U93" i="4"/>
  <c r="U9" i="4"/>
  <c r="U79" i="4"/>
  <c r="U835" i="4"/>
  <c r="U283" i="4"/>
  <c r="U344" i="4"/>
  <c r="U408" i="4"/>
  <c r="U472" i="4"/>
  <c r="U535" i="4"/>
  <c r="U619" i="4"/>
  <c r="U683" i="4"/>
  <c r="U747" i="4"/>
  <c r="U686" i="4"/>
  <c r="U1040" i="4"/>
  <c r="U1045" i="4"/>
  <c r="U1014" i="4"/>
  <c r="U1187" i="4"/>
  <c r="U16" i="4"/>
  <c r="U70" i="4"/>
  <c r="U751" i="4"/>
  <c r="U204" i="4"/>
  <c r="U268" i="4"/>
  <c r="U351" i="4"/>
  <c r="U467" i="4"/>
  <c r="U544" i="4"/>
  <c r="U839" i="4"/>
  <c r="U908" i="4"/>
  <c r="U1042" i="4"/>
  <c r="U1192" i="4"/>
  <c r="U138" i="4"/>
  <c r="U18" i="4"/>
  <c r="U26" i="4"/>
  <c r="U58" i="4"/>
  <c r="U631" i="4"/>
  <c r="U759" i="4"/>
  <c r="U227" i="4"/>
  <c r="U259" i="4"/>
  <c r="U323" i="4"/>
  <c r="U387" i="4"/>
  <c r="U419" i="4"/>
  <c r="U480" i="4"/>
  <c r="U508" i="4"/>
  <c r="U579" i="4"/>
  <c r="U659" i="4"/>
  <c r="U691" i="4"/>
  <c r="U755" i="4"/>
  <c r="U595" i="4"/>
  <c r="U956" i="4"/>
  <c r="U954" i="4"/>
  <c r="U987" i="4"/>
  <c r="U1051" i="4"/>
  <c r="U1188" i="4"/>
  <c r="U49" i="4"/>
  <c r="U134" i="4"/>
  <c r="U86" i="4"/>
  <c r="U655" i="4"/>
  <c r="U212" i="4"/>
  <c r="U276" i="4"/>
  <c r="U884" i="4"/>
  <c r="U37" i="4"/>
  <c r="U130" i="4"/>
  <c r="U194" i="4"/>
  <c r="U42" i="4"/>
  <c r="U74" i="4"/>
  <c r="U198" i="4"/>
  <c r="U695" i="4"/>
  <c r="U591" i="4"/>
  <c r="U211" i="4"/>
  <c r="U243" i="4"/>
  <c r="U275" i="4"/>
  <c r="U307" i="4"/>
  <c r="U339" i="4"/>
  <c r="U371" i="4"/>
  <c r="U403" i="4"/>
  <c r="U435" i="4"/>
  <c r="U464" i="4"/>
  <c r="U496" i="4"/>
  <c r="U524" i="4"/>
  <c r="U559" i="4"/>
  <c r="U611" i="4"/>
  <c r="U643" i="4"/>
  <c r="U675" i="4"/>
  <c r="U707" i="4"/>
  <c r="U739" i="4"/>
  <c r="U771" i="4"/>
  <c r="U827" i="4"/>
  <c r="U654" i="4"/>
  <c r="U976" i="4"/>
  <c r="U1008" i="4"/>
  <c r="U864" i="4"/>
  <c r="U1013" i="4"/>
  <c r="U971" i="4"/>
  <c r="U1003" i="4"/>
  <c r="U1035" i="4"/>
  <c r="U1067" i="4"/>
  <c r="U1082" i="4"/>
  <c r="U1220" i="4"/>
  <c r="U89" i="4"/>
  <c r="U65" i="4"/>
  <c r="U166" i="4"/>
  <c r="U54" i="4"/>
  <c r="U201" i="4"/>
  <c r="U719" i="4"/>
  <c r="U842" i="4"/>
  <c r="U228" i="4"/>
  <c r="U260" i="4"/>
  <c r="U292" i="4"/>
  <c r="U335" i="4"/>
  <c r="U399" i="4"/>
  <c r="U459" i="4"/>
  <c r="U491" i="4"/>
  <c r="U536" i="4"/>
  <c r="U568" i="4"/>
  <c r="U790" i="4"/>
  <c r="U883" i="4"/>
  <c r="U900" i="4"/>
  <c r="U932" i="4"/>
  <c r="U1052" i="4"/>
  <c r="U994" i="4"/>
  <c r="U1031" i="4"/>
  <c r="U1063" i="4"/>
  <c r="U1255" i="4"/>
  <c r="U1228" i="4"/>
  <c r="U1283" i="4"/>
  <c r="U1278" i="4"/>
  <c r="U1350" i="4"/>
  <c r="U122" i="4"/>
  <c r="U186" i="4"/>
  <c r="U23" i="4"/>
  <c r="U55" i="4"/>
  <c r="U87" i="4"/>
  <c r="U615" i="4"/>
  <c r="U743" i="4"/>
  <c r="U794" i="4"/>
  <c r="U223" i="4"/>
  <c r="U255" i="4"/>
  <c r="U287" i="4"/>
  <c r="U319" i="4"/>
  <c r="U352" i="4"/>
  <c r="U384" i="4"/>
  <c r="U416" i="4"/>
  <c r="U448" i="4"/>
  <c r="U484" i="4"/>
  <c r="U516" i="4"/>
  <c r="U547" i="4"/>
  <c r="U576" i="4"/>
  <c r="U846" i="4"/>
  <c r="U992" i="4"/>
  <c r="U1024" i="4"/>
  <c r="U868" i="4"/>
  <c r="U1207" i="4"/>
  <c r="U1022" i="4"/>
  <c r="U1074" i="4"/>
  <c r="U1323" i="4"/>
  <c r="U1354" i="4"/>
  <c r="U20" i="4"/>
  <c r="U158" i="4"/>
  <c r="U46" i="4"/>
  <c r="U607" i="4"/>
  <c r="U735" i="4"/>
  <c r="U208" i="4"/>
  <c r="U240" i="4"/>
  <c r="U272" i="4"/>
  <c r="U304" i="4"/>
  <c r="U343" i="4"/>
  <c r="U407" i="4"/>
  <c r="U463" i="4"/>
  <c r="U495" i="4"/>
  <c r="U548" i="4"/>
  <c r="U601" i="4"/>
  <c r="U633" i="4"/>
  <c r="U665" i="4"/>
  <c r="U697" i="4"/>
  <c r="U729" i="4"/>
  <c r="U761" i="4"/>
  <c r="U793" i="4"/>
  <c r="U847" i="4"/>
  <c r="U969" i="4"/>
  <c r="U896" i="4"/>
  <c r="U928" i="4"/>
  <c r="U1036" i="4"/>
  <c r="U1191" i="4"/>
  <c r="U991" i="4"/>
  <c r="U1023" i="4"/>
  <c r="U1111" i="4"/>
  <c r="U1231" i="4"/>
  <c r="U1216" i="4"/>
  <c r="U1258" i="4"/>
  <c r="U1311" i="4"/>
  <c r="U348" i="4"/>
  <c r="U504" i="4"/>
  <c r="U253" i="4"/>
  <c r="U317" i="4"/>
  <c r="U381" i="4"/>
  <c r="U445" i="4"/>
  <c r="U509" i="4"/>
  <c r="U573" i="4"/>
  <c r="U613" i="4"/>
  <c r="U634" i="4"/>
  <c r="U656" i="4"/>
  <c r="U677" i="4"/>
  <c r="U698" i="4"/>
  <c r="U720" i="4"/>
  <c r="U741" i="4"/>
  <c r="U762" i="4"/>
  <c r="U784" i="4"/>
  <c r="U812" i="4"/>
  <c r="U833" i="4"/>
  <c r="U865" i="4"/>
  <c r="U874" i="4"/>
  <c r="U938" i="4"/>
  <c r="U995" i="4"/>
  <c r="U1099" i="4"/>
  <c r="U1121" i="4"/>
  <c r="U1142" i="4"/>
  <c r="U1163" i="4"/>
  <c r="U1197" i="4"/>
  <c r="U1245" i="4"/>
  <c r="U1293" i="4"/>
  <c r="U1346" i="4"/>
  <c r="U1315" i="4"/>
  <c r="U1370" i="4"/>
  <c r="U1422" i="4"/>
  <c r="U1459" i="4"/>
  <c r="U1501" i="4"/>
  <c r="U1493" i="4"/>
  <c r="U13" i="4"/>
  <c r="U324" i="4"/>
  <c r="U452" i="4"/>
  <c r="U209" i="4"/>
  <c r="U273" i="4"/>
  <c r="U337" i="4"/>
  <c r="U401" i="4"/>
  <c r="U465" i="4"/>
  <c r="U529" i="4"/>
  <c r="U589" i="4"/>
  <c r="U614" i="4"/>
  <c r="U646" i="4"/>
  <c r="U678" i="4"/>
  <c r="U710" i="4"/>
  <c r="U742" i="4"/>
  <c r="U774" i="4"/>
  <c r="U808" i="4"/>
  <c r="U829" i="4"/>
  <c r="U895" i="4"/>
  <c r="U927" i="4"/>
  <c r="U901" i="4"/>
  <c r="U933" i="4"/>
  <c r="U1009" i="4"/>
  <c r="U878" i="4"/>
  <c r="U942" i="4"/>
  <c r="U1039" i="4"/>
  <c r="U1095" i="4"/>
  <c r="U1122" i="4"/>
  <c r="U1149" i="4"/>
  <c r="U1170" i="4"/>
  <c r="U1185" i="4"/>
  <c r="U1259" i="4"/>
  <c r="U1294" i="4"/>
  <c r="U1312" i="4"/>
  <c r="U1331" i="4"/>
  <c r="U1402" i="4"/>
  <c r="U1426" i="4"/>
  <c r="U1470" i="4"/>
  <c r="U1491" i="4"/>
  <c r="U19" i="4"/>
  <c r="U364" i="4"/>
  <c r="U572" i="4"/>
  <c r="U261" i="4"/>
  <c r="U325" i="4"/>
  <c r="U389" i="4"/>
  <c r="U453" i="4"/>
  <c r="U517" i="4"/>
  <c r="U581" i="4"/>
  <c r="U610" i="4"/>
  <c r="U632" i="4"/>
  <c r="U653" i="4"/>
  <c r="U674" i="4"/>
  <c r="U696" i="4"/>
  <c r="U717" i="4"/>
  <c r="U738" i="4"/>
  <c r="U760" i="4"/>
  <c r="U781" i="4"/>
  <c r="U809" i="4"/>
  <c r="U830" i="4"/>
  <c r="U1005" i="4"/>
  <c r="U1069" i="4"/>
  <c r="U930" i="4"/>
  <c r="U967" i="4"/>
  <c r="U1195" i="4"/>
  <c r="U1102" i="4"/>
  <c r="U1123" i="4"/>
  <c r="U1145" i="4"/>
  <c r="U1166" i="4"/>
  <c r="U1205" i="4"/>
  <c r="U1241" i="4"/>
  <c r="U1290" i="4"/>
  <c r="U1306" i="4"/>
  <c r="U1351" i="4"/>
  <c r="U1375" i="4"/>
  <c r="U1414" i="4"/>
  <c r="U1455" i="4"/>
  <c r="U15" i="4"/>
  <c r="U340" i="4"/>
  <c r="U528" i="4"/>
  <c r="U233" i="4"/>
  <c r="U297" i="4"/>
  <c r="U361" i="4"/>
  <c r="U425" i="4"/>
  <c r="U489" i="4"/>
  <c r="U553" i="4"/>
  <c r="U606" i="4"/>
  <c r="U644" i="4"/>
  <c r="U692" i="4"/>
  <c r="U734" i="4"/>
  <c r="U766" i="4"/>
  <c r="U800" i="4"/>
  <c r="U821" i="4"/>
  <c r="U857" i="4"/>
  <c r="U907" i="4"/>
  <c r="U939" i="4"/>
  <c r="U905" i="4"/>
  <c r="U937" i="4"/>
  <c r="U1033" i="4"/>
  <c r="U886" i="4"/>
  <c r="U953" i="4"/>
  <c r="U1269" i="4"/>
  <c r="U1103" i="4"/>
  <c r="U1125" i="4"/>
  <c r="U1146" i="4"/>
  <c r="U1167" i="4"/>
  <c r="U1250" i="4"/>
  <c r="U1286" i="4"/>
  <c r="U1342" i="4"/>
  <c r="U1324" i="4"/>
  <c r="U1356" i="4"/>
  <c r="U1380" i="4"/>
  <c r="U1444" i="4"/>
  <c r="U1449" i="4"/>
  <c r="U1438" i="4"/>
  <c r="U1332" i="4"/>
  <c r="U1373" i="4"/>
  <c r="U1424" i="4"/>
  <c r="U34" i="4"/>
  <c r="U66" i="4"/>
  <c r="U98" i="4"/>
  <c r="U647" i="4"/>
  <c r="U775" i="4"/>
  <c r="U843" i="4"/>
  <c r="U231" i="4"/>
  <c r="U263" i="4"/>
  <c r="U295" i="4"/>
  <c r="U331" i="4"/>
  <c r="U363" i="4"/>
  <c r="U395" i="4"/>
  <c r="U427" i="4"/>
  <c r="U460" i="4"/>
  <c r="U492" i="4"/>
  <c r="U527" i="4"/>
  <c r="U555" i="4"/>
  <c r="U811" i="4"/>
  <c r="U950" i="4"/>
  <c r="U862" i="4"/>
  <c r="U1056" i="4"/>
  <c r="U885" i="4"/>
  <c r="U974" i="4"/>
  <c r="U1038" i="4"/>
  <c r="U1090" i="4"/>
  <c r="U1339" i="4"/>
  <c r="U29" i="4"/>
  <c r="U110" i="4"/>
  <c r="U174" i="4"/>
  <c r="U62" i="4"/>
  <c r="U639" i="4"/>
  <c r="U767" i="4"/>
  <c r="U216" i="4"/>
  <c r="U248" i="4"/>
  <c r="U280" i="4"/>
  <c r="U312" i="4"/>
  <c r="U359" i="4"/>
  <c r="U423" i="4"/>
  <c r="U471" i="4"/>
  <c r="U507" i="4"/>
  <c r="U556" i="4"/>
  <c r="U609" i="4"/>
  <c r="U641" i="4"/>
  <c r="U673" i="4"/>
  <c r="U705" i="4"/>
  <c r="U737" i="4"/>
  <c r="U769" i="4"/>
  <c r="U803" i="4"/>
  <c r="U876" i="4"/>
  <c r="U1254" i="4"/>
  <c r="U904" i="4"/>
  <c r="U936" i="4"/>
  <c r="U1068" i="4"/>
  <c r="U970" i="4"/>
  <c r="U1002" i="4"/>
  <c r="U1034" i="4"/>
  <c r="U1143" i="4"/>
  <c r="U1247" i="4"/>
  <c r="U1232" i="4"/>
  <c r="U1266" i="4"/>
  <c r="U27" i="4"/>
  <c r="U380" i="4"/>
  <c r="U205" i="4"/>
  <c r="U269" i="4"/>
  <c r="U333" i="4"/>
  <c r="U397" i="4"/>
  <c r="U461" i="4"/>
  <c r="U525" i="4"/>
  <c r="U594" i="4"/>
  <c r="U618" i="4"/>
  <c r="U640" i="4"/>
  <c r="U661" i="4"/>
  <c r="U682" i="4"/>
  <c r="U704" i="4"/>
  <c r="U725" i="4"/>
  <c r="U746" i="4"/>
  <c r="U768" i="4"/>
  <c r="U796" i="4"/>
  <c r="U817" i="4"/>
  <c r="U592" i="4"/>
  <c r="U997" i="4"/>
  <c r="U890" i="4"/>
  <c r="U955" i="4"/>
  <c r="U1211" i="4"/>
  <c r="U1105" i="4"/>
  <c r="U1126" i="4"/>
  <c r="U1147" i="4"/>
  <c r="U1169" i="4"/>
  <c r="U1213" i="4"/>
  <c r="U1253" i="4"/>
  <c r="U1298" i="4"/>
  <c r="U1362" i="4"/>
  <c r="U1319" i="4"/>
  <c r="U1384" i="4"/>
  <c r="U1448" i="4"/>
  <c r="U1475" i="4"/>
  <c r="U1479" i="4"/>
  <c r="U1495" i="4"/>
  <c r="U35" i="4"/>
  <c r="U356" i="4"/>
  <c r="U512" i="4"/>
  <c r="U225" i="4"/>
  <c r="U289" i="4"/>
  <c r="U353" i="4"/>
  <c r="U417" i="4"/>
  <c r="U481" i="4"/>
  <c r="U545" i="4"/>
  <c r="U597" i="4"/>
  <c r="U620" i="4"/>
  <c r="U652" i="4"/>
  <c r="U684" i="4"/>
  <c r="U716" i="4"/>
  <c r="U748" i="4"/>
  <c r="U780" i="4"/>
  <c r="U813" i="4"/>
  <c r="U834" i="4"/>
  <c r="U903" i="4"/>
  <c r="U935" i="4"/>
  <c r="U909" i="4"/>
  <c r="U941" i="4"/>
  <c r="U1025" i="4"/>
  <c r="U894" i="4"/>
  <c r="U957" i="4"/>
  <c r="U1059" i="4"/>
  <c r="U1101" i="4"/>
  <c r="U1127" i="4"/>
  <c r="U1154" i="4"/>
  <c r="U1181" i="4"/>
  <c r="U1201" i="4"/>
  <c r="U1267" i="4"/>
  <c r="U1359" i="4"/>
  <c r="U1316" i="4"/>
  <c r="U1335" i="4"/>
  <c r="U1388" i="4"/>
  <c r="U1440" i="4"/>
  <c r="U1486" i="4"/>
  <c r="U1499" i="4"/>
  <c r="U43" i="4"/>
  <c r="U396" i="4"/>
  <c r="U213" i="4"/>
  <c r="U277" i="4"/>
  <c r="U341" i="4"/>
  <c r="U405" i="4"/>
  <c r="U469" i="4"/>
  <c r="U533" i="4"/>
  <c r="U586" i="4"/>
  <c r="U616" i="4"/>
  <c r="U637" i="4"/>
  <c r="U658" i="4"/>
  <c r="U680" i="4"/>
  <c r="U701" i="4"/>
  <c r="U722" i="4"/>
  <c r="U744" i="4"/>
  <c r="U765" i="4"/>
  <c r="U786" i="4"/>
  <c r="U814" i="4"/>
  <c r="U866" i="4"/>
  <c r="U1021" i="4"/>
  <c r="U882" i="4"/>
  <c r="U946" i="4"/>
  <c r="U979" i="4"/>
  <c r="U1075" i="4"/>
  <c r="U1107" i="4"/>
  <c r="U1129" i="4"/>
  <c r="U1150" i="4"/>
  <c r="U1171" i="4"/>
  <c r="U1221" i="4"/>
  <c r="U1249" i="4"/>
  <c r="U1296" i="4"/>
  <c r="U1328" i="4"/>
  <c r="U1355" i="4"/>
  <c r="U1376" i="4"/>
  <c r="U1428" i="4"/>
  <c r="U1447" i="4"/>
  <c r="U21" i="4"/>
  <c r="U372" i="4"/>
  <c r="U580" i="4"/>
  <c r="U249" i="4"/>
  <c r="U313" i="4"/>
  <c r="U377" i="4"/>
  <c r="U441" i="4"/>
  <c r="U505" i="4"/>
  <c r="U569" i="4"/>
  <c r="U612" i="4"/>
  <c r="U660" i="4"/>
  <c r="U702" i="4"/>
  <c r="U740" i="4"/>
  <c r="U772" i="4"/>
  <c r="U805" i="4"/>
  <c r="U826" i="4"/>
  <c r="U872" i="4"/>
  <c r="U915" i="4"/>
  <c r="U947" i="4"/>
  <c r="U913" i="4"/>
  <c r="U945" i="4"/>
  <c r="U1049" i="4"/>
  <c r="U902" i="4"/>
  <c r="U961" i="4"/>
  <c r="U1079" i="4"/>
  <c r="U1109" i="4"/>
  <c r="U1130" i="4"/>
  <c r="U1151" i="4"/>
  <c r="U1173" i="4"/>
  <c r="U1193" i="4"/>
  <c r="U1302" i="4"/>
  <c r="U1358" i="4"/>
  <c r="U1330" i="4"/>
  <c r="U1368" i="4"/>
  <c r="U1396" i="4"/>
  <c r="U1460" i="4"/>
  <c r="U1467" i="4"/>
  <c r="U1451" i="4"/>
  <c r="U1343" i="4"/>
  <c r="U1453" i="4"/>
  <c r="U1256" i="4"/>
  <c r="U1272" i="4"/>
  <c r="U1152" i="4"/>
  <c r="U1176" i="4"/>
  <c r="U1120" i="4"/>
  <c r="U36" i="4"/>
  <c r="U80" i="4"/>
  <c r="U214" i="4"/>
  <c r="U246" i="4"/>
  <c r="U278" i="4"/>
  <c r="U310" i="4"/>
  <c r="U342" i="4"/>
  <c r="U374" i="4"/>
  <c r="U406" i="4"/>
  <c r="U44" i="4"/>
  <c r="U85" i="4"/>
  <c r="U108" i="4"/>
  <c r="U124" i="4"/>
  <c r="U140" i="4"/>
  <c r="U156" i="4"/>
  <c r="U172" i="4"/>
  <c r="U188" i="4"/>
  <c r="U226" i="4"/>
  <c r="U258" i="4"/>
  <c r="U290" i="4"/>
  <c r="U322" i="4"/>
  <c r="U68" i="4"/>
  <c r="U330" i="4"/>
  <c r="U362" i="4"/>
  <c r="U394" i="4"/>
  <c r="U426" i="4"/>
  <c r="U64" i="4"/>
  <c r="U24" i="4"/>
  <c r="U56" i="4"/>
  <c r="U111" i="4"/>
  <c r="U127" i="4"/>
  <c r="U143" i="4"/>
  <c r="U159" i="4"/>
  <c r="U175" i="4"/>
  <c r="U191" i="4"/>
  <c r="U117" i="4"/>
  <c r="U133" i="4"/>
  <c r="U149" i="4"/>
  <c r="U165" i="4"/>
  <c r="U181" i="4"/>
  <c r="U195" i="4"/>
  <c r="U442" i="4"/>
  <c r="U478" i="4"/>
  <c r="U538" i="4"/>
  <c r="U570" i="4"/>
  <c r="U506" i="4"/>
  <c r="U542" i="4"/>
  <c r="U454" i="4"/>
  <c r="U486" i="4"/>
  <c r="U582" i="4"/>
  <c r="U510" i="4"/>
  <c r="U792" i="4"/>
  <c r="U837" i="4"/>
  <c r="U1104" i="4"/>
  <c r="U841" i="4"/>
  <c r="U958" i="4"/>
  <c r="U1183" i="4"/>
  <c r="U1246" i="4"/>
  <c r="U968" i="4"/>
  <c r="U1000" i="4"/>
  <c r="U1032" i="4"/>
  <c r="U1064" i="4"/>
  <c r="U1088" i="4"/>
  <c r="U1136" i="4"/>
  <c r="U1243" i="4"/>
  <c r="U1180" i="4"/>
  <c r="U1092" i="4"/>
  <c r="U1230" i="4"/>
  <c r="U1214" i="4"/>
  <c r="U1317" i="4"/>
  <c r="U1349" i="4"/>
  <c r="U1273" i="4"/>
  <c r="U1257" i="4"/>
  <c r="U1329" i="4"/>
  <c r="U1361" i="4"/>
  <c r="U1381" i="4"/>
  <c r="U1403" i="4"/>
  <c r="U1484" i="4"/>
  <c r="U11" i="4"/>
  <c r="U222" i="4"/>
  <c r="U254" i="4"/>
  <c r="U286" i="4"/>
  <c r="U318" i="4"/>
  <c r="U350" i="4"/>
  <c r="U382" i="4"/>
  <c r="U414" i="4"/>
  <c r="U17" i="4"/>
  <c r="U57" i="4"/>
  <c r="U88" i="4"/>
  <c r="U115" i="4"/>
  <c r="U131" i="4"/>
  <c r="U147" i="4"/>
  <c r="U163" i="4"/>
  <c r="U179" i="4"/>
  <c r="U202" i="4"/>
  <c r="U234" i="4"/>
  <c r="U266" i="4"/>
  <c r="U298" i="4"/>
  <c r="U76" i="4"/>
  <c r="U338" i="4"/>
  <c r="U370" i="4"/>
  <c r="U402" i="4"/>
  <c r="U434" i="4"/>
  <c r="U45" i="4"/>
  <c r="U96" i="4"/>
  <c r="U112" i="4"/>
  <c r="U128" i="4"/>
  <c r="U144" i="4"/>
  <c r="U160" i="4"/>
  <c r="U176" i="4"/>
  <c r="U192" i="4"/>
  <c r="U105" i="4"/>
  <c r="U121" i="4"/>
  <c r="U137" i="4"/>
  <c r="U153" i="4"/>
  <c r="U169" i="4"/>
  <c r="U185" i="4"/>
  <c r="U450" i="4"/>
  <c r="U578" i="4"/>
  <c r="U482" i="4"/>
  <c r="U514" i="4"/>
  <c r="U562" i="4"/>
  <c r="U458" i="4"/>
  <c r="U490" i="4"/>
  <c r="U518" i="4"/>
  <c r="U550" i="4"/>
  <c r="U840" i="4"/>
  <c r="U1096" i="4"/>
  <c r="U1108" i="4"/>
  <c r="U1238" i="4"/>
  <c r="U844" i="4"/>
  <c r="U1144" i="4"/>
  <c r="U1168" i="4"/>
  <c r="U977" i="4"/>
  <c r="U1076" i="4"/>
  <c r="U960" i="4"/>
  <c r="U989" i="4"/>
  <c r="U1012" i="4"/>
  <c r="U1044" i="4"/>
  <c r="U1128" i="4"/>
  <c r="U1140" i="4"/>
  <c r="U1268" i="4"/>
  <c r="U1148" i="4"/>
  <c r="U1182" i="4"/>
  <c r="U984" i="4"/>
  <c r="U1190" i="4"/>
  <c r="U1215" i="4"/>
  <c r="U1261" i="4"/>
  <c r="U1198" i="4"/>
  <c r="U1325" i="4"/>
  <c r="U1357" i="4"/>
  <c r="U1276" i="4"/>
  <c r="U1206" i="4"/>
  <c r="U1222" i="4"/>
  <c r="U1260" i="4"/>
  <c r="U1337" i="4"/>
  <c r="U1369" i="4"/>
  <c r="U1395" i="4"/>
  <c r="U1408" i="4"/>
  <c r="U1492" i="4"/>
  <c r="U28" i="4"/>
  <c r="U60" i="4"/>
  <c r="U92" i="4"/>
  <c r="U230" i="4"/>
  <c r="U262" i="4"/>
  <c r="U294" i="4"/>
  <c r="U326" i="4"/>
  <c r="U358" i="4"/>
  <c r="U390" i="4"/>
  <c r="U422" i="4"/>
  <c r="U69" i="4"/>
  <c r="U101" i="4"/>
  <c r="U116" i="4"/>
  <c r="U132" i="4"/>
  <c r="U148" i="4"/>
  <c r="U164" i="4"/>
  <c r="U180" i="4"/>
  <c r="U210" i="4"/>
  <c r="U242" i="4"/>
  <c r="U274" i="4"/>
  <c r="U306" i="4"/>
  <c r="U53" i="4"/>
  <c r="U81" i="4"/>
  <c r="U346" i="4"/>
  <c r="U378" i="4"/>
  <c r="U410" i="4"/>
  <c r="U14" i="4"/>
  <c r="U12" i="4"/>
  <c r="U48" i="4"/>
  <c r="U73" i="4"/>
  <c r="U100" i="4"/>
  <c r="U119" i="4"/>
  <c r="U135" i="4"/>
  <c r="U151" i="4"/>
  <c r="U167" i="4"/>
  <c r="U183" i="4"/>
  <c r="U109" i="4"/>
  <c r="U125" i="4"/>
  <c r="U141" i="4"/>
  <c r="U157" i="4"/>
  <c r="U173" i="4"/>
  <c r="U189" i="4"/>
  <c r="U462" i="4"/>
  <c r="U494" i="4"/>
  <c r="U554" i="4"/>
  <c r="U522" i="4"/>
  <c r="U558" i="4"/>
  <c r="U438" i="4"/>
  <c r="U470" i="4"/>
  <c r="U526" i="4"/>
  <c r="U845" i="4"/>
  <c r="U1100" i="4"/>
  <c r="U1295" i="4"/>
  <c r="U1277" i="4"/>
  <c r="U849" i="4"/>
  <c r="U1160" i="4"/>
  <c r="U1172" i="4"/>
  <c r="U1186" i="4"/>
  <c r="U980" i="4"/>
  <c r="U1016" i="4"/>
  <c r="U1048" i="4"/>
  <c r="U1080" i="4"/>
  <c r="U1264" i="4"/>
  <c r="U966" i="4"/>
  <c r="U1132" i="4"/>
  <c r="U1116" i="4"/>
  <c r="U1287" i="4"/>
  <c r="U1156" i="4"/>
  <c r="U1199" i="4"/>
  <c r="U1218" i="4"/>
  <c r="U1333" i="4"/>
  <c r="U1365" i="4"/>
  <c r="U1291" i="4"/>
  <c r="U1374" i="4"/>
  <c r="U1313" i="4"/>
  <c r="U1345" i="4"/>
  <c r="U1387" i="4"/>
  <c r="U1397" i="4"/>
  <c r="U1409" i="4"/>
  <c r="U1504" i="4"/>
  <c r="U33" i="4"/>
  <c r="U77" i="4"/>
  <c r="U206" i="4"/>
  <c r="U238" i="4"/>
  <c r="U270" i="4"/>
  <c r="U302" i="4"/>
  <c r="U334" i="4"/>
  <c r="U366" i="4"/>
  <c r="U398" i="4"/>
  <c r="U430" i="4"/>
  <c r="U40" i="4"/>
  <c r="U72" i="4"/>
  <c r="U107" i="4"/>
  <c r="U123" i="4"/>
  <c r="U139" i="4"/>
  <c r="U155" i="4"/>
  <c r="U171" i="4"/>
  <c r="U187" i="4"/>
  <c r="U218" i="4"/>
  <c r="U250" i="4"/>
  <c r="U282" i="4"/>
  <c r="U314" i="4"/>
  <c r="U8" i="4"/>
  <c r="U354" i="4"/>
  <c r="U386" i="4"/>
  <c r="U418" i="4"/>
  <c r="U32" i="4"/>
  <c r="U52" i="4"/>
  <c r="U84" i="4"/>
  <c r="U104" i="4"/>
  <c r="U120" i="4"/>
  <c r="U136" i="4"/>
  <c r="U152" i="4"/>
  <c r="U168" i="4"/>
  <c r="U184" i="4"/>
  <c r="U113" i="4"/>
  <c r="U129" i="4"/>
  <c r="U145" i="4"/>
  <c r="U161" i="4"/>
  <c r="U177" i="4"/>
  <c r="U193" i="4"/>
  <c r="U197" i="4"/>
  <c r="U466" i="4"/>
  <c r="U498" i="4"/>
  <c r="U530" i="4"/>
  <c r="U867" i="4"/>
  <c r="U446" i="4"/>
  <c r="U546" i="4"/>
  <c r="U574" i="4"/>
  <c r="U474" i="4"/>
  <c r="U502" i="4"/>
  <c r="U534" i="4"/>
  <c r="U566" i="4"/>
  <c r="U1112" i="4"/>
  <c r="U789" i="4"/>
  <c r="U848" i="4"/>
  <c r="U1194" i="4"/>
  <c r="U836" i="4"/>
  <c r="U852" i="4"/>
  <c r="U952" i="4"/>
  <c r="U1164" i="4"/>
  <c r="U1084" i="4"/>
  <c r="U973" i="4"/>
  <c r="U996" i="4"/>
  <c r="U1028" i="4"/>
  <c r="U1060" i="4"/>
  <c r="U1124" i="4"/>
  <c r="U1202" i="4"/>
  <c r="U1299" i="4"/>
  <c r="U1341" i="4"/>
  <c r="U1210" i="4"/>
  <c r="U1265" i="4"/>
  <c r="U1500" i="4"/>
  <c r="U1321" i="4"/>
  <c r="U1353" i="4"/>
  <c r="U1468" i="4"/>
  <c r="U1378" i="4"/>
  <c r="U1391" i="4"/>
  <c r="U1401" i="4"/>
  <c r="U1416" i="4"/>
  <c r="U1442" i="4"/>
  <c r="U1417" i="4"/>
  <c r="U1436" i="4"/>
  <c r="U1462" i="4"/>
  <c r="U1488" i="4"/>
  <c r="U1465" i="4"/>
  <c r="U1497" i="4"/>
  <c r="U1464" i="4"/>
  <c r="U1489" i="4"/>
  <c r="U1389" i="4"/>
  <c r="U1383" i="4"/>
  <c r="U1393" i="4"/>
  <c r="U1421" i="4"/>
  <c r="U1450" i="4"/>
  <c r="U1419" i="4"/>
  <c r="U1472" i="4"/>
  <c r="U1466" i="4"/>
  <c r="U1498" i="4"/>
  <c r="U1480" i="4"/>
  <c r="U1490" i="4"/>
  <c r="U1481" i="4"/>
  <c r="U1496" i="4"/>
  <c r="U1473" i="4"/>
  <c r="U1474" i="4"/>
  <c r="U1385" i="4"/>
  <c r="U1394" i="4"/>
  <c r="U1413" i="4"/>
  <c r="U1423" i="4"/>
  <c r="U1458" i="4"/>
  <c r="U1411" i="4"/>
  <c r="U1420" i="4"/>
  <c r="U1446" i="4"/>
  <c r="U1379" i="4"/>
  <c r="U1398" i="4"/>
  <c r="U1377" i="4"/>
  <c r="U1386" i="4"/>
  <c r="U1399" i="4"/>
  <c r="U1415" i="4"/>
  <c r="U1412" i="4"/>
  <c r="U1454" i="4"/>
  <c r="U1476" i="4"/>
  <c r="U1482" i="4"/>
  <c r="U39" i="4"/>
  <c r="U71" i="4"/>
  <c r="U103" i="4"/>
  <c r="U679" i="4"/>
  <c r="U799" i="4"/>
  <c r="U207" i="4"/>
  <c r="U239" i="4"/>
  <c r="U271" i="4"/>
  <c r="U303" i="4"/>
  <c r="U336" i="4"/>
  <c r="U368" i="4"/>
  <c r="U400" i="4"/>
  <c r="U432" i="4"/>
  <c r="U468" i="4"/>
  <c r="U500" i="4"/>
  <c r="U532" i="4"/>
  <c r="U563" i="4"/>
  <c r="U199" i="4"/>
  <c r="U880" i="4"/>
  <c r="U964" i="4"/>
  <c r="U1235" i="4"/>
  <c r="U962" i="4"/>
  <c r="U990" i="4"/>
  <c r="U1054" i="4"/>
  <c r="U1196" i="4"/>
  <c r="U1314" i="4"/>
  <c r="U61" i="4"/>
  <c r="U126" i="4"/>
  <c r="U190" i="4"/>
  <c r="U78" i="4"/>
  <c r="U671" i="4"/>
  <c r="U823" i="4"/>
  <c r="U224" i="4"/>
  <c r="U256" i="4"/>
  <c r="U288" i="4"/>
  <c r="U320" i="4"/>
  <c r="U375" i="4"/>
  <c r="U439" i="4"/>
  <c r="U479" i="4"/>
  <c r="U523" i="4"/>
  <c r="U564" i="4"/>
  <c r="U617" i="4"/>
  <c r="U649" i="4"/>
  <c r="U681" i="4"/>
  <c r="U713" i="4"/>
  <c r="U745" i="4"/>
  <c r="U777" i="4"/>
  <c r="U1227" i="4"/>
  <c r="U871" i="4"/>
  <c r="U873" i="4"/>
  <c r="U912" i="4"/>
  <c r="U944" i="4"/>
  <c r="U1073" i="4"/>
  <c r="U975" i="4"/>
  <c r="U1007" i="4"/>
  <c r="U1050" i="4"/>
  <c r="U1175" i="4"/>
  <c r="U1184" i="4"/>
  <c r="U1240" i="4"/>
  <c r="U1274" i="4"/>
  <c r="U59" i="4"/>
  <c r="U412" i="4"/>
  <c r="U221" i="4"/>
  <c r="U285" i="4"/>
  <c r="U349" i="4"/>
  <c r="U413" i="4"/>
  <c r="U477" i="4"/>
  <c r="U541" i="4"/>
  <c r="U602" i="4"/>
  <c r="U624" i="4"/>
  <c r="U645" i="4"/>
  <c r="U666" i="4"/>
  <c r="U688" i="4"/>
  <c r="U709" i="4"/>
  <c r="U730" i="4"/>
  <c r="U752" i="4"/>
  <c r="U773" i="4"/>
  <c r="U801" i="4"/>
  <c r="U822" i="4"/>
  <c r="U854" i="4"/>
  <c r="U1029" i="4"/>
  <c r="U906" i="4"/>
  <c r="U963" i="4"/>
  <c r="U1083" i="4"/>
  <c r="U1110" i="4"/>
  <c r="U1131" i="4"/>
  <c r="U1153" i="4"/>
  <c r="U1174" i="4"/>
  <c r="U1229" i="4"/>
  <c r="U1284" i="4"/>
  <c r="U1310" i="4"/>
  <c r="U1305" i="4"/>
  <c r="U1340" i="4"/>
  <c r="U1400" i="4"/>
  <c r="U1427" i="4"/>
  <c r="U1469" i="4"/>
  <c r="U1425" i="4"/>
  <c r="U1494" i="4"/>
  <c r="U67" i="4"/>
  <c r="U388" i="4"/>
  <c r="U584" i="4"/>
  <c r="U241" i="4"/>
  <c r="U305" i="4"/>
  <c r="U369" i="4"/>
  <c r="U433" i="4"/>
  <c r="U497" i="4"/>
  <c r="U561" i="4"/>
  <c r="U598" i="4"/>
  <c r="U630" i="4"/>
  <c r="U662" i="4"/>
  <c r="U694" i="4"/>
  <c r="U726" i="4"/>
  <c r="U758" i="4"/>
  <c r="U797" i="4"/>
  <c r="U818" i="4"/>
  <c r="U596" i="4"/>
  <c r="U911" i="4"/>
  <c r="U943" i="4"/>
  <c r="U917" i="4"/>
  <c r="U949" i="4"/>
  <c r="U1041" i="4"/>
  <c r="U910" i="4"/>
  <c r="U965" i="4"/>
  <c r="U1071" i="4"/>
  <c r="U1106" i="4"/>
  <c r="U1133" i="4"/>
  <c r="U1159" i="4"/>
  <c r="U1226" i="4"/>
  <c r="U1217" i="4"/>
  <c r="U1275" i="4"/>
  <c r="U1301" i="4"/>
  <c r="U1320" i="4"/>
  <c r="U1364" i="4"/>
  <c r="U1406" i="4"/>
  <c r="U1461" i="4"/>
  <c r="U1487" i="4"/>
  <c r="U1503" i="4"/>
  <c r="U75" i="4"/>
  <c r="U428" i="4"/>
  <c r="U229" i="4"/>
  <c r="U293" i="4"/>
  <c r="U357" i="4"/>
  <c r="U421" i="4"/>
  <c r="U485" i="4"/>
  <c r="U549" i="4"/>
  <c r="U600" i="4"/>
  <c r="U621" i="4"/>
  <c r="U642" i="4"/>
  <c r="U664" i="4"/>
  <c r="U685" i="4"/>
  <c r="U706" i="4"/>
  <c r="U728" i="4"/>
  <c r="U749" i="4"/>
  <c r="U770" i="4"/>
  <c r="U798" i="4"/>
  <c r="U820" i="4"/>
  <c r="U853" i="4"/>
  <c r="U1037" i="4"/>
  <c r="U898" i="4"/>
  <c r="U951" i="4"/>
  <c r="U999" i="4"/>
  <c r="U1091" i="4"/>
  <c r="U1113" i="4"/>
  <c r="U1134" i="4"/>
  <c r="U1155" i="4"/>
  <c r="U1177" i="4"/>
  <c r="U1225" i="4"/>
  <c r="U1280" i="4"/>
  <c r="U1327" i="4"/>
  <c r="U1336" i="4"/>
  <c r="U1360" i="4"/>
  <c r="U1392" i="4"/>
  <c r="U1407" i="4"/>
  <c r="U1477" i="4"/>
  <c r="U51" i="4"/>
  <c r="U404" i="4"/>
  <c r="U200" i="4"/>
  <c r="U265" i="4"/>
  <c r="U329" i="4"/>
  <c r="U393" i="4"/>
  <c r="U457" i="4"/>
  <c r="U521" i="4"/>
  <c r="U585" i="4"/>
  <c r="U628" i="4"/>
  <c r="U670" i="4"/>
  <c r="U708" i="4"/>
  <c r="U750" i="4"/>
  <c r="U782" i="4"/>
  <c r="U810" i="4"/>
  <c r="U832" i="4"/>
  <c r="U891" i="4"/>
  <c r="U923" i="4"/>
  <c r="U889" i="4"/>
  <c r="U921" i="4"/>
  <c r="U1001" i="4"/>
  <c r="U1065" i="4"/>
  <c r="U918" i="4"/>
  <c r="U1043" i="4"/>
  <c r="U1093" i="4"/>
  <c r="U1114" i="4"/>
  <c r="U1135" i="4"/>
  <c r="U1157" i="4"/>
  <c r="U1178" i="4"/>
  <c r="U1209" i="4"/>
  <c r="U1307" i="4"/>
  <c r="U1304" i="4"/>
  <c r="U1348" i="4"/>
  <c r="U1372" i="4"/>
  <c r="U1434" i="4"/>
  <c r="U1429" i="4"/>
  <c r="U1471" i="4"/>
  <c r="U1463" i="4"/>
  <c r="U1404" i="4"/>
  <c r="U1437" i="4"/>
  <c r="U1502" i="4"/>
  <c r="N1209" i="1" l="1"/>
  <c r="O1209" i="1"/>
  <c r="N923" i="1"/>
  <c r="O923" i="1"/>
  <c r="N393" i="1"/>
  <c r="O393" i="1"/>
  <c r="O1280" i="1"/>
  <c r="N1280" i="1"/>
  <c r="O820" i="1"/>
  <c r="N820" i="1"/>
  <c r="N485" i="1"/>
  <c r="O485" i="1"/>
  <c r="O1226" i="1"/>
  <c r="N1226" i="1"/>
  <c r="O596" i="1"/>
  <c r="N596" i="1"/>
  <c r="N369" i="1"/>
  <c r="O369" i="1"/>
  <c r="N1305" i="1"/>
  <c r="O1305" i="1"/>
  <c r="O854" i="1"/>
  <c r="N854" i="1"/>
  <c r="N541" i="1"/>
  <c r="O541" i="1"/>
  <c r="O1050" i="1"/>
  <c r="N1050" i="1"/>
  <c r="N681" i="1"/>
  <c r="O681" i="1"/>
  <c r="O320" i="1"/>
  <c r="N320" i="1"/>
  <c r="O1054" i="1"/>
  <c r="N1054" i="1"/>
  <c r="O400" i="1"/>
  <c r="N400" i="1"/>
  <c r="O1482" i="1"/>
  <c r="N1482" i="1"/>
  <c r="O1394" i="1"/>
  <c r="N1394" i="1"/>
  <c r="O1498" i="1"/>
  <c r="N1498" i="1"/>
  <c r="O1389" i="1"/>
  <c r="N1389" i="1"/>
  <c r="N1391" i="1"/>
  <c r="O1391" i="1"/>
  <c r="N1341" i="1"/>
  <c r="O1341" i="1"/>
  <c r="O836" i="1"/>
  <c r="N836" i="1"/>
  <c r="N867" i="1"/>
  <c r="O867" i="1"/>
  <c r="N145" i="1"/>
  <c r="O145" i="1"/>
  <c r="O418" i="1"/>
  <c r="N418" i="1"/>
  <c r="O123" i="1"/>
  <c r="N123" i="1"/>
  <c r="O302" i="1"/>
  <c r="N302" i="1"/>
  <c r="O1374" i="1"/>
  <c r="N1374" i="1"/>
  <c r="O1080" i="1"/>
  <c r="N1080" i="1"/>
  <c r="N1277" i="1"/>
  <c r="O1277" i="1"/>
  <c r="N189" i="1"/>
  <c r="O189" i="1"/>
  <c r="N73" i="1"/>
  <c r="O73" i="1"/>
  <c r="N53" i="1"/>
  <c r="O53" i="1"/>
  <c r="O422" i="1"/>
  <c r="N422" i="1"/>
  <c r="N1395" i="1"/>
  <c r="O1395" i="1"/>
  <c r="O1190" i="1"/>
  <c r="N1190" i="1"/>
  <c r="N977" i="1"/>
  <c r="O977" i="1"/>
  <c r="O562" i="1"/>
  <c r="N562" i="1"/>
  <c r="O176" i="1"/>
  <c r="N176" i="1"/>
  <c r="O402" i="1"/>
  <c r="N402" i="1"/>
  <c r="O115" i="1"/>
  <c r="N115" i="1"/>
  <c r="O1484" i="1"/>
  <c r="N1484" i="1"/>
  <c r="N1317" i="1"/>
  <c r="O1317" i="1"/>
  <c r="O1246" i="1"/>
  <c r="N1246" i="1"/>
  <c r="O506" i="1"/>
  <c r="N506" i="1"/>
  <c r="N149" i="1"/>
  <c r="O149" i="1"/>
  <c r="O426" i="1"/>
  <c r="N426" i="1"/>
  <c r="O140" i="1"/>
  <c r="N140" i="1"/>
  <c r="O310" i="1"/>
  <c r="N310" i="1"/>
  <c r="N1343" i="1"/>
  <c r="O1343" i="1"/>
  <c r="O1130" i="1"/>
  <c r="N1130" i="1"/>
  <c r="O902" i="1"/>
  <c r="N902" i="1"/>
  <c r="N441" i="1"/>
  <c r="O441" i="1"/>
  <c r="O1296" i="1"/>
  <c r="N1296" i="1"/>
  <c r="O866" i="1"/>
  <c r="N866" i="1"/>
  <c r="O658" i="1"/>
  <c r="N658" i="1"/>
  <c r="N1499" i="1"/>
  <c r="O1499" i="1"/>
  <c r="N1025" i="1"/>
  <c r="O1025" i="1"/>
  <c r="O620" i="1"/>
  <c r="N620" i="1"/>
  <c r="N1479" i="1"/>
  <c r="O1479" i="1"/>
  <c r="O1213" i="1"/>
  <c r="N1213" i="1"/>
  <c r="O768" i="1"/>
  <c r="N768" i="1"/>
  <c r="N333" i="1"/>
  <c r="O333" i="1"/>
  <c r="N1143" i="1"/>
  <c r="O1143" i="1"/>
  <c r="N705" i="1"/>
  <c r="O705" i="1"/>
  <c r="O216" i="1"/>
  <c r="N216" i="1"/>
  <c r="O1090" i="1"/>
  <c r="N1090" i="1"/>
  <c r="O427" i="1"/>
  <c r="N427" i="1"/>
  <c r="O34" i="1"/>
  <c r="N34" i="1"/>
  <c r="O1356" i="1"/>
  <c r="N1356" i="1"/>
  <c r="N1033" i="1"/>
  <c r="O1033" i="1"/>
  <c r="O606" i="1"/>
  <c r="N606" i="1"/>
  <c r="O340" i="1"/>
  <c r="N340" i="1"/>
  <c r="N1123" i="1"/>
  <c r="O1123" i="1"/>
  <c r="O930" i="1"/>
  <c r="N930" i="1"/>
  <c r="O632" i="1"/>
  <c r="N632" i="1"/>
  <c r="O1170" i="1"/>
  <c r="N1170" i="1"/>
  <c r="O933" i="1"/>
  <c r="N933" i="1"/>
  <c r="O710" i="1"/>
  <c r="N710" i="1"/>
  <c r="O324" i="1"/>
  <c r="N324" i="1"/>
  <c r="O1346" i="1"/>
  <c r="N1346" i="1"/>
  <c r="N995" i="1"/>
  <c r="O995" i="1"/>
  <c r="N741" i="1"/>
  <c r="O741" i="1"/>
  <c r="N509" i="1"/>
  <c r="O509" i="1"/>
  <c r="O1258" i="1"/>
  <c r="N1258" i="1"/>
  <c r="O928" i="1"/>
  <c r="N928" i="1"/>
  <c r="N665" i="1"/>
  <c r="O665" i="1"/>
  <c r="O304" i="1"/>
  <c r="N304" i="1"/>
  <c r="O20" i="1"/>
  <c r="N20" i="1"/>
  <c r="O992" i="1"/>
  <c r="N992" i="1"/>
  <c r="O384" i="1"/>
  <c r="N384" i="1"/>
  <c r="N615" i="1"/>
  <c r="O615" i="1"/>
  <c r="N1283" i="1"/>
  <c r="O1283" i="1"/>
  <c r="O900" i="1"/>
  <c r="N900" i="1"/>
  <c r="O335" i="1"/>
  <c r="N335" i="1"/>
  <c r="O166" i="1"/>
  <c r="N166" i="1"/>
  <c r="N971" i="1"/>
  <c r="O971" i="1"/>
  <c r="N739" i="1"/>
  <c r="O739" i="1"/>
  <c r="O464" i="1"/>
  <c r="N464" i="1"/>
  <c r="O211" i="1"/>
  <c r="N211" i="1"/>
  <c r="N37" i="1"/>
  <c r="O37" i="1"/>
  <c r="O1188" i="1"/>
  <c r="N1188" i="1"/>
  <c r="N659" i="1"/>
  <c r="O659" i="1"/>
  <c r="O227" i="1"/>
  <c r="N227" i="1"/>
  <c r="O467" i="1"/>
  <c r="N467" i="1"/>
  <c r="O1014" i="1"/>
  <c r="N1014" i="1"/>
  <c r="O472" i="1"/>
  <c r="N472" i="1"/>
  <c r="O1452" i="1"/>
  <c r="N1452" i="1"/>
  <c r="O1308" i="1"/>
  <c r="N1308" i="1"/>
  <c r="N1055" i="1"/>
  <c r="O1055" i="1"/>
  <c r="O724" i="1"/>
  <c r="N724" i="1"/>
  <c r="N281" i="1"/>
  <c r="O281" i="1"/>
  <c r="N1347" i="1"/>
  <c r="O1347" i="1"/>
  <c r="N1097" i="1"/>
  <c r="O1097" i="1"/>
  <c r="O776" i="1"/>
  <c r="N776" i="1"/>
  <c r="O690" i="1"/>
  <c r="N690" i="1"/>
  <c r="N373" i="1"/>
  <c r="O373" i="1"/>
  <c r="N1289" i="1"/>
  <c r="O1289" i="1"/>
  <c r="O926" i="1"/>
  <c r="N926" i="1"/>
  <c r="O802" i="1"/>
  <c r="N802" i="1"/>
  <c r="O668" i="1"/>
  <c r="N668" i="1"/>
  <c r="N257" i="1"/>
  <c r="O257" i="1"/>
  <c r="O6" i="1"/>
  <c r="N6" i="1"/>
  <c r="O1288" i="1"/>
  <c r="N1288" i="1"/>
  <c r="O806" i="1"/>
  <c r="N806" i="1"/>
  <c r="N629" i="1"/>
  <c r="O629" i="1"/>
  <c r="O444" i="1"/>
  <c r="N444" i="1"/>
  <c r="O986" i="1"/>
  <c r="N986" i="1"/>
  <c r="N625" i="1"/>
  <c r="O625" i="1"/>
  <c r="O94" i="1"/>
  <c r="N94" i="1"/>
  <c r="N1085" i="1"/>
  <c r="O1085" i="1"/>
  <c r="O476" i="1"/>
  <c r="N476" i="1"/>
  <c r="O215" i="1"/>
  <c r="N215" i="1"/>
  <c r="O106" i="1"/>
  <c r="N106" i="1"/>
  <c r="O978" i="1"/>
  <c r="N978" i="1"/>
  <c r="O483" i="1"/>
  <c r="N483" i="1"/>
  <c r="N687" i="1"/>
  <c r="O687" i="1"/>
  <c r="O7" i="1"/>
  <c r="N7" i="1"/>
  <c r="O981" i="1"/>
  <c r="N981" i="1"/>
  <c r="N699" i="1"/>
  <c r="O699" i="1"/>
  <c r="O424" i="1"/>
  <c r="N424" i="1"/>
  <c r="N815" i="1"/>
  <c r="O815" i="1"/>
  <c r="N25" i="1"/>
  <c r="O25" i="1"/>
  <c r="N1223" i="1"/>
  <c r="O1223" i="1"/>
  <c r="N819" i="1"/>
  <c r="O819" i="1"/>
  <c r="N783" i="1"/>
  <c r="O783" i="1"/>
  <c r="N787" i="1"/>
  <c r="O787" i="1"/>
  <c r="O90" i="1"/>
  <c r="N90" i="1"/>
  <c r="N1081" i="1"/>
  <c r="O1081" i="1"/>
  <c r="N1281" i="1"/>
  <c r="O1281" i="1"/>
  <c r="N651" i="1"/>
  <c r="O651" i="1"/>
  <c r="O376" i="1"/>
  <c r="N376" i="1"/>
  <c r="N1437" i="1"/>
  <c r="O1437" i="1"/>
  <c r="N1429" i="1"/>
  <c r="O1429" i="1"/>
  <c r="O1304" i="1"/>
  <c r="N1304" i="1"/>
  <c r="O1157" i="1"/>
  <c r="N1157" i="1"/>
  <c r="N1043" i="1"/>
  <c r="O1043" i="1"/>
  <c r="N921" i="1"/>
  <c r="O921" i="1"/>
  <c r="O832" i="1"/>
  <c r="N832" i="1"/>
  <c r="O708" i="1"/>
  <c r="N708" i="1"/>
  <c r="N521" i="1"/>
  <c r="O521" i="1"/>
  <c r="N265" i="1"/>
  <c r="O265" i="1"/>
  <c r="O1477" i="1"/>
  <c r="N1477" i="1"/>
  <c r="O1336" i="1"/>
  <c r="N1336" i="1"/>
  <c r="N1177" i="1"/>
  <c r="O1177" i="1"/>
  <c r="N1091" i="1"/>
  <c r="O1091" i="1"/>
  <c r="N1037" i="1"/>
  <c r="O1037" i="1"/>
  <c r="O770" i="1"/>
  <c r="N770" i="1"/>
  <c r="N685" i="1"/>
  <c r="O685" i="1"/>
  <c r="O600" i="1"/>
  <c r="N600" i="1"/>
  <c r="N357" i="1"/>
  <c r="O357" i="1"/>
  <c r="O75" i="1"/>
  <c r="N75" i="1"/>
  <c r="O1406" i="1"/>
  <c r="N1406" i="1"/>
  <c r="N1275" i="1"/>
  <c r="O1275" i="1"/>
  <c r="O1133" i="1"/>
  <c r="N1133" i="1"/>
  <c r="O910" i="1"/>
  <c r="N910" i="1"/>
  <c r="N943" i="1"/>
  <c r="O943" i="1"/>
  <c r="N797" i="1"/>
  <c r="O797" i="1"/>
  <c r="O662" i="1"/>
  <c r="N662" i="1"/>
  <c r="N497" i="1"/>
  <c r="O497" i="1"/>
  <c r="N241" i="1"/>
  <c r="O241" i="1"/>
  <c r="O1494" i="1"/>
  <c r="N1494" i="1"/>
  <c r="O1400" i="1"/>
  <c r="N1400" i="1"/>
  <c r="O1284" i="1"/>
  <c r="N1284" i="1"/>
  <c r="N1131" i="1"/>
  <c r="O1131" i="1"/>
  <c r="O906" i="1"/>
  <c r="N906" i="1"/>
  <c r="N801" i="1"/>
  <c r="O801" i="1"/>
  <c r="O709" i="1"/>
  <c r="N709" i="1"/>
  <c r="O624" i="1"/>
  <c r="N624" i="1"/>
  <c r="N413" i="1"/>
  <c r="O413" i="1"/>
  <c r="O412" i="1"/>
  <c r="N412" i="1"/>
  <c r="O1184" i="1"/>
  <c r="N1184" i="1"/>
  <c r="N975" i="1"/>
  <c r="O975" i="1"/>
  <c r="N873" i="1"/>
  <c r="O873" i="1"/>
  <c r="N745" i="1"/>
  <c r="O745" i="1"/>
  <c r="N617" i="1"/>
  <c r="O617" i="1"/>
  <c r="O439" i="1"/>
  <c r="N439" i="1"/>
  <c r="O256" i="1"/>
  <c r="N256" i="1"/>
  <c r="O78" i="1"/>
  <c r="N78" i="1"/>
  <c r="O1314" i="1"/>
  <c r="N1314" i="1"/>
  <c r="O962" i="1"/>
  <c r="N962" i="1"/>
  <c r="O199" i="1"/>
  <c r="N199" i="1"/>
  <c r="O468" i="1"/>
  <c r="N468" i="1"/>
  <c r="O336" i="1"/>
  <c r="N336" i="1"/>
  <c r="O207" i="1"/>
  <c r="N207" i="1"/>
  <c r="O71" i="1"/>
  <c r="N71" i="1"/>
  <c r="O1454" i="1"/>
  <c r="N1454" i="1"/>
  <c r="O1386" i="1"/>
  <c r="N1386" i="1"/>
  <c r="O1446" i="1"/>
  <c r="N1446" i="1"/>
  <c r="N1423" i="1"/>
  <c r="O1423" i="1"/>
  <c r="O1474" i="1"/>
  <c r="N1474" i="1"/>
  <c r="O1490" i="1"/>
  <c r="N1490" i="1"/>
  <c r="O1472" i="1"/>
  <c r="N1472" i="1"/>
  <c r="N1393" i="1"/>
  <c r="O1393" i="1"/>
  <c r="O1464" i="1"/>
  <c r="N1464" i="1"/>
  <c r="O1462" i="1"/>
  <c r="N1462" i="1"/>
  <c r="O1416" i="1"/>
  <c r="N1416" i="1"/>
  <c r="O1468" i="1"/>
  <c r="N1468" i="1"/>
  <c r="N1265" i="1"/>
  <c r="O1265" i="1"/>
  <c r="O1202" i="1"/>
  <c r="N1202" i="1"/>
  <c r="O996" i="1"/>
  <c r="N996" i="1"/>
  <c r="O952" i="1"/>
  <c r="N952" i="1"/>
  <c r="O848" i="1"/>
  <c r="N848" i="1"/>
  <c r="O534" i="1"/>
  <c r="N534" i="1"/>
  <c r="O546" i="1"/>
  <c r="N546" i="1"/>
  <c r="O498" i="1"/>
  <c r="N498" i="1"/>
  <c r="N177" i="1"/>
  <c r="O177" i="1"/>
  <c r="N113" i="1"/>
  <c r="O113" i="1"/>
  <c r="O136" i="1"/>
  <c r="N136" i="1"/>
  <c r="O52" i="1"/>
  <c r="N52" i="1"/>
  <c r="O354" i="1"/>
  <c r="N354" i="1"/>
  <c r="O250" i="1"/>
  <c r="N250" i="1"/>
  <c r="O155" i="1"/>
  <c r="N155" i="1"/>
  <c r="O72" i="1"/>
  <c r="N72" i="1"/>
  <c r="O366" i="1"/>
  <c r="N366" i="1"/>
  <c r="O238" i="1"/>
  <c r="N238" i="1"/>
  <c r="O1504" i="1"/>
  <c r="N1504" i="1"/>
  <c r="N1345" i="1"/>
  <c r="O1345" i="1"/>
  <c r="O1365" i="1"/>
  <c r="N1365" i="1"/>
  <c r="O1156" i="1"/>
  <c r="N1156" i="1"/>
  <c r="O966" i="1"/>
  <c r="N966" i="1"/>
  <c r="O1016" i="1"/>
  <c r="N1016" i="1"/>
  <c r="O1160" i="1"/>
  <c r="N1160" i="1"/>
  <c r="O1100" i="1"/>
  <c r="N1100" i="1"/>
  <c r="O438" i="1"/>
  <c r="N438" i="1"/>
  <c r="O494" i="1"/>
  <c r="N494" i="1"/>
  <c r="N157" i="1"/>
  <c r="O157" i="1"/>
  <c r="O183" i="1"/>
  <c r="N183" i="1"/>
  <c r="O119" i="1"/>
  <c r="N119" i="1"/>
  <c r="O12" i="1"/>
  <c r="N12" i="1"/>
  <c r="O346" i="1"/>
  <c r="N346" i="1"/>
  <c r="O274" i="1"/>
  <c r="N274" i="1"/>
  <c r="O164" i="1"/>
  <c r="N164" i="1"/>
  <c r="N101" i="1"/>
  <c r="O101" i="1"/>
  <c r="O358" i="1"/>
  <c r="N358" i="1"/>
  <c r="O230" i="1"/>
  <c r="N230" i="1"/>
  <c r="O1492" i="1"/>
  <c r="N1492" i="1"/>
  <c r="N1337" i="1"/>
  <c r="O1337" i="1"/>
  <c r="O1276" i="1"/>
  <c r="N1276" i="1"/>
  <c r="O1261" i="1"/>
  <c r="N1261" i="1"/>
  <c r="O1182" i="1"/>
  <c r="N1182" i="1"/>
  <c r="O1128" i="1"/>
  <c r="N1128" i="1"/>
  <c r="O960" i="1"/>
  <c r="N960" i="1"/>
  <c r="O1144" i="1"/>
  <c r="N1144" i="1"/>
  <c r="O1096" i="1"/>
  <c r="N1096" i="1"/>
  <c r="O490" i="1"/>
  <c r="N490" i="1"/>
  <c r="O482" i="1"/>
  <c r="N482" i="1"/>
  <c r="N169" i="1"/>
  <c r="O169" i="1"/>
  <c r="N105" i="1"/>
  <c r="O105" i="1"/>
  <c r="O144" i="1"/>
  <c r="N144" i="1"/>
  <c r="N45" i="1"/>
  <c r="O45" i="1"/>
  <c r="O338" i="1"/>
  <c r="N338" i="1"/>
  <c r="O234" i="1"/>
  <c r="N234" i="1"/>
  <c r="O147" i="1"/>
  <c r="N147" i="1"/>
  <c r="N57" i="1"/>
  <c r="O57" i="1"/>
  <c r="O350" i="1"/>
  <c r="N350" i="1"/>
  <c r="O222" i="1"/>
  <c r="N222" i="1"/>
  <c r="N1381" i="1"/>
  <c r="O1381" i="1"/>
  <c r="N1273" i="1"/>
  <c r="O1273" i="1"/>
  <c r="O1230" i="1"/>
  <c r="N1230" i="1"/>
  <c r="O1136" i="1"/>
  <c r="N1136" i="1"/>
  <c r="O1000" i="1"/>
  <c r="N1000" i="1"/>
  <c r="O958" i="1"/>
  <c r="N958" i="1"/>
  <c r="O792" i="1"/>
  <c r="N792" i="1"/>
  <c r="O454" i="1"/>
  <c r="N454" i="1"/>
  <c r="O538" i="1"/>
  <c r="N538" i="1"/>
  <c r="N181" i="1"/>
  <c r="O181" i="1"/>
  <c r="N117" i="1"/>
  <c r="O117" i="1"/>
  <c r="O143" i="1"/>
  <c r="N143" i="1"/>
  <c r="O24" i="1"/>
  <c r="N24" i="1"/>
  <c r="O362" i="1"/>
  <c r="N362" i="1"/>
  <c r="O290" i="1"/>
  <c r="N290" i="1"/>
  <c r="O172" i="1"/>
  <c r="N172" i="1"/>
  <c r="O108" i="1"/>
  <c r="N108" i="1"/>
  <c r="O374" i="1"/>
  <c r="N374" i="1"/>
  <c r="O246" i="1"/>
  <c r="N246" i="1"/>
  <c r="O1120" i="1"/>
  <c r="N1120" i="1"/>
  <c r="O1256" i="1"/>
  <c r="N1256" i="1"/>
  <c r="N1467" i="1"/>
  <c r="O1467" i="1"/>
  <c r="O1330" i="1"/>
  <c r="N1330" i="1"/>
  <c r="N1173" i="1"/>
  <c r="O1173" i="1"/>
  <c r="N1079" i="1"/>
  <c r="O1079" i="1"/>
  <c r="N945" i="1"/>
  <c r="O945" i="1"/>
  <c r="O872" i="1"/>
  <c r="N872" i="1"/>
  <c r="O740" i="1"/>
  <c r="N740" i="1"/>
  <c r="N569" i="1"/>
  <c r="O569" i="1"/>
  <c r="N313" i="1"/>
  <c r="O313" i="1"/>
  <c r="N21" i="1"/>
  <c r="O21" i="1"/>
  <c r="N1355" i="1"/>
  <c r="O1355" i="1"/>
  <c r="N1221" i="1"/>
  <c r="O1221" i="1"/>
  <c r="N1107" i="1"/>
  <c r="O1107" i="1"/>
  <c r="O882" i="1"/>
  <c r="N882" i="1"/>
  <c r="O786" i="1"/>
  <c r="N786" i="1"/>
  <c r="N701" i="1"/>
  <c r="O701" i="1"/>
  <c r="O616" i="1"/>
  <c r="N616" i="1"/>
  <c r="N405" i="1"/>
  <c r="O405" i="1"/>
  <c r="O396" i="1"/>
  <c r="N396" i="1"/>
  <c r="O1440" i="1"/>
  <c r="N1440" i="1"/>
  <c r="N1359" i="1"/>
  <c r="O1359" i="1"/>
  <c r="O1154" i="1"/>
  <c r="N1154" i="1"/>
  <c r="N957" i="1"/>
  <c r="O957" i="1"/>
  <c r="N909" i="1"/>
  <c r="O909" i="1"/>
  <c r="N813" i="1"/>
  <c r="O813" i="1"/>
  <c r="O684" i="1"/>
  <c r="N684" i="1"/>
  <c r="N545" i="1"/>
  <c r="O545" i="1"/>
  <c r="N289" i="1"/>
  <c r="O289" i="1"/>
  <c r="O35" i="1"/>
  <c r="N35" i="1"/>
  <c r="O1448" i="1"/>
  <c r="N1448" i="1"/>
  <c r="O1298" i="1"/>
  <c r="N1298" i="1"/>
  <c r="N1147" i="1"/>
  <c r="O1147" i="1"/>
  <c r="N955" i="1"/>
  <c r="O955" i="1"/>
  <c r="N817" i="1"/>
  <c r="O817" i="1"/>
  <c r="O725" i="1"/>
  <c r="N725" i="1"/>
  <c r="O640" i="1"/>
  <c r="N640" i="1"/>
  <c r="N461" i="1"/>
  <c r="O461" i="1"/>
  <c r="N205" i="1"/>
  <c r="O205" i="1"/>
  <c r="O1232" i="1"/>
  <c r="N1232" i="1"/>
  <c r="O1002" i="1"/>
  <c r="N1002" i="1"/>
  <c r="O904" i="1"/>
  <c r="N904" i="1"/>
  <c r="N769" i="1"/>
  <c r="O769" i="1"/>
  <c r="N641" i="1"/>
  <c r="O641" i="1"/>
  <c r="O471" i="1"/>
  <c r="N471" i="1"/>
  <c r="O280" i="1"/>
  <c r="N280" i="1"/>
  <c r="N639" i="1"/>
  <c r="O639" i="1"/>
  <c r="N29" i="1"/>
  <c r="O29" i="1"/>
  <c r="O974" i="1"/>
  <c r="N974" i="1"/>
  <c r="O950" i="1"/>
  <c r="N950" i="1"/>
  <c r="O492" i="1"/>
  <c r="N492" i="1"/>
  <c r="N363" i="1"/>
  <c r="O363" i="1"/>
  <c r="O231" i="1"/>
  <c r="N231" i="1"/>
  <c r="O98" i="1"/>
  <c r="N98" i="1"/>
  <c r="O1373" i="1"/>
  <c r="N1373" i="1"/>
  <c r="O1444" i="1"/>
  <c r="N1444" i="1"/>
  <c r="O1342" i="1"/>
  <c r="N1342" i="1"/>
  <c r="O1146" i="1"/>
  <c r="N1146" i="1"/>
  <c r="N953" i="1"/>
  <c r="O953" i="1"/>
  <c r="N905" i="1"/>
  <c r="O905" i="1"/>
  <c r="N821" i="1"/>
  <c r="O821" i="1"/>
  <c r="O692" i="1"/>
  <c r="N692" i="1"/>
  <c r="N489" i="1"/>
  <c r="O489" i="1"/>
  <c r="N233" i="1"/>
  <c r="O233" i="1"/>
  <c r="N1455" i="1"/>
  <c r="O1455" i="1"/>
  <c r="O1306" i="1"/>
  <c r="N1306" i="1"/>
  <c r="O1166" i="1"/>
  <c r="N1166" i="1"/>
  <c r="N1195" i="1"/>
  <c r="O1195" i="1"/>
  <c r="N1005" i="1"/>
  <c r="O1005" i="1"/>
  <c r="O760" i="1"/>
  <c r="N760" i="1"/>
  <c r="O674" i="1"/>
  <c r="N674" i="1"/>
  <c r="N581" i="1"/>
  <c r="O581" i="1"/>
  <c r="N325" i="1"/>
  <c r="O325" i="1"/>
  <c r="O19" i="1"/>
  <c r="N19" i="1"/>
  <c r="O1402" i="1"/>
  <c r="N1402" i="1"/>
  <c r="N1259" i="1"/>
  <c r="O1259" i="1"/>
  <c r="O1122" i="1"/>
  <c r="N1122" i="1"/>
  <c r="O878" i="1"/>
  <c r="N878" i="1"/>
  <c r="N927" i="1"/>
  <c r="O927" i="1"/>
  <c r="O774" i="1"/>
  <c r="N774" i="1"/>
  <c r="O646" i="1"/>
  <c r="N646" i="1"/>
  <c r="N465" i="1"/>
  <c r="O465" i="1"/>
  <c r="N209" i="1"/>
  <c r="O209" i="1"/>
  <c r="O1493" i="1"/>
  <c r="N1493" i="1"/>
  <c r="O1370" i="1"/>
  <c r="N1370" i="1"/>
  <c r="O1245" i="1"/>
  <c r="N1245" i="1"/>
  <c r="N1121" i="1"/>
  <c r="O1121" i="1"/>
  <c r="O874" i="1"/>
  <c r="N874" i="1"/>
  <c r="O784" i="1"/>
  <c r="N784" i="1"/>
  <c r="O698" i="1"/>
  <c r="N698" i="1"/>
  <c r="O613" i="1"/>
  <c r="N613" i="1"/>
  <c r="N381" i="1"/>
  <c r="O381" i="1"/>
  <c r="O348" i="1"/>
  <c r="N348" i="1"/>
  <c r="N1231" i="1"/>
  <c r="O1231" i="1"/>
  <c r="N1191" i="1"/>
  <c r="O1191" i="1"/>
  <c r="N969" i="1"/>
  <c r="O969" i="1"/>
  <c r="N729" i="1"/>
  <c r="O729" i="1"/>
  <c r="N601" i="1"/>
  <c r="O601" i="1"/>
  <c r="O407" i="1"/>
  <c r="N407" i="1"/>
  <c r="O240" i="1"/>
  <c r="N240" i="1"/>
  <c r="O46" i="1"/>
  <c r="N46" i="1"/>
  <c r="N1323" i="1"/>
  <c r="O1323" i="1"/>
  <c r="O868" i="1"/>
  <c r="N868" i="1"/>
  <c r="O576" i="1"/>
  <c r="N576" i="1"/>
  <c r="O448" i="1"/>
  <c r="N448" i="1"/>
  <c r="O319" i="1"/>
  <c r="N319" i="1"/>
  <c r="O794" i="1"/>
  <c r="N794" i="1"/>
  <c r="O55" i="1"/>
  <c r="N55" i="1"/>
  <c r="O1350" i="1"/>
  <c r="N1350" i="1"/>
  <c r="N1255" i="1"/>
  <c r="O1255" i="1"/>
  <c r="O1052" i="1"/>
  <c r="N1052" i="1"/>
  <c r="O790" i="1"/>
  <c r="N790" i="1"/>
  <c r="O459" i="1"/>
  <c r="N459" i="1"/>
  <c r="O260" i="1"/>
  <c r="N260" i="1"/>
  <c r="N201" i="1"/>
  <c r="O201" i="1"/>
  <c r="N89" i="1"/>
  <c r="O89" i="1"/>
  <c r="N1035" i="1"/>
  <c r="O1035" i="1"/>
  <c r="O864" i="1"/>
  <c r="N864" i="1"/>
  <c r="N827" i="1"/>
  <c r="O827" i="1"/>
  <c r="N675" i="1"/>
  <c r="O675" i="1"/>
  <c r="O524" i="1"/>
  <c r="N524" i="1"/>
  <c r="O403" i="1"/>
  <c r="N403" i="1"/>
  <c r="O275" i="1"/>
  <c r="N275" i="1"/>
  <c r="N695" i="1"/>
  <c r="O695" i="1"/>
  <c r="O194" i="1"/>
  <c r="N194" i="1"/>
  <c r="N276" i="1"/>
  <c r="O276" i="1"/>
  <c r="O134" i="1"/>
  <c r="N134" i="1"/>
  <c r="N987" i="1"/>
  <c r="O987" i="1"/>
  <c r="N755" i="1"/>
  <c r="O755" i="1"/>
  <c r="O508" i="1"/>
  <c r="N508" i="1"/>
  <c r="O323" i="1"/>
  <c r="N323" i="1"/>
  <c r="N631" i="1"/>
  <c r="O631" i="1"/>
  <c r="O138" i="1"/>
  <c r="N138" i="1"/>
  <c r="N839" i="1"/>
  <c r="O839" i="1"/>
  <c r="O268" i="1"/>
  <c r="N268" i="1"/>
  <c r="O16" i="1"/>
  <c r="N16" i="1"/>
  <c r="O1040" i="1"/>
  <c r="N1040" i="1"/>
  <c r="N619" i="1"/>
  <c r="O619" i="1"/>
  <c r="O344" i="1"/>
  <c r="N344" i="1"/>
  <c r="N9" i="1"/>
  <c r="O9" i="1"/>
  <c r="N1457" i="1"/>
  <c r="O1457" i="1"/>
  <c r="O1405" i="1"/>
  <c r="N1405" i="1"/>
  <c r="N1263" i="1"/>
  <c r="O1263" i="1"/>
  <c r="N1119" i="1"/>
  <c r="O1119" i="1"/>
  <c r="O870" i="1"/>
  <c r="N870" i="1"/>
  <c r="N931" i="1"/>
  <c r="O931" i="1"/>
  <c r="O788" i="1"/>
  <c r="N788" i="1"/>
  <c r="O638" i="1"/>
  <c r="N638" i="1"/>
  <c r="N409" i="1"/>
  <c r="O409" i="1"/>
  <c r="O436" i="1"/>
  <c r="N436" i="1"/>
  <c r="N1439" i="1"/>
  <c r="O1439" i="1"/>
  <c r="N1285" i="1"/>
  <c r="O1285" i="1"/>
  <c r="N1139" i="1"/>
  <c r="O1139" i="1"/>
  <c r="N959" i="1"/>
  <c r="O959" i="1"/>
  <c r="N825" i="1"/>
  <c r="O825" i="1"/>
  <c r="N733" i="1"/>
  <c r="O733" i="1"/>
  <c r="O648" i="1"/>
  <c r="N648" i="1"/>
  <c r="N501" i="1"/>
  <c r="O501" i="1"/>
  <c r="N245" i="1"/>
  <c r="O245" i="1"/>
  <c r="N1431" i="1"/>
  <c r="O1431" i="1"/>
  <c r="O1326" i="1"/>
  <c r="N1326" i="1"/>
  <c r="O1242" i="1"/>
  <c r="N1242" i="1"/>
  <c r="N1087" i="1"/>
  <c r="O1087" i="1"/>
  <c r="N993" i="1"/>
  <c r="O993" i="1"/>
  <c r="N887" i="1"/>
  <c r="O887" i="1"/>
  <c r="O732" i="1"/>
  <c r="N732" i="1"/>
  <c r="O604" i="1"/>
  <c r="N604" i="1"/>
  <c r="N385" i="1"/>
  <c r="O385" i="1"/>
  <c r="O420" i="1"/>
  <c r="N420" i="1"/>
  <c r="O1485" i="1"/>
  <c r="N1485" i="1"/>
  <c r="O1309" i="1"/>
  <c r="N1309" i="1"/>
  <c r="N1179" i="1"/>
  <c r="O1179" i="1"/>
  <c r="O1094" i="1"/>
  <c r="N1094" i="1"/>
  <c r="O869" i="1"/>
  <c r="N869" i="1"/>
  <c r="O757" i="1"/>
  <c r="N757" i="1"/>
  <c r="O672" i="1"/>
  <c r="N672" i="1"/>
  <c r="N557" i="1"/>
  <c r="O557" i="1"/>
  <c r="N301" i="1"/>
  <c r="O301" i="1"/>
  <c r="O1282" i="1"/>
  <c r="N1282" i="1"/>
  <c r="O1066" i="1"/>
  <c r="N1066" i="1"/>
  <c r="O1004" i="1"/>
  <c r="N1004" i="1"/>
  <c r="N593" i="1"/>
  <c r="O593" i="1"/>
  <c r="N689" i="1"/>
  <c r="O689" i="1"/>
  <c r="O540" i="1"/>
  <c r="N540" i="1"/>
  <c r="N327" i="1"/>
  <c r="O327" i="1"/>
  <c r="O850" i="1"/>
  <c r="N850" i="1"/>
  <c r="O142" i="1"/>
  <c r="N142" i="1"/>
  <c r="O1070" i="1"/>
  <c r="N1070" i="1"/>
  <c r="O988" i="1"/>
  <c r="N988" i="1"/>
  <c r="O539" i="1"/>
  <c r="N539" i="1"/>
  <c r="N411" i="1"/>
  <c r="O411" i="1"/>
  <c r="O279" i="1"/>
  <c r="N279" i="1"/>
  <c r="N711" i="1"/>
  <c r="O711" i="1"/>
  <c r="Y21" i="4"/>
  <c r="N5" i="1"/>
  <c r="Y20" i="4"/>
  <c r="Y19" i="4"/>
  <c r="O5" i="1"/>
  <c r="O1270" i="1"/>
  <c r="N1270" i="1"/>
  <c r="O1058" i="1"/>
  <c r="N1058" i="1"/>
  <c r="O924" i="1"/>
  <c r="N924" i="1"/>
  <c r="O560" i="1"/>
  <c r="N560" i="1"/>
  <c r="N383" i="1"/>
  <c r="O383" i="1"/>
  <c r="O220" i="1"/>
  <c r="N220" i="1"/>
  <c r="O38" i="1"/>
  <c r="N38" i="1"/>
  <c r="O1204" i="1"/>
  <c r="N1204" i="1"/>
  <c r="O998" i="1"/>
  <c r="N998" i="1"/>
  <c r="O972" i="1"/>
  <c r="N972" i="1"/>
  <c r="N763" i="1"/>
  <c r="O763" i="1"/>
  <c r="N635" i="1"/>
  <c r="O635" i="1"/>
  <c r="O488" i="1"/>
  <c r="N488" i="1"/>
  <c r="O360" i="1"/>
  <c r="N360" i="1"/>
  <c r="O235" i="1"/>
  <c r="N235" i="1"/>
  <c r="O95" i="1"/>
  <c r="N95" i="1"/>
  <c r="O114" i="1"/>
  <c r="N114" i="1"/>
  <c r="O1262" i="1"/>
  <c r="N1262" i="1"/>
  <c r="N1047" i="1"/>
  <c r="O1047" i="1"/>
  <c r="O916" i="1"/>
  <c r="N916" i="1"/>
  <c r="O515" i="1"/>
  <c r="N515" i="1"/>
  <c r="O308" i="1"/>
  <c r="N308" i="1"/>
  <c r="O1390" i="1"/>
  <c r="N1390" i="1"/>
  <c r="O1072" i="1"/>
  <c r="N1072" i="1"/>
  <c r="N627" i="1"/>
  <c r="O627" i="1"/>
  <c r="O291" i="1"/>
  <c r="N291" i="1"/>
  <c r="O1300" i="1"/>
  <c r="N1300" i="1"/>
  <c r="O1086" i="1"/>
  <c r="N1086" i="1"/>
  <c r="N985" i="1"/>
  <c r="O985" i="1"/>
  <c r="O300" i="1"/>
  <c r="N300" i="1"/>
  <c r="O118" i="1"/>
  <c r="N118" i="1"/>
  <c r="O982" i="1"/>
  <c r="N982" i="1"/>
  <c r="N779" i="1"/>
  <c r="O779" i="1"/>
  <c r="N503" i="1"/>
  <c r="O503" i="1"/>
  <c r="O251" i="1"/>
  <c r="N251" i="1"/>
  <c r="O47" i="1"/>
  <c r="N47" i="1"/>
  <c r="O1372" i="1"/>
  <c r="N1372" i="1"/>
  <c r="N1065" i="1"/>
  <c r="O1065" i="1"/>
  <c r="O628" i="1"/>
  <c r="N628" i="1"/>
  <c r="O1392" i="1"/>
  <c r="N1392" i="1"/>
  <c r="N951" i="1"/>
  <c r="O951" i="1"/>
  <c r="O642" i="1"/>
  <c r="N642" i="1"/>
  <c r="N1487" i="1"/>
  <c r="O1487" i="1"/>
  <c r="O1320" i="1"/>
  <c r="N1320" i="1"/>
  <c r="N949" i="1"/>
  <c r="O949" i="1"/>
  <c r="O598" i="1"/>
  <c r="N598" i="1"/>
  <c r="O1469" i="1"/>
  <c r="N1469" i="1"/>
  <c r="N1083" i="1"/>
  <c r="O1083" i="1"/>
  <c r="O666" i="1"/>
  <c r="N666" i="1"/>
  <c r="O1274" i="1"/>
  <c r="N1274" i="1"/>
  <c r="O944" i="1"/>
  <c r="N944" i="1"/>
  <c r="N1227" i="1"/>
  <c r="O1227" i="1"/>
  <c r="O523" i="1"/>
  <c r="N523" i="1"/>
  <c r="O126" i="1"/>
  <c r="N126" i="1"/>
  <c r="O532" i="1"/>
  <c r="N532" i="1"/>
  <c r="N679" i="1"/>
  <c r="O679" i="1"/>
  <c r="O1398" i="1"/>
  <c r="N1398" i="1"/>
  <c r="O1496" i="1"/>
  <c r="N1496" i="1"/>
  <c r="N1465" i="1"/>
  <c r="O1465" i="1"/>
  <c r="O1060" i="1"/>
  <c r="N1060" i="1"/>
  <c r="O1112" i="1"/>
  <c r="N1112" i="1"/>
  <c r="O168" i="1"/>
  <c r="N168" i="1"/>
  <c r="O187" i="1"/>
  <c r="N187" i="1"/>
  <c r="N77" i="1"/>
  <c r="O77" i="1"/>
  <c r="O1218" i="1"/>
  <c r="N1218" i="1"/>
  <c r="O526" i="1"/>
  <c r="N526" i="1"/>
  <c r="N125" i="1"/>
  <c r="O125" i="1"/>
  <c r="O210" i="1"/>
  <c r="N210" i="1"/>
  <c r="O294" i="1"/>
  <c r="N294" i="1"/>
  <c r="N1325" i="1"/>
  <c r="O1325" i="1"/>
  <c r="O1012" i="1"/>
  <c r="N1012" i="1"/>
  <c r="O450" i="1"/>
  <c r="N450" i="1"/>
  <c r="O112" i="1"/>
  <c r="N112" i="1"/>
  <c r="O179" i="1"/>
  <c r="N179" i="1"/>
  <c r="O286" i="1"/>
  <c r="N286" i="1"/>
  <c r="O1180" i="1"/>
  <c r="N1180" i="1"/>
  <c r="O582" i="1"/>
  <c r="N582" i="1"/>
  <c r="O175" i="1"/>
  <c r="N175" i="1"/>
  <c r="O226" i="1"/>
  <c r="N226" i="1"/>
  <c r="O80" i="1"/>
  <c r="N80" i="1"/>
  <c r="O1302" i="1"/>
  <c r="N1302" i="1"/>
  <c r="N805" i="1"/>
  <c r="O805" i="1"/>
  <c r="O660" i="1"/>
  <c r="N660" i="1"/>
  <c r="O1428" i="1"/>
  <c r="N1428" i="1"/>
  <c r="N979" i="1"/>
  <c r="O979" i="1"/>
  <c r="N533" i="1"/>
  <c r="O533" i="1"/>
  <c r="N1201" i="1"/>
  <c r="O1201" i="1"/>
  <c r="N903" i="1"/>
  <c r="O903" i="1"/>
  <c r="O512" i="1"/>
  <c r="N512" i="1"/>
  <c r="N1105" i="1"/>
  <c r="O1105" i="1"/>
  <c r="O594" i="1"/>
  <c r="N594" i="1"/>
  <c r="O1068" i="1"/>
  <c r="N1068" i="1"/>
  <c r="O556" i="1"/>
  <c r="N556" i="1"/>
  <c r="O1056" i="1"/>
  <c r="N1056" i="1"/>
  <c r="N775" i="1"/>
  <c r="O775" i="1"/>
  <c r="O1250" i="1"/>
  <c r="N1250" i="1"/>
  <c r="O766" i="1"/>
  <c r="N766" i="1"/>
  <c r="N1375" i="1"/>
  <c r="O1375" i="1"/>
  <c r="O717" i="1"/>
  <c r="N717" i="1"/>
  <c r="O572" i="1"/>
  <c r="N572" i="1"/>
  <c r="O1470" i="1"/>
  <c r="N1470" i="1"/>
  <c r="O589" i="1"/>
  <c r="N589" i="1"/>
  <c r="O26" i="1"/>
  <c r="N26" i="1"/>
  <c r="O1404" i="1"/>
  <c r="N1404" i="1"/>
  <c r="O1434" i="1"/>
  <c r="N1434" i="1"/>
  <c r="N1307" i="1"/>
  <c r="O1307" i="1"/>
  <c r="N1135" i="1"/>
  <c r="O1135" i="1"/>
  <c r="O918" i="1"/>
  <c r="N918" i="1"/>
  <c r="N889" i="1"/>
  <c r="O889" i="1"/>
  <c r="O810" i="1"/>
  <c r="N810" i="1"/>
  <c r="O670" i="1"/>
  <c r="N670" i="1"/>
  <c r="N457" i="1"/>
  <c r="O457" i="1"/>
  <c r="O200" i="1"/>
  <c r="N200" i="1"/>
  <c r="N1407" i="1"/>
  <c r="O1407" i="1"/>
  <c r="N1327" i="1"/>
  <c r="O1327" i="1"/>
  <c r="N1155" i="1"/>
  <c r="O1155" i="1"/>
  <c r="N999" i="1"/>
  <c r="O999" i="1"/>
  <c r="N853" i="1"/>
  <c r="O853" i="1"/>
  <c r="N749" i="1"/>
  <c r="O749" i="1"/>
  <c r="O664" i="1"/>
  <c r="N664" i="1"/>
  <c r="N549" i="1"/>
  <c r="O549" i="1"/>
  <c r="N293" i="1"/>
  <c r="O293" i="1"/>
  <c r="N1503" i="1"/>
  <c r="O1503" i="1"/>
  <c r="O1364" i="1"/>
  <c r="N1364" i="1"/>
  <c r="N1217" i="1"/>
  <c r="O1217" i="1"/>
  <c r="O1106" i="1"/>
  <c r="N1106" i="1"/>
  <c r="N1041" i="1"/>
  <c r="O1041" i="1"/>
  <c r="N911" i="1"/>
  <c r="O911" i="1"/>
  <c r="O758" i="1"/>
  <c r="N758" i="1"/>
  <c r="O630" i="1"/>
  <c r="N630" i="1"/>
  <c r="N433" i="1"/>
  <c r="O433" i="1"/>
  <c r="O584" i="1"/>
  <c r="N584" i="1"/>
  <c r="N1425" i="1"/>
  <c r="O1425" i="1"/>
  <c r="O1340" i="1"/>
  <c r="N1340" i="1"/>
  <c r="N1229" i="1"/>
  <c r="O1229" i="1"/>
  <c r="O1110" i="1"/>
  <c r="N1110" i="1"/>
  <c r="O1029" i="1"/>
  <c r="N1029" i="1"/>
  <c r="O773" i="1"/>
  <c r="N773" i="1"/>
  <c r="O688" i="1"/>
  <c r="N688" i="1"/>
  <c r="O602" i="1"/>
  <c r="N602" i="1"/>
  <c r="N349" i="1"/>
  <c r="O349" i="1"/>
  <c r="O59" i="1"/>
  <c r="N59" i="1"/>
  <c r="N1175" i="1"/>
  <c r="O1175" i="1"/>
  <c r="N1073" i="1"/>
  <c r="O1073" i="1"/>
  <c r="N871" i="1"/>
  <c r="O871" i="1"/>
  <c r="N713" i="1"/>
  <c r="O713" i="1"/>
  <c r="O564" i="1"/>
  <c r="N564" i="1"/>
  <c r="O375" i="1"/>
  <c r="N375" i="1"/>
  <c r="N224" i="1"/>
  <c r="O224" i="1"/>
  <c r="O190" i="1"/>
  <c r="N190" i="1"/>
  <c r="O1196" i="1"/>
  <c r="N1196" i="1"/>
  <c r="N1235" i="1"/>
  <c r="O1235" i="1"/>
  <c r="O563" i="1"/>
  <c r="N563" i="1"/>
  <c r="O432" i="1"/>
  <c r="N432" i="1"/>
  <c r="O303" i="1"/>
  <c r="N303" i="1"/>
  <c r="N799" i="1"/>
  <c r="O799" i="1"/>
  <c r="O39" i="1"/>
  <c r="N39" i="1"/>
  <c r="O1412" i="1"/>
  <c r="N1412" i="1"/>
  <c r="N1377" i="1"/>
  <c r="O1377" i="1"/>
  <c r="O1420" i="1"/>
  <c r="N1420" i="1"/>
  <c r="O1413" i="1"/>
  <c r="N1413" i="1"/>
  <c r="N1473" i="1"/>
  <c r="O1473" i="1"/>
  <c r="O1480" i="1"/>
  <c r="N1480" i="1"/>
  <c r="N1419" i="1"/>
  <c r="O1419" i="1"/>
  <c r="N1383" i="1"/>
  <c r="O1383" i="1"/>
  <c r="N1497" i="1"/>
  <c r="O1497" i="1"/>
  <c r="O1436" i="1"/>
  <c r="N1436" i="1"/>
  <c r="N1401" i="1"/>
  <c r="O1401" i="1"/>
  <c r="N1353" i="1"/>
  <c r="O1353" i="1"/>
  <c r="O1210" i="1"/>
  <c r="N1210" i="1"/>
  <c r="O1124" i="1"/>
  <c r="N1124" i="1"/>
  <c r="O973" i="1"/>
  <c r="N973" i="1"/>
  <c r="O852" i="1"/>
  <c r="N852" i="1"/>
  <c r="N789" i="1"/>
  <c r="O789" i="1"/>
  <c r="O502" i="1"/>
  <c r="N502" i="1"/>
  <c r="O446" i="1"/>
  <c r="N446" i="1"/>
  <c r="O466" i="1"/>
  <c r="N466" i="1"/>
  <c r="N161" i="1"/>
  <c r="O161" i="1"/>
  <c r="O184" i="1"/>
  <c r="N184" i="1"/>
  <c r="O120" i="1"/>
  <c r="N120" i="1"/>
  <c r="O32" i="1"/>
  <c r="N32" i="1"/>
  <c r="O8" i="1"/>
  <c r="N8" i="1"/>
  <c r="O218" i="1"/>
  <c r="N218" i="1"/>
  <c r="O139" i="1"/>
  <c r="N139" i="1"/>
  <c r="O40" i="1"/>
  <c r="N40" i="1"/>
  <c r="O334" i="1"/>
  <c r="N334" i="1"/>
  <c r="O206" i="1"/>
  <c r="N206" i="1"/>
  <c r="N1409" i="1"/>
  <c r="O1409" i="1"/>
  <c r="N1313" i="1"/>
  <c r="O1313" i="1"/>
  <c r="N1333" i="1"/>
  <c r="O1333" i="1"/>
  <c r="N1287" i="1"/>
  <c r="O1287" i="1"/>
  <c r="O1264" i="1"/>
  <c r="N1264" i="1"/>
  <c r="O980" i="1"/>
  <c r="N980" i="1"/>
  <c r="N849" i="1"/>
  <c r="O849" i="1"/>
  <c r="N845" i="1"/>
  <c r="O845" i="1"/>
  <c r="O558" i="1"/>
  <c r="N558" i="1"/>
  <c r="O462" i="1"/>
  <c r="N462" i="1"/>
  <c r="N141" i="1"/>
  <c r="O141" i="1"/>
  <c r="O167" i="1"/>
  <c r="N167" i="1"/>
  <c r="O100" i="1"/>
  <c r="N100" i="1"/>
  <c r="O14" i="1"/>
  <c r="N14" i="1"/>
  <c r="N81" i="1"/>
  <c r="O81" i="1"/>
  <c r="O242" i="1"/>
  <c r="N242" i="1"/>
  <c r="O148" i="1"/>
  <c r="N148" i="1"/>
  <c r="N69" i="1"/>
  <c r="O69" i="1"/>
  <c r="O326" i="1"/>
  <c r="N326" i="1"/>
  <c r="O92" i="1"/>
  <c r="N92" i="1"/>
  <c r="O1408" i="1"/>
  <c r="N1408" i="1"/>
  <c r="O1260" i="1"/>
  <c r="N1260" i="1"/>
  <c r="O1357" i="1"/>
  <c r="N1357" i="1"/>
  <c r="N1215" i="1"/>
  <c r="O1215" i="1"/>
  <c r="O1148" i="1"/>
  <c r="N1148" i="1"/>
  <c r="O1044" i="1"/>
  <c r="N1044" i="1"/>
  <c r="O1076" i="1"/>
  <c r="N1076" i="1"/>
  <c r="O844" i="1"/>
  <c r="N844" i="1"/>
  <c r="O840" i="1"/>
  <c r="N840" i="1"/>
  <c r="O458" i="1"/>
  <c r="N458" i="1"/>
  <c r="O578" i="1"/>
  <c r="N578" i="1"/>
  <c r="N153" i="1"/>
  <c r="O153" i="1"/>
  <c r="N192" i="1"/>
  <c r="O192" i="1"/>
  <c r="O128" i="1"/>
  <c r="N128" i="1"/>
  <c r="O434" i="1"/>
  <c r="N434" i="1"/>
  <c r="O76" i="1"/>
  <c r="N76" i="1"/>
  <c r="O202" i="1"/>
  <c r="N202" i="1"/>
  <c r="O131" i="1"/>
  <c r="N131" i="1"/>
  <c r="N17" i="1"/>
  <c r="O17" i="1"/>
  <c r="O318" i="1"/>
  <c r="N318" i="1"/>
  <c r="O11" i="1"/>
  <c r="N11" i="1"/>
  <c r="N1361" i="1"/>
  <c r="O1361" i="1"/>
  <c r="O1349" i="1"/>
  <c r="N1349" i="1"/>
  <c r="O1092" i="1"/>
  <c r="N1092" i="1"/>
  <c r="O1088" i="1"/>
  <c r="N1088" i="1"/>
  <c r="O968" i="1"/>
  <c r="N968" i="1"/>
  <c r="N841" i="1"/>
  <c r="O841" i="1"/>
  <c r="O510" i="1"/>
  <c r="N510" i="1"/>
  <c r="O542" i="1"/>
  <c r="N542" i="1"/>
  <c r="O478" i="1"/>
  <c r="N478" i="1"/>
  <c r="N165" i="1"/>
  <c r="O165" i="1"/>
  <c r="O191" i="1"/>
  <c r="N191" i="1"/>
  <c r="O127" i="1"/>
  <c r="N127" i="1"/>
  <c r="O64" i="1"/>
  <c r="N64" i="1"/>
  <c r="O330" i="1"/>
  <c r="N330" i="1"/>
  <c r="O258" i="1"/>
  <c r="N258" i="1"/>
  <c r="O156" i="1"/>
  <c r="N156" i="1"/>
  <c r="N85" i="1"/>
  <c r="O85" i="1"/>
  <c r="O342" i="1"/>
  <c r="N342" i="1"/>
  <c r="O214" i="1"/>
  <c r="N214" i="1"/>
  <c r="O1176" i="1"/>
  <c r="N1176" i="1"/>
  <c r="O1453" i="1"/>
  <c r="N1453" i="1"/>
  <c r="O1460" i="1"/>
  <c r="N1460" i="1"/>
  <c r="O1358" i="1"/>
  <c r="N1358" i="1"/>
  <c r="N1151" i="1"/>
  <c r="O1151" i="1"/>
  <c r="N961" i="1"/>
  <c r="O961" i="1"/>
  <c r="N913" i="1"/>
  <c r="O913" i="1"/>
  <c r="O826" i="1"/>
  <c r="N826" i="1"/>
  <c r="O702" i="1"/>
  <c r="N702" i="1"/>
  <c r="N505" i="1"/>
  <c r="O505" i="1"/>
  <c r="N249" i="1"/>
  <c r="O249" i="1"/>
  <c r="N1447" i="1"/>
  <c r="O1447" i="1"/>
  <c r="O1328" i="1"/>
  <c r="N1328" i="1"/>
  <c r="N1171" i="1"/>
  <c r="O1171" i="1"/>
  <c r="N1075" i="1"/>
  <c r="O1075" i="1"/>
  <c r="N1021" i="1"/>
  <c r="O1021" i="1"/>
  <c r="O765" i="1"/>
  <c r="N765" i="1"/>
  <c r="O680" i="1"/>
  <c r="N680" i="1"/>
  <c r="O586" i="1"/>
  <c r="N586" i="1"/>
  <c r="N341" i="1"/>
  <c r="O341" i="1"/>
  <c r="O43" i="1"/>
  <c r="N43" i="1"/>
  <c r="O1388" i="1"/>
  <c r="N1388" i="1"/>
  <c r="N1267" i="1"/>
  <c r="O1267" i="1"/>
  <c r="N1127" i="1"/>
  <c r="O1127" i="1"/>
  <c r="O894" i="1"/>
  <c r="N894" i="1"/>
  <c r="N935" i="1"/>
  <c r="O935" i="1"/>
  <c r="O780" i="1"/>
  <c r="N780" i="1"/>
  <c r="O652" i="1"/>
  <c r="N652" i="1"/>
  <c r="N481" i="1"/>
  <c r="O481" i="1"/>
  <c r="N225" i="1"/>
  <c r="O225" i="1"/>
  <c r="N1495" i="1"/>
  <c r="O1495" i="1"/>
  <c r="O1384" i="1"/>
  <c r="N1384" i="1"/>
  <c r="O1253" i="1"/>
  <c r="N1253" i="1"/>
  <c r="O1126" i="1"/>
  <c r="N1126" i="1"/>
  <c r="O890" i="1"/>
  <c r="N890" i="1"/>
  <c r="O796" i="1"/>
  <c r="N796" i="1"/>
  <c r="O704" i="1"/>
  <c r="N704" i="1"/>
  <c r="O618" i="1"/>
  <c r="N618" i="1"/>
  <c r="N397" i="1"/>
  <c r="O397" i="1"/>
  <c r="O380" i="1"/>
  <c r="N380" i="1"/>
  <c r="N1247" i="1"/>
  <c r="O1247" i="1"/>
  <c r="O970" i="1"/>
  <c r="N970" i="1"/>
  <c r="O1254" i="1"/>
  <c r="N1254" i="1"/>
  <c r="N737" i="1"/>
  <c r="O737" i="1"/>
  <c r="N609" i="1"/>
  <c r="O609" i="1"/>
  <c r="O423" i="1"/>
  <c r="N423" i="1"/>
  <c r="N248" i="1"/>
  <c r="O248" i="1"/>
  <c r="O62" i="1"/>
  <c r="N62" i="1"/>
  <c r="N1339" i="1"/>
  <c r="O1339" i="1"/>
  <c r="N885" i="1"/>
  <c r="O885" i="1"/>
  <c r="N811" i="1"/>
  <c r="O811" i="1"/>
  <c r="O460" i="1"/>
  <c r="N460" i="1"/>
  <c r="O331" i="1"/>
  <c r="N331" i="1"/>
  <c r="N843" i="1"/>
  <c r="O843" i="1"/>
  <c r="O66" i="1"/>
  <c r="N66" i="1"/>
  <c r="O1332" i="1"/>
  <c r="N1332" i="1"/>
  <c r="O1380" i="1"/>
  <c r="N1380" i="1"/>
  <c r="O1286" i="1"/>
  <c r="N1286" i="1"/>
  <c r="O1125" i="1"/>
  <c r="N1125" i="1"/>
  <c r="O886" i="1"/>
  <c r="N886" i="1"/>
  <c r="N939" i="1"/>
  <c r="O939" i="1"/>
  <c r="O800" i="1"/>
  <c r="N800" i="1"/>
  <c r="O644" i="1"/>
  <c r="N644" i="1"/>
  <c r="N425" i="1"/>
  <c r="O425" i="1"/>
  <c r="O528" i="1"/>
  <c r="N528" i="1"/>
  <c r="O1414" i="1"/>
  <c r="N1414" i="1"/>
  <c r="O1290" i="1"/>
  <c r="N1290" i="1"/>
  <c r="N1145" i="1"/>
  <c r="O1145" i="1"/>
  <c r="N967" i="1"/>
  <c r="O967" i="1"/>
  <c r="O830" i="1"/>
  <c r="N830" i="1"/>
  <c r="O738" i="1"/>
  <c r="N738" i="1"/>
  <c r="O653" i="1"/>
  <c r="N653" i="1"/>
  <c r="N517" i="1"/>
  <c r="O517" i="1"/>
  <c r="N261" i="1"/>
  <c r="O261" i="1"/>
  <c r="N1491" i="1"/>
  <c r="O1491" i="1"/>
  <c r="N1331" i="1"/>
  <c r="O1331" i="1"/>
  <c r="N1185" i="1"/>
  <c r="O1185" i="1"/>
  <c r="N1095" i="1"/>
  <c r="O1095" i="1"/>
  <c r="N1009" i="1"/>
  <c r="O1009" i="1"/>
  <c r="N895" i="1"/>
  <c r="O895" i="1"/>
  <c r="O742" i="1"/>
  <c r="N742" i="1"/>
  <c r="O614" i="1"/>
  <c r="N614" i="1"/>
  <c r="N401" i="1"/>
  <c r="O401" i="1"/>
  <c r="O452" i="1"/>
  <c r="N452" i="1"/>
  <c r="O1501" i="1"/>
  <c r="N1501" i="1"/>
  <c r="N1315" i="1"/>
  <c r="O1315" i="1"/>
  <c r="N1197" i="1"/>
  <c r="O1197" i="1"/>
  <c r="N1099" i="1"/>
  <c r="O1099" i="1"/>
  <c r="N865" i="1"/>
  <c r="O865" i="1"/>
  <c r="O762" i="1"/>
  <c r="N762" i="1"/>
  <c r="O677" i="1"/>
  <c r="N677" i="1"/>
  <c r="N573" i="1"/>
  <c r="O573" i="1"/>
  <c r="N317" i="1"/>
  <c r="O317" i="1"/>
  <c r="N1311" i="1"/>
  <c r="O1311" i="1"/>
  <c r="N1111" i="1"/>
  <c r="O1111" i="1"/>
  <c r="O1036" i="1"/>
  <c r="N1036" i="1"/>
  <c r="N847" i="1"/>
  <c r="O847" i="1"/>
  <c r="N697" i="1"/>
  <c r="O697" i="1"/>
  <c r="O548" i="1"/>
  <c r="N548" i="1"/>
  <c r="O343" i="1"/>
  <c r="N343" i="1"/>
  <c r="N208" i="1"/>
  <c r="O208" i="1"/>
  <c r="O158" i="1"/>
  <c r="N158" i="1"/>
  <c r="O1074" i="1"/>
  <c r="N1074" i="1"/>
  <c r="O1024" i="1"/>
  <c r="N1024" i="1"/>
  <c r="O547" i="1"/>
  <c r="N547" i="1"/>
  <c r="O416" i="1"/>
  <c r="N416" i="1"/>
  <c r="O287" i="1"/>
  <c r="N287" i="1"/>
  <c r="N743" i="1"/>
  <c r="O743" i="1"/>
  <c r="O23" i="1"/>
  <c r="N23" i="1"/>
  <c r="O1278" i="1"/>
  <c r="N1278" i="1"/>
  <c r="N1063" i="1"/>
  <c r="O1063" i="1"/>
  <c r="O932" i="1"/>
  <c r="N932" i="1"/>
  <c r="O568" i="1"/>
  <c r="N568" i="1"/>
  <c r="O399" i="1"/>
  <c r="N399" i="1"/>
  <c r="N228" i="1"/>
  <c r="O228" i="1"/>
  <c r="O54" i="1"/>
  <c r="N54" i="1"/>
  <c r="O1220" i="1"/>
  <c r="N1220" i="1"/>
  <c r="N1003" i="1"/>
  <c r="O1003" i="1"/>
  <c r="O1008" i="1"/>
  <c r="N1008" i="1"/>
  <c r="N771" i="1"/>
  <c r="O771" i="1"/>
  <c r="N643" i="1"/>
  <c r="O643" i="1"/>
  <c r="O496" i="1"/>
  <c r="N496" i="1"/>
  <c r="O371" i="1"/>
  <c r="N371" i="1"/>
  <c r="O243" i="1"/>
  <c r="N243" i="1"/>
  <c r="O198" i="1"/>
  <c r="N198" i="1"/>
  <c r="O130" i="1"/>
  <c r="N130" i="1"/>
  <c r="O212" i="1"/>
  <c r="N212" i="1"/>
  <c r="N49" i="1"/>
  <c r="O49" i="1"/>
  <c r="O954" i="1"/>
  <c r="N954" i="1"/>
  <c r="N691" i="1"/>
  <c r="O691" i="1"/>
  <c r="O480" i="1"/>
  <c r="N480" i="1"/>
  <c r="O259" i="1"/>
  <c r="N259" i="1"/>
  <c r="O58" i="1"/>
  <c r="N58" i="1"/>
  <c r="O1192" i="1"/>
  <c r="N1192" i="1"/>
  <c r="O544" i="1"/>
  <c r="N544" i="1"/>
  <c r="O204" i="1"/>
  <c r="N204" i="1"/>
  <c r="N1187" i="1"/>
  <c r="O1187" i="1"/>
  <c r="O686" i="1"/>
  <c r="N686" i="1"/>
  <c r="N535" i="1"/>
  <c r="O535" i="1"/>
  <c r="O283" i="1"/>
  <c r="N283" i="1"/>
  <c r="N93" i="1"/>
  <c r="O93" i="1"/>
  <c r="N1433" i="1"/>
  <c r="O1433" i="1"/>
  <c r="O1352" i="1"/>
  <c r="N1352" i="1"/>
  <c r="O1234" i="1"/>
  <c r="N1234" i="1"/>
  <c r="O1098" i="1"/>
  <c r="N1098" i="1"/>
  <c r="N1017" i="1"/>
  <c r="O1017" i="1"/>
  <c r="N899" i="1"/>
  <c r="O899" i="1"/>
  <c r="O756" i="1"/>
  <c r="N756" i="1"/>
  <c r="O590" i="1"/>
  <c r="N590" i="1"/>
  <c r="N345" i="1"/>
  <c r="O345" i="1"/>
  <c r="O83" i="1"/>
  <c r="N83" i="1"/>
  <c r="O1366" i="1"/>
  <c r="N1366" i="1"/>
  <c r="N1233" i="1"/>
  <c r="O1233" i="1"/>
  <c r="O1118" i="1"/>
  <c r="N1118" i="1"/>
  <c r="O914" i="1"/>
  <c r="N914" i="1"/>
  <c r="O804" i="1"/>
  <c r="N804" i="1"/>
  <c r="O712" i="1"/>
  <c r="N712" i="1"/>
  <c r="O626" i="1"/>
  <c r="N626" i="1"/>
  <c r="N437" i="1"/>
  <c r="O437" i="1"/>
  <c r="O520" i="1"/>
  <c r="N520" i="1"/>
  <c r="N1483" i="1"/>
  <c r="O1483" i="1"/>
  <c r="N1303" i="1"/>
  <c r="O1303" i="1"/>
  <c r="N1165" i="1"/>
  <c r="O1165" i="1"/>
  <c r="N1027" i="1"/>
  <c r="O1027" i="1"/>
  <c r="O925" i="1"/>
  <c r="N925" i="1"/>
  <c r="O824" i="1"/>
  <c r="N824" i="1"/>
  <c r="O700" i="1"/>
  <c r="N700" i="1"/>
  <c r="N577" i="1"/>
  <c r="O577" i="1"/>
  <c r="N321" i="1"/>
  <c r="O321" i="1"/>
  <c r="O99" i="1"/>
  <c r="N99" i="1"/>
  <c r="N1445" i="1"/>
  <c r="O1445" i="1"/>
  <c r="O1322" i="1"/>
  <c r="N1322" i="1"/>
  <c r="O1158" i="1"/>
  <c r="N1158" i="1"/>
  <c r="N983" i="1"/>
  <c r="O983" i="1"/>
  <c r="O828" i="1"/>
  <c r="N828" i="1"/>
  <c r="O736" i="1"/>
  <c r="N736" i="1"/>
  <c r="O650" i="1"/>
  <c r="N650" i="1"/>
  <c r="N493" i="1"/>
  <c r="O493" i="1"/>
  <c r="N237" i="1"/>
  <c r="O237" i="1"/>
  <c r="O1248" i="1"/>
  <c r="N1248" i="1"/>
  <c r="O1018" i="1"/>
  <c r="N1018" i="1"/>
  <c r="O920" i="1"/>
  <c r="N920" i="1"/>
  <c r="N785" i="1"/>
  <c r="O785" i="1"/>
  <c r="N657" i="1"/>
  <c r="O657" i="1"/>
  <c r="O487" i="1"/>
  <c r="N487" i="1"/>
  <c r="O296" i="1"/>
  <c r="N296" i="1"/>
  <c r="N703" i="1"/>
  <c r="O703" i="1"/>
  <c r="N97" i="1"/>
  <c r="O97" i="1"/>
  <c r="O1006" i="1"/>
  <c r="N1006" i="1"/>
  <c r="N863" i="1"/>
  <c r="O863" i="1"/>
  <c r="O511" i="1"/>
  <c r="N511" i="1"/>
  <c r="O379" i="1"/>
  <c r="N379" i="1"/>
  <c r="O247" i="1"/>
  <c r="N247" i="1"/>
  <c r="N855" i="1"/>
  <c r="O855" i="1"/>
  <c r="O170" i="1"/>
  <c r="N170" i="1"/>
  <c r="O1252" i="1"/>
  <c r="N1252" i="1"/>
  <c r="O1026" i="1"/>
  <c r="N1026" i="1"/>
  <c r="O892" i="1"/>
  <c r="N892" i="1"/>
  <c r="O531" i="1"/>
  <c r="N531" i="1"/>
  <c r="O316" i="1"/>
  <c r="N316" i="1"/>
  <c r="N807" i="1"/>
  <c r="O807" i="1"/>
  <c r="O150" i="1"/>
  <c r="N150" i="1"/>
  <c r="N1219" i="1"/>
  <c r="O1219" i="1"/>
  <c r="O1077" i="1"/>
  <c r="N1077" i="1"/>
  <c r="O838" i="1"/>
  <c r="N838" i="1"/>
  <c r="N731" i="1"/>
  <c r="O731" i="1"/>
  <c r="N603" i="1"/>
  <c r="O603" i="1"/>
  <c r="O456" i="1"/>
  <c r="N456" i="1"/>
  <c r="O328" i="1"/>
  <c r="N328" i="1"/>
  <c r="O203" i="1"/>
  <c r="N203" i="1"/>
  <c r="O63" i="1"/>
  <c r="N63" i="1"/>
  <c r="O154" i="1"/>
  <c r="N154" i="1"/>
  <c r="O1244" i="1"/>
  <c r="N1244" i="1"/>
  <c r="N1015" i="1"/>
  <c r="O1015" i="1"/>
  <c r="N881" i="1"/>
  <c r="O881" i="1"/>
  <c r="N475" i="1"/>
  <c r="O475" i="1"/>
  <c r="O244" i="1"/>
  <c r="N244" i="1"/>
  <c r="N1203" i="1"/>
  <c r="O1203" i="1"/>
  <c r="O718" i="1"/>
  <c r="N718" i="1"/>
  <c r="O543" i="1"/>
  <c r="N543" i="1"/>
  <c r="N851" i="1"/>
  <c r="O851" i="1"/>
  <c r="N1367" i="1"/>
  <c r="O1367" i="1"/>
  <c r="O1010" i="1"/>
  <c r="N1010" i="1"/>
  <c r="O575" i="1"/>
  <c r="N575" i="1"/>
  <c r="O236" i="1"/>
  <c r="N236" i="1"/>
  <c r="O1292" i="1"/>
  <c r="N1292" i="1"/>
  <c r="O877" i="1"/>
  <c r="N877" i="1"/>
  <c r="N715" i="1"/>
  <c r="O715" i="1"/>
  <c r="O440" i="1"/>
  <c r="N440" i="1"/>
  <c r="O219" i="1"/>
  <c r="N219" i="1"/>
  <c r="O146" i="1"/>
  <c r="N146" i="1"/>
  <c r="N1463" i="1"/>
  <c r="O1463" i="1"/>
  <c r="O1114" i="1"/>
  <c r="N1114" i="1"/>
  <c r="O782" i="1"/>
  <c r="N782" i="1"/>
  <c r="O404" i="1"/>
  <c r="N404" i="1"/>
  <c r="O1134" i="1"/>
  <c r="N1134" i="1"/>
  <c r="O728" i="1"/>
  <c r="N728" i="1"/>
  <c r="N229" i="1"/>
  <c r="O229" i="1"/>
  <c r="N1071" i="1"/>
  <c r="O1071" i="1"/>
  <c r="O726" i="1"/>
  <c r="N726" i="1"/>
  <c r="O388" i="1"/>
  <c r="N388" i="1"/>
  <c r="O1174" i="1"/>
  <c r="N1174" i="1"/>
  <c r="O752" i="1"/>
  <c r="N752" i="1"/>
  <c r="N285" i="1"/>
  <c r="O285" i="1"/>
  <c r="N823" i="1"/>
  <c r="O823" i="1"/>
  <c r="O964" i="1"/>
  <c r="N964" i="1"/>
  <c r="O271" i="1"/>
  <c r="N271" i="1"/>
  <c r="N1415" i="1"/>
  <c r="O1415" i="1"/>
  <c r="N1411" i="1"/>
  <c r="O1411" i="1"/>
  <c r="O1450" i="1"/>
  <c r="N1450" i="1"/>
  <c r="N1417" i="1"/>
  <c r="O1417" i="1"/>
  <c r="N1321" i="1"/>
  <c r="O1321" i="1"/>
  <c r="O1084" i="1"/>
  <c r="N1084" i="1"/>
  <c r="O474" i="1"/>
  <c r="N474" i="1"/>
  <c r="N197" i="1"/>
  <c r="O197" i="1"/>
  <c r="O104" i="1"/>
  <c r="N104" i="1"/>
  <c r="O314" i="1"/>
  <c r="N314" i="1"/>
  <c r="O430" i="1"/>
  <c r="N430" i="1"/>
  <c r="O1397" i="1"/>
  <c r="N1397" i="1"/>
  <c r="O1116" i="1"/>
  <c r="N1116" i="1"/>
  <c r="O1186" i="1"/>
  <c r="N1186" i="1"/>
  <c r="O522" i="1"/>
  <c r="N522" i="1"/>
  <c r="O151" i="1"/>
  <c r="N151" i="1"/>
  <c r="O410" i="1"/>
  <c r="N410" i="1"/>
  <c r="O132" i="1"/>
  <c r="N132" i="1"/>
  <c r="O60" i="1"/>
  <c r="N60" i="1"/>
  <c r="O1222" i="1"/>
  <c r="N1222" i="1"/>
  <c r="O1268" i="1"/>
  <c r="N1268" i="1"/>
  <c r="O1238" i="1"/>
  <c r="N1238" i="1"/>
  <c r="O550" i="1"/>
  <c r="N550" i="1"/>
  <c r="N137" i="1"/>
  <c r="O137" i="1"/>
  <c r="O298" i="1"/>
  <c r="N298" i="1"/>
  <c r="O414" i="1"/>
  <c r="N414" i="1"/>
  <c r="N1329" i="1"/>
  <c r="O1329" i="1"/>
  <c r="O1064" i="1"/>
  <c r="N1064" i="1"/>
  <c r="O1104" i="1"/>
  <c r="N1104" i="1"/>
  <c r="O442" i="1"/>
  <c r="N442" i="1"/>
  <c r="O111" i="1"/>
  <c r="N111" i="1"/>
  <c r="O68" i="1"/>
  <c r="N68" i="1"/>
  <c r="O44" i="1"/>
  <c r="N44" i="1"/>
  <c r="O1152" i="1"/>
  <c r="N1152" i="1"/>
  <c r="O1396" i="1"/>
  <c r="N1396" i="1"/>
  <c r="N947" i="1"/>
  <c r="O947" i="1"/>
  <c r="O580" i="1"/>
  <c r="N580" i="1"/>
  <c r="O1150" i="1"/>
  <c r="N1150" i="1"/>
  <c r="O744" i="1"/>
  <c r="N744" i="1"/>
  <c r="N277" i="1"/>
  <c r="O277" i="1"/>
  <c r="N1335" i="1"/>
  <c r="O1335" i="1"/>
  <c r="N1101" i="1"/>
  <c r="O1101" i="1"/>
  <c r="O748" i="1"/>
  <c r="N748" i="1"/>
  <c r="N417" i="1"/>
  <c r="O417" i="1"/>
  <c r="N1319" i="1"/>
  <c r="O1319" i="1"/>
  <c r="N997" i="1"/>
  <c r="O997" i="1"/>
  <c r="O682" i="1"/>
  <c r="N682" i="1"/>
  <c r="O27" i="1"/>
  <c r="N27" i="1"/>
  <c r="O876" i="1"/>
  <c r="N876" i="1"/>
  <c r="O359" i="1"/>
  <c r="N359" i="1"/>
  <c r="O174" i="1"/>
  <c r="N174" i="1"/>
  <c r="O555" i="1"/>
  <c r="N555" i="1"/>
  <c r="O295" i="1"/>
  <c r="N295" i="1"/>
  <c r="O1438" i="1"/>
  <c r="N1438" i="1"/>
  <c r="N1103" i="1"/>
  <c r="O1103" i="1"/>
  <c r="N907" i="1"/>
  <c r="O907" i="1"/>
  <c r="N361" i="1"/>
  <c r="O361" i="1"/>
  <c r="N1241" i="1"/>
  <c r="O1241" i="1"/>
  <c r="N809" i="1"/>
  <c r="O809" i="1"/>
  <c r="N453" i="1"/>
  <c r="O453" i="1"/>
  <c r="O1312" i="1"/>
  <c r="N1312" i="1"/>
  <c r="N1039" i="1"/>
  <c r="O1039" i="1"/>
  <c r="N829" i="1"/>
  <c r="O829" i="1"/>
  <c r="N337" i="1"/>
  <c r="O337" i="1"/>
  <c r="N1459" i="1"/>
  <c r="O1459" i="1"/>
  <c r="N1163" i="1"/>
  <c r="O1163" i="1"/>
  <c r="N833" i="1"/>
  <c r="O833" i="1"/>
  <c r="O656" i="1"/>
  <c r="N656" i="1"/>
  <c r="N253" i="1"/>
  <c r="O253" i="1"/>
  <c r="N1023" i="1"/>
  <c r="O1023" i="1"/>
  <c r="N793" i="1"/>
  <c r="O793" i="1"/>
  <c r="O495" i="1"/>
  <c r="N495" i="1"/>
  <c r="N735" i="1"/>
  <c r="O735" i="1"/>
  <c r="O1022" i="1"/>
  <c r="N1022" i="1"/>
  <c r="O516" i="1"/>
  <c r="N516" i="1"/>
  <c r="O255" i="1"/>
  <c r="N255" i="1"/>
  <c r="O186" i="1"/>
  <c r="N186" i="1"/>
  <c r="N1031" i="1"/>
  <c r="O1031" i="1"/>
  <c r="O536" i="1"/>
  <c r="N536" i="1"/>
  <c r="O842" i="1"/>
  <c r="N842" i="1"/>
  <c r="O1082" i="1"/>
  <c r="N1082" i="1"/>
  <c r="O976" i="1"/>
  <c r="N976" i="1"/>
  <c r="N611" i="1"/>
  <c r="O611" i="1"/>
  <c r="O339" i="1"/>
  <c r="N339" i="1"/>
  <c r="O74" i="1"/>
  <c r="N74" i="1"/>
  <c r="N655" i="1"/>
  <c r="O655" i="1"/>
  <c r="O956" i="1"/>
  <c r="N956" i="1"/>
  <c r="O419" i="1"/>
  <c r="N419" i="1"/>
  <c r="O1042" i="1"/>
  <c r="N1042" i="1"/>
  <c r="N751" i="1"/>
  <c r="O751" i="1"/>
  <c r="N747" i="1"/>
  <c r="O747" i="1"/>
  <c r="N835" i="1"/>
  <c r="O835" i="1"/>
  <c r="N1443" i="1"/>
  <c r="O1443" i="1"/>
  <c r="O1162" i="1"/>
  <c r="N1162" i="1"/>
  <c r="N929" i="1"/>
  <c r="O929" i="1"/>
  <c r="O588" i="1"/>
  <c r="N588" i="1"/>
  <c r="N537" i="1"/>
  <c r="O537" i="1"/>
  <c r="O1478" i="1"/>
  <c r="N1478" i="1"/>
  <c r="N1189" i="1"/>
  <c r="O1189" i="1"/>
  <c r="N1053" i="1"/>
  <c r="O1053" i="1"/>
  <c r="O605" i="1"/>
  <c r="N605" i="1"/>
  <c r="O332" i="1"/>
  <c r="N332" i="1"/>
  <c r="O1410" i="1"/>
  <c r="N1410" i="1"/>
  <c r="O1138" i="1"/>
  <c r="N1138" i="1"/>
  <c r="N893" i="1"/>
  <c r="O893" i="1"/>
  <c r="N513" i="1"/>
  <c r="O513" i="1"/>
  <c r="O1430" i="1"/>
  <c r="N1430" i="1"/>
  <c r="N1137" i="1"/>
  <c r="O1137" i="1"/>
  <c r="O922" i="1"/>
  <c r="N922" i="1"/>
  <c r="O714" i="1"/>
  <c r="N714" i="1"/>
  <c r="N429" i="1"/>
  <c r="O429" i="1"/>
  <c r="O1200" i="1"/>
  <c r="N1200" i="1"/>
  <c r="O888" i="1"/>
  <c r="N888" i="1"/>
  <c r="N753" i="1"/>
  <c r="O753" i="1"/>
  <c r="N455" i="1"/>
  <c r="O455" i="1"/>
  <c r="N264" i="1"/>
  <c r="O264" i="1"/>
  <c r="O1338" i="1"/>
  <c r="N1338" i="1"/>
  <c r="N791" i="1"/>
  <c r="O791" i="1"/>
  <c r="N347" i="1"/>
  <c r="O347" i="1"/>
  <c r="O82" i="1"/>
  <c r="N82" i="1"/>
  <c r="O1224" i="1"/>
  <c r="N1224" i="1"/>
  <c r="N875" i="1"/>
  <c r="O875" i="1"/>
  <c r="O284" i="1"/>
  <c r="N284" i="1"/>
  <c r="O1062" i="1"/>
  <c r="N1062" i="1"/>
  <c r="O622" i="1"/>
  <c r="N622" i="1"/>
  <c r="O551" i="1"/>
  <c r="N551" i="1"/>
  <c r="O299" i="1"/>
  <c r="N299" i="1"/>
  <c r="O31" i="1"/>
  <c r="N31" i="1"/>
  <c r="O1208" i="1"/>
  <c r="N1208" i="1"/>
  <c r="N431" i="1"/>
  <c r="O431" i="1"/>
  <c r="N1019" i="1"/>
  <c r="O1019" i="1"/>
  <c r="O451" i="1"/>
  <c r="N451" i="1"/>
  <c r="N1297" i="1"/>
  <c r="O1297" i="1"/>
  <c r="O499" i="1"/>
  <c r="N499" i="1"/>
  <c r="N623" i="1"/>
  <c r="O623" i="1"/>
  <c r="O858" i="1"/>
  <c r="N858" i="1"/>
  <c r="N727" i="1"/>
  <c r="O727" i="1"/>
  <c r="O1502" i="1"/>
  <c r="N1502" i="1"/>
  <c r="N1471" i="1"/>
  <c r="O1471" i="1"/>
  <c r="O1348" i="1"/>
  <c r="N1348" i="1"/>
  <c r="O1178" i="1"/>
  <c r="N1178" i="1"/>
  <c r="O1093" i="1"/>
  <c r="N1093" i="1"/>
  <c r="N1001" i="1"/>
  <c r="O1001" i="1"/>
  <c r="N891" i="1"/>
  <c r="O891" i="1"/>
  <c r="O750" i="1"/>
  <c r="N750" i="1"/>
  <c r="N585" i="1"/>
  <c r="O585" i="1"/>
  <c r="N329" i="1"/>
  <c r="O329" i="1"/>
  <c r="O51" i="1"/>
  <c r="N51" i="1"/>
  <c r="O1360" i="1"/>
  <c r="N1360" i="1"/>
  <c r="N1225" i="1"/>
  <c r="O1225" i="1"/>
  <c r="N1113" i="1"/>
  <c r="O1113" i="1"/>
  <c r="O898" i="1"/>
  <c r="N898" i="1"/>
  <c r="O798" i="1"/>
  <c r="N798" i="1"/>
  <c r="O706" i="1"/>
  <c r="N706" i="1"/>
  <c r="O621" i="1"/>
  <c r="N621" i="1"/>
  <c r="N421" i="1"/>
  <c r="O421" i="1"/>
  <c r="O428" i="1"/>
  <c r="N428" i="1"/>
  <c r="O1461" i="1"/>
  <c r="N1461" i="1"/>
  <c r="O1301" i="1"/>
  <c r="N1301" i="1"/>
  <c r="N1159" i="1"/>
  <c r="O1159" i="1"/>
  <c r="N965" i="1"/>
  <c r="O965" i="1"/>
  <c r="O917" i="1"/>
  <c r="N917" i="1"/>
  <c r="O818" i="1"/>
  <c r="N818" i="1"/>
  <c r="O694" i="1"/>
  <c r="N694" i="1"/>
  <c r="N561" i="1"/>
  <c r="O561" i="1"/>
  <c r="N305" i="1"/>
  <c r="O305" i="1"/>
  <c r="O67" i="1"/>
  <c r="N67" i="1"/>
  <c r="N1427" i="1"/>
  <c r="O1427" i="1"/>
  <c r="O1310" i="1"/>
  <c r="N1310" i="1"/>
  <c r="N1153" i="1"/>
  <c r="O1153" i="1"/>
  <c r="N963" i="1"/>
  <c r="O963" i="1"/>
  <c r="O822" i="1"/>
  <c r="N822" i="1"/>
  <c r="O730" i="1"/>
  <c r="N730" i="1"/>
  <c r="N645" i="1"/>
  <c r="O645" i="1"/>
  <c r="N477" i="1"/>
  <c r="O477" i="1"/>
  <c r="N221" i="1"/>
  <c r="O221" i="1"/>
  <c r="O1240" i="1"/>
  <c r="N1240" i="1"/>
  <c r="N1007" i="1"/>
  <c r="O1007" i="1"/>
  <c r="O912" i="1"/>
  <c r="N912" i="1"/>
  <c r="N777" i="1"/>
  <c r="O777" i="1"/>
  <c r="N649" i="1"/>
  <c r="O649" i="1"/>
  <c r="O479" i="1"/>
  <c r="N479" i="1"/>
  <c r="O288" i="1"/>
  <c r="N288" i="1"/>
  <c r="N671" i="1"/>
  <c r="O671" i="1"/>
  <c r="N61" i="1"/>
  <c r="O61" i="1"/>
  <c r="O990" i="1"/>
  <c r="N990" i="1"/>
  <c r="O880" i="1"/>
  <c r="N880" i="1"/>
  <c r="O500" i="1"/>
  <c r="N500" i="1"/>
  <c r="O368" i="1"/>
  <c r="N368" i="1"/>
  <c r="O239" i="1"/>
  <c r="N239" i="1"/>
  <c r="O103" i="1"/>
  <c r="N103" i="1"/>
  <c r="O1476" i="1"/>
  <c r="N1476" i="1"/>
  <c r="N1399" i="1"/>
  <c r="O1399" i="1"/>
  <c r="N1379" i="1"/>
  <c r="O1379" i="1"/>
  <c r="O1458" i="1"/>
  <c r="N1458" i="1"/>
  <c r="N1385" i="1"/>
  <c r="O1385" i="1"/>
  <c r="N1481" i="1"/>
  <c r="O1481" i="1"/>
  <c r="O1466" i="1"/>
  <c r="N1466" i="1"/>
  <c r="O1421" i="1"/>
  <c r="N1421" i="1"/>
  <c r="N1489" i="1"/>
  <c r="O1489" i="1"/>
  <c r="O1488" i="1"/>
  <c r="N1488" i="1"/>
  <c r="O1442" i="1"/>
  <c r="N1442" i="1"/>
  <c r="O1378" i="1"/>
  <c r="N1378" i="1"/>
  <c r="O1500" i="1"/>
  <c r="N1500" i="1"/>
  <c r="N1299" i="1"/>
  <c r="O1299" i="1"/>
  <c r="O1028" i="1"/>
  <c r="N1028" i="1"/>
  <c r="O1164" i="1"/>
  <c r="N1164" i="1"/>
  <c r="O1194" i="1"/>
  <c r="N1194" i="1"/>
  <c r="O566" i="1"/>
  <c r="N566" i="1"/>
  <c r="O574" i="1"/>
  <c r="N574" i="1"/>
  <c r="O530" i="1"/>
  <c r="N530" i="1"/>
  <c r="N193" i="1"/>
  <c r="O193" i="1"/>
  <c r="N129" i="1"/>
  <c r="O129" i="1"/>
  <c r="O152" i="1"/>
  <c r="N152" i="1"/>
  <c r="O84" i="1"/>
  <c r="N84" i="1"/>
  <c r="O386" i="1"/>
  <c r="N386" i="1"/>
  <c r="O282" i="1"/>
  <c r="N282" i="1"/>
  <c r="O171" i="1"/>
  <c r="N171" i="1"/>
  <c r="O107" i="1"/>
  <c r="N107" i="1"/>
  <c r="O398" i="1"/>
  <c r="N398" i="1"/>
  <c r="O270" i="1"/>
  <c r="N270" i="1"/>
  <c r="N33" i="1"/>
  <c r="O33" i="1"/>
  <c r="N1387" i="1"/>
  <c r="O1387" i="1"/>
  <c r="N1291" i="1"/>
  <c r="O1291" i="1"/>
  <c r="N1199" i="1"/>
  <c r="O1199" i="1"/>
  <c r="O1132" i="1"/>
  <c r="N1132" i="1"/>
  <c r="O1048" i="1"/>
  <c r="N1048" i="1"/>
  <c r="O1172" i="1"/>
  <c r="N1172" i="1"/>
  <c r="N1295" i="1"/>
  <c r="O1295" i="1"/>
  <c r="O470" i="1"/>
  <c r="N470" i="1"/>
  <c r="O554" i="1"/>
  <c r="N554" i="1"/>
  <c r="N173" i="1"/>
  <c r="O173" i="1"/>
  <c r="N109" i="1"/>
  <c r="O109" i="1"/>
  <c r="O135" i="1"/>
  <c r="N135" i="1"/>
  <c r="O48" i="1"/>
  <c r="N48" i="1"/>
  <c r="O378" i="1"/>
  <c r="N378" i="1"/>
  <c r="O306" i="1"/>
  <c r="N306" i="1"/>
  <c r="O180" i="1"/>
  <c r="N180" i="1"/>
  <c r="O116" i="1"/>
  <c r="N116" i="1"/>
  <c r="O390" i="1"/>
  <c r="N390" i="1"/>
  <c r="O262" i="1"/>
  <c r="N262" i="1"/>
  <c r="O28" i="1"/>
  <c r="N28" i="1"/>
  <c r="N1369" i="1"/>
  <c r="O1369" i="1"/>
  <c r="O1206" i="1"/>
  <c r="N1206" i="1"/>
  <c r="O1198" i="1"/>
  <c r="N1198" i="1"/>
  <c r="O984" i="1"/>
  <c r="N984" i="1"/>
  <c r="O1140" i="1"/>
  <c r="N1140" i="1"/>
  <c r="O989" i="1"/>
  <c r="N989" i="1"/>
  <c r="O1168" i="1"/>
  <c r="N1168" i="1"/>
  <c r="O1108" i="1"/>
  <c r="N1108" i="1"/>
  <c r="O518" i="1"/>
  <c r="N518" i="1"/>
  <c r="O514" i="1"/>
  <c r="N514" i="1"/>
  <c r="N185" i="1"/>
  <c r="O185" i="1"/>
  <c r="N121" i="1"/>
  <c r="O121" i="1"/>
  <c r="O160" i="1"/>
  <c r="N160" i="1"/>
  <c r="O96" i="1"/>
  <c r="N96" i="1"/>
  <c r="O370" i="1"/>
  <c r="N370" i="1"/>
  <c r="O266" i="1"/>
  <c r="N266" i="1"/>
  <c r="O163" i="1"/>
  <c r="N163" i="1"/>
  <c r="O88" i="1"/>
  <c r="N88" i="1"/>
  <c r="O382" i="1"/>
  <c r="N382" i="1"/>
  <c r="O254" i="1"/>
  <c r="N254" i="1"/>
  <c r="N1403" i="1"/>
  <c r="O1403" i="1"/>
  <c r="N1257" i="1"/>
  <c r="O1257" i="1"/>
  <c r="O1214" i="1"/>
  <c r="N1214" i="1"/>
  <c r="N1243" i="1"/>
  <c r="O1243" i="1"/>
  <c r="O1032" i="1"/>
  <c r="N1032" i="1"/>
  <c r="N1183" i="1"/>
  <c r="O1183" i="1"/>
  <c r="N837" i="1"/>
  <c r="O837" i="1"/>
  <c r="O486" i="1"/>
  <c r="N486" i="1"/>
  <c r="O570" i="1"/>
  <c r="N570" i="1"/>
  <c r="O195" i="1"/>
  <c r="N195" i="1"/>
  <c r="N133" i="1"/>
  <c r="O133" i="1"/>
  <c r="O159" i="1"/>
  <c r="N159" i="1"/>
  <c r="O56" i="1"/>
  <c r="N56" i="1"/>
  <c r="O394" i="1"/>
  <c r="N394" i="1"/>
  <c r="O322" i="1"/>
  <c r="N322" i="1"/>
  <c r="O188" i="1"/>
  <c r="N188" i="1"/>
  <c r="O124" i="1"/>
  <c r="N124" i="1"/>
  <c r="O406" i="1"/>
  <c r="N406" i="1"/>
  <c r="O278" i="1"/>
  <c r="N278" i="1"/>
  <c r="O36" i="1"/>
  <c r="N36" i="1"/>
  <c r="O1272" i="1"/>
  <c r="N1272" i="1"/>
  <c r="N1451" i="1"/>
  <c r="O1451" i="1"/>
  <c r="O1368" i="1"/>
  <c r="N1368" i="1"/>
  <c r="N1193" i="1"/>
  <c r="O1193" i="1"/>
  <c r="O1109" i="1"/>
  <c r="N1109" i="1"/>
  <c r="N1049" i="1"/>
  <c r="O1049" i="1"/>
  <c r="N915" i="1"/>
  <c r="O915" i="1"/>
  <c r="O772" i="1"/>
  <c r="N772" i="1"/>
  <c r="O612" i="1"/>
  <c r="N612" i="1"/>
  <c r="N377" i="1"/>
  <c r="O377" i="1"/>
  <c r="O372" i="1"/>
  <c r="N372" i="1"/>
  <c r="O1376" i="1"/>
  <c r="N1376" i="1"/>
  <c r="N1249" i="1"/>
  <c r="O1249" i="1"/>
  <c r="N1129" i="1"/>
  <c r="O1129" i="1"/>
  <c r="O946" i="1"/>
  <c r="N946" i="1"/>
  <c r="O814" i="1"/>
  <c r="N814" i="1"/>
  <c r="O722" i="1"/>
  <c r="N722" i="1"/>
  <c r="N637" i="1"/>
  <c r="O637" i="1"/>
  <c r="N469" i="1"/>
  <c r="O469" i="1"/>
  <c r="N213" i="1"/>
  <c r="O213" i="1"/>
  <c r="O1486" i="1"/>
  <c r="N1486" i="1"/>
  <c r="O1316" i="1"/>
  <c r="N1316" i="1"/>
  <c r="N1181" i="1"/>
  <c r="O1181" i="1"/>
  <c r="N1059" i="1"/>
  <c r="O1059" i="1"/>
  <c r="N941" i="1"/>
  <c r="O941" i="1"/>
  <c r="O834" i="1"/>
  <c r="N834" i="1"/>
  <c r="O716" i="1"/>
  <c r="N716" i="1"/>
  <c r="O597" i="1"/>
  <c r="N597" i="1"/>
  <c r="N353" i="1"/>
  <c r="O353" i="1"/>
  <c r="O356" i="1"/>
  <c r="N356" i="1"/>
  <c r="N1475" i="1"/>
  <c r="O1475" i="1"/>
  <c r="O1362" i="1"/>
  <c r="N1362" i="1"/>
  <c r="N1169" i="1"/>
  <c r="O1169" i="1"/>
  <c r="N1211" i="1"/>
  <c r="O1211" i="1"/>
  <c r="O592" i="1"/>
  <c r="N592" i="1"/>
  <c r="O746" i="1"/>
  <c r="N746" i="1"/>
  <c r="O661" i="1"/>
  <c r="N661" i="1"/>
  <c r="N525" i="1"/>
  <c r="O525" i="1"/>
  <c r="N269" i="1"/>
  <c r="O269" i="1"/>
  <c r="O1266" i="1"/>
  <c r="N1266" i="1"/>
  <c r="O1034" i="1"/>
  <c r="N1034" i="1"/>
  <c r="O936" i="1"/>
  <c r="N936" i="1"/>
  <c r="N803" i="1"/>
  <c r="O803" i="1"/>
  <c r="N673" i="1"/>
  <c r="O673" i="1"/>
  <c r="N507" i="1"/>
  <c r="O507" i="1"/>
  <c r="O312" i="1"/>
  <c r="N312" i="1"/>
  <c r="N767" i="1"/>
  <c r="O767" i="1"/>
  <c r="O110" i="1"/>
  <c r="N110" i="1"/>
  <c r="O1038" i="1"/>
  <c r="N1038" i="1"/>
  <c r="O862" i="1"/>
  <c r="N862" i="1"/>
  <c r="O527" i="1"/>
  <c r="N527" i="1"/>
  <c r="O395" i="1"/>
  <c r="N395" i="1"/>
  <c r="O263" i="1"/>
  <c r="N263" i="1"/>
  <c r="N647" i="1"/>
  <c r="O647" i="1"/>
  <c r="O1424" i="1"/>
  <c r="N1424" i="1"/>
  <c r="N1449" i="1"/>
  <c r="O1449" i="1"/>
  <c r="O1324" i="1"/>
  <c r="N1324" i="1"/>
  <c r="N1167" i="1"/>
  <c r="O1167" i="1"/>
  <c r="N1269" i="1"/>
  <c r="O1269" i="1"/>
  <c r="N937" i="1"/>
  <c r="O937" i="1"/>
  <c r="N857" i="1"/>
  <c r="O857" i="1"/>
  <c r="O734" i="1"/>
  <c r="N734" i="1"/>
  <c r="N553" i="1"/>
  <c r="O553" i="1"/>
  <c r="N297" i="1"/>
  <c r="O297" i="1"/>
  <c r="O15" i="1"/>
  <c r="N15" i="1"/>
  <c r="N1351" i="1"/>
  <c r="O1351" i="1"/>
  <c r="O1205" i="1"/>
  <c r="N1205" i="1"/>
  <c r="O1102" i="1"/>
  <c r="N1102" i="1"/>
  <c r="O1069" i="1"/>
  <c r="N1069" i="1"/>
  <c r="N781" i="1"/>
  <c r="O781" i="1"/>
  <c r="O696" i="1"/>
  <c r="N696" i="1"/>
  <c r="O610" i="1"/>
  <c r="N610" i="1"/>
  <c r="N389" i="1"/>
  <c r="O389" i="1"/>
  <c r="O364" i="1"/>
  <c r="N364" i="1"/>
  <c r="O1426" i="1"/>
  <c r="N1426" i="1"/>
  <c r="O1294" i="1"/>
  <c r="N1294" i="1"/>
  <c r="N1149" i="1"/>
  <c r="O1149" i="1"/>
  <c r="O942" i="1"/>
  <c r="N942" i="1"/>
  <c r="N901" i="1"/>
  <c r="O901" i="1"/>
  <c r="O808" i="1"/>
  <c r="N808" i="1"/>
  <c r="O678" i="1"/>
  <c r="N678" i="1"/>
  <c r="N529" i="1"/>
  <c r="O529" i="1"/>
  <c r="N273" i="1"/>
  <c r="O273" i="1"/>
  <c r="N13" i="1"/>
  <c r="O13" i="1"/>
  <c r="O1422" i="1"/>
  <c r="N1422" i="1"/>
  <c r="N1293" i="1"/>
  <c r="O1293" i="1"/>
  <c r="O1142" i="1"/>
  <c r="N1142" i="1"/>
  <c r="O938" i="1"/>
  <c r="N938" i="1"/>
  <c r="O812" i="1"/>
  <c r="N812" i="1"/>
  <c r="O720" i="1"/>
  <c r="N720" i="1"/>
  <c r="O634" i="1"/>
  <c r="N634" i="1"/>
  <c r="N445" i="1"/>
  <c r="O445" i="1"/>
  <c r="O504" i="1"/>
  <c r="N504" i="1"/>
  <c r="O1216" i="1"/>
  <c r="N1216" i="1"/>
  <c r="N991" i="1"/>
  <c r="O991" i="1"/>
  <c r="O896" i="1"/>
  <c r="N896" i="1"/>
  <c r="N761" i="1"/>
  <c r="O761" i="1"/>
  <c r="N633" i="1"/>
  <c r="O633" i="1"/>
  <c r="O463" i="1"/>
  <c r="N463" i="1"/>
  <c r="N272" i="1"/>
  <c r="O272" i="1"/>
  <c r="N607" i="1"/>
  <c r="O607" i="1"/>
  <c r="O1354" i="1"/>
  <c r="N1354" i="1"/>
  <c r="N1207" i="1"/>
  <c r="O1207" i="1"/>
  <c r="O846" i="1"/>
  <c r="N846" i="1"/>
  <c r="O484" i="1"/>
  <c r="N484" i="1"/>
  <c r="O352" i="1"/>
  <c r="N352" i="1"/>
  <c r="O223" i="1"/>
  <c r="N223" i="1"/>
  <c r="O87" i="1"/>
  <c r="N87" i="1"/>
  <c r="O122" i="1"/>
  <c r="N122" i="1"/>
  <c r="O1228" i="1"/>
  <c r="N1228" i="1"/>
  <c r="O994" i="1"/>
  <c r="N994" i="1"/>
  <c r="N883" i="1"/>
  <c r="O883" i="1"/>
  <c r="O491" i="1"/>
  <c r="N491" i="1"/>
  <c r="N292" i="1"/>
  <c r="O292" i="1"/>
  <c r="N719" i="1"/>
  <c r="O719" i="1"/>
  <c r="N65" i="1"/>
  <c r="O65" i="1"/>
  <c r="N1067" i="1"/>
  <c r="O1067" i="1"/>
  <c r="N1013" i="1"/>
  <c r="O1013" i="1"/>
  <c r="O654" i="1"/>
  <c r="N654" i="1"/>
  <c r="N707" i="1"/>
  <c r="O707" i="1"/>
  <c r="O559" i="1"/>
  <c r="N559" i="1"/>
  <c r="N435" i="1"/>
  <c r="O435" i="1"/>
  <c r="O307" i="1"/>
  <c r="N307" i="1"/>
  <c r="N591" i="1"/>
  <c r="O591" i="1"/>
  <c r="O42" i="1"/>
  <c r="N42" i="1"/>
  <c r="O884" i="1"/>
  <c r="N884" i="1"/>
  <c r="O86" i="1"/>
  <c r="N86" i="1"/>
  <c r="N1051" i="1"/>
  <c r="O1051" i="1"/>
  <c r="N595" i="1"/>
  <c r="O595" i="1"/>
  <c r="N579" i="1"/>
  <c r="O579" i="1"/>
  <c r="O387" i="1"/>
  <c r="N387" i="1"/>
  <c r="N759" i="1"/>
  <c r="O759" i="1"/>
  <c r="O18" i="1"/>
  <c r="N18" i="1"/>
  <c r="O908" i="1"/>
  <c r="N908" i="1"/>
  <c r="N351" i="1"/>
  <c r="O351" i="1"/>
  <c r="O70" i="1"/>
  <c r="N70" i="1"/>
  <c r="N1045" i="1"/>
  <c r="O1045" i="1"/>
  <c r="N683" i="1"/>
  <c r="O683" i="1"/>
  <c r="O408" i="1"/>
  <c r="N408" i="1"/>
  <c r="O79" i="1"/>
  <c r="N79" i="1"/>
  <c r="N1441" i="1"/>
  <c r="O1441" i="1"/>
  <c r="O1418" i="1"/>
  <c r="N1418" i="1"/>
  <c r="O1318" i="1"/>
  <c r="N1318" i="1"/>
  <c r="N1141" i="1"/>
  <c r="O1141" i="1"/>
  <c r="O934" i="1"/>
  <c r="N934" i="1"/>
  <c r="N897" i="1"/>
  <c r="O897" i="1"/>
  <c r="O816" i="1"/>
  <c r="N816" i="1"/>
  <c r="O676" i="1"/>
  <c r="N676" i="1"/>
  <c r="N473" i="1"/>
  <c r="O473" i="1"/>
  <c r="N217" i="1"/>
  <c r="O217" i="1"/>
  <c r="O1456" i="1"/>
  <c r="N1456" i="1"/>
  <c r="O1344" i="1"/>
  <c r="N1344" i="1"/>
  <c r="N1161" i="1"/>
  <c r="O1161" i="1"/>
  <c r="N1011" i="1"/>
  <c r="O1011" i="1"/>
  <c r="O861" i="1"/>
  <c r="N861" i="1"/>
  <c r="O754" i="1"/>
  <c r="N754" i="1"/>
  <c r="O669" i="1"/>
  <c r="N669" i="1"/>
  <c r="N565" i="1"/>
  <c r="O565" i="1"/>
  <c r="N309" i="1"/>
  <c r="O309" i="1"/>
  <c r="O10" i="1"/>
  <c r="N10" i="1"/>
  <c r="N1371" i="1"/>
  <c r="O1371" i="1"/>
  <c r="N1279" i="1"/>
  <c r="O1279" i="1"/>
  <c r="O1117" i="1"/>
  <c r="N1117" i="1"/>
  <c r="N1057" i="1"/>
  <c r="O1057" i="1"/>
  <c r="N919" i="1"/>
  <c r="O919" i="1"/>
  <c r="O764" i="1"/>
  <c r="N764" i="1"/>
  <c r="O636" i="1"/>
  <c r="N636" i="1"/>
  <c r="N449" i="1"/>
  <c r="O449" i="1"/>
  <c r="O196" i="1"/>
  <c r="N196" i="1"/>
  <c r="N1435" i="1"/>
  <c r="O1435" i="1"/>
  <c r="N1363" i="1"/>
  <c r="O1363" i="1"/>
  <c r="O1237" i="1"/>
  <c r="N1237" i="1"/>
  <c r="N1115" i="1"/>
  <c r="O1115" i="1"/>
  <c r="O1061" i="1"/>
  <c r="N1061" i="1"/>
  <c r="O778" i="1"/>
  <c r="N778" i="1"/>
  <c r="N693" i="1"/>
  <c r="O693" i="1"/>
  <c r="O608" i="1"/>
  <c r="N608" i="1"/>
  <c r="N365" i="1"/>
  <c r="O365" i="1"/>
  <c r="O91" i="1"/>
  <c r="N91" i="1"/>
  <c r="O1078" i="1"/>
  <c r="N1078" i="1"/>
  <c r="N1089" i="1"/>
  <c r="O1089" i="1"/>
  <c r="N879" i="1"/>
  <c r="O879" i="1"/>
  <c r="N721" i="1"/>
  <c r="O721" i="1"/>
  <c r="O583" i="1"/>
  <c r="N583" i="1"/>
  <c r="O391" i="1"/>
  <c r="N391" i="1"/>
  <c r="N232" i="1"/>
  <c r="O232" i="1"/>
  <c r="O30" i="1"/>
  <c r="N30" i="1"/>
  <c r="O1212" i="1"/>
  <c r="N1212" i="1"/>
  <c r="O860" i="1"/>
  <c r="N860" i="1"/>
  <c r="O571" i="1"/>
  <c r="N571" i="1"/>
  <c r="N443" i="1"/>
  <c r="O443" i="1"/>
  <c r="O311" i="1"/>
  <c r="N311" i="1"/>
  <c r="N831" i="1"/>
  <c r="O831" i="1"/>
  <c r="O50" i="1"/>
  <c r="N50" i="1"/>
  <c r="O1334" i="1"/>
  <c r="N1334" i="1"/>
  <c r="N1239" i="1"/>
  <c r="O1239" i="1"/>
  <c r="O1020" i="1"/>
  <c r="N1020" i="1"/>
  <c r="N859" i="1"/>
  <c r="O859" i="1"/>
  <c r="O447" i="1"/>
  <c r="N447" i="1"/>
  <c r="O252" i="1"/>
  <c r="N252" i="1"/>
  <c r="O102" i="1"/>
  <c r="N102" i="1"/>
  <c r="N41" i="1"/>
  <c r="O41" i="1"/>
  <c r="O1030" i="1"/>
  <c r="N1030" i="1"/>
  <c r="O856" i="1"/>
  <c r="N856" i="1"/>
  <c r="N795" i="1"/>
  <c r="O795" i="1"/>
  <c r="N667" i="1"/>
  <c r="O667" i="1"/>
  <c r="O519" i="1"/>
  <c r="N519" i="1"/>
  <c r="O392" i="1"/>
  <c r="N392" i="1"/>
  <c r="O267" i="1"/>
  <c r="N267" i="1"/>
  <c r="N663" i="1"/>
  <c r="O663" i="1"/>
  <c r="O178" i="1"/>
  <c r="N178" i="1"/>
  <c r="O1382" i="1"/>
  <c r="N1382" i="1"/>
  <c r="N1271" i="1"/>
  <c r="O1271" i="1"/>
  <c r="O948" i="1"/>
  <c r="N948" i="1"/>
  <c r="O552" i="1"/>
  <c r="N552" i="1"/>
  <c r="O367" i="1"/>
  <c r="N367" i="1"/>
  <c r="O22" i="1"/>
  <c r="N22" i="1"/>
  <c r="N1251" i="1"/>
  <c r="O1251" i="1"/>
  <c r="N723" i="1"/>
  <c r="O723" i="1"/>
  <c r="O355" i="1"/>
  <c r="N355" i="1"/>
  <c r="O162" i="1"/>
  <c r="N162" i="1"/>
  <c r="O1236" i="1"/>
  <c r="N1236" i="1"/>
  <c r="O940" i="1"/>
  <c r="N940" i="1"/>
  <c r="O415" i="1"/>
  <c r="N415" i="1"/>
  <c r="O182" i="1"/>
  <c r="N182" i="1"/>
  <c r="O1046" i="1"/>
  <c r="N1046" i="1"/>
  <c r="N587" i="1"/>
  <c r="O587" i="1"/>
  <c r="N567" i="1"/>
  <c r="O567" i="1"/>
  <c r="O315" i="1"/>
  <c r="N315" i="1"/>
  <c r="N599" i="1"/>
  <c r="O599" i="1"/>
</calcChain>
</file>

<file path=xl/sharedStrings.xml><?xml version="1.0" encoding="utf-8"?>
<sst xmlns="http://schemas.openxmlformats.org/spreadsheetml/2006/main" count="366" uniqueCount="302">
  <si>
    <t>SOFTWARE PROJECT RISK DATASET — Pressman (2014, Ch.28) | COCOMO II (Boehm 2000) | NASA/PROMISE</t>
  </si>
  <si>
    <t>Contains ONLY measurable project attributes and the final ML target label. Probability, Impact, Risk Exposure and aggregation are calculated in 'Risk_Calculation_Engine' (not stored here). Full derivation rules are in 'Risk_Assessment_Rules'; full methodology narrative is in 'Risk_Label_Methodology'.</t>
  </si>
  <si>
    <t>Project_ID</t>
  </si>
  <si>
    <t>KSLOC</t>
  </si>
  <si>
    <t>CPLX</t>
  </si>
  <si>
    <t>Effort_PM</t>
  </si>
  <si>
    <t>Duration_Months</t>
  </si>
  <si>
    <t>Capability_Index</t>
  </si>
  <si>
    <t>Requirements_Change_Count</t>
  </si>
  <si>
    <t>Schedule_Pressure_Index</t>
  </si>
  <si>
    <t>Team_Size</t>
  </si>
  <si>
    <t>Defect_Count</t>
  </si>
  <si>
    <t>Defect_Density</t>
  </si>
  <si>
    <t>Defect_Resolution_Rate</t>
  </si>
  <si>
    <t>Defect_Trend</t>
  </si>
  <si>
    <t>Risk_Level</t>
  </si>
  <si>
    <t>Risk_Label</t>
  </si>
  <si>
    <t>COLUMN DICTIONARY — Software Project Risk Dataset (12 features + Project_ID + Risk_Level target)</t>
  </si>
  <si>
    <t>Every stored attribute is grounded in Pressman (2014) Chapter 28, COCOMO II (Boehm 2000), or NASA/PROMISE defect research. No intermediate risk-scoring columns (Probability, Impact, RE, category risk score) are stored here by design — see 'Risk_Calculation_Engine' for those calculations and 'Risk_Assessment_Rules' for their justification.</t>
  </si>
  <si>
    <t>#</t>
  </si>
  <si>
    <t>Feature</t>
  </si>
  <si>
    <t>Pressman
Category</t>
  </si>
  <si>
    <t>Source</t>
  </si>
  <si>
    <t>Unit / Scale</t>
  </si>
  <si>
    <t>Definition</t>
  </si>
  <si>
    <t>Measurement Method</t>
  </si>
  <si>
    <t>Reason It Influences Software Project Risk</t>
  </si>
  <si>
    <t>—</t>
  </si>
  <si>
    <t>Auto-generated</t>
  </si>
  <si>
    <t>1-1500</t>
  </si>
  <si>
    <t>Unique sequential identifier for record tracing.</t>
  </si>
  <si>
    <t>Auto-incremented integer.</t>
  </si>
  <si>
    <t>No predictive value; excluded from ML features. Used only to trace a row back to a project.</t>
  </si>
  <si>
    <t>PS</t>
  </si>
  <si>
    <t>COCOMO II
(Boehm 2000)</t>
  </si>
  <si>
    <t>Thousands of SLOC
(non-comment, non-blank)</t>
  </si>
  <si>
    <t>Estimated software size in Kilo Source Lines of Code.</t>
  </si>
  <si>
    <t>Estimated at planning via analogy, function-point backfiring, or direct design-spec counting. Primary size driver in COCOMO II: PM=2.94xKSLOC^1.10xEAF.</t>
  </si>
  <si>
    <t>Pressman (2014, Ch.28) names Product Size the first risk category. Larger systems show non-linear growth in integration complexity, estimation error and defect probability (Brooks, 1995).</t>
  </si>
  <si>
    <t>TE</t>
  </si>
  <si>
    <t>Ordinal 1=VL 2=L 3=N 4=H 5=VH</t>
  </si>
  <si>
    <t>Product Complexity cost driver — a composite rating of control flow, computational, device-dependent, data-management and UI operations (NOT cyclomatic complexity).</t>
  </si>
  <si>
    <t>Rated using COCOMO II Table A.8 (Boehm 2000). EAF multipliers: VL=0.73 L=0.87 N=1.00 H=1.17 VH=1.34.</t>
  </si>
  <si>
    <t>Higher CPLX raises implementation difficulty and defect-injection rate, directly driving Pressman's Technology (TE) risk category.</t>
  </si>
  <si>
    <t>Person-Months (1 PM=152 hrs)</t>
  </si>
  <si>
    <t>Total estimated development effort computed via COCOMO II Early Design model: PM=2.94xKSLOC^1.10xEAF.</t>
  </si>
  <si>
    <t>Apply the COCOMO II formula with the CPLX and Capability EAF multipliers.</t>
  </si>
  <si>
    <t>Effort overrun is a direct consequence of poor process definition and undersized estimation (Pressman PS/PR risk); it also underlies the Duration and Schedule Pressure calculations.</t>
  </si>
  <si>
    <t>PR</t>
  </si>
  <si>
    <t>COCOMO II
(Boehm 2000), derived</t>
  </si>
  <si>
    <t>Months</t>
  </si>
  <si>
    <t>Actual calendar time allocated to the project. Consistent with COCOMO II required duration TDEV=3.67xPM^0.28 and the recorded Schedule Pressure Index (SPI=TDEV/Duration).</t>
  </si>
  <si>
    <t>Computed in-sheet as Duration_Months = TDEV / Schedule_Pressure_Index, so it is always internally consistent with Effort and SPI.</t>
  </si>
  <si>
    <t>A short duration relative to COCOMO II's TDEV estimate is the raw driver of schedule compression — Pressman's "arbitrary completion date" process risk indicator.</t>
  </si>
  <si>
    <t>ST</t>
  </si>
  <si>
    <t>Ordinal 1=Low 2=Medium 3=High</t>
  </si>
  <si>
    <t>Composite of COCOMO II ACAP (Analyst Capability) and PCAP (Programmer Capability) cost drivers.</t>
  </si>
  <si>
    <t>Rated via COCOMO II capability tables. Low=15th percentile (EAF 1.369), Medium=55th percentile (EAF 1.00), High=75th percentile (EAF 0.748).</t>
  </si>
  <si>
    <t>Pressman's Staff (ST) risk rises as capability falls: lower-capability teams show higher defect injection and rework rates (Brooks, 1995).</t>
  </si>
  <si>
    <t>CU</t>
  </si>
  <si>
    <t>Pressman (2014)
Ch.28</t>
  </si>
  <si>
    <t>Count (integer, 0-20)</t>
  </si>
  <si>
    <t>Total approved requirement change requests (CRs) during the project.</t>
  </si>
  <si>
    <t>Count formal CRs logged in a change-control system (e.g. Jira CR tickets, CCB approvals); informal requests excluded.</t>
  </si>
  <si>
    <t>Pressman lists requirement-change likelihood as a core Customer Characteristics (CU) risk driver; Jones (1994) found it the single largest cause of overruns.</t>
  </si>
  <si>
    <t>Pressman (2014)
Ch.28, derived w/ COCOMO II</t>
  </si>
  <si>
    <t>Dimensionless ratio (&gt;1 = risk)</t>
  </si>
  <si>
    <t>Ratio of COCOMO II required duration (TDEV=3.67xPM^0.28) to the calendar time actually allocated.</t>
  </si>
  <si>
    <t>SPI = TDEV / Actual_Duration_Given. SPI&gt;1 means less time was allocated than COCOMO II estimates as achievable.</t>
  </si>
  <si>
    <t>Pressman (2014, Ch.28) lists an arbitrary completion date as a key Process (PR) risk indicator; DeMarco &amp; Lister (1999) document rising failure rates above SPI~1.5.</t>
  </si>
  <si>
    <t>Count (integer, 3-15)</t>
  </si>
  <si>
    <t>Number of developers assigned to the project.</t>
  </si>
  <si>
    <t>Headcount at measurement point, excluding managers/QA unless they write code.</t>
  </si>
  <si>
    <t>Brooks (1995): coordination overhead grows as n(n-1)/2, so team size interacts with Staff (ST) risk beyond the optimal 5-9 range.</t>
  </si>
  <si>
    <t>PS / Quality</t>
  </si>
  <si>
    <t>NASA / PROMISE</t>
  </si>
  <si>
    <t>Count (integer, &gt;=0)</t>
  </si>
  <si>
    <t>Total software defects detected during testing and review.</t>
  </si>
  <si>
    <t>Count unique defect-tracker tickets (e.g. Bugzilla, Jira) at the measurement point.</t>
  </si>
  <si>
    <t>Grounded in NASA CM1/JM1/KC1/PC1 (Menzies et al., 2012); high defect counts signal quality risk, a component of Pressman's Product Size/Quality driver.</t>
  </si>
  <si>
    <t>Defects per KLOC</t>
  </si>
  <si>
    <t>Defect_Count / KSLOC.</t>
  </si>
  <si>
    <t>Computed at the measurement point. NASA CM1 dataset averages ~6.1 defects/KLOC; Jones (2012) baseline 5-15/KLOC pre-test, &gt;25 = quality crisis.</t>
  </si>
  <si>
    <t>The primary metric driving this research's Quality risk category (RE_Quality) — see Risk_Assessment_Rules.</t>
  </si>
  <si>
    <t>NASA-derived</t>
  </si>
  <si>
    <t>Percentage (0-100%)</t>
  </si>
  <si>
    <t>(Resolved_Defects / Total_Defects) x 100.</t>
  </si>
  <si>
    <t>Closed/resolved tickets divided by total tickets x 100, measured at a project milestone.</t>
  </si>
  <si>
    <t>A low resolution rate signals process breakdown / quality-backlog accumulation, part of Pressman's Process (PR) risk-monitoring guidance; retained as a monitoring/RMMM indicator.</t>
  </si>
  <si>
    <t>Ordinal 1=Decreasing 2=Stable 3=Increasing</t>
  </si>
  <si>
    <t>Direction of defect-count change over the most recent measurement periods.</t>
  </si>
  <si>
    <t>Decreasing = count fell &gt;=10% vs previous period; Stable = within +/-10%; Increasing = rose &gt;=10%.</t>
  </si>
  <si>
    <t>Pressman's RMMM plan uses an increasing defect trend as a risk-escalation monitoring trigger, signalling quality is not under control.</t>
  </si>
  <si>
    <t>Risk_Level / Risk_Label</t>
  </si>
  <si>
    <t>TARGET</t>
  </si>
  <si>
    <t>This research (proposed)</t>
  </si>
  <si>
    <t>Risk_Level: ordinal 1/2/3
Risk_Label: Low/Medium/High</t>
  </si>
  <si>
    <t>TARGET VARIABLE. Derived from the Overall_Project_Risk_Score (weighted sum of six Pressman-style RE=PxI values) using percentile thresholds (P33.33, P66.67) computed across all 1500 projects.</t>
  </si>
  <si>
    <t>See Risk_Calculation_Engine and Risk_Label_Methodology for the full derivation chain and exact threshold values.</t>
  </si>
  <si>
    <t>The label is grounded in project metrics via documented rules end-to-end, so an ML model trained on the 12 raw features learns theoretically justified relationships rather than arbitrary correlations.</t>
  </si>
  <si>
    <t>RISK ASSESSMENT RULES — Documented Probability &amp; Impact Assignment for Every Risk Category</t>
  </si>
  <si>
    <t>Every Probability and Impact value calculated in 'Risk_Calculation_Engine' is generated by the rules documented below. No value is randomly assigned. Rules are band-based (deterministic functions of measurable project metrics), consistent with Pressman's (2014, Ch.28) recommendation to estimate probability from 'historical project information, expert judgement, and current project conditions' rather than fixed literature percentages. IMPORTANT — Pressman's own risk-table slides (Software Engineering: A Practitioner's Approach, Ch.28) use a DESCENDING impact scale: 1=Catastrophic, 2=Critical, 3=Marginal, 4=Negligible. This research deliberately INVERTS that scale to 1=Negligible ... 4=Catastrophic (ASCENDING) so that higher Impact numerically means higher severity, which is required for RE = P x I and the weighted aggregation to behave monotonically (higher score = higher risk). This inversion is a disclosed methodological adaptation, not a misquotation of Pressman.</t>
  </si>
  <si>
    <t>Risk</t>
  </si>
  <si>
    <t>Metric Used</t>
  </si>
  <si>
    <t>Probability Assignment Rule
(band -&gt; P value)</t>
  </si>
  <si>
    <t>Impact Assignment Rule
(band -&gt; I value, 1=Negligible...4=Catastrophic)</t>
  </si>
  <si>
    <t>Literature Source</t>
  </si>
  <si>
    <t>Product Size Risk</t>
  </si>
  <si>
    <t>KSLOC (COCOMO II size driver)</t>
  </si>
  <si>
    <t>KSLOC &lt; 25 -&gt; P=0.30 | 25-74.9 -&gt; P=0.50 | 75-119.9 -&gt; P=0.65 | &gt;=120 -&gt; P=0.80. Larger systems have non-linear growth in integration complexity and estimation error (Brooks, 1995; Boehm, 2000 — PM = 2.94 x KSLOC^1.10 in COCOMO II shows super-linear effort growth).</t>
  </si>
  <si>
    <t>Same KSLOC bands -&gt; I=1 (&lt;25) | I=2 (25-74.9) | I=3 (75-119.9) | I=4 (&gt;=120). A very large system (&gt;=120 KSLOC, the top of this dataset's COCOMO81-consistent range 1.1-149.8) that overruns its estimate has catastrophic schedule/cost consequences.</t>
  </si>
  <si>
    <t>Pressman (2014) Ch.28 PS category + COCOMO II (Boehm 2000)</t>
  </si>
  <si>
    <t>Technology Risk</t>
  </si>
  <si>
    <t>CPLX (COCOMO II Product Complexity, ordinal 1=VL...5=VH)</t>
  </si>
  <si>
    <t>CPLX=1(VL) -&gt; P=0.30 | 2(L) -&gt; P=0.40 | 3(N) -&gt; P=0.50 | 4(H) -&gt; P=0.65 | 5(VH) -&gt; P=0.80. Higher complexity (control flow, computational, device-dependent, data management, UI operations per Boehm 2000 Table A.8) increases the probability of implementation difficulty and defect injection.</t>
  </si>
  <si>
    <t>CPLX&lt;=2 -&gt; I=1 | =3 -&gt; I=2 | =4 -&gt; I=3 | =5 -&gt; I=4. Very High complexity (embedded/AI-class software, EAF=1.34) that goes wrong has catastrophic implementation impact; Very Low/Low complexity failures are comparatively negligible.</t>
  </si>
  <si>
    <t>COCOMO II (Boehm 2000, Appendix A, Table A.8)</t>
  </si>
  <si>
    <t>Customer Risk</t>
  </si>
  <si>
    <t>Requirements_Change_Count (approved change requests)</t>
  </si>
  <si>
    <t>0-3 CRs -&gt; P=0.25 | 4-6 -&gt; P=0.45 | 7-9 -&gt; P=0.65 | &gt;=10 -&gt; P=0.85. Jones (1994) identifies requirement volatility as the single largest cause of software project overruns; more approved CRs -&gt; higher likelihood of continued scope instability.</t>
  </si>
  <si>
    <t>0-3 -&gt; I=1 | 4-6 -&gt; I=2 | 7-9 -&gt; I=3 | &gt;=10 -&gt; I=4. Extensive requirement volatility (&gt;=10 CRs) causes major scope creep, re-estimation, and re-design and is treated as catastrophic; a handful of CRs is negligible.</t>
  </si>
  <si>
    <t>Pressman (2014) Ch.28 CU category; Jones (1994)</t>
  </si>
  <si>
    <t>Process Risk</t>
  </si>
  <si>
    <t>Schedule_Pressure_Index (COCOMO II TDEV / allocated duration)</t>
  </si>
  <si>
    <t>SPI&lt;1.0 -&gt; P=0.20 | 1.0-1.29 -&gt; P=0.45 | 1.3-1.79 -&gt; P=0.70 | &gt;=1.8 -&gt; P=0.90. SPI&gt;1 means less calendar time was allocated than COCOMO II's TDEV=3.67xPM^0.28 estimates as achievable; DeMarco &amp; Lister (Peopleware, 1999) document rising failure correlation as schedule compression increases.</t>
  </si>
  <si>
    <t>SPI&lt;1.0 -&gt; I=1 | 1.0-1.29 -&gt; I=2 | 1.3-1.79 -&gt; I=3 | &gt;=1.8 -&gt; I=4. Severe schedule compression (SPI&gt;=1.8, i.e. the project was given ~55% or less of the COCOMO II-estimated time) threatens successful delivery and is treated as catastrophic.</t>
  </si>
  <si>
    <t>Pressman (2014) Ch.28 PR category; COCOMO II TDEV (Boehm 2000); DeMarco &amp; Lister (1999)</t>
  </si>
  <si>
    <t>Staff Risk</t>
  </si>
  <si>
    <t>Capability_Index (composite COCOMO II ACAP/PCAP, ordinal 1=Low 2=Medium 3=High)</t>
  </si>
  <si>
    <t>Capability=1(Low) -&gt; P=0.75 | =2(Medium) -&gt; P=0.45 | =3(High) -&gt; P=0.20. Inverse relationship: Brooks (1995) and Boehm's ACAP/PCAP cost-driver theory both show lower analyst/programmer capability increases defect injection and rework probability.</t>
  </si>
  <si>
    <t>Low -&gt; I=3 | Medium -&gt; I=2 | High -&gt; I=1. Low personnel capability (15th-percentile ACAP/PCAP, EAF=1.369) substantially increases development risk; High-capability teams (75th percentile, EAF=0.748) contain damage even when problems occur, so residual impact is treated as low, not catastrophic.</t>
  </si>
  <si>
    <t>COCOMO II ACAP/PCAP (Boehm 2000, Appendix A); Brooks (1995)</t>
  </si>
  <si>
    <t>Quality Risk</t>
  </si>
  <si>
    <t>QL (NASA-derived, supplements Pressman's 5 categories per project instructions)</t>
  </si>
  <si>
    <t>Defect_Density (defects per KLOC)</t>
  </si>
  <si>
    <t>Density&lt;5 -&gt; P=0.20 | 5-9.9 -&gt; P=0.45 | 10-17.9 -&gt; P=0.70 | &gt;=18 -&gt; P=0.90. Jones (2012, Applied Software Measurement) documents 5-15 defects/KLOC pre-test as typical industry baseline; the NASA CM1 (PROMISE) dataset averages ~6.1 defects/KLOC.</t>
  </si>
  <si>
    <t>Density&lt;5 -&gt; I=1 | 5-9.9 -&gt; I=2 | 10-17.9 -&gt; I=3 | &gt;=18 -&gt; I=4. Jones (2012) treats &gt;25 defects/KLOC as a 'quality crisis'; densities at or above 18/KLOC are treated as catastrophic to product quality, consistent with that literature threshold.</t>
  </si>
  <si>
    <t>NASA/PROMISE (Menzies et al., 2012); Jones (2012)</t>
  </si>
  <si>
    <t>Traceability: every Probability/Impact cell in 'Risk_Calculation_Engine' columns B-S is an IF() formula that implements exactly the band rule documented in this table for that risk — open any cell to see the live rule.</t>
  </si>
  <si>
    <t>RISK CALCULATION ENGINE — Per-Project Probability, Impact, Risk Exposure (RE = P x I), Aggregation, Percentile Labeling</t>
  </si>
  <si>
    <t>Pressman (2014, Ch.28) defines Risk Exposure for an INDIVIDUAL risk as RE = Probability x Impact. He does NOT define a formula for combining multiple RE values into one project-level score. Column T (Overall_Project_Risk_Score) is therefore this research's PROPOSED aggregation method, not a Pressman formula. All Probability/Impact assignment rules are documented, literature-grounded, and rule-based (never random) — see 'Risk_Assessment_Rules' for the full rationale of every threshold used below.</t>
  </si>
  <si>
    <t>Prob_ProductSize</t>
  </si>
  <si>
    <t>Impact_ProductSize</t>
  </si>
  <si>
    <t>RE_ProductSize</t>
  </si>
  <si>
    <t>Prob_Technology</t>
  </si>
  <si>
    <t>Impact_Technology</t>
  </si>
  <si>
    <t>RE_Technology</t>
  </si>
  <si>
    <t>Prob_Customer</t>
  </si>
  <si>
    <t>Impact_Customer</t>
  </si>
  <si>
    <t>RE_Customer</t>
  </si>
  <si>
    <t>Prob_Process</t>
  </si>
  <si>
    <t>Impact_Process</t>
  </si>
  <si>
    <t>RE_Process</t>
  </si>
  <si>
    <t>Prob_Staff</t>
  </si>
  <si>
    <t>Impact_Staff</t>
  </si>
  <si>
    <t>RE_Staff</t>
  </si>
  <si>
    <t>Prob_Quality</t>
  </si>
  <si>
    <t>Impact_Quality</t>
  </si>
  <si>
    <t>RE_Quality</t>
  </si>
  <si>
    <t>Overall_Project_Risk_Score</t>
  </si>
  <si>
    <t>AGGREGATION WEIGHTS (proposed, sum = 1.00)</t>
  </si>
  <si>
    <t>Category</t>
  </si>
  <si>
    <t>Weight</t>
  </si>
  <si>
    <t>Product Size (PS)</t>
  </si>
  <si>
    <t>Technology (TE)</t>
  </si>
  <si>
    <t>Customer (CU)</t>
  </si>
  <si>
    <t>Process (PR)</t>
  </si>
  <si>
    <t>Staff (ST)</t>
  </si>
  <si>
    <t>Quality (QL, NASA-derived)</t>
  </si>
  <si>
    <t>SUM CHECK</t>
  </si>
  <si>
    <t>PERCENTILE RISK-LABEL THRESHOLDS</t>
  </si>
  <si>
    <t>P33.33 (Low/Medium cut)</t>
  </si>
  <si>
    <t>P66.67 (Medium/High cut)</t>
  </si>
  <si>
    <t>Label counts (should be ~500/500/500 - balanced tertiles)</t>
  </si>
  <si>
    <t>Low</t>
  </si>
  <si>
    <t>Medium</t>
  </si>
  <si>
    <t>High</t>
  </si>
  <si>
    <t>RISK LABEL METHODOLOGY — Full Derivation, Literature Grounding, and Research Contribution</t>
  </si>
  <si>
    <t>1. PROBABILITY ESTIMATION APPROACH</t>
  </si>
  <si>
    <t>Roger Pressman (2014, Ch.28) recommends estimating risk probability using historical project information, expert judgement, and current project conditions — he does NOT publish fixed universal probability percentages. This research follows that recommendation directly:</t>
  </si>
  <si>
    <t>- Historical information is represented through COCOMO II software metrics (Boehm 2000), NASA software quality metrics (Menzies et al., 2012), and simulated software project scenarios built to match realistic COCOMO81/NASA ranges.</t>
  </si>
  <si>
    <t>- Current project conditions are represented through KSLOC, CPLX, Schedule_Pressure_Index, Requirements_Change_Count, Capability_Index, and Defect_Density (each project's own measured values).</t>
  </si>
  <si>
    <t>Probability is therefore estimated using predefined, project-specific mapping rules based on these measurable software-engineering metrics, banded into ranges consistent with existing literature thresholds (COCOMO ordinal categories, Jones' defect-density baselines, DeMarco &amp; Lister's schedule-pressure findings). Every rule is fully documented, cell-by-cell, in 'Risk_Assessment_Rules'. No probability value in this workbook is randomly assigned.</t>
  </si>
  <si>
    <t>2. IMPACT ESTIMATION APPROACH</t>
  </si>
  <si>
    <t>Impact is assigned using Pressman's four-level impact scale, with one disclosed adaptation. Pressman's original risk-table slides (Software Engineering: A Practitioner's Approach, Ch.28) rate impact as: 1=Catastrophic, 2=Critical, 3=Marginal, 4=Negligible (DESCENDING severity). This research uses an ASCENDING scale instead: 1=Negligible, 2=Marginal, 3=Critical, 4=Catastrophic.</t>
  </si>
  <si>
    <t>This is disclosed here explicitly as a methodological adaptation of this research, not presented as Pressman's original scale, for one practical reason: RE = Probability x Impact and the downstream weighted aggregation both need 'higher number = higher severity' to behave monotonically (higher score, higher risk). Using Pressman's original descending scale would make RE fall as impact worsens, which would break both the individual RE calculation and the project-level aggregation.</t>
  </si>
  <si>
    <t>Every Impact assignment is rule-based against the same measurable bands as Probability (see Risk_Assessment_Rules) and is never assigned as a bare number without a documented reason.</t>
  </si>
  <si>
    <t>3. INDIVIDUAL RISK EXPOSURE (Pressman, 2014)</t>
  </si>
  <si>
    <t>For each of the six risk categories identified per project, Risk Exposure is calculated exactly as Pressman defines it for an individual risk:  RE = Probability x Impact.  This is computed live in 'Risk_Calculation_Engine' columns D, G, J, M, P, S (RE_ProductSize, RE_Technology, RE_Customer, RE_Process, RE_Staff, RE_Quality).</t>
  </si>
  <si>
    <t>4. OVERALL PROJECT RISK SCORE — DISCLOSED RESEARCH CONTRIBUTION</t>
  </si>
  <si>
    <t>Pressman defines Risk Exposure only for an INDIVIDUAL risk. He does not define a formula for combining multiple RE values into one project-level score. THIS AGGREGATION IS NOT FROM PRESSMAN. It is proposed by this research to make the six per-category RE values usable as a single machine-learning-ready target driver:</t>
  </si>
  <si>
    <t>Overall_Project_Risk_Score = 0.18 x RE_ProductSize + 0.14 x RE_Technology + 0.20 x RE_Customer + 0.24 x RE_Process + 0.10 x RE_Staff + 0.14 x RE_Quality   (weights sum to 1.00)</t>
  </si>
  <si>
    <t>Weight rationale: Process (0.24) and Customer (0.20) receive the largest weights, reflecting Pressman's own emphasis that process-definition failures (arbitrary deadlines, poor monitoring) and customer/requirements volatility are the most common root causes of software project failure. Staff receives the smallest individual weight (0.10) because its effect is already partly captured indirectly through Product Size (effort estimation depends on capability via the COCOMO II EAF). Product Size, Technology and Quality are weighted 0.18/0.14/0.14 reflecting their more localized (rather than project-wide) impact. These weights are an explicit, disclosed research choice — not a value taken from Pressman, COCOMO II, or NASA.</t>
  </si>
  <si>
    <t>5. RISK LABEL GENERATION — PERCENTILE THRESHOLDING (single strategy used throughout the workbook)</t>
  </si>
  <si>
    <t>Because this dataset targets a supervised ML classifier, thresholds are computed as the 33.33rd and 66.67th percentiles of Overall_Project_Risk_Score across the full 1500-project dataset (Risk_Calculation_Engine!Y15, Y16), which by construction produces balanced Low/Medium/High classes (this run: 501 / 499 / 500 projects). This is the ONLY thresholding method used anywhere in this workbook; no fixed absolute cut-points (e.g. RE&lt;0.35) are used, and any such fixed-threshold description from earlier drafts should be treated as superseded by this method.</t>
  </si>
  <si>
    <t>Risk_Label = 'Low' if Overall_Project_Risk_Score &lt;= P33.33 | 'Medium' if &lt;= P66.67 | 'High' otherwise (Risk_Calculation_Engine column U; linked into Dataset columns N-O as Risk_Level (1/2/3) and Risk_Label (text)).</t>
  </si>
  <si>
    <t>6. METHODOLOGY FLOW</t>
  </si>
  <si>
    <t>Project Metrics (12 raw features, Dataset sheet)
  -&gt; COCOMO II Metrics (KSLOC, CPLX, Effort, Duration, Capability)
  -&gt; NASA Quality Metrics (Defect Count, Density, Resolution Rate, Trend)
  -&gt; Pressman Risk Identification (6 categories: PS, TE, CU, PR, ST, QL)
  -&gt; Estimate Probability (historical data + current project conditions + documented assignment rules)
  -&gt; Estimate Impact (Pressman impact scale, ascending-adapted + documented assignment rules)
  -&gt; Calculate Individual Risk Exposure  RE = Probability x Impact  (Pressman, 2014)
  -&gt; Aggregate Individual Risk Exposures into Overall_Project_Risk_Score  (PROPOSED research method)
  -&gt; Generate Risk Label via percentile thresholds  (Low / Medium / High)
  -&gt; Machine Learning Model trained on the 12 raw features -&gt; Predicted Risk Level
  -&gt; Pressman RMMM Recommendations applied to the PREDICTED risk level (Risk_Table_RMMM sheet)</t>
  </si>
  <si>
    <t>7. LITERATURE vs. RESEARCH CONTRIBUTION — EXPLICIT DISTINCTION</t>
  </si>
  <si>
    <t>PRESSMAN PROVIDES: risk identification categories; the probability-estimation CONCEPT (not fixed numbers); the impact CONCEPT and its four qualitative levels; the individual Risk Exposure formula RE = Probability x Impact; and RMMM (Risk Mitigation, Monitoring, Management).</t>
  </si>
  <si>
    <t>COCOMO II (BOEHM 2000) PROVIDES: KSLOC as the size driver; CPLX; the Effort formula (PM=2.94xKSLOC^1.10xEAF); the TDEV duration formula; and the ACAP/PCAP personnel-capability cost drivers used for Capability_Index.</t>
  </si>
  <si>
    <t>NASA / PROMISE PROVIDES: Defect_Count and Defect_Density baselines and typical industry ranges.</t>
  </si>
  <si>
    <t>THIS RESEARCH CONTRIBUTES: the project-specific Probability assignment rules (band thresholds); the project-specific Impact assignment rules, including the disclosed ascending-scale adaptation; the identification of a sixth (Quality) risk category from NASA defect metrics to supplement Pressman's five; the project-level aggregation of six individual RE values into one Overall_Project_Risk_Score; the percentile-based Risk Label generation; the resulting ML-ready dataset and its downstream classification model; and the application of Pressman's RMMM plan to the model's PREDICTED risk level rather than to label generation.</t>
  </si>
  <si>
    <t>This workbook must never be read or presented as implying that Pressman, COCOMO II, or NASA themselves define the aggregation formula, the percentile thresholding, or the ML methodology — those are explicit, disclosed contributions of this research, defensible on their own stated rationale.</t>
  </si>
  <si>
    <t>PRESSMAN RMMM PLAN — Applied to the ML-PREDICTED Risk Level (not used to generate labels)</t>
  </si>
  <si>
    <t>Per this research's methodology, RMMM is applied AFTER the ML model predicts a project's Risk Level — it is never used to generate the Low/Medium/High training labels (those come from the percentile-based Overall_Project_Risk_Score, see Risk_Label_Methodology). Flow: Project Metrics -&gt; Risk Assessment -&gt; Machine Learning Prediction -&gt; Predicted Risk Level -&gt; Pressman RMMM (Mitigation, Monitoring, Management). Impact scale here matches the ascending convention used throughout this workbook (1=Negligible...4=Catastrophic) — see Risk_Label_Methodology Section 2 for why this differs from Pressman's original descending textbook scale.</t>
  </si>
  <si>
    <t>Risk ID</t>
  </si>
  <si>
    <t>Risk Description</t>
  </si>
  <si>
    <t>Typical Trigger
(monitoring)</t>
  </si>
  <si>
    <t>Impact
(1=Negligible...4=Catastrophic)</t>
  </si>
  <si>
    <t>RMMM — Mitigation / Monitoring / Management</t>
  </si>
  <si>
    <t>R01</t>
  </si>
  <si>
    <t>KSLOC &gt;= 120: very large system increases integration defects and estimation error</t>
  </si>
  <si>
    <t>KSLOC growth vs. estimate at each phase gate; trigger if actual &gt; 120% of estimate</t>
  </si>
  <si>
    <t>MITIGATION: Decompose into subsystems (Pressman modular decomposition); re-estimate effort with COCOMO II after decomposition. MONITORING: Track KSLOC growth at each phase gate. MANAGEMENT: Allocate 15% schedule reserve for integration; consider incremental delivery.</t>
  </si>
  <si>
    <t>R02</t>
  </si>
  <si>
    <t>CPLX rated High or Very High: high complexity increases defect injection rate</t>
  </si>
  <si>
    <t>Re-rate CPLX at each design-phase change</t>
  </si>
  <si>
    <t>MITIGATION: Formal design reviews (Pressman technical review); use design patterns to reduce architectural complexity. MONITORING: Re-rate CPLX if architecture changes. MANAGEMENT: Add specialist developers for high-CPLX modules; budget 20% extra testing time.</t>
  </si>
  <si>
    <t>R03</t>
  </si>
  <si>
    <t>Requirements_Change_Count &gt;= 10: scope creep from customer changes</t>
  </si>
  <si>
    <t>CR rate per week; trigger if &gt;2/week or count &gt; 10</t>
  </si>
  <si>
    <t>MITIGATION: Freeze requirements at sprint -3; require CCB approval for all CRs; re-estimate each CR's impact with COCOMO II. MONITORING: Count CRs per week. MANAGEMENT: Defer low-priority CRs to next release; renegotiate effort/cost for accepted CRs.</t>
  </si>
  <si>
    <t>R04</t>
  </si>
  <si>
    <t>Schedule_Pressure_Index &gt;= 1.8: severe compression vs. COCOMO II TDEV estimate</t>
  </si>
  <si>
    <t>Recalculate SPI each sprint; trigger at SPI &gt; 1.5-1.8</t>
  </si>
  <si>
    <t>MITIGATION: Negotiate deadline using COCOMO II TDEV as evidence; reduce scope for a fixed date; add schedule reserve = 20% of PM. MONITORING: Recalculate SPI at each sprint. MANAGEMENT: Invoke scope renegotiation with stakeholders; parallel-track independent modules.</t>
  </si>
  <si>
    <t>R05</t>
  </si>
  <si>
    <t>Capability_Index = Low (ACAP/PCAP below nominal)</t>
  </si>
  <si>
    <t>Defect-injection rate per developer; trigger if &gt;50% above team average</t>
  </si>
  <si>
    <t>MITIGATION: Assign senior developers to highest-CPLX modules; re-assess ACAP/PCAP after 2 sprints. MONITORING: Track defect injection per developer. MANAGEMENT: Provide targeted training; re-assign tasks if mismatch persists.</t>
  </si>
  <si>
    <t>R06</t>
  </si>
  <si>
    <t>Defect_Density &gt;= 18/KLOC: quality out of control</t>
  </si>
  <si>
    <t>QL</t>
  </si>
  <si>
    <t>Recalculate density each sprint boundary; trigger at &gt;=18/KLOC</t>
  </si>
  <si>
    <t>MITIGATION: Peer code review and static analysis before testing (Jones, 2012: reviews cut defect density 60-80%). MONITORING: Density at each sprint boundary. MANAGEMENT: Pause new features; focus sprint on defect resolution until density &lt; 10/KLOC.</t>
  </si>
  <si>
    <t>R07</t>
  </si>
  <si>
    <t>Defect_Resolution_Rate &lt; 40%: defect backlog accumulating</t>
  </si>
  <si>
    <t>Recalculate DRR each sprint review; trigger at DRR&lt;40%</t>
  </si>
  <si>
    <t>MITIGATION: Dedicated bug-fix developers from project start; no new features until DRR &gt; 60%. MONITORING: DRR at each sprint review. MANAGEMENT: Escalate to PM if DRR &lt; 25%; consider a quality-gate release hold.</t>
  </si>
  <si>
    <t>R08</t>
  </si>
  <si>
    <t>Defect_Trend = Increasing for 2+ consecutive periods</t>
  </si>
  <si>
    <t>Compare defect count period N vs N-1; trigger at 2 consecutive rises &gt;=10%</t>
  </si>
  <si>
    <t>MITIGATION: Treat a 2-period rise as a process-breakdown signal, not noise; initiate root-cause analysis. MONITORING: Compare defect counts each period. MANAGEMENT: Emergency technical review; suspend changes to the most-defective modules.</t>
  </si>
  <si>
    <t>ENCODING REFERENCE — All Categorical Codes Explained</t>
  </si>
  <si>
    <t>CPLX — Product Complexity (COCOMO II cost driver, Boehm 2000, Table A.8)</t>
  </si>
  <si>
    <t>Code</t>
  </si>
  <si>
    <t>Label</t>
  </si>
  <si>
    <t>Example / Usage</t>
  </si>
  <si>
    <t>Very Low (VL)</t>
  </si>
  <si>
    <t>Simple control flow, simple maths. EAF=0.73</t>
  </si>
  <si>
    <t>Standard utility programs</t>
  </si>
  <si>
    <t>Low (L)</t>
  </si>
  <si>
    <t>Some I/O processing, basic data structures. EAF=0.87</t>
  </si>
  <si>
    <t>Business applications</t>
  </si>
  <si>
    <t>Nominal (N)</t>
  </si>
  <si>
    <t>Multifile I/O, moderate data management. EAF=1.00</t>
  </si>
  <si>
    <t>Baseline - most commercial software</t>
  </si>
  <si>
    <t>High (H)</t>
  </si>
  <si>
    <t>Real-time processing, complex algorithms. EAF=1.17</t>
  </si>
  <si>
    <t>Embedded systems, compilers</t>
  </si>
  <si>
    <t>Very High (VH)</t>
  </si>
  <si>
    <t>Highly coupled operations, AI/optimisation. EAF=1.34</t>
  </si>
  <si>
    <t>Avionics, medical devices</t>
  </si>
  <si>
    <t>Capability_Index — Composite ACAP+PCAP (COCOMO II, Boehm 2000, Appendix A)</t>
  </si>
  <si>
    <t>ACAP/PCAP=L (15th percentile). Combined EAF=1.369</t>
  </si>
  <si>
    <t>Junior team, &lt;2 yrs avg. experience</t>
  </si>
  <si>
    <t>ACAP/PCAP=N (55th percentile). Combined EAF=1.000</t>
  </si>
  <si>
    <t>Mixed team, 2-5 yrs avg. experience</t>
  </si>
  <si>
    <t>ACAP/PCAP=H (75th percentile). Combined EAF=0.748</t>
  </si>
  <si>
    <t>Senior team, &gt;5 yrs avg. experience</t>
  </si>
  <si>
    <t>Defect_Trend — Monitoring metric (Pressman 2014, Ch.28, RMMM)</t>
  </si>
  <si>
    <t>Decreasing</t>
  </si>
  <si>
    <t>Defect count fell &gt;=10% vs previous period. Risk improving.</t>
  </si>
  <si>
    <t>Risk monitoring: no action needed</t>
  </si>
  <si>
    <t>Stable</t>
  </si>
  <si>
    <t>Defect count within +/-10% of previous period.</t>
  </si>
  <si>
    <t>Risk monitoring: continue watching</t>
  </si>
  <si>
    <t>Increasing</t>
  </si>
  <si>
    <t>Defect count rose &gt;=10% vs previous period.</t>
  </si>
  <si>
    <t>RMMM Risk R08: initiate root-cause analysis</t>
  </si>
  <si>
    <t>Impact Scale — used in Risk_Calculation_Engine and Risk_Table_RMMM (ASCENDING, disclosed adaptation of Pressman)</t>
  </si>
  <si>
    <t>Negligible</t>
  </si>
  <si>
    <t>Minimal consequence to schedule, cost, or quality if the risk occurs.</t>
  </si>
  <si>
    <t>Low band on every risk's metric</t>
  </si>
  <si>
    <t>Marginal</t>
  </si>
  <si>
    <t>Noticeable but manageable consequence.</t>
  </si>
  <si>
    <t>Second band</t>
  </si>
  <si>
    <t>Critical</t>
  </si>
  <si>
    <t>Serious consequence requiring active management response.</t>
  </si>
  <si>
    <t>Third band</t>
  </si>
  <si>
    <t>Catastrophic</t>
  </si>
  <si>
    <t>Consequence threatens project success outright.</t>
  </si>
  <si>
    <t>Top band on every risk's metric</t>
  </si>
  <si>
    <t>NOTE: Pressman's own Ch.28 risk-table slides use the OPPOSITE (descending) numbering: 1=Catastrophic...4=Negligible. This workbook inverts it to ascending for the RE=PxI arithmetic to be monotonic — see Risk_Label_Methodology Section 2 for the full disclosure.</t>
  </si>
  <si>
    <t>Risk_Level / Risk_Label — TARGET (percentile-based, this research's proposed method)</t>
  </si>
  <si>
    <t>Overall_Project_Risk_Score &lt;= P33.33 across all 1500 projects.</t>
  </si>
  <si>
    <t>No immediate action required</t>
  </si>
  <si>
    <t>P33.33 &lt; Score &lt;= P66.67.</t>
  </si>
  <si>
    <t>Activate RMMM monitoring triggers</t>
  </si>
  <si>
    <t>Score &gt; P66.67.</t>
  </si>
  <si>
    <t>Execute RMMM management plan on prediction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</si>
</sst>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b/>
      <sz val="13"/>
      <color rgb="FFFFFFFF"/>
      <name val="Arial"/>
      <charset val="1"/>
    </font>
    <font>
      <i/>
      <sz val="9"/>
      <color rgb="FF444444"/>
      <name val="Arial"/>
      <charset val="1"/>
    </font>
    <font>
      <b/>
      <sz val="10"/>
      <color rgb="FFFFFFFF"/>
      <name val="Arial"/>
      <charset val="1"/>
    </font>
    <font>
      <sz val="10"/>
      <color rgb="FF0000FF"/>
      <name val="Arial"/>
      <charset val="1"/>
    </font>
    <font>
      <sz val="10"/>
      <color rgb="FF000000"/>
      <name val="Arial"/>
      <charset val="1"/>
    </font>
    <font>
      <sz val="10"/>
      <color rgb="FF008000"/>
      <name val="Arial"/>
      <charset val="1"/>
    </font>
    <font>
      <b/>
      <sz val="10"/>
      <name val="Arial"/>
      <charset val="1"/>
    </font>
    <font>
      <sz val="10"/>
      <name val="Arial"/>
      <charset val="1"/>
    </font>
    <font>
      <i/>
      <sz val="9"/>
      <color rgb="FF555555"/>
      <name val="Arial"/>
      <charset val="1"/>
    </font>
    <font>
      <b/>
      <sz val="9"/>
      <color rgb="FFFFFFFF"/>
      <name val="Arial"/>
      <charset val="1"/>
    </font>
    <font>
      <i/>
      <sz val="9"/>
      <name val="Arial"/>
      <charset val="1"/>
    </font>
    <font>
      <b/>
      <sz val="12"/>
      <color rgb="FFFFFFFF"/>
      <name val="Arial"/>
      <charset val="1"/>
    </font>
    <font>
      <b/>
      <sz val="10"/>
      <color rgb="FF1F4E78"/>
      <name val="Arial"/>
      <charset val="1"/>
    </font>
    <font>
      <i/>
      <sz val="9"/>
      <color rgb="FF7A2E2E"/>
      <name val="Arial"/>
      <charset val="1"/>
    </font>
  </fonts>
  <fills count="17">
    <fill>
      <patternFill patternType="none"/>
    </fill>
    <fill>
      <patternFill patternType="gray125"/>
    </fill>
    <fill>
      <patternFill patternType="solid">
        <fgColor rgb="FF1F4E78"/>
        <bgColor rgb="FF2E5C8A"/>
      </patternFill>
    </fill>
    <fill>
      <patternFill patternType="solid">
        <fgColor rgb="FF2E5C8A"/>
        <bgColor rgb="FF1F4E78"/>
      </patternFill>
    </fill>
    <fill>
      <patternFill patternType="solid">
        <fgColor rgb="FF4A6741"/>
        <bgColor rgb="FF595959"/>
      </patternFill>
    </fill>
    <fill>
      <patternFill patternType="solid">
        <fgColor rgb="FF6B8E5A"/>
        <bgColor rgb="FF969696"/>
      </patternFill>
    </fill>
    <fill>
      <patternFill patternType="solid">
        <fgColor rgb="FF7A2E2E"/>
        <bgColor rgb="FFA83232"/>
      </patternFill>
    </fill>
    <fill>
      <patternFill patternType="solid">
        <fgColor rgb="FFA83232"/>
        <bgColor rgb="FF7A2E2E"/>
      </patternFill>
    </fill>
    <fill>
      <patternFill patternType="solid">
        <fgColor rgb="FFFCE4D6"/>
        <bgColor rgb="FFFFF2CC"/>
      </patternFill>
    </fill>
    <fill>
      <patternFill patternType="solid">
        <fgColor rgb="FFD9E1F2"/>
        <bgColor rgb="FFD0E0E3"/>
      </patternFill>
    </fill>
    <fill>
      <patternFill patternType="solid">
        <fgColor rgb="FFE2EFDA"/>
        <bgColor rgb="FFD9E1F2"/>
      </patternFill>
    </fill>
    <fill>
      <patternFill patternType="solid">
        <fgColor rgb="FFFFF2CC"/>
        <bgColor rgb="FFFCE4D6"/>
      </patternFill>
    </fill>
    <fill>
      <patternFill patternType="solid">
        <fgColor rgb="FFEAD1DC"/>
        <bgColor rgb="FFD9E1F2"/>
      </patternFill>
    </fill>
    <fill>
      <patternFill patternType="solid">
        <fgColor rgb="FFD0E0E3"/>
        <bgColor rgb="FFD9E1F2"/>
      </patternFill>
    </fill>
    <fill>
      <patternFill patternType="solid">
        <fgColor rgb="FF595959"/>
        <bgColor rgb="FF555555"/>
      </patternFill>
    </fill>
    <fill>
      <patternFill patternType="solid">
        <fgColor rgb="FF5B2C6F"/>
        <bgColor rgb="FF7D3C98"/>
      </patternFill>
    </fill>
    <fill>
      <patternFill patternType="solid">
        <fgColor rgb="FF7D3C98"/>
        <bgColor rgb="FF5B2C6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6">
    <xf numFmtId="0" fontId="0" fillId="0" borderId="0" xfId="0"/>
    <xf numFmtId="0" fontId="7" fillId="0" borderId="0" xfId="0" applyFont="1"/>
    <xf numFmtId="0" fontId="7" fillId="0" borderId="0" xfId="0" applyFont="1" applyAlignment="1">
      <alignment horizontal="left" vertical="top" wrapText="1"/>
    </xf>
    <xf numFmtId="0" fontId="13" fillId="0" borderId="0" xfId="0" applyFont="1" applyAlignment="1">
      <alignment horizontal="left" vertical="top" wrapText="1"/>
    </xf>
    <xf numFmtId="0" fontId="8" fillId="0" borderId="0" xfId="0" applyFont="1" applyAlignment="1">
      <alignment horizontal="left" vertical="top" wrapText="1"/>
    </xf>
    <xf numFmtId="0" fontId="12" fillId="16" borderId="0" xfId="0" applyFont="1" applyFill="1" applyAlignment="1">
      <alignment horizontal="left" vertical="center" indent="1"/>
    </xf>
    <xf numFmtId="0" fontId="1" fillId="15" borderId="0" xfId="0" applyFont="1" applyFill="1" applyAlignment="1">
      <alignment horizontal="left" vertical="center" indent="1"/>
    </xf>
    <xf numFmtId="0" fontId="11" fillId="0" borderId="0" xfId="0" applyFont="1"/>
    <xf numFmtId="0" fontId="3" fillId="14" borderId="0" xfId="0" applyFont="1" applyFill="1" applyAlignment="1">
      <alignment horizontal="left" indent="1"/>
    </xf>
    <xf numFmtId="0" fontId="2" fillId="0" borderId="0" xfId="0" applyFont="1" applyAlignment="1">
      <alignment vertical="top" wrapText="1"/>
    </xf>
    <xf numFmtId="0" fontId="1" fillId="6" borderId="0" xfId="0" applyFont="1" applyFill="1" applyAlignment="1">
      <alignment horizontal="left" vertical="center" indent="1"/>
    </xf>
    <xf numFmtId="0" fontId="9" fillId="0" borderId="0" xfId="0" applyFont="1" applyAlignment="1">
      <alignment horizontal="left" vertical="top" wrapText="1"/>
    </xf>
    <xf numFmtId="0" fontId="1" fillId="4" borderId="0" xfId="0" applyFont="1" applyFill="1" applyAlignment="1">
      <alignment horizontal="left" vertical="center" indent="1"/>
    </xf>
    <xf numFmtId="0" fontId="2" fillId="0" borderId="0" xfId="0" applyFont="1" applyAlignment="1">
      <alignment horizontal="left" vertical="top" wrapText="1"/>
    </xf>
    <xf numFmtId="0" fontId="1" fillId="2" borderId="0" xfId="0" applyFont="1" applyFill="1" applyAlignment="1">
      <alignment horizontal="left" vertical="center" indent="1"/>
    </xf>
    <xf numFmtId="0" fontId="3" fillId="3" borderId="1" xfId="0" applyFont="1" applyFill="1" applyBorder="1" applyAlignment="1">
      <alignment horizontal="center" vertical="center" wrapText="1"/>
    </xf>
    <xf numFmtId="0" fontId="4" fillId="0" borderId="1" xfId="0" applyFont="1" applyBorder="1" applyAlignment="1">
      <alignment horizontal="center"/>
    </xf>
    <xf numFmtId="0" fontId="5" fillId="0" borderId="1" xfId="0" applyFont="1" applyBorder="1"/>
    <xf numFmtId="0" fontId="6" fillId="0" borderId="1" xfId="0" applyFont="1" applyBorder="1" applyAlignment="1">
      <alignment horizontal="center"/>
    </xf>
    <xf numFmtId="0" fontId="7" fillId="0" borderId="1" xfId="0" applyFont="1" applyBorder="1" applyAlignment="1">
      <alignment horizontal="left" vertical="top" wrapText="1"/>
    </xf>
    <xf numFmtId="0" fontId="8" fillId="0" borderId="1" xfId="0" applyFont="1" applyBorder="1" applyAlignment="1">
      <alignment horizontal="left" vertical="top" wrapText="1"/>
    </xf>
    <xf numFmtId="0" fontId="3" fillId="5"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10" fillId="13" borderId="1" xfId="0" applyFont="1" applyFill="1" applyBorder="1" applyAlignment="1">
      <alignment horizontal="center" vertical="center" wrapText="1"/>
    </xf>
    <xf numFmtId="0" fontId="5" fillId="0" borderId="1" xfId="0" applyFont="1" applyBorder="1" applyAlignment="1">
      <alignment horizontal="center"/>
    </xf>
    <xf numFmtId="0" fontId="7" fillId="0" borderId="0" xfId="0" applyFont="1"/>
    <xf numFmtId="0" fontId="8" fillId="0" borderId="0" xfId="0" applyFont="1"/>
    <xf numFmtId="0" fontId="4" fillId="0" borderId="0" xfId="0" applyFont="1"/>
    <xf numFmtId="0" fontId="5" fillId="0" borderId="0" xfId="0" applyFont="1"/>
    <xf numFmtId="0" fontId="3" fillId="7" borderId="1" xfId="0" applyFont="1" applyFill="1" applyBorder="1" applyAlignment="1">
      <alignment horizontal="center" vertical="center" wrapText="1"/>
    </xf>
    <xf numFmtId="0" fontId="14"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4A6741"/>
      <rgbColor rgb="FF800080"/>
      <rgbColor rgb="FF008080"/>
      <rgbColor rgb="FFBFBFBF"/>
      <rgbColor rgb="FF6B8E5A"/>
      <rgbColor rgb="FF9999FF"/>
      <rgbColor rgb="FF7D3C98"/>
      <rgbColor rgb="FFFFF2CC"/>
      <rgbColor rgb="FFD9E1F2"/>
      <rgbColor rgb="FF5B2C6F"/>
      <rgbColor rgb="FFFF8080"/>
      <rgbColor rgb="FF2E5C8A"/>
      <rgbColor rgb="FFD0E0E3"/>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EAD1DC"/>
      <rgbColor rgb="FF3366FF"/>
      <rgbColor rgb="FF33CCCC"/>
      <rgbColor rgb="FF99CC00"/>
      <rgbColor rgb="FFFFCC00"/>
      <rgbColor rgb="FFFF9900"/>
      <rgbColor rgb="FFFF6600"/>
      <rgbColor rgb="FF595959"/>
      <rgbColor rgb="FF969696"/>
      <rgbColor rgb="FF003366"/>
      <rgbColor rgb="FF339966"/>
      <rgbColor rgb="FF003300"/>
      <rgbColor rgb="FF555555"/>
      <rgbColor rgb="FFA83232"/>
      <rgbColor rgb="FF7A2E2E"/>
      <rgbColor rgb="FF1F4E78"/>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04"/>
  <sheetViews>
    <sheetView showGridLines="0" zoomScaleNormal="100" workbookViewId="0">
      <pane ySplit="4" topLeftCell="A9" activePane="bottomLeft" state="frozen"/>
      <selection pane="bottomLeft" activeCell="Q46" sqref="Q46"/>
    </sheetView>
  </sheetViews>
  <sheetFormatPr defaultColWidth="8.7109375" defaultRowHeight="15" x14ac:dyDescent="0.25"/>
  <cols>
    <col min="1" max="1" width="11" customWidth="1"/>
    <col min="2" max="2" width="9" customWidth="1"/>
    <col min="3" max="3" width="7" customWidth="1"/>
    <col min="4" max="4" width="11" customWidth="1"/>
    <col min="5" max="5" width="17.42578125" customWidth="1"/>
    <col min="6" max="6" width="17.85546875" customWidth="1"/>
    <col min="7" max="7" width="21.85546875" customWidth="1"/>
    <col min="8" max="8" width="25.140625" customWidth="1"/>
    <col min="9" max="9" width="15" customWidth="1"/>
    <col min="10" max="10" width="14.85546875" customWidth="1"/>
    <col min="11" max="11" width="19.42578125" customWidth="1"/>
    <col min="12" max="12" width="23.28515625" customWidth="1"/>
    <col min="13" max="13" width="16.28515625" customWidth="1"/>
    <col min="14" max="14" width="14.42578125" customWidth="1"/>
    <col min="15" max="15" width="11" customWidth="1"/>
  </cols>
  <sheetData>
    <row r="1" spans="1:15" ht="24" customHeight="1" x14ac:dyDescent="0.25">
      <c r="A1" s="14" t="s">
        <v>0</v>
      </c>
      <c r="B1" s="14"/>
      <c r="C1" s="14"/>
      <c r="D1" s="14"/>
      <c r="E1" s="14"/>
      <c r="F1" s="14"/>
      <c r="G1" s="14"/>
      <c r="H1" s="14"/>
      <c r="I1" s="14"/>
      <c r="J1" s="14"/>
      <c r="K1" s="14"/>
      <c r="L1" s="14"/>
      <c r="M1" s="14"/>
      <c r="N1" s="14"/>
      <c r="O1" s="14"/>
    </row>
    <row r="2" spans="1:15" ht="30" customHeight="1" x14ac:dyDescent="0.25">
      <c r="A2" s="13" t="s">
        <v>1</v>
      </c>
      <c r="B2" s="13"/>
      <c r="C2" s="13"/>
      <c r="D2" s="13"/>
      <c r="E2" s="13"/>
      <c r="F2" s="13"/>
      <c r="G2" s="13"/>
      <c r="H2" s="13"/>
      <c r="I2" s="13"/>
      <c r="J2" s="13"/>
      <c r="K2" s="13"/>
      <c r="L2" s="13"/>
      <c r="M2" s="13"/>
      <c r="N2" s="13"/>
      <c r="O2" s="13"/>
    </row>
    <row r="4" spans="1:15" ht="31.5" customHeight="1" x14ac:dyDescent="0.25">
      <c r="A4" s="15" t="s">
        <v>2</v>
      </c>
      <c r="B4" s="15" t="s">
        <v>3</v>
      </c>
      <c r="C4" s="15" t="s">
        <v>4</v>
      </c>
      <c r="D4" s="15" t="s">
        <v>5</v>
      </c>
      <c r="E4" s="15" t="s">
        <v>6</v>
      </c>
      <c r="F4" s="15" t="s">
        <v>7</v>
      </c>
      <c r="G4" s="15" t="s">
        <v>8</v>
      </c>
      <c r="H4" s="15" t="s">
        <v>9</v>
      </c>
      <c r="I4" s="15" t="s">
        <v>10</v>
      </c>
      <c r="J4" s="15" t="s">
        <v>11</v>
      </c>
      <c r="K4" s="15" t="s">
        <v>12</v>
      </c>
      <c r="L4" s="15" t="s">
        <v>13</v>
      </c>
      <c r="M4" s="15" t="s">
        <v>14</v>
      </c>
      <c r="N4" s="15" t="s">
        <v>15</v>
      </c>
      <c r="O4" s="15" t="s">
        <v>16</v>
      </c>
    </row>
    <row r="5" spans="1:15" ht="15" customHeight="1" x14ac:dyDescent="0.25">
      <c r="A5" s="16">
        <v>1</v>
      </c>
      <c r="B5" s="16">
        <v>78.400000000000006</v>
      </c>
      <c r="C5" s="16">
        <v>4</v>
      </c>
      <c r="D5" s="16">
        <v>297.10000000000002</v>
      </c>
      <c r="E5" s="17">
        <f t="shared" ref="E5:E68" si="0">ROUND(3.67*D5^0.28/H5,2)</f>
        <v>7.23</v>
      </c>
      <c r="F5" s="16">
        <v>3</v>
      </c>
      <c r="G5" s="16">
        <v>5</v>
      </c>
      <c r="H5" s="16">
        <v>2.5</v>
      </c>
      <c r="I5" s="16">
        <v>10</v>
      </c>
      <c r="J5" s="16">
        <v>974</v>
      </c>
      <c r="K5" s="16">
        <v>12.42</v>
      </c>
      <c r="L5" s="16">
        <v>77.099999999999994</v>
      </c>
      <c r="M5" s="16">
        <v>1</v>
      </c>
      <c r="N5" s="18">
        <f>IF(Risk_Calculation_Engine!U5="Low",1,IF(Risk_Calculation_Engine!U5="Medium",2,3))</f>
        <v>3</v>
      </c>
      <c r="O5" s="18" t="str">
        <f>Risk_Calculation_Engine!U5</f>
        <v>High</v>
      </c>
    </row>
    <row r="6" spans="1:15" ht="15" customHeight="1" x14ac:dyDescent="0.25">
      <c r="A6" s="16">
        <v>2</v>
      </c>
      <c r="B6" s="16">
        <v>108.2</v>
      </c>
      <c r="C6" s="16">
        <v>2</v>
      </c>
      <c r="D6" s="16">
        <v>417.9</v>
      </c>
      <c r="E6" s="17">
        <f t="shared" si="0"/>
        <v>7.95</v>
      </c>
      <c r="F6" s="16">
        <v>2</v>
      </c>
      <c r="G6" s="16">
        <v>5</v>
      </c>
      <c r="H6" s="16">
        <v>2.5</v>
      </c>
      <c r="I6" s="16">
        <v>6</v>
      </c>
      <c r="J6" s="16">
        <v>478</v>
      </c>
      <c r="K6" s="16">
        <v>4.42</v>
      </c>
      <c r="L6" s="16">
        <v>68.599999999999994</v>
      </c>
      <c r="M6" s="16">
        <v>1</v>
      </c>
      <c r="N6" s="18">
        <f>IF(Risk_Calculation_Engine!U6="Low",1,IF(Risk_Calculation_Engine!U6="Medium",2,3))</f>
        <v>2</v>
      </c>
      <c r="O6" s="18" t="str">
        <f>Risk_Calculation_Engine!U6</f>
        <v>Medium</v>
      </c>
    </row>
    <row r="7" spans="1:15" ht="15" customHeight="1" x14ac:dyDescent="0.25">
      <c r="A7" s="16">
        <v>3</v>
      </c>
      <c r="B7" s="16">
        <v>68.3</v>
      </c>
      <c r="C7" s="16">
        <v>4</v>
      </c>
      <c r="D7" s="16">
        <v>256.2</v>
      </c>
      <c r="E7" s="17">
        <f t="shared" si="0"/>
        <v>11.96</v>
      </c>
      <c r="F7" s="16">
        <v>3</v>
      </c>
      <c r="G7" s="16">
        <v>3</v>
      </c>
      <c r="H7" s="16">
        <v>1.45</v>
      </c>
      <c r="I7" s="16">
        <v>10</v>
      </c>
      <c r="J7" s="16">
        <v>742</v>
      </c>
      <c r="K7" s="16">
        <v>10.86</v>
      </c>
      <c r="L7" s="16">
        <v>90.5</v>
      </c>
      <c r="M7" s="16">
        <v>1</v>
      </c>
      <c r="N7" s="18">
        <f>IF(Risk_Calculation_Engine!U7="Low",1,IF(Risk_Calculation_Engine!U7="Medium",2,3))</f>
        <v>1</v>
      </c>
      <c r="O7" s="18" t="str">
        <f>Risk_Calculation_Engine!U7</f>
        <v>Low</v>
      </c>
    </row>
    <row r="8" spans="1:15" ht="15" customHeight="1" x14ac:dyDescent="0.25">
      <c r="A8" s="16">
        <v>4</v>
      </c>
      <c r="B8" s="16">
        <v>60.7</v>
      </c>
      <c r="C8" s="16">
        <v>3</v>
      </c>
      <c r="D8" s="16">
        <v>179.6</v>
      </c>
      <c r="E8" s="17">
        <f t="shared" si="0"/>
        <v>13.77</v>
      </c>
      <c r="F8" s="16">
        <v>3</v>
      </c>
      <c r="G8" s="16">
        <v>10</v>
      </c>
      <c r="H8" s="16">
        <v>1.1399999999999999</v>
      </c>
      <c r="I8" s="16">
        <v>4</v>
      </c>
      <c r="J8" s="16">
        <v>316</v>
      </c>
      <c r="K8" s="16">
        <v>5.21</v>
      </c>
      <c r="L8" s="16">
        <v>88.4</v>
      </c>
      <c r="M8" s="16">
        <v>1</v>
      </c>
      <c r="N8" s="18">
        <f>IF(Risk_Calculation_Engine!U8="Low",1,IF(Risk_Calculation_Engine!U8="Medium",2,3))</f>
        <v>2</v>
      </c>
      <c r="O8" s="18" t="str">
        <f>Risk_Calculation_Engine!U8</f>
        <v>Medium</v>
      </c>
    </row>
    <row r="9" spans="1:15" ht="15" customHeight="1" x14ac:dyDescent="0.25">
      <c r="A9" s="16">
        <v>5</v>
      </c>
      <c r="B9" s="16">
        <v>118</v>
      </c>
      <c r="C9" s="16">
        <v>3</v>
      </c>
      <c r="D9" s="16">
        <v>495.2</v>
      </c>
      <c r="E9" s="17">
        <f t="shared" si="0"/>
        <v>21.95</v>
      </c>
      <c r="F9" s="16">
        <v>2</v>
      </c>
      <c r="G9" s="16">
        <v>2</v>
      </c>
      <c r="H9" s="16">
        <v>0.95</v>
      </c>
      <c r="I9" s="16">
        <v>9</v>
      </c>
      <c r="J9" s="16">
        <v>945</v>
      </c>
      <c r="K9" s="16">
        <v>8.01</v>
      </c>
      <c r="L9" s="16">
        <v>48.8</v>
      </c>
      <c r="M9" s="16">
        <v>3</v>
      </c>
      <c r="N9" s="18">
        <f>IF(Risk_Calculation_Engine!U9="Low",1,IF(Risk_Calculation_Engine!U9="Medium",2,3))</f>
        <v>1</v>
      </c>
      <c r="O9" s="18" t="str">
        <f>Risk_Calculation_Engine!U9</f>
        <v>Low</v>
      </c>
    </row>
    <row r="10" spans="1:15" ht="15" customHeight="1" x14ac:dyDescent="0.25">
      <c r="A10" s="16">
        <v>6</v>
      </c>
      <c r="B10" s="16">
        <v>65</v>
      </c>
      <c r="C10" s="16">
        <v>2</v>
      </c>
      <c r="D10" s="16">
        <v>320.60000000000002</v>
      </c>
      <c r="E10" s="17">
        <f t="shared" si="0"/>
        <v>21.98</v>
      </c>
      <c r="F10" s="16">
        <v>1</v>
      </c>
      <c r="G10" s="16">
        <v>2</v>
      </c>
      <c r="H10" s="16">
        <v>0.84</v>
      </c>
      <c r="I10" s="16">
        <v>10</v>
      </c>
      <c r="J10" s="16">
        <v>368</v>
      </c>
      <c r="K10" s="16">
        <v>5.66</v>
      </c>
      <c r="L10" s="16">
        <v>70.8</v>
      </c>
      <c r="M10" s="16">
        <v>1</v>
      </c>
      <c r="N10" s="18">
        <f>IF(Risk_Calculation_Engine!U10="Low",1,IF(Risk_Calculation_Engine!U10="Medium",2,3))</f>
        <v>1</v>
      </c>
      <c r="O10" s="18" t="str">
        <f>Risk_Calculation_Engine!U10</f>
        <v>Low</v>
      </c>
    </row>
    <row r="11" spans="1:15" ht="15" customHeight="1" x14ac:dyDescent="0.25">
      <c r="A11" s="16">
        <v>7</v>
      </c>
      <c r="B11" s="16">
        <v>88.6</v>
      </c>
      <c r="C11" s="16">
        <v>3</v>
      </c>
      <c r="D11" s="16">
        <v>265.7</v>
      </c>
      <c r="E11" s="17">
        <f t="shared" si="0"/>
        <v>14.48</v>
      </c>
      <c r="F11" s="16">
        <v>3</v>
      </c>
      <c r="G11" s="16">
        <v>11</v>
      </c>
      <c r="H11" s="16">
        <v>1.21</v>
      </c>
      <c r="I11" s="16">
        <v>10</v>
      </c>
      <c r="J11" s="16">
        <v>716</v>
      </c>
      <c r="K11" s="16">
        <v>8.08</v>
      </c>
      <c r="L11" s="16">
        <v>83.9</v>
      </c>
      <c r="M11" s="16">
        <v>1</v>
      </c>
      <c r="N11" s="18">
        <f>IF(Risk_Calculation_Engine!U11="Low",1,IF(Risk_Calculation_Engine!U11="Medium",2,3))</f>
        <v>2</v>
      </c>
      <c r="O11" s="18" t="str">
        <f>Risk_Calculation_Engine!U11</f>
        <v>Medium</v>
      </c>
    </row>
    <row r="12" spans="1:15" ht="15" customHeight="1" x14ac:dyDescent="0.25">
      <c r="A12" s="16">
        <v>8</v>
      </c>
      <c r="B12" s="16">
        <v>82.3</v>
      </c>
      <c r="C12" s="16">
        <v>3</v>
      </c>
      <c r="D12" s="16">
        <v>516.29999999999995</v>
      </c>
      <c r="E12" s="17">
        <f t="shared" si="0"/>
        <v>8.98</v>
      </c>
      <c r="F12" s="16">
        <v>1</v>
      </c>
      <c r="G12" s="16">
        <v>12</v>
      </c>
      <c r="H12" s="16">
        <v>2.35</v>
      </c>
      <c r="I12" s="16">
        <v>8</v>
      </c>
      <c r="J12" s="16">
        <v>677</v>
      </c>
      <c r="K12" s="16">
        <v>8.23</v>
      </c>
      <c r="L12" s="16">
        <v>79.099999999999994</v>
      </c>
      <c r="M12" s="16">
        <v>3</v>
      </c>
      <c r="N12" s="18">
        <f>IF(Risk_Calculation_Engine!U12="Low",1,IF(Risk_Calculation_Engine!U12="Medium",2,3))</f>
        <v>3</v>
      </c>
      <c r="O12" s="18" t="str">
        <f>Risk_Calculation_Engine!U12</f>
        <v>High</v>
      </c>
    </row>
    <row r="13" spans="1:15" ht="15" customHeight="1" x14ac:dyDescent="0.25">
      <c r="A13" s="16">
        <v>9</v>
      </c>
      <c r="B13" s="16">
        <v>118</v>
      </c>
      <c r="C13" s="16">
        <v>3</v>
      </c>
      <c r="D13" s="16">
        <v>500.8</v>
      </c>
      <c r="E13" s="17">
        <f t="shared" si="0"/>
        <v>8.64</v>
      </c>
      <c r="F13" s="16">
        <v>2</v>
      </c>
      <c r="G13" s="16">
        <v>5</v>
      </c>
      <c r="H13" s="16">
        <v>2.42</v>
      </c>
      <c r="I13" s="16">
        <v>11</v>
      </c>
      <c r="J13" s="16">
        <v>997</v>
      </c>
      <c r="K13" s="16">
        <v>8.4499999999999993</v>
      </c>
      <c r="L13" s="16">
        <v>70.099999999999994</v>
      </c>
      <c r="M13" s="16">
        <v>3</v>
      </c>
      <c r="N13" s="18">
        <f>IF(Risk_Calculation_Engine!U13="Low",1,IF(Risk_Calculation_Engine!U13="Medium",2,3))</f>
        <v>2</v>
      </c>
      <c r="O13" s="18" t="str">
        <f>Risk_Calculation_Engine!U13</f>
        <v>Medium</v>
      </c>
    </row>
    <row r="14" spans="1:15" ht="15" customHeight="1" x14ac:dyDescent="0.25">
      <c r="A14" s="16">
        <v>10</v>
      </c>
      <c r="B14" s="16">
        <v>52.7</v>
      </c>
      <c r="C14" s="16">
        <v>2</v>
      </c>
      <c r="D14" s="16">
        <v>174.4</v>
      </c>
      <c r="E14" s="17">
        <f t="shared" si="0"/>
        <v>8.2799999999999994</v>
      </c>
      <c r="F14" s="16">
        <v>2</v>
      </c>
      <c r="G14" s="16">
        <v>9</v>
      </c>
      <c r="H14" s="16">
        <v>1.88</v>
      </c>
      <c r="I14" s="16">
        <v>9</v>
      </c>
      <c r="J14" s="16">
        <v>148</v>
      </c>
      <c r="K14" s="16">
        <v>2.81</v>
      </c>
      <c r="L14" s="16">
        <v>59</v>
      </c>
      <c r="M14" s="16">
        <v>1</v>
      </c>
      <c r="N14" s="18">
        <f>IF(Risk_Calculation_Engine!U14="Low",1,IF(Risk_Calculation_Engine!U14="Medium",2,3))</f>
        <v>2</v>
      </c>
      <c r="O14" s="18" t="str">
        <f>Risk_Calculation_Engine!U14</f>
        <v>Medium</v>
      </c>
    </row>
    <row r="15" spans="1:15" ht="15" customHeight="1" x14ac:dyDescent="0.25">
      <c r="A15" s="16">
        <v>11</v>
      </c>
      <c r="B15" s="16">
        <v>147.1</v>
      </c>
      <c r="C15" s="16">
        <v>2</v>
      </c>
      <c r="D15" s="16">
        <v>682.5</v>
      </c>
      <c r="E15" s="17">
        <f t="shared" si="0"/>
        <v>16.07</v>
      </c>
      <c r="F15" s="16">
        <v>2</v>
      </c>
      <c r="G15" s="16">
        <v>11</v>
      </c>
      <c r="H15" s="16">
        <v>1.42</v>
      </c>
      <c r="I15" s="16">
        <v>6</v>
      </c>
      <c r="J15" s="16">
        <v>597</v>
      </c>
      <c r="K15" s="16">
        <v>4.0599999999999996</v>
      </c>
      <c r="L15" s="16">
        <v>71.900000000000006</v>
      </c>
      <c r="M15" s="16">
        <v>1</v>
      </c>
      <c r="N15" s="18">
        <f>IF(Risk_Calculation_Engine!U15="Low",1,IF(Risk_Calculation_Engine!U15="Medium",2,3))</f>
        <v>3</v>
      </c>
      <c r="O15" s="18" t="str">
        <f>Risk_Calculation_Engine!U15</f>
        <v>High</v>
      </c>
    </row>
    <row r="16" spans="1:15" ht="15" customHeight="1" x14ac:dyDescent="0.25">
      <c r="A16" s="16">
        <v>12</v>
      </c>
      <c r="B16" s="16">
        <v>42.3</v>
      </c>
      <c r="C16" s="16">
        <v>3</v>
      </c>
      <c r="D16" s="16">
        <v>254</v>
      </c>
      <c r="E16" s="17">
        <f t="shared" si="0"/>
        <v>9.01</v>
      </c>
      <c r="F16" s="16">
        <v>1</v>
      </c>
      <c r="G16" s="16">
        <v>7</v>
      </c>
      <c r="H16" s="16">
        <v>1.92</v>
      </c>
      <c r="I16" s="16">
        <v>5</v>
      </c>
      <c r="J16" s="16">
        <v>263</v>
      </c>
      <c r="K16" s="16">
        <v>6.22</v>
      </c>
      <c r="L16" s="16">
        <v>44.3</v>
      </c>
      <c r="M16" s="16">
        <v>3</v>
      </c>
      <c r="N16" s="18">
        <f>IF(Risk_Calculation_Engine!U16="Low",1,IF(Risk_Calculation_Engine!U16="Medium",2,3))</f>
        <v>3</v>
      </c>
      <c r="O16" s="18" t="str">
        <f>Risk_Calculation_Engine!U16</f>
        <v>High</v>
      </c>
    </row>
    <row r="17" spans="1:15" ht="15" customHeight="1" x14ac:dyDescent="0.25">
      <c r="A17" s="16">
        <v>13</v>
      </c>
      <c r="B17" s="16">
        <v>92.8</v>
      </c>
      <c r="C17" s="16">
        <v>2</v>
      </c>
      <c r="D17" s="16">
        <v>418</v>
      </c>
      <c r="E17" s="17">
        <f t="shared" si="0"/>
        <v>12.05</v>
      </c>
      <c r="F17" s="16">
        <v>2</v>
      </c>
      <c r="G17" s="16">
        <v>5</v>
      </c>
      <c r="H17" s="16">
        <v>1.65</v>
      </c>
      <c r="I17" s="16">
        <v>11</v>
      </c>
      <c r="J17" s="16">
        <v>366</v>
      </c>
      <c r="K17" s="16">
        <v>3.94</v>
      </c>
      <c r="L17" s="16">
        <v>75.8</v>
      </c>
      <c r="M17" s="16">
        <v>3</v>
      </c>
      <c r="N17" s="18">
        <f>IF(Risk_Calculation_Engine!U17="Low",1,IF(Risk_Calculation_Engine!U17="Medium",2,3))</f>
        <v>1</v>
      </c>
      <c r="O17" s="18" t="str">
        <f>Risk_Calculation_Engine!U17</f>
        <v>Low</v>
      </c>
    </row>
    <row r="18" spans="1:15" ht="15" customHeight="1" x14ac:dyDescent="0.25">
      <c r="A18" s="16">
        <v>14</v>
      </c>
      <c r="B18" s="16">
        <v>85.1</v>
      </c>
      <c r="C18" s="16">
        <v>4</v>
      </c>
      <c r="D18" s="16">
        <v>715.3</v>
      </c>
      <c r="E18" s="17">
        <f t="shared" si="0"/>
        <v>15.94</v>
      </c>
      <c r="F18" s="16">
        <v>1</v>
      </c>
      <c r="G18" s="16">
        <v>7</v>
      </c>
      <c r="H18" s="16">
        <v>1.45</v>
      </c>
      <c r="I18" s="16">
        <v>15</v>
      </c>
      <c r="J18" s="16">
        <v>1148</v>
      </c>
      <c r="K18" s="16">
        <v>13.49</v>
      </c>
      <c r="L18" s="16">
        <v>93.3</v>
      </c>
      <c r="M18" s="16">
        <v>2</v>
      </c>
      <c r="N18" s="18">
        <f>IF(Risk_Calculation_Engine!U18="Low",1,IF(Risk_Calculation_Engine!U18="Medium",2,3))</f>
        <v>3</v>
      </c>
      <c r="O18" s="18" t="str">
        <f>Risk_Calculation_Engine!U18</f>
        <v>High</v>
      </c>
    </row>
    <row r="19" spans="1:15" ht="15" customHeight="1" x14ac:dyDescent="0.25">
      <c r="A19" s="16">
        <v>15</v>
      </c>
      <c r="B19" s="16">
        <v>39</v>
      </c>
      <c r="C19" s="16">
        <v>5</v>
      </c>
      <c r="D19" s="16">
        <v>170.4</v>
      </c>
      <c r="E19" s="17">
        <f t="shared" si="0"/>
        <v>8.41</v>
      </c>
      <c r="F19" s="16">
        <v>3</v>
      </c>
      <c r="G19" s="16">
        <v>4</v>
      </c>
      <c r="H19" s="16">
        <v>1.84</v>
      </c>
      <c r="I19" s="16">
        <v>12</v>
      </c>
      <c r="J19" s="16">
        <v>579</v>
      </c>
      <c r="K19" s="16">
        <v>14.85</v>
      </c>
      <c r="L19" s="16">
        <v>81.7</v>
      </c>
      <c r="M19" s="16">
        <v>2</v>
      </c>
      <c r="N19" s="18">
        <f>IF(Risk_Calculation_Engine!U19="Low",1,IF(Risk_Calculation_Engine!U19="Medium",2,3))</f>
        <v>3</v>
      </c>
      <c r="O19" s="18" t="str">
        <f>Risk_Calculation_Engine!U19</f>
        <v>High</v>
      </c>
    </row>
    <row r="20" spans="1:15" ht="15" customHeight="1" x14ac:dyDescent="0.25">
      <c r="A20" s="16">
        <v>16</v>
      </c>
      <c r="B20" s="16">
        <v>98.5</v>
      </c>
      <c r="C20" s="16">
        <v>3</v>
      </c>
      <c r="D20" s="16">
        <v>682.8</v>
      </c>
      <c r="E20" s="17">
        <f t="shared" si="0"/>
        <v>16.3</v>
      </c>
      <c r="F20" s="16">
        <v>1</v>
      </c>
      <c r="G20" s="16">
        <v>9</v>
      </c>
      <c r="H20" s="16">
        <v>1.4</v>
      </c>
      <c r="I20" s="16">
        <v>11</v>
      </c>
      <c r="J20" s="16">
        <v>391</v>
      </c>
      <c r="K20" s="16">
        <v>3.97</v>
      </c>
      <c r="L20" s="16">
        <v>72.7</v>
      </c>
      <c r="M20" s="16">
        <v>2</v>
      </c>
      <c r="N20" s="18">
        <f>IF(Risk_Calculation_Engine!U20="Low",1,IF(Risk_Calculation_Engine!U20="Medium",2,3))</f>
        <v>2</v>
      </c>
      <c r="O20" s="18" t="str">
        <f>Risk_Calculation_Engine!U20</f>
        <v>Medium</v>
      </c>
    </row>
    <row r="21" spans="1:15" ht="15" customHeight="1" x14ac:dyDescent="0.25">
      <c r="A21" s="16">
        <v>17</v>
      </c>
      <c r="B21" s="16">
        <v>56</v>
      </c>
      <c r="C21" s="16">
        <v>5</v>
      </c>
      <c r="D21" s="16">
        <v>296.3</v>
      </c>
      <c r="E21" s="17">
        <f t="shared" si="0"/>
        <v>9.82</v>
      </c>
      <c r="F21" s="16">
        <v>2</v>
      </c>
      <c r="G21" s="16">
        <v>1</v>
      </c>
      <c r="H21" s="16">
        <v>1.84</v>
      </c>
      <c r="I21" s="16">
        <v>14</v>
      </c>
      <c r="J21" s="16">
        <v>780</v>
      </c>
      <c r="K21" s="16">
        <v>13.93</v>
      </c>
      <c r="L21" s="16">
        <v>86.5</v>
      </c>
      <c r="M21" s="16">
        <v>3</v>
      </c>
      <c r="N21" s="18">
        <f>IF(Risk_Calculation_Engine!U21="Low",1,IF(Risk_Calculation_Engine!U21="Medium",2,3))</f>
        <v>3</v>
      </c>
      <c r="O21" s="18" t="str">
        <f>Risk_Calculation_Engine!U21</f>
        <v>High</v>
      </c>
    </row>
    <row r="22" spans="1:15" ht="15" customHeight="1" x14ac:dyDescent="0.25">
      <c r="A22" s="16">
        <v>18</v>
      </c>
      <c r="B22" s="16">
        <v>28.5</v>
      </c>
      <c r="C22" s="16">
        <v>2</v>
      </c>
      <c r="D22" s="16">
        <v>80.8</v>
      </c>
      <c r="E22" s="17">
        <f t="shared" si="0"/>
        <v>6.37</v>
      </c>
      <c r="F22" s="16">
        <v>3</v>
      </c>
      <c r="G22" s="16">
        <v>9</v>
      </c>
      <c r="H22" s="16">
        <v>1.97</v>
      </c>
      <c r="I22" s="16">
        <v>14</v>
      </c>
      <c r="J22" s="16">
        <v>73</v>
      </c>
      <c r="K22" s="16">
        <v>2.56</v>
      </c>
      <c r="L22" s="16">
        <v>69</v>
      </c>
      <c r="M22" s="16">
        <v>1</v>
      </c>
      <c r="N22" s="18">
        <f>IF(Risk_Calculation_Engine!U22="Low",1,IF(Risk_Calculation_Engine!U22="Medium",2,3))</f>
        <v>2</v>
      </c>
      <c r="O22" s="18" t="str">
        <f>Risk_Calculation_Engine!U22</f>
        <v>Medium</v>
      </c>
    </row>
    <row r="23" spans="1:15" ht="15" customHeight="1" x14ac:dyDescent="0.25">
      <c r="A23" s="16">
        <v>19</v>
      </c>
      <c r="B23" s="16">
        <v>107.7</v>
      </c>
      <c r="C23" s="16">
        <v>1</v>
      </c>
      <c r="D23" s="16">
        <v>512.6</v>
      </c>
      <c r="E23" s="17">
        <f t="shared" si="0"/>
        <v>9.66</v>
      </c>
      <c r="F23" s="16">
        <v>1</v>
      </c>
      <c r="G23" s="16">
        <v>8</v>
      </c>
      <c r="H23" s="16">
        <v>2.1800000000000002</v>
      </c>
      <c r="I23" s="16">
        <v>9</v>
      </c>
      <c r="J23" s="16">
        <v>195</v>
      </c>
      <c r="K23" s="16">
        <v>1.81</v>
      </c>
      <c r="L23" s="16">
        <v>62.6</v>
      </c>
      <c r="M23" s="16">
        <v>2</v>
      </c>
      <c r="N23" s="18">
        <f>IF(Risk_Calculation_Engine!U23="Low",1,IF(Risk_Calculation_Engine!U23="Medium",2,3))</f>
        <v>3</v>
      </c>
      <c r="O23" s="18" t="str">
        <f>Risk_Calculation_Engine!U23</f>
        <v>High</v>
      </c>
    </row>
    <row r="24" spans="1:15" ht="15" customHeight="1" x14ac:dyDescent="0.25">
      <c r="A24" s="16">
        <v>20</v>
      </c>
      <c r="B24" s="16">
        <v>19.2</v>
      </c>
      <c r="C24" s="16">
        <v>4</v>
      </c>
      <c r="D24" s="16">
        <v>127.9</v>
      </c>
      <c r="E24" s="17">
        <f t="shared" si="0"/>
        <v>16.22</v>
      </c>
      <c r="F24" s="16">
        <v>1</v>
      </c>
      <c r="G24" s="16">
        <v>3</v>
      </c>
      <c r="H24" s="16">
        <v>0.88</v>
      </c>
      <c r="I24" s="16">
        <v>4</v>
      </c>
      <c r="J24" s="16">
        <v>118</v>
      </c>
      <c r="K24" s="16">
        <v>6.15</v>
      </c>
      <c r="L24" s="16">
        <v>82.9</v>
      </c>
      <c r="M24" s="16">
        <v>3</v>
      </c>
      <c r="N24" s="18">
        <f>IF(Risk_Calculation_Engine!U24="Low",1,IF(Risk_Calculation_Engine!U24="Medium",2,3))</f>
        <v>1</v>
      </c>
      <c r="O24" s="18" t="str">
        <f>Risk_Calculation_Engine!U24</f>
        <v>Low</v>
      </c>
    </row>
    <row r="25" spans="1:15" ht="15" customHeight="1" x14ac:dyDescent="0.25">
      <c r="A25" s="16">
        <v>21</v>
      </c>
      <c r="B25" s="16">
        <v>33.6</v>
      </c>
      <c r="C25" s="16">
        <v>4</v>
      </c>
      <c r="D25" s="16">
        <v>108.3</v>
      </c>
      <c r="E25" s="17">
        <f t="shared" si="0"/>
        <v>5.45</v>
      </c>
      <c r="F25" s="16">
        <v>3</v>
      </c>
      <c r="G25" s="16">
        <v>4</v>
      </c>
      <c r="H25" s="16">
        <v>2.5</v>
      </c>
      <c r="I25" s="16">
        <v>11</v>
      </c>
      <c r="J25" s="16">
        <v>197</v>
      </c>
      <c r="K25" s="16">
        <v>5.86</v>
      </c>
      <c r="L25" s="16">
        <v>45.6</v>
      </c>
      <c r="M25" s="16">
        <v>3</v>
      </c>
      <c r="N25" s="18">
        <f>IF(Risk_Calculation_Engine!U25="Low",1,IF(Risk_Calculation_Engine!U25="Medium",2,3))</f>
        <v>2</v>
      </c>
      <c r="O25" s="18" t="str">
        <f>Risk_Calculation_Engine!U25</f>
        <v>Medium</v>
      </c>
    </row>
    <row r="26" spans="1:15" ht="15" customHeight="1" x14ac:dyDescent="0.25">
      <c r="A26" s="16">
        <v>22</v>
      </c>
      <c r="B26" s="16">
        <v>67.7</v>
      </c>
      <c r="C26" s="16">
        <v>4</v>
      </c>
      <c r="D26" s="16">
        <v>549.29999999999995</v>
      </c>
      <c r="E26" s="17">
        <f t="shared" si="0"/>
        <v>13.76</v>
      </c>
      <c r="F26" s="16">
        <v>1</v>
      </c>
      <c r="G26" s="16">
        <v>5</v>
      </c>
      <c r="H26" s="16">
        <v>1.56</v>
      </c>
      <c r="I26" s="16">
        <v>11</v>
      </c>
      <c r="J26" s="16">
        <v>644</v>
      </c>
      <c r="K26" s="16">
        <v>9.51</v>
      </c>
      <c r="L26" s="16">
        <v>48.2</v>
      </c>
      <c r="M26" s="16">
        <v>1</v>
      </c>
      <c r="N26" s="18">
        <f>IF(Risk_Calculation_Engine!U26="Low",1,IF(Risk_Calculation_Engine!U26="Medium",2,3))</f>
        <v>2</v>
      </c>
      <c r="O26" s="18" t="str">
        <f>Risk_Calculation_Engine!U26</f>
        <v>Medium</v>
      </c>
    </row>
    <row r="27" spans="1:15" ht="15" customHeight="1" x14ac:dyDescent="0.25">
      <c r="A27" s="16">
        <v>23</v>
      </c>
      <c r="B27" s="16">
        <v>117.4</v>
      </c>
      <c r="C27" s="16">
        <v>1</v>
      </c>
      <c r="D27" s="16">
        <v>541.6</v>
      </c>
      <c r="E27" s="17">
        <f t="shared" si="0"/>
        <v>8.5500000000000007</v>
      </c>
      <c r="F27" s="16">
        <v>1</v>
      </c>
      <c r="G27" s="16">
        <v>6</v>
      </c>
      <c r="H27" s="16">
        <v>2.5</v>
      </c>
      <c r="I27" s="16">
        <v>6</v>
      </c>
      <c r="J27" s="16">
        <v>259</v>
      </c>
      <c r="K27" s="16">
        <v>2.21</v>
      </c>
      <c r="L27" s="16">
        <v>24.8</v>
      </c>
      <c r="M27" s="16">
        <v>3</v>
      </c>
      <c r="N27" s="18">
        <f>IF(Risk_Calculation_Engine!U27="Low",1,IF(Risk_Calculation_Engine!U27="Medium",2,3))</f>
        <v>2</v>
      </c>
      <c r="O27" s="18" t="str">
        <f>Risk_Calculation_Engine!U27</f>
        <v>Medium</v>
      </c>
    </row>
    <row r="28" spans="1:15" ht="15" customHeight="1" x14ac:dyDescent="0.25">
      <c r="A28" s="16">
        <v>24</v>
      </c>
      <c r="B28" s="16">
        <v>103</v>
      </c>
      <c r="C28" s="16">
        <v>4</v>
      </c>
      <c r="D28" s="16">
        <v>609.79999999999995</v>
      </c>
      <c r="E28" s="17">
        <f t="shared" si="0"/>
        <v>9.3699999999999992</v>
      </c>
      <c r="F28" s="16">
        <v>2</v>
      </c>
      <c r="G28" s="16">
        <v>3</v>
      </c>
      <c r="H28" s="16">
        <v>2.36</v>
      </c>
      <c r="I28" s="16">
        <v>14</v>
      </c>
      <c r="J28" s="16">
        <v>1141</v>
      </c>
      <c r="K28" s="16">
        <v>11.08</v>
      </c>
      <c r="L28" s="16">
        <v>80.099999999999994</v>
      </c>
      <c r="M28" s="16">
        <v>2</v>
      </c>
      <c r="N28" s="18">
        <f>IF(Risk_Calculation_Engine!U28="Low",1,IF(Risk_Calculation_Engine!U28="Medium",2,3))</f>
        <v>3</v>
      </c>
      <c r="O28" s="18" t="str">
        <f>Risk_Calculation_Engine!U28</f>
        <v>High</v>
      </c>
    </row>
    <row r="29" spans="1:15" ht="15" customHeight="1" x14ac:dyDescent="0.25">
      <c r="A29" s="16">
        <v>25</v>
      </c>
      <c r="B29" s="16">
        <v>77.5</v>
      </c>
      <c r="C29" s="16">
        <v>3</v>
      </c>
      <c r="D29" s="16">
        <v>302.10000000000002</v>
      </c>
      <c r="E29" s="17">
        <f t="shared" si="0"/>
        <v>15.79</v>
      </c>
      <c r="F29" s="16">
        <v>3</v>
      </c>
      <c r="G29" s="16">
        <v>7</v>
      </c>
      <c r="H29" s="16">
        <v>1.1499999999999999</v>
      </c>
      <c r="I29" s="16">
        <v>14</v>
      </c>
      <c r="J29" s="16">
        <v>275</v>
      </c>
      <c r="K29" s="16">
        <v>3.55</v>
      </c>
      <c r="L29" s="16">
        <v>82.4</v>
      </c>
      <c r="M29" s="16">
        <v>1</v>
      </c>
      <c r="N29" s="18">
        <f>IF(Risk_Calculation_Engine!U29="Low",1,IF(Risk_Calculation_Engine!U29="Medium",2,3))</f>
        <v>1</v>
      </c>
      <c r="O29" s="18" t="str">
        <f>Risk_Calculation_Engine!U29</f>
        <v>Low</v>
      </c>
    </row>
    <row r="30" spans="1:15" ht="15" customHeight="1" x14ac:dyDescent="0.25">
      <c r="A30" s="16">
        <v>26</v>
      </c>
      <c r="B30" s="16">
        <v>13.2</v>
      </c>
      <c r="C30" s="16">
        <v>3</v>
      </c>
      <c r="D30" s="16">
        <v>55.9</v>
      </c>
      <c r="E30" s="17">
        <f t="shared" si="0"/>
        <v>5.5</v>
      </c>
      <c r="F30" s="16">
        <v>2</v>
      </c>
      <c r="G30" s="16">
        <v>8</v>
      </c>
      <c r="H30" s="16">
        <v>2.06</v>
      </c>
      <c r="I30" s="16">
        <v>7</v>
      </c>
      <c r="J30" s="16">
        <v>117</v>
      </c>
      <c r="K30" s="16">
        <v>8.86</v>
      </c>
      <c r="L30" s="16">
        <v>66.8</v>
      </c>
      <c r="M30" s="16">
        <v>2</v>
      </c>
      <c r="N30" s="18">
        <f>IF(Risk_Calculation_Engine!U30="Low",1,IF(Risk_Calculation_Engine!U30="Medium",2,3))</f>
        <v>2</v>
      </c>
      <c r="O30" s="18" t="str">
        <f>Risk_Calculation_Engine!U30</f>
        <v>Medium</v>
      </c>
    </row>
    <row r="31" spans="1:15" ht="15" customHeight="1" x14ac:dyDescent="0.25">
      <c r="A31" s="16">
        <v>27</v>
      </c>
      <c r="B31" s="16">
        <v>40.6</v>
      </c>
      <c r="C31" s="16">
        <v>2</v>
      </c>
      <c r="D31" s="16">
        <v>141.9</v>
      </c>
      <c r="E31" s="17">
        <f t="shared" si="0"/>
        <v>5.88</v>
      </c>
      <c r="F31" s="16">
        <v>2</v>
      </c>
      <c r="G31" s="16">
        <v>5</v>
      </c>
      <c r="H31" s="16">
        <v>2.5</v>
      </c>
      <c r="I31" s="16">
        <v>9</v>
      </c>
      <c r="J31" s="16">
        <v>101</v>
      </c>
      <c r="K31" s="16">
        <v>2.4900000000000002</v>
      </c>
      <c r="L31" s="16">
        <v>84.3</v>
      </c>
      <c r="M31" s="16">
        <v>2</v>
      </c>
      <c r="N31" s="18">
        <f>IF(Risk_Calculation_Engine!U31="Low",1,IF(Risk_Calculation_Engine!U31="Medium",2,3))</f>
        <v>2</v>
      </c>
      <c r="O31" s="18" t="str">
        <f>Risk_Calculation_Engine!U31</f>
        <v>Medium</v>
      </c>
    </row>
    <row r="32" spans="1:15" ht="15" customHeight="1" x14ac:dyDescent="0.25">
      <c r="A32" s="16">
        <v>28</v>
      </c>
      <c r="B32" s="16">
        <v>48.6</v>
      </c>
      <c r="C32" s="16">
        <v>5</v>
      </c>
      <c r="D32" s="16">
        <v>205</v>
      </c>
      <c r="E32" s="17">
        <f t="shared" si="0"/>
        <v>11.01</v>
      </c>
      <c r="F32" s="16">
        <v>3</v>
      </c>
      <c r="G32" s="16">
        <v>3</v>
      </c>
      <c r="H32" s="16">
        <v>1.48</v>
      </c>
      <c r="I32" s="16">
        <v>5</v>
      </c>
      <c r="J32" s="16">
        <v>1015</v>
      </c>
      <c r="K32" s="16">
        <v>20.88</v>
      </c>
      <c r="L32" s="16">
        <v>37.9</v>
      </c>
      <c r="M32" s="16">
        <v>3</v>
      </c>
      <c r="N32" s="18">
        <f>IF(Risk_Calculation_Engine!U32="Low",1,IF(Risk_Calculation_Engine!U32="Medium",2,3))</f>
        <v>2</v>
      </c>
      <c r="O32" s="18" t="str">
        <f>Risk_Calculation_Engine!U32</f>
        <v>Medium</v>
      </c>
    </row>
    <row r="33" spans="1:15" ht="15" customHeight="1" x14ac:dyDescent="0.25">
      <c r="A33" s="16">
        <v>29</v>
      </c>
      <c r="B33" s="16">
        <v>27.2</v>
      </c>
      <c r="C33" s="16">
        <v>1</v>
      </c>
      <c r="D33" s="16">
        <v>84.8</v>
      </c>
      <c r="E33" s="17">
        <f t="shared" si="0"/>
        <v>11.36</v>
      </c>
      <c r="F33" s="16">
        <v>2</v>
      </c>
      <c r="G33" s="16">
        <v>6</v>
      </c>
      <c r="H33" s="16">
        <v>1.1200000000000001</v>
      </c>
      <c r="I33" s="16">
        <v>5</v>
      </c>
      <c r="J33" s="16">
        <v>76</v>
      </c>
      <c r="K33" s="16">
        <v>2.79</v>
      </c>
      <c r="L33" s="16">
        <v>66.400000000000006</v>
      </c>
      <c r="M33" s="16">
        <v>1</v>
      </c>
      <c r="N33" s="18">
        <f>IF(Risk_Calculation_Engine!U33="Low",1,IF(Risk_Calculation_Engine!U33="Medium",2,3))</f>
        <v>1</v>
      </c>
      <c r="O33" s="18" t="str">
        <f>Risk_Calculation_Engine!U33</f>
        <v>Low</v>
      </c>
    </row>
    <row r="34" spans="1:15" ht="15" customHeight="1" x14ac:dyDescent="0.25">
      <c r="A34" s="16">
        <v>30</v>
      </c>
      <c r="B34" s="16">
        <v>9.5</v>
      </c>
      <c r="C34" s="16">
        <v>4</v>
      </c>
      <c r="D34" s="16">
        <v>41.4</v>
      </c>
      <c r="E34" s="17">
        <f t="shared" si="0"/>
        <v>9.82</v>
      </c>
      <c r="F34" s="16">
        <v>2</v>
      </c>
      <c r="G34" s="16">
        <v>7</v>
      </c>
      <c r="H34" s="16">
        <v>1.06</v>
      </c>
      <c r="I34" s="16">
        <v>6</v>
      </c>
      <c r="J34" s="16">
        <v>132</v>
      </c>
      <c r="K34" s="16">
        <v>13.89</v>
      </c>
      <c r="L34" s="16">
        <v>75.900000000000006</v>
      </c>
      <c r="M34" s="16">
        <v>3</v>
      </c>
      <c r="N34" s="18">
        <f>IF(Risk_Calculation_Engine!U34="Low",1,IF(Risk_Calculation_Engine!U34="Medium",2,3))</f>
        <v>1</v>
      </c>
      <c r="O34" s="18" t="str">
        <f>Risk_Calculation_Engine!U34</f>
        <v>Low</v>
      </c>
    </row>
    <row r="35" spans="1:15" ht="15" customHeight="1" x14ac:dyDescent="0.25">
      <c r="A35" s="16">
        <v>31</v>
      </c>
      <c r="B35" s="16">
        <v>70.3</v>
      </c>
      <c r="C35" s="16">
        <v>4</v>
      </c>
      <c r="D35" s="16">
        <v>360</v>
      </c>
      <c r="E35" s="17">
        <f t="shared" si="0"/>
        <v>20.29</v>
      </c>
      <c r="F35" s="16">
        <v>2</v>
      </c>
      <c r="G35" s="16">
        <v>10</v>
      </c>
      <c r="H35" s="16">
        <v>0.94</v>
      </c>
      <c r="I35" s="16">
        <v>7</v>
      </c>
      <c r="J35" s="16">
        <v>712</v>
      </c>
      <c r="K35" s="16">
        <v>10.130000000000001</v>
      </c>
      <c r="L35" s="16">
        <v>65.599999999999994</v>
      </c>
      <c r="M35" s="16">
        <v>2</v>
      </c>
      <c r="N35" s="18">
        <f>IF(Risk_Calculation_Engine!U35="Low",1,IF(Risk_Calculation_Engine!U35="Medium",2,3))</f>
        <v>2</v>
      </c>
      <c r="O35" s="18" t="str">
        <f>Risk_Calculation_Engine!U35</f>
        <v>Medium</v>
      </c>
    </row>
    <row r="36" spans="1:15" ht="15" customHeight="1" x14ac:dyDescent="0.25">
      <c r="A36" s="16">
        <v>32</v>
      </c>
      <c r="B36" s="16">
        <v>105.3</v>
      </c>
      <c r="C36" s="16">
        <v>4</v>
      </c>
      <c r="D36" s="16">
        <v>603.6</v>
      </c>
      <c r="E36" s="17">
        <f t="shared" si="0"/>
        <v>28.63</v>
      </c>
      <c r="F36" s="16">
        <v>2</v>
      </c>
      <c r="G36" s="16">
        <v>7</v>
      </c>
      <c r="H36" s="16">
        <v>0.77</v>
      </c>
      <c r="I36" s="16">
        <v>6</v>
      </c>
      <c r="J36" s="16">
        <v>819</v>
      </c>
      <c r="K36" s="16">
        <v>7.78</v>
      </c>
      <c r="L36" s="16">
        <v>90.7</v>
      </c>
      <c r="M36" s="16">
        <v>3</v>
      </c>
      <c r="N36" s="18">
        <f>IF(Risk_Calculation_Engine!U36="Low",1,IF(Risk_Calculation_Engine!U36="Medium",2,3))</f>
        <v>1</v>
      </c>
      <c r="O36" s="18" t="str">
        <f>Risk_Calculation_Engine!U36</f>
        <v>Low</v>
      </c>
    </row>
    <row r="37" spans="1:15" ht="15" customHeight="1" x14ac:dyDescent="0.25">
      <c r="A37" s="16">
        <v>33</v>
      </c>
      <c r="B37" s="16">
        <v>45.5</v>
      </c>
      <c r="C37" s="16">
        <v>4</v>
      </c>
      <c r="D37" s="16">
        <v>257.39999999999998</v>
      </c>
      <c r="E37" s="17">
        <f t="shared" si="0"/>
        <v>11.06</v>
      </c>
      <c r="F37" s="16">
        <v>2</v>
      </c>
      <c r="G37" s="16">
        <v>3</v>
      </c>
      <c r="H37" s="16">
        <v>1.57</v>
      </c>
      <c r="I37" s="16">
        <v>4</v>
      </c>
      <c r="J37" s="16">
        <v>604</v>
      </c>
      <c r="K37" s="16">
        <v>13.27</v>
      </c>
      <c r="L37" s="16">
        <v>50.6</v>
      </c>
      <c r="M37" s="16">
        <v>3</v>
      </c>
      <c r="N37" s="18">
        <f>IF(Risk_Calculation_Engine!U37="Low",1,IF(Risk_Calculation_Engine!U37="Medium",2,3))</f>
        <v>2</v>
      </c>
      <c r="O37" s="18" t="str">
        <f>Risk_Calculation_Engine!U37</f>
        <v>Medium</v>
      </c>
    </row>
    <row r="38" spans="1:15" ht="15" customHeight="1" x14ac:dyDescent="0.25">
      <c r="A38" s="16">
        <v>34</v>
      </c>
      <c r="B38" s="16">
        <v>116.4</v>
      </c>
      <c r="C38" s="16">
        <v>5</v>
      </c>
      <c r="D38" s="16">
        <v>695.7</v>
      </c>
      <c r="E38" s="17">
        <f t="shared" si="0"/>
        <v>21.24</v>
      </c>
      <c r="F38" s="16">
        <v>2</v>
      </c>
      <c r="G38" s="16">
        <v>4</v>
      </c>
      <c r="H38" s="16">
        <v>1.08</v>
      </c>
      <c r="I38" s="16">
        <v>8</v>
      </c>
      <c r="J38" s="16">
        <v>2331</v>
      </c>
      <c r="K38" s="16">
        <v>20.03</v>
      </c>
      <c r="L38" s="16">
        <v>85.2</v>
      </c>
      <c r="M38" s="16">
        <v>3</v>
      </c>
      <c r="N38" s="18">
        <f>IF(Risk_Calculation_Engine!U38="Low",1,IF(Risk_Calculation_Engine!U38="Medium",2,3))</f>
        <v>3</v>
      </c>
      <c r="O38" s="18" t="str">
        <f>Risk_Calculation_Engine!U38</f>
        <v>High</v>
      </c>
    </row>
    <row r="39" spans="1:15" ht="15" customHeight="1" x14ac:dyDescent="0.25">
      <c r="A39" s="16">
        <v>35</v>
      </c>
      <c r="B39" s="16">
        <v>16.8</v>
      </c>
      <c r="C39" s="16">
        <v>2</v>
      </c>
      <c r="D39" s="16">
        <v>69.3</v>
      </c>
      <c r="E39" s="17">
        <f t="shared" si="0"/>
        <v>9.5399999999999991</v>
      </c>
      <c r="F39" s="16">
        <v>1</v>
      </c>
      <c r="G39" s="16">
        <v>4</v>
      </c>
      <c r="H39" s="16">
        <v>1.26</v>
      </c>
      <c r="I39" s="16">
        <v>11</v>
      </c>
      <c r="J39" s="16">
        <v>87</v>
      </c>
      <c r="K39" s="16">
        <v>5.18</v>
      </c>
      <c r="L39" s="16">
        <v>54.4</v>
      </c>
      <c r="M39" s="16">
        <v>3</v>
      </c>
      <c r="N39" s="18">
        <f>IF(Risk_Calculation_Engine!U39="Low",1,IF(Risk_Calculation_Engine!U39="Medium",2,3))</f>
        <v>1</v>
      </c>
      <c r="O39" s="18" t="str">
        <f>Risk_Calculation_Engine!U39</f>
        <v>Low</v>
      </c>
    </row>
    <row r="40" spans="1:15" ht="15" customHeight="1" x14ac:dyDescent="0.25">
      <c r="A40" s="16">
        <v>36</v>
      </c>
      <c r="B40" s="16">
        <v>25.7</v>
      </c>
      <c r="C40" s="16">
        <v>1</v>
      </c>
      <c r="D40" s="16">
        <v>80.3</v>
      </c>
      <c r="E40" s="17">
        <f t="shared" si="0"/>
        <v>5.01</v>
      </c>
      <c r="F40" s="16">
        <v>2</v>
      </c>
      <c r="G40" s="16">
        <v>10</v>
      </c>
      <c r="H40" s="16">
        <v>2.5</v>
      </c>
      <c r="I40" s="16">
        <v>7</v>
      </c>
      <c r="J40" s="16">
        <v>46</v>
      </c>
      <c r="K40" s="16">
        <v>1.79</v>
      </c>
      <c r="L40" s="16">
        <v>74.099999999999994</v>
      </c>
      <c r="M40" s="16">
        <v>2</v>
      </c>
      <c r="N40" s="18">
        <f>IF(Risk_Calculation_Engine!U40="Low",1,IF(Risk_Calculation_Engine!U40="Medium",2,3))</f>
        <v>3</v>
      </c>
      <c r="O40" s="18" t="str">
        <f>Risk_Calculation_Engine!U40</f>
        <v>High</v>
      </c>
    </row>
    <row r="41" spans="1:15" ht="15" customHeight="1" x14ac:dyDescent="0.25">
      <c r="A41" s="16">
        <v>37</v>
      </c>
      <c r="B41" s="16">
        <v>69.099999999999994</v>
      </c>
      <c r="C41" s="16">
        <v>4</v>
      </c>
      <c r="D41" s="16">
        <v>510.2</v>
      </c>
      <c r="E41" s="17">
        <f t="shared" si="0"/>
        <v>10.67</v>
      </c>
      <c r="F41" s="16">
        <v>1</v>
      </c>
      <c r="G41" s="16">
        <v>3</v>
      </c>
      <c r="H41" s="16">
        <v>1.97</v>
      </c>
      <c r="I41" s="16">
        <v>9</v>
      </c>
      <c r="J41" s="16">
        <v>977</v>
      </c>
      <c r="K41" s="16">
        <v>14.14</v>
      </c>
      <c r="L41" s="16">
        <v>78.5</v>
      </c>
      <c r="M41" s="16">
        <v>1</v>
      </c>
      <c r="N41" s="18">
        <f>IF(Risk_Calculation_Engine!U41="Low",1,IF(Risk_Calculation_Engine!U41="Medium",2,3))</f>
        <v>3</v>
      </c>
      <c r="O41" s="18" t="str">
        <f>Risk_Calculation_Engine!U41</f>
        <v>High</v>
      </c>
    </row>
    <row r="42" spans="1:15" ht="15" customHeight="1" x14ac:dyDescent="0.25">
      <c r="A42" s="16">
        <v>38</v>
      </c>
      <c r="B42" s="16">
        <v>42.3</v>
      </c>
      <c r="C42" s="16">
        <v>3</v>
      </c>
      <c r="D42" s="16">
        <v>202.9</v>
      </c>
      <c r="E42" s="17">
        <f t="shared" si="0"/>
        <v>14.25</v>
      </c>
      <c r="F42" s="16">
        <v>2</v>
      </c>
      <c r="G42" s="16">
        <v>7</v>
      </c>
      <c r="H42" s="16">
        <v>1.1399999999999999</v>
      </c>
      <c r="I42" s="16">
        <v>6</v>
      </c>
      <c r="J42" s="16">
        <v>363</v>
      </c>
      <c r="K42" s="16">
        <v>8.58</v>
      </c>
      <c r="L42" s="16">
        <v>60.9</v>
      </c>
      <c r="M42" s="16">
        <v>2</v>
      </c>
      <c r="N42" s="18">
        <f>IF(Risk_Calculation_Engine!U42="Low",1,IF(Risk_Calculation_Engine!U42="Medium",2,3))</f>
        <v>1</v>
      </c>
      <c r="O42" s="18" t="str">
        <f>Risk_Calculation_Engine!U42</f>
        <v>Low</v>
      </c>
    </row>
    <row r="43" spans="1:15" ht="15" customHeight="1" x14ac:dyDescent="0.25">
      <c r="A43" s="16">
        <v>39</v>
      </c>
      <c r="B43" s="16">
        <v>99.2</v>
      </c>
      <c r="C43" s="16">
        <v>2</v>
      </c>
      <c r="D43" s="16">
        <v>589.9</v>
      </c>
      <c r="E43" s="17">
        <f t="shared" si="0"/>
        <v>8.76</v>
      </c>
      <c r="F43" s="16">
        <v>1</v>
      </c>
      <c r="G43" s="16">
        <v>5</v>
      </c>
      <c r="H43" s="16">
        <v>2.5</v>
      </c>
      <c r="I43" s="16">
        <v>12</v>
      </c>
      <c r="J43" s="16">
        <v>491</v>
      </c>
      <c r="K43" s="16">
        <v>4.95</v>
      </c>
      <c r="L43" s="16">
        <v>12.4</v>
      </c>
      <c r="M43" s="16">
        <v>2</v>
      </c>
      <c r="N43" s="18">
        <f>IF(Risk_Calculation_Engine!U43="Low",1,IF(Risk_Calculation_Engine!U43="Medium",2,3))</f>
        <v>2</v>
      </c>
      <c r="O43" s="18" t="str">
        <f>Risk_Calculation_Engine!U43</f>
        <v>Medium</v>
      </c>
    </row>
    <row r="44" spans="1:15" ht="15" customHeight="1" x14ac:dyDescent="0.25">
      <c r="A44" s="16">
        <v>40</v>
      </c>
      <c r="B44" s="16">
        <v>87.9</v>
      </c>
      <c r="C44" s="16">
        <v>2</v>
      </c>
      <c r="D44" s="16">
        <v>340.9</v>
      </c>
      <c r="E44" s="17">
        <f t="shared" si="0"/>
        <v>10.26</v>
      </c>
      <c r="F44" s="16">
        <v>2</v>
      </c>
      <c r="G44" s="16">
        <v>6</v>
      </c>
      <c r="H44" s="16">
        <v>1.83</v>
      </c>
      <c r="I44" s="16">
        <v>11</v>
      </c>
      <c r="J44" s="16">
        <v>507</v>
      </c>
      <c r="K44" s="16">
        <v>5.77</v>
      </c>
      <c r="L44" s="16">
        <v>79.599999999999994</v>
      </c>
      <c r="M44" s="16">
        <v>2</v>
      </c>
      <c r="N44" s="18">
        <f>IF(Risk_Calculation_Engine!U44="Low",1,IF(Risk_Calculation_Engine!U44="Medium",2,3))</f>
        <v>2</v>
      </c>
      <c r="O44" s="18" t="str">
        <f>Risk_Calculation_Engine!U44</f>
        <v>Medium</v>
      </c>
    </row>
    <row r="45" spans="1:15" ht="15" customHeight="1" x14ac:dyDescent="0.25">
      <c r="A45" s="16">
        <v>41</v>
      </c>
      <c r="B45" s="16">
        <v>44.9</v>
      </c>
      <c r="C45" s="16">
        <v>3</v>
      </c>
      <c r="D45" s="16">
        <v>200.8</v>
      </c>
      <c r="E45" s="17">
        <f t="shared" si="0"/>
        <v>23.14</v>
      </c>
      <c r="F45" s="16">
        <v>2</v>
      </c>
      <c r="G45" s="16">
        <v>13</v>
      </c>
      <c r="H45" s="16">
        <v>0.7</v>
      </c>
      <c r="I45" s="16">
        <v>15</v>
      </c>
      <c r="J45" s="16">
        <v>257</v>
      </c>
      <c r="K45" s="16">
        <v>5.72</v>
      </c>
      <c r="L45" s="16">
        <v>53.7</v>
      </c>
      <c r="M45" s="16">
        <v>2</v>
      </c>
      <c r="N45" s="18">
        <f>IF(Risk_Calculation_Engine!U45="Low",1,IF(Risk_Calculation_Engine!U45="Medium",2,3))</f>
        <v>1</v>
      </c>
      <c r="O45" s="18" t="str">
        <f>Risk_Calculation_Engine!U45</f>
        <v>Low</v>
      </c>
    </row>
    <row r="46" spans="1:15" ht="15" customHeight="1" x14ac:dyDescent="0.25">
      <c r="A46" s="16">
        <v>42</v>
      </c>
      <c r="B46" s="16">
        <v>18.600000000000001</v>
      </c>
      <c r="C46" s="16">
        <v>1</v>
      </c>
      <c r="D46" s="16">
        <v>59.3</v>
      </c>
      <c r="E46" s="17">
        <f t="shared" si="0"/>
        <v>4.5999999999999996</v>
      </c>
      <c r="F46" s="16">
        <v>2</v>
      </c>
      <c r="G46" s="16">
        <v>9</v>
      </c>
      <c r="H46" s="16">
        <v>2.5</v>
      </c>
      <c r="I46" s="16">
        <v>3</v>
      </c>
      <c r="J46" s="16">
        <v>26</v>
      </c>
      <c r="K46" s="16">
        <v>1.4</v>
      </c>
      <c r="L46" s="16">
        <v>56.4</v>
      </c>
      <c r="M46" s="16">
        <v>1</v>
      </c>
      <c r="N46" s="18">
        <f>IF(Risk_Calculation_Engine!U46="Low",1,IF(Risk_Calculation_Engine!U46="Medium",2,3))</f>
        <v>2</v>
      </c>
      <c r="O46" s="18" t="str">
        <f>Risk_Calculation_Engine!U46</f>
        <v>Medium</v>
      </c>
    </row>
    <row r="47" spans="1:15" ht="15" customHeight="1" x14ac:dyDescent="0.25">
      <c r="A47" s="16">
        <v>43</v>
      </c>
      <c r="B47" s="16">
        <v>40.700000000000003</v>
      </c>
      <c r="C47" s="16">
        <v>1</v>
      </c>
      <c r="D47" s="16">
        <v>165.2</v>
      </c>
      <c r="E47" s="17">
        <f t="shared" si="0"/>
        <v>6.13</v>
      </c>
      <c r="F47" s="16">
        <v>1</v>
      </c>
      <c r="G47" s="16">
        <v>5</v>
      </c>
      <c r="H47" s="16">
        <v>2.5</v>
      </c>
      <c r="I47" s="16">
        <v>14</v>
      </c>
      <c r="J47" s="16">
        <v>94</v>
      </c>
      <c r="K47" s="16">
        <v>2.31</v>
      </c>
      <c r="L47" s="16">
        <v>52.1</v>
      </c>
      <c r="M47" s="16">
        <v>3</v>
      </c>
      <c r="N47" s="18">
        <f>IF(Risk_Calculation_Engine!U47="Low",1,IF(Risk_Calculation_Engine!U47="Medium",2,3))</f>
        <v>2</v>
      </c>
      <c r="O47" s="18" t="str">
        <f>Risk_Calculation_Engine!U47</f>
        <v>Medium</v>
      </c>
    </row>
    <row r="48" spans="1:15" ht="15" customHeight="1" x14ac:dyDescent="0.25">
      <c r="A48" s="16">
        <v>44</v>
      </c>
      <c r="B48" s="16">
        <v>89.4</v>
      </c>
      <c r="C48" s="16">
        <v>5</v>
      </c>
      <c r="D48" s="16">
        <v>645.20000000000005</v>
      </c>
      <c r="E48" s="17">
        <f t="shared" si="0"/>
        <v>12.07</v>
      </c>
      <c r="F48" s="16">
        <v>1</v>
      </c>
      <c r="G48" s="16">
        <v>7</v>
      </c>
      <c r="H48" s="16">
        <v>1.86</v>
      </c>
      <c r="I48" s="16">
        <v>7</v>
      </c>
      <c r="J48" s="16">
        <v>1856</v>
      </c>
      <c r="K48" s="16">
        <v>20.76</v>
      </c>
      <c r="L48" s="16">
        <v>92.3</v>
      </c>
      <c r="M48" s="16">
        <v>1</v>
      </c>
      <c r="N48" s="18">
        <f>IF(Risk_Calculation_Engine!U48="Low",1,IF(Risk_Calculation_Engine!U48="Medium",2,3))</f>
        <v>3</v>
      </c>
      <c r="O48" s="18" t="str">
        <f>Risk_Calculation_Engine!U48</f>
        <v>High</v>
      </c>
    </row>
    <row r="49" spans="1:15" ht="15" customHeight="1" x14ac:dyDescent="0.25">
      <c r="A49" s="16">
        <v>45</v>
      </c>
      <c r="B49" s="16">
        <v>102</v>
      </c>
      <c r="C49" s="16">
        <v>3</v>
      </c>
      <c r="D49" s="16">
        <v>369.7</v>
      </c>
      <c r="E49" s="17">
        <f t="shared" si="0"/>
        <v>12.24</v>
      </c>
      <c r="F49" s="16">
        <v>3</v>
      </c>
      <c r="G49" s="16">
        <v>3</v>
      </c>
      <c r="H49" s="16">
        <v>1.57</v>
      </c>
      <c r="I49" s="16">
        <v>3</v>
      </c>
      <c r="J49" s="16">
        <v>607</v>
      </c>
      <c r="K49" s="16">
        <v>5.95</v>
      </c>
      <c r="L49" s="16">
        <v>72.599999999999994</v>
      </c>
      <c r="M49" s="16">
        <v>2</v>
      </c>
      <c r="N49" s="18">
        <f>IF(Risk_Calculation_Engine!U49="Low",1,IF(Risk_Calculation_Engine!U49="Medium",2,3))</f>
        <v>1</v>
      </c>
      <c r="O49" s="18" t="str">
        <f>Risk_Calculation_Engine!U49</f>
        <v>Low</v>
      </c>
    </row>
    <row r="50" spans="1:15" ht="15" customHeight="1" x14ac:dyDescent="0.25">
      <c r="A50" s="16">
        <v>46</v>
      </c>
      <c r="B50" s="16">
        <v>42.5</v>
      </c>
      <c r="C50" s="16">
        <v>5</v>
      </c>
      <c r="D50" s="16">
        <v>286</v>
      </c>
      <c r="E50" s="17">
        <f t="shared" si="0"/>
        <v>7.64</v>
      </c>
      <c r="F50" s="16">
        <v>1</v>
      </c>
      <c r="G50" s="16">
        <v>8</v>
      </c>
      <c r="H50" s="16">
        <v>2.34</v>
      </c>
      <c r="I50" s="16">
        <v>11</v>
      </c>
      <c r="J50" s="16">
        <v>582</v>
      </c>
      <c r="K50" s="16">
        <v>13.69</v>
      </c>
      <c r="L50" s="16">
        <v>77.2</v>
      </c>
      <c r="M50" s="16">
        <v>2</v>
      </c>
      <c r="N50" s="18">
        <f>IF(Risk_Calculation_Engine!U50="Low",1,IF(Risk_Calculation_Engine!U50="Medium",2,3))</f>
        <v>3</v>
      </c>
      <c r="O50" s="18" t="str">
        <f>Risk_Calculation_Engine!U50</f>
        <v>High</v>
      </c>
    </row>
    <row r="51" spans="1:15" ht="15" customHeight="1" x14ac:dyDescent="0.25">
      <c r="A51" s="16">
        <v>47</v>
      </c>
      <c r="B51" s="16">
        <v>9.5</v>
      </c>
      <c r="C51" s="16">
        <v>5</v>
      </c>
      <c r="D51" s="16">
        <v>39.700000000000003</v>
      </c>
      <c r="E51" s="17">
        <f t="shared" si="0"/>
        <v>5.75</v>
      </c>
      <c r="F51" s="16">
        <v>3</v>
      </c>
      <c r="G51" s="16">
        <v>5</v>
      </c>
      <c r="H51" s="16">
        <v>1.79</v>
      </c>
      <c r="I51" s="16">
        <v>5</v>
      </c>
      <c r="J51" s="16">
        <v>192</v>
      </c>
      <c r="K51" s="16">
        <v>20.21</v>
      </c>
      <c r="L51" s="16">
        <v>72.2</v>
      </c>
      <c r="M51" s="16">
        <v>2</v>
      </c>
      <c r="N51" s="18">
        <f>IF(Risk_Calculation_Engine!U51="Low",1,IF(Risk_Calculation_Engine!U51="Medium",2,3))</f>
        <v>2</v>
      </c>
      <c r="O51" s="18" t="str">
        <f>Risk_Calculation_Engine!U51</f>
        <v>Medium</v>
      </c>
    </row>
    <row r="52" spans="1:15" ht="15" customHeight="1" x14ac:dyDescent="0.25">
      <c r="A52" s="16">
        <v>48</v>
      </c>
      <c r="B52" s="16">
        <v>15.8</v>
      </c>
      <c r="C52" s="16">
        <v>2</v>
      </c>
      <c r="D52" s="16">
        <v>48</v>
      </c>
      <c r="E52" s="17">
        <f t="shared" si="0"/>
        <v>8.0399999999999991</v>
      </c>
      <c r="F52" s="16">
        <v>2</v>
      </c>
      <c r="G52" s="16">
        <v>5</v>
      </c>
      <c r="H52" s="16">
        <v>1.35</v>
      </c>
      <c r="I52" s="16">
        <v>5</v>
      </c>
      <c r="J52" s="16">
        <v>43</v>
      </c>
      <c r="K52" s="16">
        <v>2.72</v>
      </c>
      <c r="L52" s="16">
        <v>50.7</v>
      </c>
      <c r="M52" s="16">
        <v>3</v>
      </c>
      <c r="N52" s="18">
        <f>IF(Risk_Calculation_Engine!U52="Low",1,IF(Risk_Calculation_Engine!U52="Medium",2,3))</f>
        <v>1</v>
      </c>
      <c r="O52" s="18" t="str">
        <f>Risk_Calculation_Engine!U52</f>
        <v>Low</v>
      </c>
    </row>
    <row r="53" spans="1:15" ht="15" customHeight="1" x14ac:dyDescent="0.25">
      <c r="A53" s="16">
        <v>49</v>
      </c>
      <c r="B53" s="16">
        <v>84.3</v>
      </c>
      <c r="C53" s="16">
        <v>4</v>
      </c>
      <c r="D53" s="16">
        <v>595</v>
      </c>
      <c r="E53" s="17">
        <f t="shared" si="0"/>
        <v>16.63</v>
      </c>
      <c r="F53" s="16">
        <v>1</v>
      </c>
      <c r="G53" s="16">
        <v>9</v>
      </c>
      <c r="H53" s="16">
        <v>1.32</v>
      </c>
      <c r="I53" s="16">
        <v>15</v>
      </c>
      <c r="J53" s="16">
        <v>1057</v>
      </c>
      <c r="K53" s="16">
        <v>12.54</v>
      </c>
      <c r="L53" s="16">
        <v>66.5</v>
      </c>
      <c r="M53" s="16">
        <v>2</v>
      </c>
      <c r="N53" s="18">
        <f>IF(Risk_Calculation_Engine!U53="Low",1,IF(Risk_Calculation_Engine!U53="Medium",2,3))</f>
        <v>3</v>
      </c>
      <c r="O53" s="18" t="str">
        <f>Risk_Calculation_Engine!U53</f>
        <v>High</v>
      </c>
    </row>
    <row r="54" spans="1:15" ht="15" customHeight="1" x14ac:dyDescent="0.25">
      <c r="A54" s="16">
        <v>50</v>
      </c>
      <c r="B54" s="16">
        <v>44.3</v>
      </c>
      <c r="C54" s="16">
        <v>4</v>
      </c>
      <c r="D54" s="16">
        <v>252.4</v>
      </c>
      <c r="E54" s="17">
        <f t="shared" si="0"/>
        <v>6.91</v>
      </c>
      <c r="F54" s="16">
        <v>2</v>
      </c>
      <c r="G54" s="16">
        <v>4</v>
      </c>
      <c r="H54" s="16">
        <v>2.5</v>
      </c>
      <c r="I54" s="16">
        <v>5</v>
      </c>
      <c r="J54" s="16">
        <v>623</v>
      </c>
      <c r="K54" s="16">
        <v>14.06</v>
      </c>
      <c r="L54" s="16">
        <v>62.9</v>
      </c>
      <c r="M54" s="16">
        <v>3</v>
      </c>
      <c r="N54" s="18">
        <f>IF(Risk_Calculation_Engine!U54="Low",1,IF(Risk_Calculation_Engine!U54="Medium",2,3))</f>
        <v>3</v>
      </c>
      <c r="O54" s="18" t="str">
        <f>Risk_Calculation_Engine!U54</f>
        <v>High</v>
      </c>
    </row>
    <row r="55" spans="1:15" ht="15" customHeight="1" x14ac:dyDescent="0.25">
      <c r="A55" s="16">
        <v>51</v>
      </c>
      <c r="B55" s="16">
        <v>45.2</v>
      </c>
      <c r="C55" s="16">
        <v>4</v>
      </c>
      <c r="D55" s="16">
        <v>198.9</v>
      </c>
      <c r="E55" s="17">
        <f t="shared" si="0"/>
        <v>14.17</v>
      </c>
      <c r="F55" s="16">
        <v>2</v>
      </c>
      <c r="G55" s="16">
        <v>2</v>
      </c>
      <c r="H55" s="16">
        <v>1.1399999999999999</v>
      </c>
      <c r="I55" s="16">
        <v>10</v>
      </c>
      <c r="J55" s="16">
        <v>301</v>
      </c>
      <c r="K55" s="16">
        <v>6.66</v>
      </c>
      <c r="L55" s="16">
        <v>86</v>
      </c>
      <c r="M55" s="16">
        <v>2</v>
      </c>
      <c r="N55" s="18">
        <f>IF(Risk_Calculation_Engine!U55="Low",1,IF(Risk_Calculation_Engine!U55="Medium",2,3))</f>
        <v>1</v>
      </c>
      <c r="O55" s="18" t="str">
        <f>Risk_Calculation_Engine!U55</f>
        <v>Low</v>
      </c>
    </row>
    <row r="56" spans="1:15" ht="15" customHeight="1" x14ac:dyDescent="0.25">
      <c r="A56" s="16">
        <v>52</v>
      </c>
      <c r="B56" s="16">
        <v>25.3</v>
      </c>
      <c r="C56" s="16">
        <v>2</v>
      </c>
      <c r="D56" s="16">
        <v>104.1</v>
      </c>
      <c r="E56" s="17">
        <f t="shared" si="0"/>
        <v>5.39</v>
      </c>
      <c r="F56" s="16">
        <v>1</v>
      </c>
      <c r="G56" s="16">
        <v>5</v>
      </c>
      <c r="H56" s="16">
        <v>2.5</v>
      </c>
      <c r="I56" s="16">
        <v>5</v>
      </c>
      <c r="J56" s="16">
        <v>134</v>
      </c>
      <c r="K56" s="16">
        <v>5.3</v>
      </c>
      <c r="L56" s="16">
        <v>81.7</v>
      </c>
      <c r="M56" s="16">
        <v>1</v>
      </c>
      <c r="N56" s="18">
        <f>IF(Risk_Calculation_Engine!U56="Low",1,IF(Risk_Calculation_Engine!U56="Medium",2,3))</f>
        <v>2</v>
      </c>
      <c r="O56" s="18" t="str">
        <f>Risk_Calculation_Engine!U56</f>
        <v>Medium</v>
      </c>
    </row>
    <row r="57" spans="1:15" ht="15" customHeight="1" x14ac:dyDescent="0.25">
      <c r="A57" s="16">
        <v>53</v>
      </c>
      <c r="B57" s="16">
        <v>24.8</v>
      </c>
      <c r="C57" s="16">
        <v>2</v>
      </c>
      <c r="D57" s="16">
        <v>57.6</v>
      </c>
      <c r="E57" s="17">
        <f t="shared" si="0"/>
        <v>6.84</v>
      </c>
      <c r="F57" s="16">
        <v>3</v>
      </c>
      <c r="G57" s="16">
        <v>9</v>
      </c>
      <c r="H57" s="16">
        <v>1.67</v>
      </c>
      <c r="I57" s="16">
        <v>4</v>
      </c>
      <c r="J57" s="16">
        <v>69</v>
      </c>
      <c r="K57" s="16">
        <v>2.78</v>
      </c>
      <c r="L57" s="16">
        <v>82.3</v>
      </c>
      <c r="M57" s="16">
        <v>3</v>
      </c>
      <c r="N57" s="18">
        <f>IF(Risk_Calculation_Engine!U57="Low",1,IF(Risk_Calculation_Engine!U57="Medium",2,3))</f>
        <v>1</v>
      </c>
      <c r="O57" s="18" t="str">
        <f>Risk_Calculation_Engine!U57</f>
        <v>Low</v>
      </c>
    </row>
    <row r="58" spans="1:15" ht="15" customHeight="1" x14ac:dyDescent="0.25">
      <c r="A58" s="16">
        <v>54</v>
      </c>
      <c r="B58" s="16">
        <v>115</v>
      </c>
      <c r="C58" s="16">
        <v>1</v>
      </c>
      <c r="D58" s="16">
        <v>622</v>
      </c>
      <c r="E58" s="17">
        <f t="shared" si="0"/>
        <v>24.98</v>
      </c>
      <c r="F58" s="16">
        <v>1</v>
      </c>
      <c r="G58" s="16">
        <v>11</v>
      </c>
      <c r="H58" s="16">
        <v>0.89</v>
      </c>
      <c r="I58" s="16">
        <v>3</v>
      </c>
      <c r="J58" s="16">
        <v>230</v>
      </c>
      <c r="K58" s="16">
        <v>2</v>
      </c>
      <c r="L58" s="16">
        <v>92.7</v>
      </c>
      <c r="M58" s="16">
        <v>1</v>
      </c>
      <c r="N58" s="18">
        <f>IF(Risk_Calculation_Engine!U58="Low",1,IF(Risk_Calculation_Engine!U58="Medium",2,3))</f>
        <v>2</v>
      </c>
      <c r="O58" s="18" t="str">
        <f>Risk_Calculation_Engine!U58</f>
        <v>Medium</v>
      </c>
    </row>
    <row r="59" spans="1:15" ht="15" customHeight="1" x14ac:dyDescent="0.25">
      <c r="A59" s="16">
        <v>55</v>
      </c>
      <c r="B59" s="16">
        <v>86.4</v>
      </c>
      <c r="C59" s="16">
        <v>4</v>
      </c>
      <c r="D59" s="16">
        <v>529.9</v>
      </c>
      <c r="E59" s="17">
        <f t="shared" si="0"/>
        <v>8.5</v>
      </c>
      <c r="F59" s="16">
        <v>2</v>
      </c>
      <c r="G59" s="16">
        <v>4</v>
      </c>
      <c r="H59" s="16">
        <v>2.5</v>
      </c>
      <c r="I59" s="16">
        <v>3</v>
      </c>
      <c r="J59" s="16">
        <v>1235</v>
      </c>
      <c r="K59" s="16">
        <v>14.29</v>
      </c>
      <c r="L59" s="16">
        <v>78</v>
      </c>
      <c r="M59" s="16">
        <v>3</v>
      </c>
      <c r="N59" s="18">
        <f>IF(Risk_Calculation_Engine!U59="Low",1,IF(Risk_Calculation_Engine!U59="Medium",2,3))</f>
        <v>3</v>
      </c>
      <c r="O59" s="18" t="str">
        <f>Risk_Calculation_Engine!U59</f>
        <v>High</v>
      </c>
    </row>
    <row r="60" spans="1:15" ht="15" customHeight="1" x14ac:dyDescent="0.25">
      <c r="A60" s="16">
        <v>56</v>
      </c>
      <c r="B60" s="16">
        <v>36.1</v>
      </c>
      <c r="C60" s="16">
        <v>5</v>
      </c>
      <c r="D60" s="16">
        <v>196.5</v>
      </c>
      <c r="E60" s="17">
        <f t="shared" si="0"/>
        <v>14</v>
      </c>
      <c r="F60" s="16">
        <v>2</v>
      </c>
      <c r="G60" s="16">
        <v>5</v>
      </c>
      <c r="H60" s="16">
        <v>1.1499999999999999</v>
      </c>
      <c r="I60" s="16">
        <v>9</v>
      </c>
      <c r="J60" s="16">
        <v>379</v>
      </c>
      <c r="K60" s="16">
        <v>10.5</v>
      </c>
      <c r="L60" s="16">
        <v>40.799999999999997</v>
      </c>
      <c r="M60" s="16">
        <v>3</v>
      </c>
      <c r="N60" s="18">
        <f>IF(Risk_Calculation_Engine!U60="Low",1,IF(Risk_Calculation_Engine!U60="Medium",2,3))</f>
        <v>2</v>
      </c>
      <c r="O60" s="18" t="str">
        <f>Risk_Calculation_Engine!U60</f>
        <v>Medium</v>
      </c>
    </row>
    <row r="61" spans="1:15" ht="15" customHeight="1" x14ac:dyDescent="0.25">
      <c r="A61" s="16">
        <v>57</v>
      </c>
      <c r="B61" s="16">
        <v>65.3</v>
      </c>
      <c r="C61" s="16">
        <v>4</v>
      </c>
      <c r="D61" s="16">
        <v>366</v>
      </c>
      <c r="E61" s="17">
        <f t="shared" si="0"/>
        <v>15.84</v>
      </c>
      <c r="F61" s="16">
        <v>2</v>
      </c>
      <c r="G61" s="16">
        <v>6</v>
      </c>
      <c r="H61" s="16">
        <v>1.21</v>
      </c>
      <c r="I61" s="16">
        <v>8</v>
      </c>
      <c r="J61" s="16">
        <v>385</v>
      </c>
      <c r="K61" s="16">
        <v>5.9</v>
      </c>
      <c r="L61" s="16">
        <v>65.8</v>
      </c>
      <c r="M61" s="16">
        <v>1</v>
      </c>
      <c r="N61" s="18">
        <f>IF(Risk_Calculation_Engine!U61="Low",1,IF(Risk_Calculation_Engine!U61="Medium",2,3))</f>
        <v>1</v>
      </c>
      <c r="O61" s="18" t="str">
        <f>Risk_Calculation_Engine!U61</f>
        <v>Low</v>
      </c>
    </row>
    <row r="62" spans="1:15" ht="15" customHeight="1" x14ac:dyDescent="0.25">
      <c r="A62" s="16">
        <v>58</v>
      </c>
      <c r="B62" s="16">
        <v>74.2</v>
      </c>
      <c r="C62" s="16">
        <v>4</v>
      </c>
      <c r="D62" s="16">
        <v>314.5</v>
      </c>
      <c r="E62" s="17">
        <f t="shared" si="0"/>
        <v>12.24</v>
      </c>
      <c r="F62" s="16">
        <v>3</v>
      </c>
      <c r="G62" s="16">
        <v>8</v>
      </c>
      <c r="H62" s="16">
        <v>1.5</v>
      </c>
      <c r="I62" s="16">
        <v>3</v>
      </c>
      <c r="J62" s="16">
        <v>1082</v>
      </c>
      <c r="K62" s="16">
        <v>14.58</v>
      </c>
      <c r="L62" s="16">
        <v>47</v>
      </c>
      <c r="M62" s="16">
        <v>3</v>
      </c>
      <c r="N62" s="18">
        <f>IF(Risk_Calculation_Engine!U62="Low",1,IF(Risk_Calculation_Engine!U62="Medium",2,3))</f>
        <v>2</v>
      </c>
      <c r="O62" s="18" t="str">
        <f>Risk_Calculation_Engine!U62</f>
        <v>Medium</v>
      </c>
    </row>
    <row r="63" spans="1:15" ht="15" customHeight="1" x14ac:dyDescent="0.25">
      <c r="A63" s="16">
        <v>59</v>
      </c>
      <c r="B63" s="16">
        <v>149.80000000000001</v>
      </c>
      <c r="C63" s="16">
        <v>5</v>
      </c>
      <c r="D63" s="16">
        <v>1172.8</v>
      </c>
      <c r="E63" s="17">
        <f t="shared" si="0"/>
        <v>16.489999999999998</v>
      </c>
      <c r="F63" s="16">
        <v>1</v>
      </c>
      <c r="G63" s="16">
        <v>5</v>
      </c>
      <c r="H63" s="16">
        <v>1.61</v>
      </c>
      <c r="I63" s="16">
        <v>7</v>
      </c>
      <c r="J63" s="16">
        <v>1777</v>
      </c>
      <c r="K63" s="16">
        <v>11.86</v>
      </c>
      <c r="L63" s="16">
        <v>49.2</v>
      </c>
      <c r="M63" s="16">
        <v>2</v>
      </c>
      <c r="N63" s="18">
        <f>IF(Risk_Calculation_Engine!U63="Low",1,IF(Risk_Calculation_Engine!U63="Medium",2,3))</f>
        <v>3</v>
      </c>
      <c r="O63" s="18" t="str">
        <f>Risk_Calculation_Engine!U63</f>
        <v>High</v>
      </c>
    </row>
    <row r="64" spans="1:15" ht="15" customHeight="1" x14ac:dyDescent="0.25">
      <c r="A64" s="16">
        <v>60</v>
      </c>
      <c r="B64" s="16">
        <v>22.8</v>
      </c>
      <c r="C64" s="16">
        <v>4</v>
      </c>
      <c r="D64" s="16">
        <v>73.8</v>
      </c>
      <c r="E64" s="17">
        <f t="shared" si="0"/>
        <v>6.54</v>
      </c>
      <c r="F64" s="16">
        <v>3</v>
      </c>
      <c r="G64" s="16">
        <v>5</v>
      </c>
      <c r="H64" s="16">
        <v>1.87</v>
      </c>
      <c r="I64" s="16">
        <v>6</v>
      </c>
      <c r="J64" s="16">
        <v>192</v>
      </c>
      <c r="K64" s="16">
        <v>8.42</v>
      </c>
      <c r="L64" s="16">
        <v>72.8</v>
      </c>
      <c r="M64" s="16">
        <v>1</v>
      </c>
      <c r="N64" s="18">
        <f>IF(Risk_Calculation_Engine!U64="Low",1,IF(Risk_Calculation_Engine!U64="Medium",2,3))</f>
        <v>2</v>
      </c>
      <c r="O64" s="18" t="str">
        <f>Risk_Calculation_Engine!U64</f>
        <v>Medium</v>
      </c>
    </row>
    <row r="65" spans="1:15" ht="15" customHeight="1" x14ac:dyDescent="0.25">
      <c r="A65" s="16">
        <v>61</v>
      </c>
      <c r="B65" s="16">
        <v>73.5</v>
      </c>
      <c r="C65" s="16">
        <v>1</v>
      </c>
      <c r="D65" s="16">
        <v>270.7</v>
      </c>
      <c r="E65" s="17">
        <f t="shared" si="0"/>
        <v>7.04</v>
      </c>
      <c r="F65" s="16">
        <v>2</v>
      </c>
      <c r="G65" s="16">
        <v>10</v>
      </c>
      <c r="H65" s="16">
        <v>2.5</v>
      </c>
      <c r="I65" s="16">
        <v>10</v>
      </c>
      <c r="J65" s="16">
        <v>141</v>
      </c>
      <c r="K65" s="16">
        <v>1.92</v>
      </c>
      <c r="L65" s="16">
        <v>50.9</v>
      </c>
      <c r="M65" s="16">
        <v>2</v>
      </c>
      <c r="N65" s="18">
        <f>IF(Risk_Calculation_Engine!U65="Low",1,IF(Risk_Calculation_Engine!U65="Medium",2,3))</f>
        <v>3</v>
      </c>
      <c r="O65" s="18" t="str">
        <f>Risk_Calculation_Engine!U65</f>
        <v>High</v>
      </c>
    </row>
    <row r="66" spans="1:15" ht="15" customHeight="1" x14ac:dyDescent="0.25">
      <c r="A66" s="16">
        <v>62</v>
      </c>
      <c r="B66" s="16">
        <v>114.6</v>
      </c>
      <c r="C66" s="16">
        <v>5</v>
      </c>
      <c r="D66" s="16">
        <v>488.2</v>
      </c>
      <c r="E66" s="17">
        <f t="shared" si="0"/>
        <v>8.34</v>
      </c>
      <c r="F66" s="16">
        <v>3</v>
      </c>
      <c r="G66" s="16">
        <v>4</v>
      </c>
      <c r="H66" s="16">
        <v>2.4900000000000002</v>
      </c>
      <c r="I66" s="16">
        <v>15</v>
      </c>
      <c r="J66" s="16">
        <v>1045</v>
      </c>
      <c r="K66" s="16">
        <v>9.1199999999999992</v>
      </c>
      <c r="L66" s="16">
        <v>94.8</v>
      </c>
      <c r="M66" s="16">
        <v>2</v>
      </c>
      <c r="N66" s="18">
        <f>IF(Risk_Calculation_Engine!U66="Low",1,IF(Risk_Calculation_Engine!U66="Medium",2,3))</f>
        <v>3</v>
      </c>
      <c r="O66" s="18" t="str">
        <f>Risk_Calculation_Engine!U66</f>
        <v>High</v>
      </c>
    </row>
    <row r="67" spans="1:15" ht="15" customHeight="1" x14ac:dyDescent="0.25">
      <c r="A67" s="16">
        <v>63</v>
      </c>
      <c r="B67" s="16">
        <v>149.80000000000001</v>
      </c>
      <c r="C67" s="16">
        <v>3</v>
      </c>
      <c r="D67" s="16">
        <v>547</v>
      </c>
      <c r="E67" s="17">
        <f t="shared" si="0"/>
        <v>16.5</v>
      </c>
      <c r="F67" s="16">
        <v>3</v>
      </c>
      <c r="G67" s="16">
        <v>5</v>
      </c>
      <c r="H67" s="16">
        <v>1.3</v>
      </c>
      <c r="I67" s="16">
        <v>11</v>
      </c>
      <c r="J67" s="16">
        <v>618</v>
      </c>
      <c r="K67" s="16">
        <v>4.13</v>
      </c>
      <c r="L67" s="16">
        <v>33.299999999999997</v>
      </c>
      <c r="M67" s="16">
        <v>3</v>
      </c>
      <c r="N67" s="18">
        <f>IF(Risk_Calculation_Engine!U67="Low",1,IF(Risk_Calculation_Engine!U67="Medium",2,3))</f>
        <v>2</v>
      </c>
      <c r="O67" s="18" t="str">
        <f>Risk_Calculation_Engine!U67</f>
        <v>Medium</v>
      </c>
    </row>
    <row r="68" spans="1:15" ht="15" customHeight="1" x14ac:dyDescent="0.25">
      <c r="A68" s="16">
        <v>64</v>
      </c>
      <c r="B68" s="16">
        <v>34.5</v>
      </c>
      <c r="C68" s="16">
        <v>1</v>
      </c>
      <c r="D68" s="16">
        <v>72.900000000000006</v>
      </c>
      <c r="E68" s="17">
        <f t="shared" si="0"/>
        <v>9.24</v>
      </c>
      <c r="F68" s="16">
        <v>3</v>
      </c>
      <c r="G68" s="16">
        <v>5</v>
      </c>
      <c r="H68" s="16">
        <v>1.32</v>
      </c>
      <c r="I68" s="16">
        <v>14</v>
      </c>
      <c r="J68" s="16">
        <v>92</v>
      </c>
      <c r="K68" s="16">
        <v>2.67</v>
      </c>
      <c r="L68" s="16">
        <v>38</v>
      </c>
      <c r="M68" s="16">
        <v>2</v>
      </c>
      <c r="N68" s="18">
        <f>IF(Risk_Calculation_Engine!U68="Low",1,IF(Risk_Calculation_Engine!U68="Medium",2,3))</f>
        <v>1</v>
      </c>
      <c r="O68" s="18" t="str">
        <f>Risk_Calculation_Engine!U68</f>
        <v>Low</v>
      </c>
    </row>
    <row r="69" spans="1:15" ht="15" customHeight="1" x14ac:dyDescent="0.25">
      <c r="A69" s="16">
        <v>65</v>
      </c>
      <c r="B69" s="16">
        <v>43.8</v>
      </c>
      <c r="C69" s="16">
        <v>3</v>
      </c>
      <c r="D69" s="16">
        <v>191.2</v>
      </c>
      <c r="E69" s="17">
        <f t="shared" ref="E69:E132" si="1">ROUND(3.67*D69^0.28/H69,2)</f>
        <v>6.66</v>
      </c>
      <c r="F69" s="16">
        <v>2</v>
      </c>
      <c r="G69" s="16">
        <v>8</v>
      </c>
      <c r="H69" s="16">
        <v>2.4</v>
      </c>
      <c r="I69" s="16">
        <v>5</v>
      </c>
      <c r="J69" s="16">
        <v>268</v>
      </c>
      <c r="K69" s="16">
        <v>6.12</v>
      </c>
      <c r="L69" s="16">
        <v>46.5</v>
      </c>
      <c r="M69" s="16">
        <v>3</v>
      </c>
      <c r="N69" s="18">
        <f>IF(Risk_Calculation_Engine!U69="Low",1,IF(Risk_Calculation_Engine!U69="Medium",2,3))</f>
        <v>3</v>
      </c>
      <c r="O69" s="18" t="str">
        <f>Risk_Calculation_Engine!U69</f>
        <v>High</v>
      </c>
    </row>
    <row r="70" spans="1:15" ht="15" customHeight="1" x14ac:dyDescent="0.25">
      <c r="A70" s="16">
        <v>66</v>
      </c>
      <c r="B70" s="16">
        <v>99.9</v>
      </c>
      <c r="C70" s="16">
        <v>5</v>
      </c>
      <c r="D70" s="16">
        <v>566.9</v>
      </c>
      <c r="E70" s="17">
        <f t="shared" si="1"/>
        <v>20.059999999999999</v>
      </c>
      <c r="F70" s="16">
        <v>2</v>
      </c>
      <c r="G70" s="16">
        <v>9</v>
      </c>
      <c r="H70" s="16">
        <v>1.08</v>
      </c>
      <c r="I70" s="16">
        <v>5</v>
      </c>
      <c r="J70" s="16">
        <v>1607</v>
      </c>
      <c r="K70" s="16">
        <v>16.09</v>
      </c>
      <c r="L70" s="16">
        <v>91.4</v>
      </c>
      <c r="M70" s="16">
        <v>2</v>
      </c>
      <c r="N70" s="18">
        <f>IF(Risk_Calculation_Engine!U70="Low",1,IF(Risk_Calculation_Engine!U70="Medium",2,3))</f>
        <v>3</v>
      </c>
      <c r="O70" s="18" t="str">
        <f>Risk_Calculation_Engine!U70</f>
        <v>High</v>
      </c>
    </row>
    <row r="71" spans="1:15" ht="15" customHeight="1" x14ac:dyDescent="0.25">
      <c r="A71" s="16">
        <v>67</v>
      </c>
      <c r="B71" s="16">
        <v>13</v>
      </c>
      <c r="C71" s="16">
        <v>3</v>
      </c>
      <c r="D71" s="16">
        <v>45.2</v>
      </c>
      <c r="E71" s="17">
        <f t="shared" si="1"/>
        <v>6.39</v>
      </c>
      <c r="F71" s="16">
        <v>2</v>
      </c>
      <c r="G71" s="16">
        <v>4</v>
      </c>
      <c r="H71" s="16">
        <v>1.67</v>
      </c>
      <c r="I71" s="16">
        <v>12</v>
      </c>
      <c r="J71" s="16">
        <v>92</v>
      </c>
      <c r="K71" s="16">
        <v>7.08</v>
      </c>
      <c r="L71" s="16">
        <v>54.9</v>
      </c>
      <c r="M71" s="16">
        <v>1</v>
      </c>
      <c r="N71" s="18">
        <f>IF(Risk_Calculation_Engine!U71="Low",1,IF(Risk_Calculation_Engine!U71="Medium",2,3))</f>
        <v>1</v>
      </c>
      <c r="O71" s="18" t="str">
        <f>Risk_Calculation_Engine!U71</f>
        <v>Low</v>
      </c>
    </row>
    <row r="72" spans="1:15" ht="15" customHeight="1" x14ac:dyDescent="0.25">
      <c r="A72" s="16">
        <v>68</v>
      </c>
      <c r="B72" s="16">
        <v>79</v>
      </c>
      <c r="C72" s="16">
        <v>3</v>
      </c>
      <c r="D72" s="16">
        <v>310.60000000000002</v>
      </c>
      <c r="E72" s="17">
        <f t="shared" si="1"/>
        <v>7.32</v>
      </c>
      <c r="F72" s="16">
        <v>2</v>
      </c>
      <c r="G72" s="16">
        <v>4</v>
      </c>
      <c r="H72" s="16">
        <v>2.5</v>
      </c>
      <c r="I72" s="16">
        <v>7</v>
      </c>
      <c r="J72" s="16">
        <v>391</v>
      </c>
      <c r="K72" s="16">
        <v>4.95</v>
      </c>
      <c r="L72" s="16">
        <v>69.5</v>
      </c>
      <c r="M72" s="16">
        <v>2</v>
      </c>
      <c r="N72" s="18">
        <f>IF(Risk_Calculation_Engine!U72="Low",1,IF(Risk_Calculation_Engine!U72="Medium",2,3))</f>
        <v>2</v>
      </c>
      <c r="O72" s="18" t="str">
        <f>Risk_Calculation_Engine!U72</f>
        <v>Medium</v>
      </c>
    </row>
    <row r="73" spans="1:15" ht="15" customHeight="1" x14ac:dyDescent="0.25">
      <c r="A73" s="16">
        <v>69</v>
      </c>
      <c r="B73" s="16">
        <v>149.80000000000001</v>
      </c>
      <c r="C73" s="16">
        <v>2</v>
      </c>
      <c r="D73" s="16">
        <v>725.3</v>
      </c>
      <c r="E73" s="17">
        <f t="shared" si="1"/>
        <v>16.82</v>
      </c>
      <c r="F73" s="16">
        <v>2</v>
      </c>
      <c r="G73" s="16">
        <v>6</v>
      </c>
      <c r="H73" s="16">
        <v>1.38</v>
      </c>
      <c r="I73" s="16">
        <v>14</v>
      </c>
      <c r="J73" s="16">
        <v>562</v>
      </c>
      <c r="K73" s="16">
        <v>3.75</v>
      </c>
      <c r="L73" s="16">
        <v>70.5</v>
      </c>
      <c r="M73" s="16">
        <v>3</v>
      </c>
      <c r="N73" s="18">
        <f>IF(Risk_Calculation_Engine!U73="Low",1,IF(Risk_Calculation_Engine!U73="Medium",2,3))</f>
        <v>2</v>
      </c>
      <c r="O73" s="18" t="str">
        <f>Risk_Calculation_Engine!U73</f>
        <v>Medium</v>
      </c>
    </row>
    <row r="74" spans="1:15" ht="15" customHeight="1" x14ac:dyDescent="0.25">
      <c r="A74" s="16">
        <v>70</v>
      </c>
      <c r="B74" s="16">
        <v>85.2</v>
      </c>
      <c r="C74" s="16">
        <v>1</v>
      </c>
      <c r="D74" s="16">
        <v>252.1</v>
      </c>
      <c r="E74" s="17">
        <f t="shared" si="1"/>
        <v>18.36</v>
      </c>
      <c r="F74" s="16">
        <v>2</v>
      </c>
      <c r="G74" s="16">
        <v>7</v>
      </c>
      <c r="H74" s="16">
        <v>0.94</v>
      </c>
      <c r="I74" s="16">
        <v>9</v>
      </c>
      <c r="J74" s="16">
        <v>255</v>
      </c>
      <c r="K74" s="16">
        <v>2.99</v>
      </c>
      <c r="L74" s="16">
        <v>58.1</v>
      </c>
      <c r="M74" s="16">
        <v>3</v>
      </c>
      <c r="N74" s="18">
        <f>IF(Risk_Calculation_Engine!U74="Low",1,IF(Risk_Calculation_Engine!U74="Medium",2,3))</f>
        <v>1</v>
      </c>
      <c r="O74" s="18" t="str">
        <f>Risk_Calculation_Engine!U74</f>
        <v>Low</v>
      </c>
    </row>
    <row r="75" spans="1:15" ht="15" customHeight="1" x14ac:dyDescent="0.25">
      <c r="A75" s="16">
        <v>71</v>
      </c>
      <c r="B75" s="16">
        <v>4.3</v>
      </c>
      <c r="C75" s="16">
        <v>2</v>
      </c>
      <c r="D75" s="16">
        <v>17</v>
      </c>
      <c r="E75" s="17">
        <f t="shared" si="1"/>
        <v>7.05</v>
      </c>
      <c r="F75" s="16">
        <v>1</v>
      </c>
      <c r="G75" s="16">
        <v>9</v>
      </c>
      <c r="H75" s="16">
        <v>1.1499999999999999</v>
      </c>
      <c r="I75" s="16">
        <v>5</v>
      </c>
      <c r="J75" s="16">
        <v>22</v>
      </c>
      <c r="K75" s="16">
        <v>5.12</v>
      </c>
      <c r="L75" s="16">
        <v>40.799999999999997</v>
      </c>
      <c r="M75" s="16">
        <v>3</v>
      </c>
      <c r="N75" s="18">
        <f>IF(Risk_Calculation_Engine!U75="Low",1,IF(Risk_Calculation_Engine!U75="Medium",2,3))</f>
        <v>1</v>
      </c>
      <c r="O75" s="18" t="str">
        <f>Risk_Calculation_Engine!U75</f>
        <v>Low</v>
      </c>
    </row>
    <row r="76" spans="1:15" ht="15" customHeight="1" x14ac:dyDescent="0.25">
      <c r="A76" s="16">
        <v>72</v>
      </c>
      <c r="B76" s="16">
        <v>28.8</v>
      </c>
      <c r="C76" s="16">
        <v>4</v>
      </c>
      <c r="D76" s="16">
        <v>101.1</v>
      </c>
      <c r="E76" s="17">
        <f t="shared" si="1"/>
        <v>11.33</v>
      </c>
      <c r="F76" s="16">
        <v>3</v>
      </c>
      <c r="G76" s="16">
        <v>5</v>
      </c>
      <c r="H76" s="16">
        <v>1.18</v>
      </c>
      <c r="I76" s="16">
        <v>13</v>
      </c>
      <c r="J76" s="16">
        <v>304</v>
      </c>
      <c r="K76" s="16">
        <v>10.56</v>
      </c>
      <c r="L76" s="16">
        <v>33.6</v>
      </c>
      <c r="M76" s="16">
        <v>1</v>
      </c>
      <c r="N76" s="18">
        <f>IF(Risk_Calculation_Engine!U76="Low",1,IF(Risk_Calculation_Engine!U76="Medium",2,3))</f>
        <v>1</v>
      </c>
      <c r="O76" s="18" t="str">
        <f>Risk_Calculation_Engine!U76</f>
        <v>Low</v>
      </c>
    </row>
    <row r="77" spans="1:15" ht="15" customHeight="1" x14ac:dyDescent="0.25">
      <c r="A77" s="16">
        <v>73</v>
      </c>
      <c r="B77" s="16">
        <v>35.4</v>
      </c>
      <c r="C77" s="16">
        <v>5</v>
      </c>
      <c r="D77" s="16">
        <v>256.60000000000002</v>
      </c>
      <c r="E77" s="17">
        <f t="shared" si="1"/>
        <v>15.49</v>
      </c>
      <c r="F77" s="16">
        <v>1</v>
      </c>
      <c r="G77" s="16">
        <v>5</v>
      </c>
      <c r="H77" s="16">
        <v>1.1200000000000001</v>
      </c>
      <c r="I77" s="16">
        <v>10</v>
      </c>
      <c r="J77" s="16">
        <v>654</v>
      </c>
      <c r="K77" s="16">
        <v>18.47</v>
      </c>
      <c r="L77" s="16">
        <v>82.9</v>
      </c>
      <c r="M77" s="16">
        <v>2</v>
      </c>
      <c r="N77" s="18">
        <f>IF(Risk_Calculation_Engine!U77="Low",1,IF(Risk_Calculation_Engine!U77="Medium",2,3))</f>
        <v>2</v>
      </c>
      <c r="O77" s="18" t="str">
        <f>Risk_Calculation_Engine!U77</f>
        <v>Medium</v>
      </c>
    </row>
    <row r="78" spans="1:15" ht="15" customHeight="1" x14ac:dyDescent="0.25">
      <c r="A78" s="16">
        <v>74</v>
      </c>
      <c r="B78" s="16">
        <v>133.30000000000001</v>
      </c>
      <c r="C78" s="16">
        <v>2</v>
      </c>
      <c r="D78" s="16">
        <v>452.7</v>
      </c>
      <c r="E78" s="17">
        <f t="shared" si="1"/>
        <v>13.74</v>
      </c>
      <c r="F78" s="16">
        <v>3</v>
      </c>
      <c r="G78" s="16">
        <v>2</v>
      </c>
      <c r="H78" s="16">
        <v>1.48</v>
      </c>
      <c r="I78" s="16">
        <v>13</v>
      </c>
      <c r="J78" s="16">
        <v>717</v>
      </c>
      <c r="K78" s="16">
        <v>5.38</v>
      </c>
      <c r="L78" s="16">
        <v>92</v>
      </c>
      <c r="M78" s="16">
        <v>1</v>
      </c>
      <c r="N78" s="18">
        <f>IF(Risk_Calculation_Engine!U78="Low",1,IF(Risk_Calculation_Engine!U78="Medium",2,3))</f>
        <v>1</v>
      </c>
      <c r="O78" s="18" t="str">
        <f>Risk_Calculation_Engine!U78</f>
        <v>Low</v>
      </c>
    </row>
    <row r="79" spans="1:15" ht="15" customHeight="1" x14ac:dyDescent="0.25">
      <c r="A79" s="16">
        <v>75</v>
      </c>
      <c r="B79" s="16">
        <v>53.9</v>
      </c>
      <c r="C79" s="16">
        <v>3</v>
      </c>
      <c r="D79" s="16">
        <v>307.39999999999998</v>
      </c>
      <c r="E79" s="17">
        <f t="shared" si="1"/>
        <v>7.3</v>
      </c>
      <c r="F79" s="16">
        <v>1</v>
      </c>
      <c r="G79" s="16">
        <v>2</v>
      </c>
      <c r="H79" s="16">
        <v>2.5</v>
      </c>
      <c r="I79" s="16">
        <v>8</v>
      </c>
      <c r="J79" s="16">
        <v>356</v>
      </c>
      <c r="K79" s="16">
        <v>6.6</v>
      </c>
      <c r="L79" s="16">
        <v>70.5</v>
      </c>
      <c r="M79" s="16">
        <v>3</v>
      </c>
      <c r="N79" s="18">
        <f>IF(Risk_Calculation_Engine!U79="Low",1,IF(Risk_Calculation_Engine!U79="Medium",2,3))</f>
        <v>2</v>
      </c>
      <c r="O79" s="18" t="str">
        <f>Risk_Calculation_Engine!U79</f>
        <v>Medium</v>
      </c>
    </row>
    <row r="80" spans="1:15" ht="15" customHeight="1" x14ac:dyDescent="0.25">
      <c r="A80" s="16">
        <v>76</v>
      </c>
      <c r="B80" s="16">
        <v>9.6</v>
      </c>
      <c r="C80" s="16">
        <v>2</v>
      </c>
      <c r="D80" s="16">
        <v>43.7</v>
      </c>
      <c r="E80" s="17">
        <f t="shared" si="1"/>
        <v>5.21</v>
      </c>
      <c r="F80" s="16">
        <v>1</v>
      </c>
      <c r="G80" s="16">
        <v>9</v>
      </c>
      <c r="H80" s="16">
        <v>2.0299999999999998</v>
      </c>
      <c r="I80" s="16">
        <v>4</v>
      </c>
      <c r="J80" s="16">
        <v>32</v>
      </c>
      <c r="K80" s="16">
        <v>3.33</v>
      </c>
      <c r="L80" s="16">
        <v>53.7</v>
      </c>
      <c r="M80" s="16">
        <v>1</v>
      </c>
      <c r="N80" s="18">
        <f>IF(Risk_Calculation_Engine!U80="Low",1,IF(Risk_Calculation_Engine!U80="Medium",2,3))</f>
        <v>2</v>
      </c>
      <c r="O80" s="18" t="str">
        <f>Risk_Calculation_Engine!U80</f>
        <v>Medium</v>
      </c>
    </row>
    <row r="81" spans="1:15" ht="15" customHeight="1" x14ac:dyDescent="0.25">
      <c r="A81" s="16">
        <v>77</v>
      </c>
      <c r="B81" s="16">
        <v>58.9</v>
      </c>
      <c r="C81" s="16">
        <v>1</v>
      </c>
      <c r="D81" s="16">
        <v>144</v>
      </c>
      <c r="E81" s="17">
        <f t="shared" si="1"/>
        <v>9.65</v>
      </c>
      <c r="F81" s="16">
        <v>3</v>
      </c>
      <c r="G81" s="16">
        <v>4</v>
      </c>
      <c r="H81" s="16">
        <v>1.53</v>
      </c>
      <c r="I81" s="16">
        <v>11</v>
      </c>
      <c r="J81" s="16">
        <v>108</v>
      </c>
      <c r="K81" s="16">
        <v>1.83</v>
      </c>
      <c r="L81" s="16">
        <v>13.8</v>
      </c>
      <c r="M81" s="16">
        <v>1</v>
      </c>
      <c r="N81" s="18">
        <f>IF(Risk_Calculation_Engine!U81="Low",1,IF(Risk_Calculation_Engine!U81="Medium",2,3))</f>
        <v>1</v>
      </c>
      <c r="O81" s="18" t="str">
        <f>Risk_Calculation_Engine!U81</f>
        <v>Low</v>
      </c>
    </row>
    <row r="82" spans="1:15" ht="15" customHeight="1" x14ac:dyDescent="0.25">
      <c r="A82" s="16">
        <v>78</v>
      </c>
      <c r="B82" s="16">
        <v>68.5</v>
      </c>
      <c r="C82" s="16">
        <v>4</v>
      </c>
      <c r="D82" s="16">
        <v>298.3</v>
      </c>
      <c r="E82" s="17">
        <f t="shared" si="1"/>
        <v>11.38</v>
      </c>
      <c r="F82" s="16">
        <v>3</v>
      </c>
      <c r="G82" s="16">
        <v>7</v>
      </c>
      <c r="H82" s="16">
        <v>1.59</v>
      </c>
      <c r="I82" s="16">
        <v>4</v>
      </c>
      <c r="J82" s="16">
        <v>468</v>
      </c>
      <c r="K82" s="16">
        <v>6.83</v>
      </c>
      <c r="L82" s="16">
        <v>81.2</v>
      </c>
      <c r="M82" s="16">
        <v>3</v>
      </c>
      <c r="N82" s="18">
        <f>IF(Risk_Calculation_Engine!U82="Low",1,IF(Risk_Calculation_Engine!U82="Medium",2,3))</f>
        <v>2</v>
      </c>
      <c r="O82" s="18" t="str">
        <f>Risk_Calculation_Engine!U82</f>
        <v>Medium</v>
      </c>
    </row>
    <row r="83" spans="1:15" ht="15" customHeight="1" x14ac:dyDescent="0.25">
      <c r="A83" s="16">
        <v>79</v>
      </c>
      <c r="B83" s="16">
        <v>39.5</v>
      </c>
      <c r="C83" s="16">
        <v>4</v>
      </c>
      <c r="D83" s="16">
        <v>215</v>
      </c>
      <c r="E83" s="17">
        <f t="shared" si="1"/>
        <v>13.31</v>
      </c>
      <c r="F83" s="16">
        <v>2</v>
      </c>
      <c r="G83" s="16">
        <v>4</v>
      </c>
      <c r="H83" s="16">
        <v>1.24</v>
      </c>
      <c r="I83" s="16">
        <v>11</v>
      </c>
      <c r="J83" s="16">
        <v>577</v>
      </c>
      <c r="K83" s="16">
        <v>14.61</v>
      </c>
      <c r="L83" s="16">
        <v>58.4</v>
      </c>
      <c r="M83" s="16">
        <v>2</v>
      </c>
      <c r="N83" s="18">
        <f>IF(Risk_Calculation_Engine!U83="Low",1,IF(Risk_Calculation_Engine!U83="Medium",2,3))</f>
        <v>1</v>
      </c>
      <c r="O83" s="18" t="str">
        <f>Risk_Calculation_Engine!U83</f>
        <v>Low</v>
      </c>
    </row>
    <row r="84" spans="1:15" ht="15" customHeight="1" x14ac:dyDescent="0.25">
      <c r="A84" s="16">
        <v>80</v>
      </c>
      <c r="B84" s="16">
        <v>24.4</v>
      </c>
      <c r="C84" s="16">
        <v>4</v>
      </c>
      <c r="D84" s="16">
        <v>79.099999999999994</v>
      </c>
      <c r="E84" s="17">
        <f t="shared" si="1"/>
        <v>7.85</v>
      </c>
      <c r="F84" s="16">
        <v>3</v>
      </c>
      <c r="G84" s="16">
        <v>6</v>
      </c>
      <c r="H84" s="16">
        <v>1.59</v>
      </c>
      <c r="I84" s="16">
        <v>8</v>
      </c>
      <c r="J84" s="16">
        <v>281</v>
      </c>
      <c r="K84" s="16">
        <v>11.52</v>
      </c>
      <c r="L84" s="16">
        <v>40.299999999999997</v>
      </c>
      <c r="M84" s="16">
        <v>2</v>
      </c>
      <c r="N84" s="18">
        <f>IF(Risk_Calculation_Engine!U84="Low",1,IF(Risk_Calculation_Engine!U84="Medium",2,3))</f>
        <v>1</v>
      </c>
      <c r="O84" s="18" t="str">
        <f>Risk_Calculation_Engine!U84</f>
        <v>Low</v>
      </c>
    </row>
    <row r="85" spans="1:15" ht="15" customHeight="1" x14ac:dyDescent="0.25">
      <c r="A85" s="16">
        <v>81</v>
      </c>
      <c r="B85" s="16">
        <v>149.80000000000001</v>
      </c>
      <c r="C85" s="16">
        <v>3</v>
      </c>
      <c r="D85" s="16">
        <v>1069.2</v>
      </c>
      <c r="E85" s="17">
        <f t="shared" si="1"/>
        <v>10.35</v>
      </c>
      <c r="F85" s="16">
        <v>1</v>
      </c>
      <c r="G85" s="16">
        <v>5</v>
      </c>
      <c r="H85" s="16">
        <v>2.5</v>
      </c>
      <c r="I85" s="16">
        <v>13</v>
      </c>
      <c r="J85" s="16">
        <v>808</v>
      </c>
      <c r="K85" s="16">
        <v>5.39</v>
      </c>
      <c r="L85" s="16">
        <v>91</v>
      </c>
      <c r="M85" s="16">
        <v>3</v>
      </c>
      <c r="N85" s="18">
        <f>IF(Risk_Calculation_Engine!U85="Low",1,IF(Risk_Calculation_Engine!U85="Medium",2,3))</f>
        <v>3</v>
      </c>
      <c r="O85" s="18" t="str">
        <f>Risk_Calculation_Engine!U85</f>
        <v>High</v>
      </c>
    </row>
    <row r="86" spans="1:15" ht="15" customHeight="1" x14ac:dyDescent="0.25">
      <c r="A86" s="16">
        <v>82</v>
      </c>
      <c r="B86" s="16">
        <v>114.8</v>
      </c>
      <c r="C86" s="16">
        <v>4</v>
      </c>
      <c r="D86" s="16">
        <v>516.29999999999995</v>
      </c>
      <c r="E86" s="17">
        <f t="shared" si="1"/>
        <v>12.49</v>
      </c>
      <c r="F86" s="16">
        <v>3</v>
      </c>
      <c r="G86" s="16">
        <v>6</v>
      </c>
      <c r="H86" s="16">
        <v>1.69</v>
      </c>
      <c r="I86" s="16">
        <v>14</v>
      </c>
      <c r="J86" s="16">
        <v>987</v>
      </c>
      <c r="K86" s="16">
        <v>8.6</v>
      </c>
      <c r="L86" s="16">
        <v>53.2</v>
      </c>
      <c r="M86" s="16">
        <v>2</v>
      </c>
      <c r="N86" s="18">
        <f>IF(Risk_Calculation_Engine!U86="Low",1,IF(Risk_Calculation_Engine!U86="Medium",2,3))</f>
        <v>2</v>
      </c>
      <c r="O86" s="18" t="str">
        <f>Risk_Calculation_Engine!U86</f>
        <v>Medium</v>
      </c>
    </row>
    <row r="87" spans="1:15" ht="15" customHeight="1" x14ac:dyDescent="0.25">
      <c r="A87" s="16">
        <v>83</v>
      </c>
      <c r="B87" s="16">
        <v>122.2</v>
      </c>
      <c r="C87" s="16">
        <v>2</v>
      </c>
      <c r="D87" s="16">
        <v>569</v>
      </c>
      <c r="E87" s="17">
        <f t="shared" si="1"/>
        <v>8.74</v>
      </c>
      <c r="F87" s="16">
        <v>2</v>
      </c>
      <c r="G87" s="16">
        <v>4</v>
      </c>
      <c r="H87" s="16">
        <v>2.48</v>
      </c>
      <c r="I87" s="16">
        <v>8</v>
      </c>
      <c r="J87" s="16">
        <v>688</v>
      </c>
      <c r="K87" s="16">
        <v>5.63</v>
      </c>
      <c r="L87" s="16">
        <v>87.6</v>
      </c>
      <c r="M87" s="16">
        <v>2</v>
      </c>
      <c r="N87" s="18">
        <f>IF(Risk_Calculation_Engine!U87="Low",1,IF(Risk_Calculation_Engine!U87="Medium",2,3))</f>
        <v>3</v>
      </c>
      <c r="O87" s="18" t="str">
        <f>Risk_Calculation_Engine!U87</f>
        <v>High</v>
      </c>
    </row>
    <row r="88" spans="1:15" ht="15" customHeight="1" x14ac:dyDescent="0.25">
      <c r="A88" s="16">
        <v>84</v>
      </c>
      <c r="B88" s="16">
        <v>54</v>
      </c>
      <c r="C88" s="16">
        <v>2</v>
      </c>
      <c r="D88" s="16">
        <v>234.4</v>
      </c>
      <c r="E88" s="17">
        <f t="shared" si="1"/>
        <v>7.26</v>
      </c>
      <c r="F88" s="16">
        <v>2</v>
      </c>
      <c r="G88" s="16">
        <v>6</v>
      </c>
      <c r="H88" s="16">
        <v>2.33</v>
      </c>
      <c r="I88" s="16">
        <v>14</v>
      </c>
      <c r="J88" s="16">
        <v>186</v>
      </c>
      <c r="K88" s="16">
        <v>3.44</v>
      </c>
      <c r="L88" s="16">
        <v>69.599999999999994</v>
      </c>
      <c r="M88" s="16">
        <v>3</v>
      </c>
      <c r="N88" s="18">
        <f>IF(Risk_Calculation_Engine!U88="Low",1,IF(Risk_Calculation_Engine!U88="Medium",2,3))</f>
        <v>2</v>
      </c>
      <c r="O88" s="18" t="str">
        <f>Risk_Calculation_Engine!U88</f>
        <v>Medium</v>
      </c>
    </row>
    <row r="89" spans="1:15" ht="15" customHeight="1" x14ac:dyDescent="0.25">
      <c r="A89" s="16">
        <v>85</v>
      </c>
      <c r="B89" s="16">
        <v>33.9</v>
      </c>
      <c r="C89" s="16">
        <v>5</v>
      </c>
      <c r="D89" s="16">
        <v>203.5</v>
      </c>
      <c r="E89" s="17">
        <f t="shared" si="1"/>
        <v>6.5</v>
      </c>
      <c r="F89" s="16">
        <v>2</v>
      </c>
      <c r="G89" s="16">
        <v>8</v>
      </c>
      <c r="H89" s="16">
        <v>2.5</v>
      </c>
      <c r="I89" s="16">
        <v>4</v>
      </c>
      <c r="J89" s="16">
        <v>767</v>
      </c>
      <c r="K89" s="16">
        <v>22.63</v>
      </c>
      <c r="L89" s="16">
        <v>93.4</v>
      </c>
      <c r="M89" s="16">
        <v>3</v>
      </c>
      <c r="N89" s="18">
        <f>IF(Risk_Calculation_Engine!U89="Low",1,IF(Risk_Calculation_Engine!U89="Medium",2,3))</f>
        <v>3</v>
      </c>
      <c r="O89" s="18" t="str">
        <f>Risk_Calculation_Engine!U89</f>
        <v>High</v>
      </c>
    </row>
    <row r="90" spans="1:15" ht="15" customHeight="1" x14ac:dyDescent="0.25">
      <c r="A90" s="16">
        <v>86</v>
      </c>
      <c r="B90" s="16">
        <v>41.2</v>
      </c>
      <c r="C90" s="16">
        <v>4</v>
      </c>
      <c r="D90" s="16">
        <v>277.10000000000002</v>
      </c>
      <c r="E90" s="17">
        <f t="shared" si="1"/>
        <v>7.67</v>
      </c>
      <c r="F90" s="16">
        <v>1</v>
      </c>
      <c r="G90" s="16">
        <v>3</v>
      </c>
      <c r="H90" s="16">
        <v>2.31</v>
      </c>
      <c r="I90" s="16">
        <v>4</v>
      </c>
      <c r="J90" s="16">
        <v>550</v>
      </c>
      <c r="K90" s="16">
        <v>13.35</v>
      </c>
      <c r="L90" s="16">
        <v>59</v>
      </c>
      <c r="M90" s="16">
        <v>1</v>
      </c>
      <c r="N90" s="18">
        <f>IF(Risk_Calculation_Engine!U90="Low",1,IF(Risk_Calculation_Engine!U90="Medium",2,3))</f>
        <v>3</v>
      </c>
      <c r="O90" s="18" t="str">
        <f>Risk_Calculation_Engine!U90</f>
        <v>High</v>
      </c>
    </row>
    <row r="91" spans="1:15" ht="15" customHeight="1" x14ac:dyDescent="0.25">
      <c r="A91" s="16">
        <v>87</v>
      </c>
      <c r="B91" s="16">
        <v>16.8</v>
      </c>
      <c r="C91" s="16">
        <v>5</v>
      </c>
      <c r="D91" s="16">
        <v>82.3</v>
      </c>
      <c r="E91" s="17">
        <f t="shared" si="1"/>
        <v>5.05</v>
      </c>
      <c r="F91" s="16">
        <v>2</v>
      </c>
      <c r="G91" s="16">
        <v>6</v>
      </c>
      <c r="H91" s="16">
        <v>2.5</v>
      </c>
      <c r="I91" s="16">
        <v>15</v>
      </c>
      <c r="J91" s="16">
        <v>426</v>
      </c>
      <c r="K91" s="16">
        <v>25.36</v>
      </c>
      <c r="L91" s="16">
        <v>67.5</v>
      </c>
      <c r="M91" s="16">
        <v>3</v>
      </c>
      <c r="N91" s="18">
        <f>IF(Risk_Calculation_Engine!U91="Low",1,IF(Risk_Calculation_Engine!U91="Medium",2,3))</f>
        <v>3</v>
      </c>
      <c r="O91" s="18" t="str">
        <f>Risk_Calculation_Engine!U91</f>
        <v>High</v>
      </c>
    </row>
    <row r="92" spans="1:15" ht="15" customHeight="1" x14ac:dyDescent="0.25">
      <c r="A92" s="16">
        <v>88</v>
      </c>
      <c r="B92" s="16">
        <v>149.80000000000001</v>
      </c>
      <c r="C92" s="16">
        <v>5</v>
      </c>
      <c r="D92" s="16">
        <v>1080.4000000000001</v>
      </c>
      <c r="E92" s="17">
        <f t="shared" si="1"/>
        <v>10.38</v>
      </c>
      <c r="F92" s="16">
        <v>2</v>
      </c>
      <c r="G92" s="16">
        <v>9</v>
      </c>
      <c r="H92" s="16">
        <v>2.5</v>
      </c>
      <c r="I92" s="16">
        <v>10</v>
      </c>
      <c r="J92" s="16">
        <v>2354</v>
      </c>
      <c r="K92" s="16">
        <v>15.71</v>
      </c>
      <c r="L92" s="16">
        <v>70.7</v>
      </c>
      <c r="M92" s="16">
        <v>2</v>
      </c>
      <c r="N92" s="18">
        <f>IF(Risk_Calculation_Engine!U92="Low",1,IF(Risk_Calculation_Engine!U92="Medium",2,3))</f>
        <v>3</v>
      </c>
      <c r="O92" s="18" t="str">
        <f>Risk_Calculation_Engine!U92</f>
        <v>High</v>
      </c>
    </row>
    <row r="93" spans="1:15" ht="15" customHeight="1" x14ac:dyDescent="0.25">
      <c r="A93" s="16">
        <v>89</v>
      </c>
      <c r="B93" s="16">
        <v>55.8</v>
      </c>
      <c r="C93" s="16">
        <v>4</v>
      </c>
      <c r="D93" s="16">
        <v>441.7</v>
      </c>
      <c r="E93" s="17">
        <f t="shared" si="1"/>
        <v>10.8</v>
      </c>
      <c r="F93" s="16">
        <v>1</v>
      </c>
      <c r="G93" s="16">
        <v>3</v>
      </c>
      <c r="H93" s="16">
        <v>1.87</v>
      </c>
      <c r="I93" s="16">
        <v>8</v>
      </c>
      <c r="J93" s="16">
        <v>706</v>
      </c>
      <c r="K93" s="16">
        <v>12.65</v>
      </c>
      <c r="L93" s="16">
        <v>73</v>
      </c>
      <c r="M93" s="16">
        <v>3</v>
      </c>
      <c r="N93" s="18">
        <f>IF(Risk_Calculation_Engine!U93="Low",1,IF(Risk_Calculation_Engine!U93="Medium",2,3))</f>
        <v>3</v>
      </c>
      <c r="O93" s="18" t="str">
        <f>Risk_Calculation_Engine!U93</f>
        <v>High</v>
      </c>
    </row>
    <row r="94" spans="1:15" ht="15" customHeight="1" x14ac:dyDescent="0.25">
      <c r="A94" s="16">
        <v>90</v>
      </c>
      <c r="B94" s="16">
        <v>149.80000000000001</v>
      </c>
      <c r="C94" s="16">
        <v>5</v>
      </c>
      <c r="D94" s="16">
        <v>640.5</v>
      </c>
      <c r="E94" s="17">
        <f t="shared" si="1"/>
        <v>18.68</v>
      </c>
      <c r="F94" s="16">
        <v>3</v>
      </c>
      <c r="G94" s="16">
        <v>5</v>
      </c>
      <c r="H94" s="16">
        <v>1.2</v>
      </c>
      <c r="I94" s="16">
        <v>5</v>
      </c>
      <c r="J94" s="16">
        <v>2230</v>
      </c>
      <c r="K94" s="16">
        <v>14.89</v>
      </c>
      <c r="L94" s="16">
        <v>56.5</v>
      </c>
      <c r="M94" s="16">
        <v>2</v>
      </c>
      <c r="N94" s="18">
        <f>IF(Risk_Calculation_Engine!U94="Low",1,IF(Risk_Calculation_Engine!U94="Medium",2,3))</f>
        <v>2</v>
      </c>
      <c r="O94" s="18" t="str">
        <f>Risk_Calculation_Engine!U94</f>
        <v>Medium</v>
      </c>
    </row>
    <row r="95" spans="1:15" ht="15" customHeight="1" x14ac:dyDescent="0.25">
      <c r="A95" s="16">
        <v>91</v>
      </c>
      <c r="B95" s="16">
        <v>43</v>
      </c>
      <c r="C95" s="16">
        <v>3</v>
      </c>
      <c r="D95" s="16">
        <v>187.1</v>
      </c>
      <c r="E95" s="17">
        <f t="shared" si="1"/>
        <v>6.43</v>
      </c>
      <c r="F95" s="16">
        <v>2</v>
      </c>
      <c r="G95" s="16">
        <v>5</v>
      </c>
      <c r="H95" s="16">
        <v>2.4700000000000002</v>
      </c>
      <c r="I95" s="16">
        <v>6</v>
      </c>
      <c r="J95" s="16">
        <v>373</v>
      </c>
      <c r="K95" s="16">
        <v>8.67</v>
      </c>
      <c r="L95" s="16">
        <v>72.2</v>
      </c>
      <c r="M95" s="16">
        <v>1</v>
      </c>
      <c r="N95" s="18">
        <f>IF(Risk_Calculation_Engine!U95="Low",1,IF(Risk_Calculation_Engine!U95="Medium",2,3))</f>
        <v>2</v>
      </c>
      <c r="O95" s="18" t="str">
        <f>Risk_Calculation_Engine!U95</f>
        <v>Medium</v>
      </c>
    </row>
    <row r="96" spans="1:15" ht="15" customHeight="1" x14ac:dyDescent="0.25">
      <c r="A96" s="16">
        <v>92</v>
      </c>
      <c r="B96" s="16">
        <v>86.1</v>
      </c>
      <c r="C96" s="16">
        <v>1</v>
      </c>
      <c r="D96" s="16">
        <v>350.9</v>
      </c>
      <c r="E96" s="17">
        <f t="shared" si="1"/>
        <v>7.57</v>
      </c>
      <c r="F96" s="16">
        <v>1</v>
      </c>
      <c r="G96" s="16">
        <v>10</v>
      </c>
      <c r="H96" s="16">
        <v>2.5</v>
      </c>
      <c r="I96" s="16">
        <v>11</v>
      </c>
      <c r="J96" s="16">
        <v>88</v>
      </c>
      <c r="K96" s="16">
        <v>1.02</v>
      </c>
      <c r="L96" s="16">
        <v>48.8</v>
      </c>
      <c r="M96" s="16">
        <v>3</v>
      </c>
      <c r="N96" s="18">
        <f>IF(Risk_Calculation_Engine!U96="Low",1,IF(Risk_Calculation_Engine!U96="Medium",2,3))</f>
        <v>3</v>
      </c>
      <c r="O96" s="18" t="str">
        <f>Risk_Calculation_Engine!U96</f>
        <v>High</v>
      </c>
    </row>
    <row r="97" spans="1:15" ht="15" customHeight="1" x14ac:dyDescent="0.25">
      <c r="A97" s="16">
        <v>93</v>
      </c>
      <c r="B97" s="16">
        <v>71.400000000000006</v>
      </c>
      <c r="C97" s="16">
        <v>1</v>
      </c>
      <c r="D97" s="16">
        <v>217.3</v>
      </c>
      <c r="E97" s="17">
        <f t="shared" si="1"/>
        <v>6.62</v>
      </c>
      <c r="F97" s="16">
        <v>2</v>
      </c>
      <c r="G97" s="16">
        <v>7</v>
      </c>
      <c r="H97" s="16">
        <v>2.5</v>
      </c>
      <c r="I97" s="16">
        <v>13</v>
      </c>
      <c r="J97" s="16">
        <v>153</v>
      </c>
      <c r="K97" s="16">
        <v>2.14</v>
      </c>
      <c r="L97" s="16">
        <v>93.5</v>
      </c>
      <c r="M97" s="16">
        <v>1</v>
      </c>
      <c r="N97" s="18">
        <f>IF(Risk_Calculation_Engine!U97="Low",1,IF(Risk_Calculation_Engine!U97="Medium",2,3))</f>
        <v>2</v>
      </c>
      <c r="O97" s="18" t="str">
        <f>Risk_Calculation_Engine!U97</f>
        <v>Medium</v>
      </c>
    </row>
    <row r="98" spans="1:15" ht="15" customHeight="1" x14ac:dyDescent="0.25">
      <c r="A98" s="16">
        <v>94</v>
      </c>
      <c r="B98" s="16">
        <v>14.9</v>
      </c>
      <c r="C98" s="16">
        <v>2</v>
      </c>
      <c r="D98" s="16">
        <v>65.900000000000006</v>
      </c>
      <c r="E98" s="17">
        <f t="shared" si="1"/>
        <v>16.940000000000001</v>
      </c>
      <c r="F98" s="16">
        <v>1</v>
      </c>
      <c r="G98" s="16">
        <v>1</v>
      </c>
      <c r="H98" s="16">
        <v>0.7</v>
      </c>
      <c r="I98" s="16">
        <v>14</v>
      </c>
      <c r="J98" s="16">
        <v>60</v>
      </c>
      <c r="K98" s="16">
        <v>4.03</v>
      </c>
      <c r="L98" s="16">
        <v>27</v>
      </c>
      <c r="M98" s="16">
        <v>3</v>
      </c>
      <c r="N98" s="18">
        <f>IF(Risk_Calculation_Engine!U98="Low",1,IF(Risk_Calculation_Engine!U98="Medium",2,3))</f>
        <v>1</v>
      </c>
      <c r="O98" s="18" t="str">
        <f>Risk_Calculation_Engine!U98</f>
        <v>Low</v>
      </c>
    </row>
    <row r="99" spans="1:15" ht="15" customHeight="1" x14ac:dyDescent="0.25">
      <c r="A99" s="16">
        <v>95</v>
      </c>
      <c r="B99" s="16">
        <v>149.80000000000001</v>
      </c>
      <c r="C99" s="16">
        <v>2</v>
      </c>
      <c r="D99" s="16">
        <v>816.3</v>
      </c>
      <c r="E99" s="17">
        <f t="shared" si="1"/>
        <v>17.64</v>
      </c>
      <c r="F99" s="16">
        <v>1</v>
      </c>
      <c r="G99" s="16">
        <v>4</v>
      </c>
      <c r="H99" s="16">
        <v>1.36</v>
      </c>
      <c r="I99" s="16">
        <v>8</v>
      </c>
      <c r="J99" s="16">
        <v>825</v>
      </c>
      <c r="K99" s="16">
        <v>5.51</v>
      </c>
      <c r="L99" s="16">
        <v>54.7</v>
      </c>
      <c r="M99" s="16">
        <v>3</v>
      </c>
      <c r="N99" s="18">
        <f>IF(Risk_Calculation_Engine!U99="Low",1,IF(Risk_Calculation_Engine!U99="Medium",2,3))</f>
        <v>2</v>
      </c>
      <c r="O99" s="18" t="str">
        <f>Risk_Calculation_Engine!U99</f>
        <v>Medium</v>
      </c>
    </row>
    <row r="100" spans="1:15" ht="15" customHeight="1" x14ac:dyDescent="0.25">
      <c r="A100" s="16">
        <v>96</v>
      </c>
      <c r="B100" s="16">
        <v>44.1</v>
      </c>
      <c r="C100" s="16">
        <v>3</v>
      </c>
      <c r="D100" s="16">
        <v>201.6</v>
      </c>
      <c r="E100" s="17">
        <f t="shared" si="1"/>
        <v>8.0299999999999994</v>
      </c>
      <c r="F100" s="16">
        <v>2</v>
      </c>
      <c r="G100" s="16">
        <v>5</v>
      </c>
      <c r="H100" s="16">
        <v>2.02</v>
      </c>
      <c r="I100" s="16">
        <v>8</v>
      </c>
      <c r="J100" s="16">
        <v>190</v>
      </c>
      <c r="K100" s="16">
        <v>4.3099999999999996</v>
      </c>
      <c r="L100" s="16">
        <v>38.700000000000003</v>
      </c>
      <c r="M100" s="16">
        <v>3</v>
      </c>
      <c r="N100" s="18">
        <f>IF(Risk_Calculation_Engine!U100="Low",1,IF(Risk_Calculation_Engine!U100="Medium",2,3))</f>
        <v>2</v>
      </c>
      <c r="O100" s="18" t="str">
        <f>Risk_Calculation_Engine!U100</f>
        <v>Medium</v>
      </c>
    </row>
    <row r="101" spans="1:15" ht="15" customHeight="1" x14ac:dyDescent="0.25">
      <c r="A101" s="16">
        <v>97</v>
      </c>
      <c r="B101" s="16">
        <v>20.7</v>
      </c>
      <c r="C101" s="16">
        <v>4</v>
      </c>
      <c r="D101" s="16">
        <v>115.3</v>
      </c>
      <c r="E101" s="17">
        <f t="shared" si="1"/>
        <v>9.83</v>
      </c>
      <c r="F101" s="16">
        <v>1</v>
      </c>
      <c r="G101" s="16">
        <v>5</v>
      </c>
      <c r="H101" s="16">
        <v>1.41</v>
      </c>
      <c r="I101" s="16">
        <v>5</v>
      </c>
      <c r="J101" s="16">
        <v>122</v>
      </c>
      <c r="K101" s="16">
        <v>5.89</v>
      </c>
      <c r="L101" s="16">
        <v>44.1</v>
      </c>
      <c r="M101" s="16">
        <v>1</v>
      </c>
      <c r="N101" s="18">
        <f>IF(Risk_Calculation_Engine!U101="Low",1,IF(Risk_Calculation_Engine!U101="Medium",2,3))</f>
        <v>2</v>
      </c>
      <c r="O101" s="18" t="str">
        <f>Risk_Calculation_Engine!U101</f>
        <v>Medium</v>
      </c>
    </row>
    <row r="102" spans="1:15" ht="15" customHeight="1" x14ac:dyDescent="0.25">
      <c r="A102" s="16">
        <v>98</v>
      </c>
      <c r="B102" s="16">
        <v>100.5</v>
      </c>
      <c r="C102" s="16">
        <v>4</v>
      </c>
      <c r="D102" s="16">
        <v>775.8</v>
      </c>
      <c r="E102" s="17">
        <f t="shared" si="1"/>
        <v>17.920000000000002</v>
      </c>
      <c r="F102" s="16">
        <v>1</v>
      </c>
      <c r="G102" s="16">
        <v>7</v>
      </c>
      <c r="H102" s="16">
        <v>1.32</v>
      </c>
      <c r="I102" s="16">
        <v>4</v>
      </c>
      <c r="J102" s="16">
        <v>1353</v>
      </c>
      <c r="K102" s="16">
        <v>13.46</v>
      </c>
      <c r="L102" s="16">
        <v>19.5</v>
      </c>
      <c r="M102" s="16">
        <v>2</v>
      </c>
      <c r="N102" s="18">
        <f>IF(Risk_Calculation_Engine!U102="Low",1,IF(Risk_Calculation_Engine!U102="Medium",2,3))</f>
        <v>3</v>
      </c>
      <c r="O102" s="18" t="str">
        <f>Risk_Calculation_Engine!U102</f>
        <v>High</v>
      </c>
    </row>
    <row r="103" spans="1:15" ht="15" customHeight="1" x14ac:dyDescent="0.25">
      <c r="A103" s="16">
        <v>99</v>
      </c>
      <c r="B103" s="16">
        <v>61.3</v>
      </c>
      <c r="C103" s="16">
        <v>4</v>
      </c>
      <c r="D103" s="16">
        <v>326</v>
      </c>
      <c r="E103" s="17">
        <f t="shared" si="1"/>
        <v>15.08</v>
      </c>
      <c r="F103" s="16">
        <v>2</v>
      </c>
      <c r="G103" s="16">
        <v>3</v>
      </c>
      <c r="H103" s="16">
        <v>1.23</v>
      </c>
      <c r="I103" s="16">
        <v>8</v>
      </c>
      <c r="J103" s="16">
        <v>521</v>
      </c>
      <c r="K103" s="16">
        <v>8.5</v>
      </c>
      <c r="L103" s="16">
        <v>74.099999999999994</v>
      </c>
      <c r="M103" s="16">
        <v>1</v>
      </c>
      <c r="N103" s="18">
        <f>IF(Risk_Calculation_Engine!U103="Low",1,IF(Risk_Calculation_Engine!U103="Medium",2,3))</f>
        <v>1</v>
      </c>
      <c r="O103" s="18" t="str">
        <f>Risk_Calculation_Engine!U103</f>
        <v>Low</v>
      </c>
    </row>
    <row r="104" spans="1:15" ht="15" customHeight="1" x14ac:dyDescent="0.25">
      <c r="A104" s="16">
        <v>100</v>
      </c>
      <c r="B104" s="16">
        <v>80.400000000000006</v>
      </c>
      <c r="C104" s="16">
        <v>2</v>
      </c>
      <c r="D104" s="16">
        <v>474</v>
      </c>
      <c r="E104" s="17">
        <f t="shared" si="1"/>
        <v>22.89</v>
      </c>
      <c r="F104" s="16">
        <v>1</v>
      </c>
      <c r="G104" s="16">
        <v>7</v>
      </c>
      <c r="H104" s="16">
        <v>0.9</v>
      </c>
      <c r="I104" s="16">
        <v>10</v>
      </c>
      <c r="J104" s="16">
        <v>265</v>
      </c>
      <c r="K104" s="16">
        <v>3.3</v>
      </c>
      <c r="L104" s="16">
        <v>70.599999999999994</v>
      </c>
      <c r="M104" s="16">
        <v>2</v>
      </c>
      <c r="N104" s="18">
        <f>IF(Risk_Calculation_Engine!U104="Low",1,IF(Risk_Calculation_Engine!U104="Medium",2,3))</f>
        <v>1</v>
      </c>
      <c r="O104" s="18" t="str">
        <f>Risk_Calculation_Engine!U104</f>
        <v>Low</v>
      </c>
    </row>
    <row r="105" spans="1:15" ht="15" customHeight="1" x14ac:dyDescent="0.25">
      <c r="A105" s="16">
        <v>101</v>
      </c>
      <c r="B105" s="16">
        <v>66.3</v>
      </c>
      <c r="C105" s="16">
        <v>4</v>
      </c>
      <c r="D105" s="16">
        <v>228.1</v>
      </c>
      <c r="E105" s="17">
        <f t="shared" si="1"/>
        <v>8.52</v>
      </c>
      <c r="F105" s="16">
        <v>3</v>
      </c>
      <c r="G105" s="16">
        <v>8</v>
      </c>
      <c r="H105" s="16">
        <v>1.97</v>
      </c>
      <c r="I105" s="16">
        <v>4</v>
      </c>
      <c r="J105" s="16">
        <v>401</v>
      </c>
      <c r="K105" s="16">
        <v>6.05</v>
      </c>
      <c r="L105" s="16">
        <v>81.2</v>
      </c>
      <c r="M105" s="16">
        <v>2</v>
      </c>
      <c r="N105" s="18">
        <f>IF(Risk_Calculation_Engine!U105="Low",1,IF(Risk_Calculation_Engine!U105="Medium",2,3))</f>
        <v>3</v>
      </c>
      <c r="O105" s="18" t="str">
        <f>Risk_Calculation_Engine!U105</f>
        <v>High</v>
      </c>
    </row>
    <row r="106" spans="1:15" ht="15" customHeight="1" x14ac:dyDescent="0.25">
      <c r="A106" s="16">
        <v>102</v>
      </c>
      <c r="B106" s="16">
        <v>5.0999999999999996</v>
      </c>
      <c r="C106" s="16">
        <v>3</v>
      </c>
      <c r="D106" s="16">
        <v>12.5</v>
      </c>
      <c r="E106" s="17">
        <f t="shared" si="1"/>
        <v>5.82</v>
      </c>
      <c r="F106" s="16">
        <v>3</v>
      </c>
      <c r="G106" s="16">
        <v>7</v>
      </c>
      <c r="H106" s="16">
        <v>1.28</v>
      </c>
      <c r="I106" s="16">
        <v>8</v>
      </c>
      <c r="J106" s="16">
        <v>43</v>
      </c>
      <c r="K106" s="16">
        <v>8.43</v>
      </c>
      <c r="L106" s="16">
        <v>92.1</v>
      </c>
      <c r="M106" s="16">
        <v>2</v>
      </c>
      <c r="N106" s="18">
        <f>IF(Risk_Calculation_Engine!U106="Low",1,IF(Risk_Calculation_Engine!U106="Medium",2,3))</f>
        <v>1</v>
      </c>
      <c r="O106" s="18" t="str">
        <f>Risk_Calculation_Engine!U106</f>
        <v>Low</v>
      </c>
    </row>
    <row r="107" spans="1:15" ht="15" customHeight="1" x14ac:dyDescent="0.25">
      <c r="A107" s="16">
        <v>103</v>
      </c>
      <c r="B107" s="16">
        <v>27.9</v>
      </c>
      <c r="C107" s="16">
        <v>1</v>
      </c>
      <c r="D107" s="16">
        <v>121.1</v>
      </c>
      <c r="E107" s="17">
        <f t="shared" si="1"/>
        <v>10.19</v>
      </c>
      <c r="F107" s="16">
        <v>1</v>
      </c>
      <c r="G107" s="16">
        <v>3</v>
      </c>
      <c r="H107" s="16">
        <v>1.38</v>
      </c>
      <c r="I107" s="16">
        <v>11</v>
      </c>
      <c r="J107" s="16">
        <v>63</v>
      </c>
      <c r="K107" s="16">
        <v>2.2599999999999998</v>
      </c>
      <c r="L107" s="16">
        <v>83.1</v>
      </c>
      <c r="M107" s="16">
        <v>2</v>
      </c>
      <c r="N107" s="18">
        <f>IF(Risk_Calculation_Engine!U107="Low",1,IF(Risk_Calculation_Engine!U107="Medium",2,3))</f>
        <v>1</v>
      </c>
      <c r="O107" s="18" t="str">
        <f>Risk_Calculation_Engine!U107</f>
        <v>Low</v>
      </c>
    </row>
    <row r="108" spans="1:15" ht="15" customHeight="1" x14ac:dyDescent="0.25">
      <c r="A108" s="16">
        <v>104</v>
      </c>
      <c r="B108" s="16">
        <v>26.9</v>
      </c>
      <c r="C108" s="16">
        <v>3</v>
      </c>
      <c r="D108" s="16">
        <v>116.9</v>
      </c>
      <c r="E108" s="17">
        <f t="shared" si="1"/>
        <v>9.1</v>
      </c>
      <c r="F108" s="16">
        <v>2</v>
      </c>
      <c r="G108" s="16">
        <v>6</v>
      </c>
      <c r="H108" s="16">
        <v>1.53</v>
      </c>
      <c r="I108" s="16">
        <v>13</v>
      </c>
      <c r="J108" s="16">
        <v>192</v>
      </c>
      <c r="K108" s="16">
        <v>7.14</v>
      </c>
      <c r="L108" s="16">
        <v>87.5</v>
      </c>
      <c r="M108" s="16">
        <v>3</v>
      </c>
      <c r="N108" s="18">
        <f>IF(Risk_Calculation_Engine!U108="Low",1,IF(Risk_Calculation_Engine!U108="Medium",2,3))</f>
        <v>1</v>
      </c>
      <c r="O108" s="18" t="str">
        <f>Risk_Calculation_Engine!U108</f>
        <v>Low</v>
      </c>
    </row>
    <row r="109" spans="1:15" ht="15" customHeight="1" x14ac:dyDescent="0.25">
      <c r="A109" s="16">
        <v>105</v>
      </c>
      <c r="B109" s="16">
        <v>120.9</v>
      </c>
      <c r="C109" s="16">
        <v>3</v>
      </c>
      <c r="D109" s="16">
        <v>773.8</v>
      </c>
      <c r="E109" s="17">
        <f t="shared" si="1"/>
        <v>11.15</v>
      </c>
      <c r="F109" s="16">
        <v>1</v>
      </c>
      <c r="G109" s="16">
        <v>10</v>
      </c>
      <c r="H109" s="16">
        <v>2.12</v>
      </c>
      <c r="I109" s="16">
        <v>15</v>
      </c>
      <c r="J109" s="16">
        <v>1014</v>
      </c>
      <c r="K109" s="16">
        <v>8.39</v>
      </c>
      <c r="L109" s="16">
        <v>62.4</v>
      </c>
      <c r="M109" s="16">
        <v>1</v>
      </c>
      <c r="N109" s="18">
        <f>IF(Risk_Calculation_Engine!U109="Low",1,IF(Risk_Calculation_Engine!U109="Medium",2,3))</f>
        <v>3</v>
      </c>
      <c r="O109" s="18" t="str">
        <f>Risk_Calculation_Engine!U109</f>
        <v>High</v>
      </c>
    </row>
    <row r="110" spans="1:15" ht="15" customHeight="1" x14ac:dyDescent="0.25">
      <c r="A110" s="16">
        <v>106</v>
      </c>
      <c r="B110" s="16">
        <v>63.2</v>
      </c>
      <c r="C110" s="16">
        <v>3</v>
      </c>
      <c r="D110" s="16">
        <v>278.10000000000002</v>
      </c>
      <c r="E110" s="17">
        <f t="shared" si="1"/>
        <v>9.59</v>
      </c>
      <c r="F110" s="16">
        <v>2</v>
      </c>
      <c r="G110" s="16">
        <v>10</v>
      </c>
      <c r="H110" s="16">
        <v>1.85</v>
      </c>
      <c r="I110" s="16">
        <v>7</v>
      </c>
      <c r="J110" s="16">
        <v>510</v>
      </c>
      <c r="K110" s="16">
        <v>8.07</v>
      </c>
      <c r="L110" s="16">
        <v>54.2</v>
      </c>
      <c r="M110" s="16">
        <v>2</v>
      </c>
      <c r="N110" s="18">
        <f>IF(Risk_Calculation_Engine!U110="Low",1,IF(Risk_Calculation_Engine!U110="Medium",2,3))</f>
        <v>3</v>
      </c>
      <c r="O110" s="18" t="str">
        <f>Risk_Calculation_Engine!U110</f>
        <v>High</v>
      </c>
    </row>
    <row r="111" spans="1:15" ht="15" customHeight="1" x14ac:dyDescent="0.25">
      <c r="A111" s="16">
        <v>107</v>
      </c>
      <c r="B111" s="16">
        <v>89.9</v>
      </c>
      <c r="C111" s="16">
        <v>4</v>
      </c>
      <c r="D111" s="16">
        <v>756.2</v>
      </c>
      <c r="E111" s="17">
        <f t="shared" si="1"/>
        <v>12.97</v>
      </c>
      <c r="F111" s="16">
        <v>1</v>
      </c>
      <c r="G111" s="16">
        <v>10</v>
      </c>
      <c r="H111" s="16">
        <v>1.81</v>
      </c>
      <c r="I111" s="16">
        <v>8</v>
      </c>
      <c r="J111" s="16">
        <v>856</v>
      </c>
      <c r="K111" s="16">
        <v>9.52</v>
      </c>
      <c r="L111" s="16">
        <v>80.2</v>
      </c>
      <c r="M111" s="16">
        <v>3</v>
      </c>
      <c r="N111" s="18">
        <f>IF(Risk_Calculation_Engine!U111="Low",1,IF(Risk_Calculation_Engine!U111="Medium",2,3))</f>
        <v>3</v>
      </c>
      <c r="O111" s="18" t="str">
        <f>Risk_Calculation_Engine!U111</f>
        <v>High</v>
      </c>
    </row>
    <row r="112" spans="1:15" ht="15" customHeight="1" x14ac:dyDescent="0.25">
      <c r="A112" s="16">
        <v>108</v>
      </c>
      <c r="B112" s="16">
        <v>46.4</v>
      </c>
      <c r="C112" s="16">
        <v>4</v>
      </c>
      <c r="D112" s="16">
        <v>166.1</v>
      </c>
      <c r="E112" s="17">
        <f t="shared" si="1"/>
        <v>20.48</v>
      </c>
      <c r="F112" s="16">
        <v>3</v>
      </c>
      <c r="G112" s="16">
        <v>5</v>
      </c>
      <c r="H112" s="16">
        <v>0.75</v>
      </c>
      <c r="I112" s="16">
        <v>14</v>
      </c>
      <c r="J112" s="16">
        <v>306</v>
      </c>
      <c r="K112" s="16">
        <v>6.59</v>
      </c>
      <c r="L112" s="16">
        <v>80.900000000000006</v>
      </c>
      <c r="M112" s="16">
        <v>1</v>
      </c>
      <c r="N112" s="18">
        <f>IF(Risk_Calculation_Engine!U112="Low",1,IF(Risk_Calculation_Engine!U112="Medium",2,3))</f>
        <v>1</v>
      </c>
      <c r="O112" s="18" t="str">
        <f>Risk_Calculation_Engine!U112</f>
        <v>Low</v>
      </c>
    </row>
    <row r="113" spans="1:15" ht="15" customHeight="1" x14ac:dyDescent="0.25">
      <c r="A113" s="16">
        <v>109</v>
      </c>
      <c r="B113" s="16">
        <v>93.2</v>
      </c>
      <c r="C113" s="16">
        <v>4</v>
      </c>
      <c r="D113" s="16">
        <v>618</v>
      </c>
      <c r="E113" s="17">
        <f t="shared" si="1"/>
        <v>8.8800000000000008</v>
      </c>
      <c r="F113" s="16">
        <v>1</v>
      </c>
      <c r="G113" s="16">
        <v>3</v>
      </c>
      <c r="H113" s="16">
        <v>2.5</v>
      </c>
      <c r="I113" s="16">
        <v>12</v>
      </c>
      <c r="J113" s="16">
        <v>1093</v>
      </c>
      <c r="K113" s="16">
        <v>11.73</v>
      </c>
      <c r="L113" s="16">
        <v>84.5</v>
      </c>
      <c r="M113" s="16">
        <v>3</v>
      </c>
      <c r="N113" s="18">
        <f>IF(Risk_Calculation_Engine!U113="Low",1,IF(Risk_Calculation_Engine!U113="Medium",2,3))</f>
        <v>3</v>
      </c>
      <c r="O113" s="18" t="str">
        <f>Risk_Calculation_Engine!U113</f>
        <v>High</v>
      </c>
    </row>
    <row r="114" spans="1:15" ht="15" customHeight="1" x14ac:dyDescent="0.25">
      <c r="A114" s="16">
        <v>110</v>
      </c>
      <c r="B114" s="16">
        <v>54.1</v>
      </c>
      <c r="C114" s="16">
        <v>2</v>
      </c>
      <c r="D114" s="16">
        <v>234.3</v>
      </c>
      <c r="E114" s="17">
        <f t="shared" si="1"/>
        <v>6.76</v>
      </c>
      <c r="F114" s="16">
        <v>2</v>
      </c>
      <c r="G114" s="16">
        <v>6</v>
      </c>
      <c r="H114" s="16">
        <v>2.5</v>
      </c>
      <c r="I114" s="16">
        <v>6</v>
      </c>
      <c r="J114" s="16">
        <v>249</v>
      </c>
      <c r="K114" s="16">
        <v>4.5999999999999996</v>
      </c>
      <c r="L114" s="16">
        <v>54.1</v>
      </c>
      <c r="M114" s="16">
        <v>3</v>
      </c>
      <c r="N114" s="18">
        <f>IF(Risk_Calculation_Engine!U114="Low",1,IF(Risk_Calculation_Engine!U114="Medium",2,3))</f>
        <v>2</v>
      </c>
      <c r="O114" s="18" t="str">
        <f>Risk_Calculation_Engine!U114</f>
        <v>Medium</v>
      </c>
    </row>
    <row r="115" spans="1:15" ht="15" customHeight="1" x14ac:dyDescent="0.25">
      <c r="A115" s="16">
        <v>111</v>
      </c>
      <c r="B115" s="16">
        <v>50.9</v>
      </c>
      <c r="C115" s="16">
        <v>4</v>
      </c>
      <c r="D115" s="16">
        <v>387.9</v>
      </c>
      <c r="E115" s="17">
        <f t="shared" si="1"/>
        <v>10.88</v>
      </c>
      <c r="F115" s="16">
        <v>1</v>
      </c>
      <c r="G115" s="16">
        <v>6</v>
      </c>
      <c r="H115" s="16">
        <v>1.79</v>
      </c>
      <c r="I115" s="16">
        <v>11</v>
      </c>
      <c r="J115" s="16">
        <v>278</v>
      </c>
      <c r="K115" s="16">
        <v>5.46</v>
      </c>
      <c r="L115" s="16">
        <v>81.7</v>
      </c>
      <c r="M115" s="16">
        <v>3</v>
      </c>
      <c r="N115" s="18">
        <f>IF(Risk_Calculation_Engine!U115="Low",1,IF(Risk_Calculation_Engine!U115="Medium",2,3))</f>
        <v>2</v>
      </c>
      <c r="O115" s="18" t="str">
        <f>Risk_Calculation_Engine!U115</f>
        <v>Medium</v>
      </c>
    </row>
    <row r="116" spans="1:15" ht="15" customHeight="1" x14ac:dyDescent="0.25">
      <c r="A116" s="16">
        <v>112</v>
      </c>
      <c r="B116" s="16">
        <v>71</v>
      </c>
      <c r="C116" s="16">
        <v>4</v>
      </c>
      <c r="D116" s="16">
        <v>471.5</v>
      </c>
      <c r="E116" s="17">
        <f t="shared" si="1"/>
        <v>19.22</v>
      </c>
      <c r="F116" s="16">
        <v>1</v>
      </c>
      <c r="G116" s="16">
        <v>5</v>
      </c>
      <c r="H116" s="16">
        <v>1.07</v>
      </c>
      <c r="I116" s="16">
        <v>5</v>
      </c>
      <c r="J116" s="16">
        <v>994</v>
      </c>
      <c r="K116" s="16">
        <v>14</v>
      </c>
      <c r="L116" s="16">
        <v>39</v>
      </c>
      <c r="M116" s="16">
        <v>2</v>
      </c>
      <c r="N116" s="18">
        <f>IF(Risk_Calculation_Engine!U116="Low",1,IF(Risk_Calculation_Engine!U116="Medium",2,3))</f>
        <v>2</v>
      </c>
      <c r="O116" s="18" t="str">
        <f>Risk_Calculation_Engine!U116</f>
        <v>Medium</v>
      </c>
    </row>
    <row r="117" spans="1:15" ht="15" customHeight="1" x14ac:dyDescent="0.25">
      <c r="A117" s="16">
        <v>113</v>
      </c>
      <c r="B117" s="16">
        <v>66.3</v>
      </c>
      <c r="C117" s="16">
        <v>2</v>
      </c>
      <c r="D117" s="16">
        <v>285.60000000000002</v>
      </c>
      <c r="E117" s="17">
        <f t="shared" si="1"/>
        <v>13.44</v>
      </c>
      <c r="F117" s="16">
        <v>2</v>
      </c>
      <c r="G117" s="16">
        <v>5</v>
      </c>
      <c r="H117" s="16">
        <v>1.33</v>
      </c>
      <c r="I117" s="16">
        <v>8</v>
      </c>
      <c r="J117" s="16">
        <v>222</v>
      </c>
      <c r="K117" s="16">
        <v>3.35</v>
      </c>
      <c r="L117" s="16">
        <v>61.9</v>
      </c>
      <c r="M117" s="16">
        <v>3</v>
      </c>
      <c r="N117" s="18">
        <f>IF(Risk_Calculation_Engine!U117="Low",1,IF(Risk_Calculation_Engine!U117="Medium",2,3))</f>
        <v>1</v>
      </c>
      <c r="O117" s="18" t="str">
        <f>Risk_Calculation_Engine!U117</f>
        <v>Low</v>
      </c>
    </row>
    <row r="118" spans="1:15" ht="15" customHeight="1" x14ac:dyDescent="0.25">
      <c r="A118" s="16">
        <v>114</v>
      </c>
      <c r="B118" s="16">
        <v>149.80000000000001</v>
      </c>
      <c r="C118" s="16">
        <v>4</v>
      </c>
      <c r="D118" s="16">
        <v>787.2</v>
      </c>
      <c r="E118" s="17">
        <f t="shared" si="1"/>
        <v>21.99</v>
      </c>
      <c r="F118" s="16">
        <v>2</v>
      </c>
      <c r="G118" s="16">
        <v>9</v>
      </c>
      <c r="H118" s="16">
        <v>1.08</v>
      </c>
      <c r="I118" s="16">
        <v>6</v>
      </c>
      <c r="J118" s="16">
        <v>1391</v>
      </c>
      <c r="K118" s="16">
        <v>9.2899999999999991</v>
      </c>
      <c r="L118" s="16">
        <v>83.1</v>
      </c>
      <c r="M118" s="16">
        <v>3</v>
      </c>
      <c r="N118" s="18">
        <f>IF(Risk_Calculation_Engine!U118="Low",1,IF(Risk_Calculation_Engine!U118="Medium",2,3))</f>
        <v>2</v>
      </c>
      <c r="O118" s="18" t="str">
        <f>Risk_Calculation_Engine!U118</f>
        <v>Medium</v>
      </c>
    </row>
    <row r="119" spans="1:15" ht="15" customHeight="1" x14ac:dyDescent="0.25">
      <c r="A119" s="16">
        <v>115</v>
      </c>
      <c r="B119" s="16">
        <v>27.6</v>
      </c>
      <c r="C119" s="16">
        <v>3</v>
      </c>
      <c r="D119" s="16">
        <v>92.9</v>
      </c>
      <c r="E119" s="17">
        <f t="shared" si="1"/>
        <v>5.22</v>
      </c>
      <c r="F119" s="16">
        <v>3</v>
      </c>
      <c r="G119" s="16">
        <v>9</v>
      </c>
      <c r="H119" s="16">
        <v>2.5</v>
      </c>
      <c r="I119" s="16">
        <v>15</v>
      </c>
      <c r="J119" s="16">
        <v>168</v>
      </c>
      <c r="K119" s="16">
        <v>6.09</v>
      </c>
      <c r="L119" s="16">
        <v>70.5</v>
      </c>
      <c r="M119" s="16">
        <v>1</v>
      </c>
      <c r="N119" s="18">
        <f>IF(Risk_Calculation_Engine!U119="Low",1,IF(Risk_Calculation_Engine!U119="Medium",2,3))</f>
        <v>2</v>
      </c>
      <c r="O119" s="18" t="str">
        <f>Risk_Calculation_Engine!U119</f>
        <v>Medium</v>
      </c>
    </row>
    <row r="120" spans="1:15" ht="15" customHeight="1" x14ac:dyDescent="0.25">
      <c r="A120" s="16">
        <v>116</v>
      </c>
      <c r="B120" s="16">
        <v>13.1</v>
      </c>
      <c r="C120" s="16">
        <v>3</v>
      </c>
      <c r="D120" s="16">
        <v>70.8</v>
      </c>
      <c r="E120" s="17">
        <f t="shared" si="1"/>
        <v>8.77</v>
      </c>
      <c r="F120" s="16">
        <v>1</v>
      </c>
      <c r="G120" s="16">
        <v>9</v>
      </c>
      <c r="H120" s="16">
        <v>1.38</v>
      </c>
      <c r="I120" s="16">
        <v>3</v>
      </c>
      <c r="J120" s="16">
        <v>111</v>
      </c>
      <c r="K120" s="16">
        <v>8.4700000000000006</v>
      </c>
      <c r="L120" s="16">
        <v>38.700000000000003</v>
      </c>
      <c r="M120" s="16">
        <v>2</v>
      </c>
      <c r="N120" s="18">
        <f>IF(Risk_Calculation_Engine!U120="Low",1,IF(Risk_Calculation_Engine!U120="Medium",2,3))</f>
        <v>2</v>
      </c>
      <c r="O120" s="18" t="str">
        <f>Risk_Calculation_Engine!U120</f>
        <v>Medium</v>
      </c>
    </row>
    <row r="121" spans="1:15" ht="15" customHeight="1" x14ac:dyDescent="0.25">
      <c r="A121" s="16">
        <v>117</v>
      </c>
      <c r="B121" s="16">
        <v>79.099999999999994</v>
      </c>
      <c r="C121" s="16">
        <v>2</v>
      </c>
      <c r="D121" s="16">
        <v>426.4</v>
      </c>
      <c r="E121" s="17">
        <f t="shared" si="1"/>
        <v>10.99</v>
      </c>
      <c r="F121" s="16">
        <v>1</v>
      </c>
      <c r="G121" s="16">
        <v>5</v>
      </c>
      <c r="H121" s="16">
        <v>1.82</v>
      </c>
      <c r="I121" s="16">
        <v>14</v>
      </c>
      <c r="J121" s="16">
        <v>212</v>
      </c>
      <c r="K121" s="16">
        <v>2.68</v>
      </c>
      <c r="L121" s="16">
        <v>46.4</v>
      </c>
      <c r="M121" s="16">
        <v>3</v>
      </c>
      <c r="N121" s="18">
        <f>IF(Risk_Calculation_Engine!U121="Low",1,IF(Risk_Calculation_Engine!U121="Medium",2,3))</f>
        <v>2</v>
      </c>
      <c r="O121" s="18" t="str">
        <f>Risk_Calculation_Engine!U121</f>
        <v>Medium</v>
      </c>
    </row>
    <row r="122" spans="1:15" ht="15" customHeight="1" x14ac:dyDescent="0.25">
      <c r="A122" s="16">
        <v>118</v>
      </c>
      <c r="B122" s="16">
        <v>31.5</v>
      </c>
      <c r="C122" s="16">
        <v>3</v>
      </c>
      <c r="D122" s="16">
        <v>147.6</v>
      </c>
      <c r="E122" s="17">
        <f t="shared" si="1"/>
        <v>9.84</v>
      </c>
      <c r="F122" s="16">
        <v>2</v>
      </c>
      <c r="G122" s="16">
        <v>5</v>
      </c>
      <c r="H122" s="16">
        <v>1.51</v>
      </c>
      <c r="I122" s="16">
        <v>6</v>
      </c>
      <c r="J122" s="16">
        <v>164</v>
      </c>
      <c r="K122" s="16">
        <v>5.21</v>
      </c>
      <c r="L122" s="16">
        <v>68.8</v>
      </c>
      <c r="M122" s="16">
        <v>1</v>
      </c>
      <c r="N122" s="18">
        <f>IF(Risk_Calculation_Engine!U122="Low",1,IF(Risk_Calculation_Engine!U122="Medium",2,3))</f>
        <v>1</v>
      </c>
      <c r="O122" s="18" t="str">
        <f>Risk_Calculation_Engine!U122</f>
        <v>Low</v>
      </c>
    </row>
    <row r="123" spans="1:15" ht="15" customHeight="1" x14ac:dyDescent="0.25">
      <c r="A123" s="16">
        <v>119</v>
      </c>
      <c r="B123" s="16">
        <v>4.2</v>
      </c>
      <c r="C123" s="16">
        <v>2</v>
      </c>
      <c r="D123" s="16">
        <v>13.6</v>
      </c>
      <c r="E123" s="17">
        <f t="shared" si="1"/>
        <v>3.68</v>
      </c>
      <c r="F123" s="16">
        <v>2</v>
      </c>
      <c r="G123" s="16">
        <v>6</v>
      </c>
      <c r="H123" s="16">
        <v>2.0699999999999998</v>
      </c>
      <c r="I123" s="16">
        <v>3</v>
      </c>
      <c r="J123" s="16">
        <v>17</v>
      </c>
      <c r="K123" s="16">
        <v>4.05</v>
      </c>
      <c r="L123" s="16">
        <v>52.2</v>
      </c>
      <c r="M123" s="16">
        <v>2</v>
      </c>
      <c r="N123" s="18">
        <f>IF(Risk_Calculation_Engine!U123="Low",1,IF(Risk_Calculation_Engine!U123="Medium",2,3))</f>
        <v>1</v>
      </c>
      <c r="O123" s="18" t="str">
        <f>Risk_Calculation_Engine!U123</f>
        <v>Low</v>
      </c>
    </row>
    <row r="124" spans="1:15" ht="15" customHeight="1" x14ac:dyDescent="0.25">
      <c r="A124" s="16">
        <v>120</v>
      </c>
      <c r="B124" s="16">
        <v>21.8</v>
      </c>
      <c r="C124" s="16">
        <v>2</v>
      </c>
      <c r="D124" s="16">
        <v>50.5</v>
      </c>
      <c r="E124" s="17">
        <f t="shared" si="1"/>
        <v>9.41</v>
      </c>
      <c r="F124" s="16">
        <v>3</v>
      </c>
      <c r="G124" s="16">
        <v>6</v>
      </c>
      <c r="H124" s="16">
        <v>1.17</v>
      </c>
      <c r="I124" s="16">
        <v>11</v>
      </c>
      <c r="J124" s="16">
        <v>130</v>
      </c>
      <c r="K124" s="16">
        <v>5.96</v>
      </c>
      <c r="L124" s="16">
        <v>63.2</v>
      </c>
      <c r="M124" s="16">
        <v>2</v>
      </c>
      <c r="N124" s="18">
        <f>IF(Risk_Calculation_Engine!U124="Low",1,IF(Risk_Calculation_Engine!U124="Medium",2,3))</f>
        <v>1</v>
      </c>
      <c r="O124" s="18" t="str">
        <f>Risk_Calculation_Engine!U124</f>
        <v>Low</v>
      </c>
    </row>
    <row r="125" spans="1:15" ht="15" customHeight="1" x14ac:dyDescent="0.25">
      <c r="A125" s="16">
        <v>121</v>
      </c>
      <c r="B125" s="16">
        <v>149.80000000000001</v>
      </c>
      <c r="C125" s="16">
        <v>2</v>
      </c>
      <c r="D125" s="16">
        <v>502.1</v>
      </c>
      <c r="E125" s="17">
        <f t="shared" si="1"/>
        <v>11.7</v>
      </c>
      <c r="F125" s="16">
        <v>3</v>
      </c>
      <c r="G125" s="16">
        <v>4</v>
      </c>
      <c r="H125" s="16">
        <v>1.79</v>
      </c>
      <c r="I125" s="16">
        <v>11</v>
      </c>
      <c r="J125" s="16">
        <v>563</v>
      </c>
      <c r="K125" s="16">
        <v>3.76</v>
      </c>
      <c r="L125" s="16">
        <v>94.9</v>
      </c>
      <c r="M125" s="16">
        <v>1</v>
      </c>
      <c r="N125" s="18">
        <f>IF(Risk_Calculation_Engine!U125="Low",1,IF(Risk_Calculation_Engine!U125="Medium",2,3))</f>
        <v>2</v>
      </c>
      <c r="O125" s="18" t="str">
        <f>Risk_Calculation_Engine!U125</f>
        <v>Medium</v>
      </c>
    </row>
    <row r="126" spans="1:15" ht="15" customHeight="1" x14ac:dyDescent="0.25">
      <c r="A126" s="16">
        <v>122</v>
      </c>
      <c r="B126" s="16">
        <v>26.9</v>
      </c>
      <c r="C126" s="16">
        <v>5</v>
      </c>
      <c r="D126" s="16">
        <v>119.7</v>
      </c>
      <c r="E126" s="17">
        <f t="shared" si="1"/>
        <v>10.15</v>
      </c>
      <c r="F126" s="16">
        <v>3</v>
      </c>
      <c r="G126" s="16">
        <v>6</v>
      </c>
      <c r="H126" s="16">
        <v>1.38</v>
      </c>
      <c r="I126" s="16">
        <v>4</v>
      </c>
      <c r="J126" s="16">
        <v>435</v>
      </c>
      <c r="K126" s="16">
        <v>16.170000000000002</v>
      </c>
      <c r="L126" s="16">
        <v>67</v>
      </c>
      <c r="M126" s="16">
        <v>2</v>
      </c>
      <c r="N126" s="18">
        <f>IF(Risk_Calculation_Engine!U126="Low",1,IF(Risk_Calculation_Engine!U126="Medium",2,3))</f>
        <v>2</v>
      </c>
      <c r="O126" s="18" t="str">
        <f>Risk_Calculation_Engine!U126</f>
        <v>Medium</v>
      </c>
    </row>
    <row r="127" spans="1:15" ht="15" customHeight="1" x14ac:dyDescent="0.25">
      <c r="A127" s="16">
        <v>123</v>
      </c>
      <c r="B127" s="16">
        <v>8.5</v>
      </c>
      <c r="C127" s="16">
        <v>3</v>
      </c>
      <c r="D127" s="16">
        <v>42.9</v>
      </c>
      <c r="E127" s="17">
        <f t="shared" si="1"/>
        <v>4.21</v>
      </c>
      <c r="F127" s="16">
        <v>1</v>
      </c>
      <c r="G127" s="16">
        <v>6</v>
      </c>
      <c r="H127" s="16">
        <v>2.5</v>
      </c>
      <c r="I127" s="16">
        <v>3</v>
      </c>
      <c r="J127" s="16">
        <v>73</v>
      </c>
      <c r="K127" s="16">
        <v>8.59</v>
      </c>
      <c r="L127" s="16">
        <v>72.099999999999994</v>
      </c>
      <c r="M127" s="16">
        <v>3</v>
      </c>
      <c r="N127" s="18">
        <f>IF(Risk_Calculation_Engine!U127="Low",1,IF(Risk_Calculation_Engine!U127="Medium",2,3))</f>
        <v>2</v>
      </c>
      <c r="O127" s="18" t="str">
        <f>Risk_Calculation_Engine!U127</f>
        <v>Medium</v>
      </c>
    </row>
    <row r="128" spans="1:15" ht="15" customHeight="1" x14ac:dyDescent="0.25">
      <c r="A128" s="16">
        <v>124</v>
      </c>
      <c r="B128" s="16">
        <v>149.80000000000001</v>
      </c>
      <c r="C128" s="16">
        <v>3</v>
      </c>
      <c r="D128" s="16">
        <v>678</v>
      </c>
      <c r="E128" s="17">
        <f t="shared" si="1"/>
        <v>29.96</v>
      </c>
      <c r="F128" s="16">
        <v>2</v>
      </c>
      <c r="G128" s="16">
        <v>7</v>
      </c>
      <c r="H128" s="16">
        <v>0.76</v>
      </c>
      <c r="I128" s="16">
        <v>4</v>
      </c>
      <c r="J128" s="16">
        <v>1044</v>
      </c>
      <c r="K128" s="16">
        <v>6.97</v>
      </c>
      <c r="L128" s="16">
        <v>85.2</v>
      </c>
      <c r="M128" s="16">
        <v>1</v>
      </c>
      <c r="N128" s="18">
        <f>IF(Risk_Calculation_Engine!U128="Low",1,IF(Risk_Calculation_Engine!U128="Medium",2,3))</f>
        <v>2</v>
      </c>
      <c r="O128" s="18" t="str">
        <f>Risk_Calculation_Engine!U128</f>
        <v>Medium</v>
      </c>
    </row>
    <row r="129" spans="1:15" ht="15" customHeight="1" x14ac:dyDescent="0.25">
      <c r="A129" s="16">
        <v>125</v>
      </c>
      <c r="B129" s="16">
        <v>21</v>
      </c>
      <c r="C129" s="16">
        <v>3</v>
      </c>
      <c r="D129" s="16">
        <v>77</v>
      </c>
      <c r="E129" s="17">
        <f t="shared" si="1"/>
        <v>8.6</v>
      </c>
      <c r="F129" s="16">
        <v>2</v>
      </c>
      <c r="G129" s="16">
        <v>8</v>
      </c>
      <c r="H129" s="16">
        <v>1.44</v>
      </c>
      <c r="I129" s="16">
        <v>8</v>
      </c>
      <c r="J129" s="16">
        <v>84</v>
      </c>
      <c r="K129" s="16">
        <v>4</v>
      </c>
      <c r="L129" s="16">
        <v>62.8</v>
      </c>
      <c r="M129" s="16">
        <v>1</v>
      </c>
      <c r="N129" s="18">
        <f>IF(Risk_Calculation_Engine!U129="Low",1,IF(Risk_Calculation_Engine!U129="Medium",2,3))</f>
        <v>1</v>
      </c>
      <c r="O129" s="18" t="str">
        <f>Risk_Calculation_Engine!U129</f>
        <v>Low</v>
      </c>
    </row>
    <row r="130" spans="1:15" ht="15" customHeight="1" x14ac:dyDescent="0.25">
      <c r="A130" s="16">
        <v>126</v>
      </c>
      <c r="B130" s="16">
        <v>149.80000000000001</v>
      </c>
      <c r="C130" s="16">
        <v>5</v>
      </c>
      <c r="D130" s="16">
        <v>1112.4000000000001</v>
      </c>
      <c r="E130" s="17">
        <f t="shared" si="1"/>
        <v>10.46</v>
      </c>
      <c r="F130" s="16">
        <v>2</v>
      </c>
      <c r="G130" s="16">
        <v>9</v>
      </c>
      <c r="H130" s="16">
        <v>2.5</v>
      </c>
      <c r="I130" s="16">
        <v>4</v>
      </c>
      <c r="J130" s="16">
        <v>1822</v>
      </c>
      <c r="K130" s="16">
        <v>12.16</v>
      </c>
      <c r="L130" s="16">
        <v>62.1</v>
      </c>
      <c r="M130" s="16">
        <v>3</v>
      </c>
      <c r="N130" s="18">
        <f>IF(Risk_Calculation_Engine!U130="Low",1,IF(Risk_Calculation_Engine!U130="Medium",2,3))</f>
        <v>3</v>
      </c>
      <c r="O130" s="18" t="str">
        <f>Risk_Calculation_Engine!U130</f>
        <v>High</v>
      </c>
    </row>
    <row r="131" spans="1:15" ht="15" customHeight="1" x14ac:dyDescent="0.25">
      <c r="A131" s="16">
        <v>127</v>
      </c>
      <c r="B131" s="16">
        <v>44.7</v>
      </c>
      <c r="C131" s="16">
        <v>4</v>
      </c>
      <c r="D131" s="16">
        <v>220.6</v>
      </c>
      <c r="E131" s="17">
        <f t="shared" si="1"/>
        <v>6.93</v>
      </c>
      <c r="F131" s="16">
        <v>2</v>
      </c>
      <c r="G131" s="16">
        <v>3</v>
      </c>
      <c r="H131" s="16">
        <v>2.4</v>
      </c>
      <c r="I131" s="16">
        <v>12</v>
      </c>
      <c r="J131" s="16">
        <v>512</v>
      </c>
      <c r="K131" s="16">
        <v>11.45</v>
      </c>
      <c r="L131" s="16">
        <v>74.8</v>
      </c>
      <c r="M131" s="16">
        <v>3</v>
      </c>
      <c r="N131" s="18">
        <f>IF(Risk_Calculation_Engine!U131="Low",1,IF(Risk_Calculation_Engine!U131="Medium",2,3))</f>
        <v>2</v>
      </c>
      <c r="O131" s="18" t="str">
        <f>Risk_Calculation_Engine!U131</f>
        <v>Medium</v>
      </c>
    </row>
    <row r="132" spans="1:15" ht="15" customHeight="1" x14ac:dyDescent="0.25">
      <c r="A132" s="16">
        <v>128</v>
      </c>
      <c r="B132" s="16">
        <v>149.80000000000001</v>
      </c>
      <c r="C132" s="16">
        <v>5</v>
      </c>
      <c r="D132" s="16">
        <v>1340.3</v>
      </c>
      <c r="E132" s="17">
        <f t="shared" si="1"/>
        <v>29.96</v>
      </c>
      <c r="F132" s="16">
        <v>1</v>
      </c>
      <c r="G132" s="16">
        <v>4</v>
      </c>
      <c r="H132" s="16">
        <v>0.92</v>
      </c>
      <c r="I132" s="16">
        <v>4</v>
      </c>
      <c r="J132" s="16">
        <v>2608</v>
      </c>
      <c r="K132" s="16">
        <v>17.41</v>
      </c>
      <c r="L132" s="16">
        <v>79.5</v>
      </c>
      <c r="M132" s="16">
        <v>2</v>
      </c>
      <c r="N132" s="18">
        <f>IF(Risk_Calculation_Engine!U132="Low",1,IF(Risk_Calculation_Engine!U132="Medium",2,3))</f>
        <v>3</v>
      </c>
      <c r="O132" s="18" t="str">
        <f>Risk_Calculation_Engine!U132</f>
        <v>High</v>
      </c>
    </row>
    <row r="133" spans="1:15" ht="15" customHeight="1" x14ac:dyDescent="0.25">
      <c r="A133" s="16">
        <v>129</v>
      </c>
      <c r="B133" s="16">
        <v>49.9</v>
      </c>
      <c r="C133" s="16">
        <v>3</v>
      </c>
      <c r="D133" s="16">
        <v>223.3</v>
      </c>
      <c r="E133" s="17">
        <f t="shared" ref="E133:E196" si="2">ROUND(3.67*D133^0.28/H133,2)</f>
        <v>7.32</v>
      </c>
      <c r="F133" s="16">
        <v>2</v>
      </c>
      <c r="G133" s="16">
        <v>5</v>
      </c>
      <c r="H133" s="16">
        <v>2.2799999999999998</v>
      </c>
      <c r="I133" s="16">
        <v>13</v>
      </c>
      <c r="J133" s="16">
        <v>152</v>
      </c>
      <c r="K133" s="16">
        <v>3.05</v>
      </c>
      <c r="L133" s="16">
        <v>63.1</v>
      </c>
      <c r="M133" s="16">
        <v>2</v>
      </c>
      <c r="N133" s="18">
        <f>IF(Risk_Calculation_Engine!U133="Low",1,IF(Risk_Calculation_Engine!U133="Medium",2,3))</f>
        <v>2</v>
      </c>
      <c r="O133" s="18" t="str">
        <f>Risk_Calculation_Engine!U133</f>
        <v>Medium</v>
      </c>
    </row>
    <row r="134" spans="1:15" ht="15" customHeight="1" x14ac:dyDescent="0.25">
      <c r="A134" s="16">
        <v>130</v>
      </c>
      <c r="B134" s="16">
        <v>86.5</v>
      </c>
      <c r="C134" s="16">
        <v>2</v>
      </c>
      <c r="D134" s="16">
        <v>227.5</v>
      </c>
      <c r="E134" s="17">
        <f t="shared" si="2"/>
        <v>14.84</v>
      </c>
      <c r="F134" s="16">
        <v>3</v>
      </c>
      <c r="G134" s="16">
        <v>6</v>
      </c>
      <c r="H134" s="16">
        <v>1.1299999999999999</v>
      </c>
      <c r="I134" s="16">
        <v>14</v>
      </c>
      <c r="J134" s="16">
        <v>328</v>
      </c>
      <c r="K134" s="16">
        <v>3.79</v>
      </c>
      <c r="L134" s="16">
        <v>70.7</v>
      </c>
      <c r="M134" s="16">
        <v>1</v>
      </c>
      <c r="N134" s="18">
        <f>IF(Risk_Calculation_Engine!U134="Low",1,IF(Risk_Calculation_Engine!U134="Medium",2,3))</f>
        <v>1</v>
      </c>
      <c r="O134" s="18" t="str">
        <f>Risk_Calculation_Engine!U134</f>
        <v>Low</v>
      </c>
    </row>
    <row r="135" spans="1:15" ht="15" customHeight="1" x14ac:dyDescent="0.25">
      <c r="A135" s="16">
        <v>131</v>
      </c>
      <c r="B135" s="16">
        <v>55</v>
      </c>
      <c r="C135" s="16">
        <v>4</v>
      </c>
      <c r="D135" s="16">
        <v>338</v>
      </c>
      <c r="E135" s="17">
        <f t="shared" si="2"/>
        <v>14.99</v>
      </c>
      <c r="F135" s="16">
        <v>1</v>
      </c>
      <c r="G135" s="16">
        <v>9</v>
      </c>
      <c r="H135" s="16">
        <v>1.25</v>
      </c>
      <c r="I135" s="16">
        <v>12</v>
      </c>
      <c r="J135" s="16">
        <v>792</v>
      </c>
      <c r="K135" s="16">
        <v>14.4</v>
      </c>
      <c r="L135" s="16">
        <v>56.8</v>
      </c>
      <c r="M135" s="16">
        <v>3</v>
      </c>
      <c r="N135" s="18">
        <f>IF(Risk_Calculation_Engine!U135="Low",1,IF(Risk_Calculation_Engine!U135="Medium",2,3))</f>
        <v>2</v>
      </c>
      <c r="O135" s="18" t="str">
        <f>Risk_Calculation_Engine!U135</f>
        <v>Medium</v>
      </c>
    </row>
    <row r="136" spans="1:15" ht="15" customHeight="1" x14ac:dyDescent="0.25">
      <c r="A136" s="16">
        <v>132</v>
      </c>
      <c r="B136" s="16">
        <v>50.3</v>
      </c>
      <c r="C136" s="16">
        <v>3</v>
      </c>
      <c r="D136" s="16">
        <v>148.80000000000001</v>
      </c>
      <c r="E136" s="17">
        <f t="shared" si="2"/>
        <v>6.03</v>
      </c>
      <c r="F136" s="16">
        <v>3</v>
      </c>
      <c r="G136" s="16">
        <v>7</v>
      </c>
      <c r="H136" s="16">
        <v>2.4700000000000002</v>
      </c>
      <c r="I136" s="16">
        <v>15</v>
      </c>
      <c r="J136" s="16">
        <v>376</v>
      </c>
      <c r="K136" s="16">
        <v>7.48</v>
      </c>
      <c r="L136" s="16">
        <v>61.6</v>
      </c>
      <c r="M136" s="16">
        <v>1</v>
      </c>
      <c r="N136" s="18">
        <f>IF(Risk_Calculation_Engine!U136="Low",1,IF(Risk_Calculation_Engine!U136="Medium",2,3))</f>
        <v>2</v>
      </c>
      <c r="O136" s="18" t="str">
        <f>Risk_Calculation_Engine!U136</f>
        <v>Medium</v>
      </c>
    </row>
    <row r="137" spans="1:15" ht="15" customHeight="1" x14ac:dyDescent="0.25">
      <c r="A137" s="16">
        <v>133</v>
      </c>
      <c r="B137" s="16">
        <v>74.2</v>
      </c>
      <c r="C137" s="16">
        <v>4</v>
      </c>
      <c r="D137" s="16">
        <v>341.4</v>
      </c>
      <c r="E137" s="17">
        <f t="shared" si="2"/>
        <v>13.14</v>
      </c>
      <c r="F137" s="16">
        <v>2</v>
      </c>
      <c r="G137" s="16">
        <v>6</v>
      </c>
      <c r="H137" s="16">
        <v>1.43</v>
      </c>
      <c r="I137" s="16">
        <v>15</v>
      </c>
      <c r="J137" s="16">
        <v>785</v>
      </c>
      <c r="K137" s="16">
        <v>10.58</v>
      </c>
      <c r="L137" s="16">
        <v>80.3</v>
      </c>
      <c r="M137" s="16">
        <v>3</v>
      </c>
      <c r="N137" s="18">
        <f>IF(Risk_Calculation_Engine!U137="Low",1,IF(Risk_Calculation_Engine!U137="Medium",2,3))</f>
        <v>2</v>
      </c>
      <c r="O137" s="18" t="str">
        <f>Risk_Calculation_Engine!U137</f>
        <v>Medium</v>
      </c>
    </row>
    <row r="138" spans="1:15" ht="15" customHeight="1" x14ac:dyDescent="0.25">
      <c r="A138" s="16">
        <v>134</v>
      </c>
      <c r="B138" s="16">
        <v>88.8</v>
      </c>
      <c r="C138" s="16">
        <v>5</v>
      </c>
      <c r="D138" s="16">
        <v>839.4</v>
      </c>
      <c r="E138" s="17">
        <f t="shared" si="2"/>
        <v>26.86</v>
      </c>
      <c r="F138" s="16">
        <v>1</v>
      </c>
      <c r="G138" s="16">
        <v>5</v>
      </c>
      <c r="H138" s="16">
        <v>0.9</v>
      </c>
      <c r="I138" s="16">
        <v>3</v>
      </c>
      <c r="J138" s="16">
        <v>1111</v>
      </c>
      <c r="K138" s="16">
        <v>12.51</v>
      </c>
      <c r="L138" s="16">
        <v>98.2</v>
      </c>
      <c r="M138" s="16">
        <v>3</v>
      </c>
      <c r="N138" s="18">
        <f>IF(Risk_Calculation_Engine!U138="Low",1,IF(Risk_Calculation_Engine!U138="Medium",2,3))</f>
        <v>2</v>
      </c>
      <c r="O138" s="18" t="str">
        <f>Risk_Calculation_Engine!U138</f>
        <v>Medium</v>
      </c>
    </row>
    <row r="139" spans="1:15" ht="15" customHeight="1" x14ac:dyDescent="0.25">
      <c r="A139" s="16">
        <v>135</v>
      </c>
      <c r="B139" s="16">
        <v>69.8</v>
      </c>
      <c r="C139" s="16">
        <v>3</v>
      </c>
      <c r="D139" s="16">
        <v>384</v>
      </c>
      <c r="E139" s="17">
        <f t="shared" si="2"/>
        <v>18.86</v>
      </c>
      <c r="F139" s="16">
        <v>1</v>
      </c>
      <c r="G139" s="16">
        <v>5</v>
      </c>
      <c r="H139" s="16">
        <v>1.03</v>
      </c>
      <c r="I139" s="16">
        <v>7</v>
      </c>
      <c r="J139" s="16">
        <v>350</v>
      </c>
      <c r="K139" s="16">
        <v>5.01</v>
      </c>
      <c r="L139" s="16">
        <v>61.9</v>
      </c>
      <c r="M139" s="16">
        <v>1</v>
      </c>
      <c r="N139" s="18">
        <f>IF(Risk_Calculation_Engine!U139="Low",1,IF(Risk_Calculation_Engine!U139="Medium",2,3))</f>
        <v>1</v>
      </c>
      <c r="O139" s="18" t="str">
        <f>Risk_Calculation_Engine!U139</f>
        <v>Low</v>
      </c>
    </row>
    <row r="140" spans="1:15" ht="15" customHeight="1" x14ac:dyDescent="0.25">
      <c r="A140" s="16">
        <v>136</v>
      </c>
      <c r="B140" s="16">
        <v>64.3</v>
      </c>
      <c r="C140" s="16">
        <v>5</v>
      </c>
      <c r="D140" s="16">
        <v>482.6</v>
      </c>
      <c r="E140" s="17">
        <f t="shared" si="2"/>
        <v>12.32</v>
      </c>
      <c r="F140" s="16">
        <v>1</v>
      </c>
      <c r="G140" s="16">
        <v>9</v>
      </c>
      <c r="H140" s="16">
        <v>1.68</v>
      </c>
      <c r="I140" s="16">
        <v>12</v>
      </c>
      <c r="J140" s="16">
        <v>1732</v>
      </c>
      <c r="K140" s="16">
        <v>26.94</v>
      </c>
      <c r="L140" s="16">
        <v>92.6</v>
      </c>
      <c r="M140" s="16">
        <v>2</v>
      </c>
      <c r="N140" s="18">
        <f>IF(Risk_Calculation_Engine!U140="Low",1,IF(Risk_Calculation_Engine!U140="Medium",2,3))</f>
        <v>3</v>
      </c>
      <c r="O140" s="18" t="str">
        <f>Risk_Calculation_Engine!U140</f>
        <v>High</v>
      </c>
    </row>
    <row r="141" spans="1:15" ht="15" customHeight="1" x14ac:dyDescent="0.25">
      <c r="A141" s="16">
        <v>137</v>
      </c>
      <c r="B141" s="16">
        <v>31.7</v>
      </c>
      <c r="C141" s="16">
        <v>4</v>
      </c>
      <c r="D141" s="16">
        <v>155.80000000000001</v>
      </c>
      <c r="E141" s="17">
        <f t="shared" si="2"/>
        <v>10.7</v>
      </c>
      <c r="F141" s="16">
        <v>2</v>
      </c>
      <c r="G141" s="16">
        <v>6</v>
      </c>
      <c r="H141" s="16">
        <v>1.41</v>
      </c>
      <c r="I141" s="16">
        <v>7</v>
      </c>
      <c r="J141" s="16">
        <v>367</v>
      </c>
      <c r="K141" s="16">
        <v>11.58</v>
      </c>
      <c r="L141" s="16">
        <v>60.6</v>
      </c>
      <c r="M141" s="16">
        <v>3</v>
      </c>
      <c r="N141" s="18">
        <f>IF(Risk_Calculation_Engine!U141="Low",1,IF(Risk_Calculation_Engine!U141="Medium",2,3))</f>
        <v>2</v>
      </c>
      <c r="O141" s="18" t="str">
        <f>Risk_Calculation_Engine!U141</f>
        <v>Medium</v>
      </c>
    </row>
    <row r="142" spans="1:15" ht="15" customHeight="1" x14ac:dyDescent="0.25">
      <c r="A142" s="16">
        <v>138</v>
      </c>
      <c r="B142" s="16">
        <v>56.8</v>
      </c>
      <c r="C142" s="16">
        <v>3</v>
      </c>
      <c r="D142" s="16">
        <v>383</v>
      </c>
      <c r="E142" s="17">
        <f t="shared" si="2"/>
        <v>13.86</v>
      </c>
      <c r="F142" s="16">
        <v>1</v>
      </c>
      <c r="G142" s="16">
        <v>8</v>
      </c>
      <c r="H142" s="16">
        <v>1.4</v>
      </c>
      <c r="I142" s="16">
        <v>12</v>
      </c>
      <c r="J142" s="16">
        <v>265</v>
      </c>
      <c r="K142" s="16">
        <v>4.67</v>
      </c>
      <c r="L142" s="16">
        <v>61.8</v>
      </c>
      <c r="M142" s="16">
        <v>3</v>
      </c>
      <c r="N142" s="18">
        <f>IF(Risk_Calculation_Engine!U142="Low",1,IF(Risk_Calculation_Engine!U142="Medium",2,3))</f>
        <v>2</v>
      </c>
      <c r="O142" s="18" t="str">
        <f>Risk_Calculation_Engine!U142</f>
        <v>Medium</v>
      </c>
    </row>
    <row r="143" spans="1:15" ht="15" customHeight="1" x14ac:dyDescent="0.25">
      <c r="A143" s="16">
        <v>139</v>
      </c>
      <c r="B143" s="16">
        <v>149.80000000000001</v>
      </c>
      <c r="C143" s="16">
        <v>3</v>
      </c>
      <c r="D143" s="16">
        <v>628.5</v>
      </c>
      <c r="E143" s="17">
        <f t="shared" si="2"/>
        <v>10.82</v>
      </c>
      <c r="F143" s="16">
        <v>2</v>
      </c>
      <c r="G143" s="16">
        <v>3</v>
      </c>
      <c r="H143" s="16">
        <v>2.06</v>
      </c>
      <c r="I143" s="16">
        <v>13</v>
      </c>
      <c r="J143" s="16">
        <v>1113</v>
      </c>
      <c r="K143" s="16">
        <v>7.43</v>
      </c>
      <c r="L143" s="16">
        <v>61.2</v>
      </c>
      <c r="M143" s="16">
        <v>2</v>
      </c>
      <c r="N143" s="18">
        <f>IF(Risk_Calculation_Engine!U143="Low",1,IF(Risk_Calculation_Engine!U143="Medium",2,3))</f>
        <v>3</v>
      </c>
      <c r="O143" s="18" t="str">
        <f>Risk_Calculation_Engine!U143</f>
        <v>High</v>
      </c>
    </row>
    <row r="144" spans="1:15" ht="15" customHeight="1" x14ac:dyDescent="0.25">
      <c r="A144" s="16">
        <v>140</v>
      </c>
      <c r="B144" s="16">
        <v>30.4</v>
      </c>
      <c r="C144" s="16">
        <v>1</v>
      </c>
      <c r="D144" s="16">
        <v>62.8</v>
      </c>
      <c r="E144" s="17">
        <f t="shared" si="2"/>
        <v>6.19</v>
      </c>
      <c r="F144" s="16">
        <v>3</v>
      </c>
      <c r="G144" s="16">
        <v>8</v>
      </c>
      <c r="H144" s="16">
        <v>1.89</v>
      </c>
      <c r="I144" s="16">
        <v>15</v>
      </c>
      <c r="J144" s="16">
        <v>36</v>
      </c>
      <c r="K144" s="16">
        <v>1.18</v>
      </c>
      <c r="L144" s="16">
        <v>93</v>
      </c>
      <c r="M144" s="16">
        <v>1</v>
      </c>
      <c r="N144" s="18">
        <f>IF(Risk_Calculation_Engine!U144="Low",1,IF(Risk_Calculation_Engine!U144="Medium",2,3))</f>
        <v>2</v>
      </c>
      <c r="O144" s="18" t="str">
        <f>Risk_Calculation_Engine!U144</f>
        <v>Medium</v>
      </c>
    </row>
    <row r="145" spans="1:15" ht="15" customHeight="1" x14ac:dyDescent="0.25">
      <c r="A145" s="16">
        <v>141</v>
      </c>
      <c r="B145" s="16">
        <v>75.900000000000006</v>
      </c>
      <c r="C145" s="16">
        <v>4</v>
      </c>
      <c r="D145" s="16">
        <v>428.8</v>
      </c>
      <c r="E145" s="17">
        <f t="shared" si="2"/>
        <v>13.81</v>
      </c>
      <c r="F145" s="16">
        <v>2</v>
      </c>
      <c r="G145" s="16">
        <v>6</v>
      </c>
      <c r="H145" s="16">
        <v>1.45</v>
      </c>
      <c r="I145" s="16">
        <v>7</v>
      </c>
      <c r="J145" s="16">
        <v>661</v>
      </c>
      <c r="K145" s="16">
        <v>8.7100000000000009</v>
      </c>
      <c r="L145" s="16">
        <v>87.7</v>
      </c>
      <c r="M145" s="16">
        <v>2</v>
      </c>
      <c r="N145" s="18">
        <f>IF(Risk_Calculation_Engine!U145="Low",1,IF(Risk_Calculation_Engine!U145="Medium",2,3))</f>
        <v>2</v>
      </c>
      <c r="O145" s="18" t="str">
        <f>Risk_Calculation_Engine!U145</f>
        <v>Medium</v>
      </c>
    </row>
    <row r="146" spans="1:15" ht="15" customHeight="1" x14ac:dyDescent="0.25">
      <c r="A146" s="16">
        <v>142</v>
      </c>
      <c r="B146" s="16">
        <v>144.19999999999999</v>
      </c>
      <c r="C146" s="16">
        <v>2</v>
      </c>
      <c r="D146" s="16">
        <v>834.6</v>
      </c>
      <c r="E146" s="17">
        <f t="shared" si="2"/>
        <v>9.9700000000000006</v>
      </c>
      <c r="F146" s="16">
        <v>1</v>
      </c>
      <c r="G146" s="16">
        <v>4</v>
      </c>
      <c r="H146" s="16">
        <v>2.42</v>
      </c>
      <c r="I146" s="16">
        <v>7</v>
      </c>
      <c r="J146" s="16">
        <v>421</v>
      </c>
      <c r="K146" s="16">
        <v>2.92</v>
      </c>
      <c r="L146" s="16">
        <v>67.599999999999994</v>
      </c>
      <c r="M146" s="16">
        <v>2</v>
      </c>
      <c r="N146" s="18">
        <f>IF(Risk_Calculation_Engine!U146="Low",1,IF(Risk_Calculation_Engine!U146="Medium",2,3))</f>
        <v>3</v>
      </c>
      <c r="O146" s="18" t="str">
        <f>Risk_Calculation_Engine!U146</f>
        <v>High</v>
      </c>
    </row>
    <row r="147" spans="1:15" ht="15" customHeight="1" x14ac:dyDescent="0.25">
      <c r="A147" s="16">
        <v>143</v>
      </c>
      <c r="B147" s="16">
        <v>89.4</v>
      </c>
      <c r="C147" s="16">
        <v>3</v>
      </c>
      <c r="D147" s="16">
        <v>423.6</v>
      </c>
      <c r="E147" s="17">
        <f t="shared" si="2"/>
        <v>9.69</v>
      </c>
      <c r="F147" s="16">
        <v>2</v>
      </c>
      <c r="G147" s="16">
        <v>4</v>
      </c>
      <c r="H147" s="16">
        <v>2.06</v>
      </c>
      <c r="I147" s="16">
        <v>3</v>
      </c>
      <c r="J147" s="16">
        <v>749</v>
      </c>
      <c r="K147" s="16">
        <v>8.3800000000000008</v>
      </c>
      <c r="L147" s="16">
        <v>92.2</v>
      </c>
      <c r="M147" s="16">
        <v>2</v>
      </c>
      <c r="N147" s="18">
        <f>IF(Risk_Calculation_Engine!U147="Low",1,IF(Risk_Calculation_Engine!U147="Medium",2,3))</f>
        <v>2</v>
      </c>
      <c r="O147" s="18" t="str">
        <f>Risk_Calculation_Engine!U147</f>
        <v>Medium</v>
      </c>
    </row>
    <row r="148" spans="1:15" ht="15" customHeight="1" x14ac:dyDescent="0.25">
      <c r="A148" s="16">
        <v>144</v>
      </c>
      <c r="B148" s="16">
        <v>121.8</v>
      </c>
      <c r="C148" s="16">
        <v>4</v>
      </c>
      <c r="D148" s="16">
        <v>433.2</v>
      </c>
      <c r="E148" s="17">
        <f t="shared" si="2"/>
        <v>10.92</v>
      </c>
      <c r="F148" s="16">
        <v>3</v>
      </c>
      <c r="G148" s="16">
        <v>3</v>
      </c>
      <c r="H148" s="16">
        <v>1.84</v>
      </c>
      <c r="I148" s="16">
        <v>6</v>
      </c>
      <c r="J148" s="16">
        <v>1504</v>
      </c>
      <c r="K148" s="16">
        <v>12.35</v>
      </c>
      <c r="L148" s="16">
        <v>40.9</v>
      </c>
      <c r="M148" s="16">
        <v>1</v>
      </c>
      <c r="N148" s="18">
        <f>IF(Risk_Calculation_Engine!U148="Low",1,IF(Risk_Calculation_Engine!U148="Medium",2,3))</f>
        <v>3</v>
      </c>
      <c r="O148" s="18" t="str">
        <f>Risk_Calculation_Engine!U148</f>
        <v>High</v>
      </c>
    </row>
    <row r="149" spans="1:15" ht="15" customHeight="1" x14ac:dyDescent="0.25">
      <c r="A149" s="16">
        <v>145</v>
      </c>
      <c r="B149" s="16">
        <v>20.6</v>
      </c>
      <c r="C149" s="16">
        <v>1</v>
      </c>
      <c r="D149" s="16">
        <v>66.400000000000006</v>
      </c>
      <c r="E149" s="17">
        <f t="shared" si="2"/>
        <v>9</v>
      </c>
      <c r="F149" s="16">
        <v>2</v>
      </c>
      <c r="G149" s="16">
        <v>6</v>
      </c>
      <c r="H149" s="16">
        <v>1.32</v>
      </c>
      <c r="I149" s="16">
        <v>6</v>
      </c>
      <c r="J149" s="16">
        <v>41</v>
      </c>
      <c r="K149" s="16">
        <v>1.99</v>
      </c>
      <c r="L149" s="16">
        <v>35.4</v>
      </c>
      <c r="M149" s="16">
        <v>3</v>
      </c>
      <c r="N149" s="18">
        <f>IF(Risk_Calculation_Engine!U149="Low",1,IF(Risk_Calculation_Engine!U149="Medium",2,3))</f>
        <v>1</v>
      </c>
      <c r="O149" s="18" t="str">
        <f>Risk_Calculation_Engine!U149</f>
        <v>Low</v>
      </c>
    </row>
    <row r="150" spans="1:15" ht="15" customHeight="1" x14ac:dyDescent="0.25">
      <c r="A150" s="16">
        <v>146</v>
      </c>
      <c r="B150" s="16">
        <v>76</v>
      </c>
      <c r="C150" s="16">
        <v>1</v>
      </c>
      <c r="D150" s="16">
        <v>352.3</v>
      </c>
      <c r="E150" s="17">
        <f t="shared" si="2"/>
        <v>7.58</v>
      </c>
      <c r="F150" s="16">
        <v>1</v>
      </c>
      <c r="G150" s="16">
        <v>4</v>
      </c>
      <c r="H150" s="16">
        <v>2.5</v>
      </c>
      <c r="I150" s="16">
        <v>8</v>
      </c>
      <c r="J150" s="16">
        <v>138</v>
      </c>
      <c r="K150" s="16">
        <v>1.82</v>
      </c>
      <c r="L150" s="16">
        <v>52.3</v>
      </c>
      <c r="M150" s="16">
        <v>2</v>
      </c>
      <c r="N150" s="18">
        <f>IF(Risk_Calculation_Engine!U150="Low",1,IF(Risk_Calculation_Engine!U150="Medium",2,3))</f>
        <v>2</v>
      </c>
      <c r="O150" s="18" t="str">
        <f>Risk_Calculation_Engine!U150</f>
        <v>Medium</v>
      </c>
    </row>
    <row r="151" spans="1:15" ht="15" customHeight="1" x14ac:dyDescent="0.25">
      <c r="A151" s="16">
        <v>147</v>
      </c>
      <c r="B151" s="16">
        <v>47.9</v>
      </c>
      <c r="C151" s="16">
        <v>4</v>
      </c>
      <c r="D151" s="16">
        <v>266.89999999999998</v>
      </c>
      <c r="E151" s="17">
        <f t="shared" si="2"/>
        <v>12.62</v>
      </c>
      <c r="F151" s="16">
        <v>2</v>
      </c>
      <c r="G151" s="16">
        <v>6</v>
      </c>
      <c r="H151" s="16">
        <v>1.39</v>
      </c>
      <c r="I151" s="16">
        <v>8</v>
      </c>
      <c r="J151" s="16">
        <v>651</v>
      </c>
      <c r="K151" s="16">
        <v>13.59</v>
      </c>
      <c r="L151" s="16">
        <v>91.4</v>
      </c>
      <c r="M151" s="16">
        <v>1</v>
      </c>
      <c r="N151" s="18">
        <f>IF(Risk_Calculation_Engine!U151="Low",1,IF(Risk_Calculation_Engine!U151="Medium",2,3))</f>
        <v>2</v>
      </c>
      <c r="O151" s="18" t="str">
        <f>Risk_Calculation_Engine!U151</f>
        <v>Medium</v>
      </c>
    </row>
    <row r="152" spans="1:15" ht="15" customHeight="1" x14ac:dyDescent="0.25">
      <c r="A152" s="16">
        <v>148</v>
      </c>
      <c r="B152" s="16">
        <v>49.7</v>
      </c>
      <c r="C152" s="16">
        <v>1</v>
      </c>
      <c r="D152" s="16">
        <v>179.6</v>
      </c>
      <c r="E152" s="17">
        <f t="shared" si="2"/>
        <v>10.83</v>
      </c>
      <c r="F152" s="16">
        <v>2</v>
      </c>
      <c r="G152" s="16">
        <v>6</v>
      </c>
      <c r="H152" s="16">
        <v>1.45</v>
      </c>
      <c r="I152" s="16">
        <v>14</v>
      </c>
      <c r="J152" s="16">
        <v>69</v>
      </c>
      <c r="K152" s="16">
        <v>1.39</v>
      </c>
      <c r="L152" s="16">
        <v>72.7</v>
      </c>
      <c r="M152" s="16">
        <v>1</v>
      </c>
      <c r="N152" s="18">
        <f>IF(Risk_Calculation_Engine!U152="Low",1,IF(Risk_Calculation_Engine!U152="Medium",2,3))</f>
        <v>1</v>
      </c>
      <c r="O152" s="18" t="str">
        <f>Risk_Calculation_Engine!U152</f>
        <v>Low</v>
      </c>
    </row>
    <row r="153" spans="1:15" ht="15" customHeight="1" x14ac:dyDescent="0.25">
      <c r="A153" s="16">
        <v>149</v>
      </c>
      <c r="B153" s="16">
        <v>149.80000000000001</v>
      </c>
      <c r="C153" s="16">
        <v>3</v>
      </c>
      <c r="D153" s="16">
        <v>777.4</v>
      </c>
      <c r="E153" s="17">
        <f t="shared" si="2"/>
        <v>9.4600000000000009</v>
      </c>
      <c r="F153" s="16">
        <v>2</v>
      </c>
      <c r="G153" s="16">
        <v>9</v>
      </c>
      <c r="H153" s="16">
        <v>2.5</v>
      </c>
      <c r="I153" s="16">
        <v>13</v>
      </c>
      <c r="J153" s="16">
        <v>517</v>
      </c>
      <c r="K153" s="16">
        <v>3.45</v>
      </c>
      <c r="L153" s="16">
        <v>49.8</v>
      </c>
      <c r="M153" s="16">
        <v>1</v>
      </c>
      <c r="N153" s="18">
        <f>IF(Risk_Calculation_Engine!U153="Low",1,IF(Risk_Calculation_Engine!U153="Medium",2,3))</f>
        <v>3</v>
      </c>
      <c r="O153" s="18" t="str">
        <f>Risk_Calculation_Engine!U153</f>
        <v>High</v>
      </c>
    </row>
    <row r="154" spans="1:15" ht="15" customHeight="1" x14ac:dyDescent="0.25">
      <c r="A154" s="16">
        <v>150</v>
      </c>
      <c r="B154" s="16">
        <v>50.3</v>
      </c>
      <c r="C154" s="16">
        <v>3</v>
      </c>
      <c r="D154" s="16">
        <v>257.3</v>
      </c>
      <c r="E154" s="17">
        <f t="shared" si="2"/>
        <v>15.1</v>
      </c>
      <c r="F154" s="16">
        <v>1</v>
      </c>
      <c r="G154" s="16">
        <v>9</v>
      </c>
      <c r="H154" s="16">
        <v>1.1499999999999999</v>
      </c>
      <c r="I154" s="16">
        <v>12</v>
      </c>
      <c r="J154" s="16">
        <v>408</v>
      </c>
      <c r="K154" s="16">
        <v>8.11</v>
      </c>
      <c r="L154" s="16">
        <v>57.1</v>
      </c>
      <c r="M154" s="16">
        <v>2</v>
      </c>
      <c r="N154" s="18">
        <f>IF(Risk_Calculation_Engine!U154="Low",1,IF(Risk_Calculation_Engine!U154="Medium",2,3))</f>
        <v>1</v>
      </c>
      <c r="O154" s="18" t="str">
        <f>Risk_Calculation_Engine!U154</f>
        <v>Low</v>
      </c>
    </row>
    <row r="155" spans="1:15" ht="15" customHeight="1" x14ac:dyDescent="0.25">
      <c r="A155" s="16">
        <v>151</v>
      </c>
      <c r="B155" s="16">
        <v>77.900000000000006</v>
      </c>
      <c r="C155" s="16">
        <v>2</v>
      </c>
      <c r="D155" s="16">
        <v>245</v>
      </c>
      <c r="E155" s="17">
        <f t="shared" si="2"/>
        <v>15.02</v>
      </c>
      <c r="F155" s="16">
        <v>3</v>
      </c>
      <c r="G155" s="16">
        <v>6</v>
      </c>
      <c r="H155" s="16">
        <v>1.1399999999999999</v>
      </c>
      <c r="I155" s="16">
        <v>3</v>
      </c>
      <c r="J155" s="16">
        <v>423</v>
      </c>
      <c r="K155" s="16">
        <v>5.43</v>
      </c>
      <c r="L155" s="16">
        <v>72.599999999999994</v>
      </c>
      <c r="M155" s="16">
        <v>1</v>
      </c>
      <c r="N155" s="18">
        <f>IF(Risk_Calculation_Engine!U155="Low",1,IF(Risk_Calculation_Engine!U155="Medium",2,3))</f>
        <v>1</v>
      </c>
      <c r="O155" s="18" t="str">
        <f>Risk_Calculation_Engine!U155</f>
        <v>Low</v>
      </c>
    </row>
    <row r="156" spans="1:15" ht="15" customHeight="1" x14ac:dyDescent="0.25">
      <c r="A156" s="16">
        <v>152</v>
      </c>
      <c r="B156" s="16">
        <v>8.5</v>
      </c>
      <c r="C156" s="16">
        <v>2</v>
      </c>
      <c r="D156" s="16">
        <v>37.6</v>
      </c>
      <c r="E156" s="17">
        <f t="shared" si="2"/>
        <v>6.89</v>
      </c>
      <c r="F156" s="16">
        <v>1</v>
      </c>
      <c r="G156" s="16">
        <v>4</v>
      </c>
      <c r="H156" s="16">
        <v>1.47</v>
      </c>
      <c r="I156" s="16">
        <v>9</v>
      </c>
      <c r="J156" s="16">
        <v>25</v>
      </c>
      <c r="K156" s="16">
        <v>2.94</v>
      </c>
      <c r="L156" s="16">
        <v>21.4</v>
      </c>
      <c r="M156" s="16">
        <v>2</v>
      </c>
      <c r="N156" s="18">
        <f>IF(Risk_Calculation_Engine!U156="Low",1,IF(Risk_Calculation_Engine!U156="Medium",2,3))</f>
        <v>1</v>
      </c>
      <c r="O156" s="18" t="str">
        <f>Risk_Calculation_Engine!U156</f>
        <v>Low</v>
      </c>
    </row>
    <row r="157" spans="1:15" ht="15" customHeight="1" x14ac:dyDescent="0.25">
      <c r="A157" s="16">
        <v>153</v>
      </c>
      <c r="B157" s="16">
        <v>149.80000000000001</v>
      </c>
      <c r="C157" s="16">
        <v>4</v>
      </c>
      <c r="D157" s="16">
        <v>1025.3</v>
      </c>
      <c r="E157" s="17">
        <f t="shared" si="2"/>
        <v>24.12</v>
      </c>
      <c r="F157" s="16">
        <v>1</v>
      </c>
      <c r="G157" s="16">
        <v>4</v>
      </c>
      <c r="H157" s="16">
        <v>1.06</v>
      </c>
      <c r="I157" s="16">
        <v>12</v>
      </c>
      <c r="J157" s="16">
        <v>1042</v>
      </c>
      <c r="K157" s="16">
        <v>6.96</v>
      </c>
      <c r="L157" s="16">
        <v>77.900000000000006</v>
      </c>
      <c r="M157" s="16">
        <v>1</v>
      </c>
      <c r="N157" s="18">
        <f>IF(Risk_Calculation_Engine!U157="Low",1,IF(Risk_Calculation_Engine!U157="Medium",2,3))</f>
        <v>2</v>
      </c>
      <c r="O157" s="18" t="str">
        <f>Risk_Calculation_Engine!U157</f>
        <v>Medium</v>
      </c>
    </row>
    <row r="158" spans="1:15" ht="15" customHeight="1" x14ac:dyDescent="0.25">
      <c r="A158" s="16">
        <v>154</v>
      </c>
      <c r="B158" s="16">
        <v>116.8</v>
      </c>
      <c r="C158" s="16">
        <v>5</v>
      </c>
      <c r="D158" s="16">
        <v>943.8</v>
      </c>
      <c r="E158" s="17">
        <f t="shared" si="2"/>
        <v>23.35</v>
      </c>
      <c r="F158" s="16">
        <v>1</v>
      </c>
      <c r="G158" s="16">
        <v>6</v>
      </c>
      <c r="H158" s="16">
        <v>1.07</v>
      </c>
      <c r="I158" s="16">
        <v>6</v>
      </c>
      <c r="J158" s="16">
        <v>2568</v>
      </c>
      <c r="K158" s="16">
        <v>21.99</v>
      </c>
      <c r="L158" s="16">
        <v>51.6</v>
      </c>
      <c r="M158" s="16">
        <v>1</v>
      </c>
      <c r="N158" s="18">
        <f>IF(Risk_Calculation_Engine!U158="Low",1,IF(Risk_Calculation_Engine!U158="Medium",2,3))</f>
        <v>3</v>
      </c>
      <c r="O158" s="18" t="str">
        <f>Risk_Calculation_Engine!U158</f>
        <v>High</v>
      </c>
    </row>
    <row r="159" spans="1:15" ht="15" customHeight="1" x14ac:dyDescent="0.25">
      <c r="A159" s="16">
        <v>155</v>
      </c>
      <c r="B159" s="16">
        <v>58.5</v>
      </c>
      <c r="C159" s="16">
        <v>2</v>
      </c>
      <c r="D159" s="16">
        <v>202.4</v>
      </c>
      <c r="E159" s="17">
        <f t="shared" si="2"/>
        <v>6.49</v>
      </c>
      <c r="F159" s="16">
        <v>2</v>
      </c>
      <c r="G159" s="16">
        <v>7</v>
      </c>
      <c r="H159" s="16">
        <v>2.5</v>
      </c>
      <c r="I159" s="16">
        <v>8</v>
      </c>
      <c r="J159" s="16">
        <v>151</v>
      </c>
      <c r="K159" s="16">
        <v>2.58</v>
      </c>
      <c r="L159" s="16">
        <v>85.9</v>
      </c>
      <c r="M159" s="16">
        <v>1</v>
      </c>
      <c r="N159" s="18">
        <f>IF(Risk_Calculation_Engine!U159="Low",1,IF(Risk_Calculation_Engine!U159="Medium",2,3))</f>
        <v>2</v>
      </c>
      <c r="O159" s="18" t="str">
        <f>Risk_Calculation_Engine!U159</f>
        <v>Medium</v>
      </c>
    </row>
    <row r="160" spans="1:15" ht="15" customHeight="1" x14ac:dyDescent="0.25">
      <c r="A160" s="16">
        <v>156</v>
      </c>
      <c r="B160" s="16">
        <v>46.1</v>
      </c>
      <c r="C160" s="16">
        <v>5</v>
      </c>
      <c r="D160" s="16">
        <v>300.3</v>
      </c>
      <c r="E160" s="17">
        <f t="shared" si="2"/>
        <v>12.42</v>
      </c>
      <c r="F160" s="16">
        <v>2</v>
      </c>
      <c r="G160" s="16">
        <v>6</v>
      </c>
      <c r="H160" s="16">
        <v>1.46</v>
      </c>
      <c r="I160" s="16">
        <v>12</v>
      </c>
      <c r="J160" s="16">
        <v>931</v>
      </c>
      <c r="K160" s="16">
        <v>20.2</v>
      </c>
      <c r="L160" s="16">
        <v>85.2</v>
      </c>
      <c r="M160" s="16">
        <v>2</v>
      </c>
      <c r="N160" s="18">
        <f>IF(Risk_Calculation_Engine!U160="Low",1,IF(Risk_Calculation_Engine!U160="Medium",2,3))</f>
        <v>3</v>
      </c>
      <c r="O160" s="18" t="str">
        <f>Risk_Calculation_Engine!U160</f>
        <v>High</v>
      </c>
    </row>
    <row r="161" spans="1:15" ht="15" customHeight="1" x14ac:dyDescent="0.25">
      <c r="A161" s="16">
        <v>157</v>
      </c>
      <c r="B161" s="16">
        <v>96.2</v>
      </c>
      <c r="C161" s="16">
        <v>4</v>
      </c>
      <c r="D161" s="16">
        <v>778.3</v>
      </c>
      <c r="E161" s="17">
        <f t="shared" si="2"/>
        <v>12.66</v>
      </c>
      <c r="F161" s="16">
        <v>1</v>
      </c>
      <c r="G161" s="16">
        <v>7</v>
      </c>
      <c r="H161" s="16">
        <v>1.87</v>
      </c>
      <c r="I161" s="16">
        <v>13</v>
      </c>
      <c r="J161" s="16">
        <v>1156</v>
      </c>
      <c r="K161" s="16">
        <v>12.02</v>
      </c>
      <c r="L161" s="16">
        <v>46.1</v>
      </c>
      <c r="M161" s="16">
        <v>2</v>
      </c>
      <c r="N161" s="18">
        <f>IF(Risk_Calculation_Engine!U161="Low",1,IF(Risk_Calculation_Engine!U161="Medium",2,3))</f>
        <v>3</v>
      </c>
      <c r="O161" s="18" t="str">
        <f>Risk_Calculation_Engine!U161</f>
        <v>High</v>
      </c>
    </row>
    <row r="162" spans="1:15" ht="15" customHeight="1" x14ac:dyDescent="0.25">
      <c r="A162" s="16">
        <v>158</v>
      </c>
      <c r="B162" s="16">
        <v>143</v>
      </c>
      <c r="C162" s="16">
        <v>4</v>
      </c>
      <c r="D162" s="16">
        <v>856.7</v>
      </c>
      <c r="E162" s="17">
        <f t="shared" si="2"/>
        <v>25.87</v>
      </c>
      <c r="F162" s="16">
        <v>2</v>
      </c>
      <c r="G162" s="16">
        <v>3</v>
      </c>
      <c r="H162" s="16">
        <v>0.94</v>
      </c>
      <c r="I162" s="16">
        <v>14</v>
      </c>
      <c r="J162" s="16">
        <v>1604</v>
      </c>
      <c r="K162" s="16">
        <v>11.22</v>
      </c>
      <c r="L162" s="16">
        <v>61</v>
      </c>
      <c r="M162" s="16">
        <v>2</v>
      </c>
      <c r="N162" s="18">
        <f>IF(Risk_Calculation_Engine!U162="Low",1,IF(Risk_Calculation_Engine!U162="Medium",2,3))</f>
        <v>1</v>
      </c>
      <c r="O162" s="18" t="str">
        <f>Risk_Calculation_Engine!U162</f>
        <v>Low</v>
      </c>
    </row>
    <row r="163" spans="1:15" ht="15" customHeight="1" x14ac:dyDescent="0.25">
      <c r="A163" s="16">
        <v>159</v>
      </c>
      <c r="B163" s="16">
        <v>149.80000000000001</v>
      </c>
      <c r="C163" s="16">
        <v>4</v>
      </c>
      <c r="D163" s="16">
        <v>917.5</v>
      </c>
      <c r="E163" s="17">
        <f t="shared" si="2"/>
        <v>22.13</v>
      </c>
      <c r="F163" s="16">
        <v>2</v>
      </c>
      <c r="G163" s="16">
        <v>7</v>
      </c>
      <c r="H163" s="16">
        <v>1.1200000000000001</v>
      </c>
      <c r="I163" s="16">
        <v>8</v>
      </c>
      <c r="J163" s="16">
        <v>1389</v>
      </c>
      <c r="K163" s="16">
        <v>9.27</v>
      </c>
      <c r="L163" s="16">
        <v>82.3</v>
      </c>
      <c r="M163" s="16">
        <v>3</v>
      </c>
      <c r="N163" s="18">
        <f>IF(Risk_Calculation_Engine!U163="Low",1,IF(Risk_Calculation_Engine!U163="Medium",2,3))</f>
        <v>2</v>
      </c>
      <c r="O163" s="18" t="str">
        <f>Risk_Calculation_Engine!U163</f>
        <v>Medium</v>
      </c>
    </row>
    <row r="164" spans="1:15" ht="15" customHeight="1" x14ac:dyDescent="0.25">
      <c r="A164" s="16">
        <v>160</v>
      </c>
      <c r="B164" s="16">
        <v>114</v>
      </c>
      <c r="C164" s="16">
        <v>4</v>
      </c>
      <c r="D164" s="16">
        <v>887.9</v>
      </c>
      <c r="E164" s="17">
        <f t="shared" si="2"/>
        <v>9.82</v>
      </c>
      <c r="F164" s="16">
        <v>1</v>
      </c>
      <c r="G164" s="16">
        <v>13</v>
      </c>
      <c r="H164" s="16">
        <v>2.5</v>
      </c>
      <c r="I164" s="16">
        <v>8</v>
      </c>
      <c r="J164" s="16">
        <v>1500</v>
      </c>
      <c r="K164" s="16">
        <v>13.16</v>
      </c>
      <c r="L164" s="16">
        <v>70.3</v>
      </c>
      <c r="M164" s="16">
        <v>2</v>
      </c>
      <c r="N164" s="18">
        <f>IF(Risk_Calculation_Engine!U164="Low",1,IF(Risk_Calculation_Engine!U164="Medium",2,3))</f>
        <v>3</v>
      </c>
      <c r="O164" s="18" t="str">
        <f>Risk_Calculation_Engine!U164</f>
        <v>High</v>
      </c>
    </row>
    <row r="165" spans="1:15" ht="15" customHeight="1" x14ac:dyDescent="0.25">
      <c r="A165" s="16">
        <v>161</v>
      </c>
      <c r="B165" s="16">
        <v>65</v>
      </c>
      <c r="C165" s="16">
        <v>4</v>
      </c>
      <c r="D165" s="16">
        <v>280.89999999999998</v>
      </c>
      <c r="E165" s="17">
        <f t="shared" si="2"/>
        <v>16.63</v>
      </c>
      <c r="F165" s="16">
        <v>3</v>
      </c>
      <c r="G165" s="16">
        <v>6</v>
      </c>
      <c r="H165" s="16">
        <v>1.07</v>
      </c>
      <c r="I165" s="16">
        <v>7</v>
      </c>
      <c r="J165" s="16">
        <v>929</v>
      </c>
      <c r="K165" s="16">
        <v>14.29</v>
      </c>
      <c r="L165" s="16">
        <v>87</v>
      </c>
      <c r="M165" s="16">
        <v>2</v>
      </c>
      <c r="N165" s="18">
        <f>IF(Risk_Calculation_Engine!U165="Low",1,IF(Risk_Calculation_Engine!U165="Medium",2,3))</f>
        <v>1</v>
      </c>
      <c r="O165" s="18" t="str">
        <f>Risk_Calculation_Engine!U165</f>
        <v>Low</v>
      </c>
    </row>
    <row r="166" spans="1:15" ht="15" customHeight="1" x14ac:dyDescent="0.25">
      <c r="A166" s="16">
        <v>162</v>
      </c>
      <c r="B166" s="16">
        <v>126.9</v>
      </c>
      <c r="C166" s="16">
        <v>3</v>
      </c>
      <c r="D166" s="16">
        <v>556.29999999999995</v>
      </c>
      <c r="E166" s="17">
        <f t="shared" si="2"/>
        <v>11.34</v>
      </c>
      <c r="F166" s="16">
        <v>2</v>
      </c>
      <c r="G166" s="16">
        <v>4</v>
      </c>
      <c r="H166" s="16">
        <v>1.9</v>
      </c>
      <c r="I166" s="16">
        <v>11</v>
      </c>
      <c r="J166" s="16">
        <v>918</v>
      </c>
      <c r="K166" s="16">
        <v>7.23</v>
      </c>
      <c r="L166" s="16">
        <v>80.599999999999994</v>
      </c>
      <c r="M166" s="16">
        <v>1</v>
      </c>
      <c r="N166" s="18">
        <f>IF(Risk_Calculation_Engine!U166="Low",1,IF(Risk_Calculation_Engine!U166="Medium",2,3))</f>
        <v>3</v>
      </c>
      <c r="O166" s="18" t="str">
        <f>Risk_Calculation_Engine!U166</f>
        <v>High</v>
      </c>
    </row>
    <row r="167" spans="1:15" ht="15" customHeight="1" x14ac:dyDescent="0.25">
      <c r="A167" s="16">
        <v>163</v>
      </c>
      <c r="B167" s="16">
        <v>110.6</v>
      </c>
      <c r="C167" s="16">
        <v>3</v>
      </c>
      <c r="D167" s="16">
        <v>659.1</v>
      </c>
      <c r="E167" s="17">
        <f t="shared" si="2"/>
        <v>32.28</v>
      </c>
      <c r="F167" s="16">
        <v>1</v>
      </c>
      <c r="G167" s="16">
        <v>7</v>
      </c>
      <c r="H167" s="16">
        <v>0.7</v>
      </c>
      <c r="I167" s="16">
        <v>8</v>
      </c>
      <c r="J167" s="16">
        <v>610</v>
      </c>
      <c r="K167" s="16">
        <v>5.52</v>
      </c>
      <c r="L167" s="16">
        <v>76.099999999999994</v>
      </c>
      <c r="M167" s="16">
        <v>2</v>
      </c>
      <c r="N167" s="18">
        <f>IF(Risk_Calculation_Engine!U167="Low",1,IF(Risk_Calculation_Engine!U167="Medium",2,3))</f>
        <v>1</v>
      </c>
      <c r="O167" s="18" t="str">
        <f>Risk_Calculation_Engine!U167</f>
        <v>Low</v>
      </c>
    </row>
    <row r="168" spans="1:15" ht="15" customHeight="1" x14ac:dyDescent="0.25">
      <c r="A168" s="16">
        <v>164</v>
      </c>
      <c r="B168" s="16">
        <v>65.3</v>
      </c>
      <c r="C168" s="16">
        <v>3</v>
      </c>
      <c r="D168" s="16">
        <v>224.1</v>
      </c>
      <c r="E168" s="17">
        <f t="shared" si="2"/>
        <v>18.16</v>
      </c>
      <c r="F168" s="16">
        <v>3</v>
      </c>
      <c r="G168" s="16">
        <v>6</v>
      </c>
      <c r="H168" s="16">
        <v>0.92</v>
      </c>
      <c r="I168" s="16">
        <v>8</v>
      </c>
      <c r="J168" s="16">
        <v>586</v>
      </c>
      <c r="K168" s="16">
        <v>8.9700000000000006</v>
      </c>
      <c r="L168" s="16">
        <v>47.4</v>
      </c>
      <c r="M168" s="16">
        <v>1</v>
      </c>
      <c r="N168" s="18">
        <f>IF(Risk_Calculation_Engine!U168="Low",1,IF(Risk_Calculation_Engine!U168="Medium",2,3))</f>
        <v>1</v>
      </c>
      <c r="O168" s="18" t="str">
        <f>Risk_Calculation_Engine!U168</f>
        <v>Low</v>
      </c>
    </row>
    <row r="169" spans="1:15" ht="15" customHeight="1" x14ac:dyDescent="0.25">
      <c r="A169" s="16">
        <v>165</v>
      </c>
      <c r="B169" s="16">
        <v>108.2</v>
      </c>
      <c r="C169" s="16">
        <v>2</v>
      </c>
      <c r="D169" s="16">
        <v>361.5</v>
      </c>
      <c r="E169" s="17">
        <f t="shared" si="2"/>
        <v>13.17</v>
      </c>
      <c r="F169" s="16">
        <v>3</v>
      </c>
      <c r="G169" s="16">
        <v>9</v>
      </c>
      <c r="H169" s="16">
        <v>1.45</v>
      </c>
      <c r="I169" s="16">
        <v>5</v>
      </c>
      <c r="J169" s="16">
        <v>411</v>
      </c>
      <c r="K169" s="16">
        <v>3.8</v>
      </c>
      <c r="L169" s="16">
        <v>41.4</v>
      </c>
      <c r="M169" s="16">
        <v>2</v>
      </c>
      <c r="N169" s="18">
        <f>IF(Risk_Calculation_Engine!U169="Low",1,IF(Risk_Calculation_Engine!U169="Medium",2,3))</f>
        <v>1</v>
      </c>
      <c r="O169" s="18" t="str">
        <f>Risk_Calculation_Engine!U169</f>
        <v>Low</v>
      </c>
    </row>
    <row r="170" spans="1:15" ht="15" customHeight="1" x14ac:dyDescent="0.25">
      <c r="A170" s="16">
        <v>166</v>
      </c>
      <c r="B170" s="16">
        <v>106.7</v>
      </c>
      <c r="C170" s="16">
        <v>4</v>
      </c>
      <c r="D170" s="16">
        <v>644.5</v>
      </c>
      <c r="E170" s="17">
        <f t="shared" si="2"/>
        <v>9.39</v>
      </c>
      <c r="F170" s="16">
        <v>2</v>
      </c>
      <c r="G170" s="16">
        <v>2</v>
      </c>
      <c r="H170" s="16">
        <v>2.39</v>
      </c>
      <c r="I170" s="16">
        <v>9</v>
      </c>
      <c r="J170" s="16">
        <v>658</v>
      </c>
      <c r="K170" s="16">
        <v>6.17</v>
      </c>
      <c r="L170" s="16">
        <v>22.9</v>
      </c>
      <c r="M170" s="16">
        <v>2</v>
      </c>
      <c r="N170" s="18">
        <f>IF(Risk_Calculation_Engine!U170="Low",1,IF(Risk_Calculation_Engine!U170="Medium",2,3))</f>
        <v>2</v>
      </c>
      <c r="O170" s="18" t="str">
        <f>Risk_Calculation_Engine!U170</f>
        <v>Medium</v>
      </c>
    </row>
    <row r="171" spans="1:15" ht="15" customHeight="1" x14ac:dyDescent="0.25">
      <c r="A171" s="16">
        <v>167</v>
      </c>
      <c r="B171" s="16">
        <v>58.3</v>
      </c>
      <c r="C171" s="16">
        <v>1</v>
      </c>
      <c r="D171" s="16">
        <v>160.6</v>
      </c>
      <c r="E171" s="17">
        <f t="shared" si="2"/>
        <v>9.2799999999999994</v>
      </c>
      <c r="F171" s="16">
        <v>3</v>
      </c>
      <c r="G171" s="16">
        <v>5</v>
      </c>
      <c r="H171" s="16">
        <v>1.64</v>
      </c>
      <c r="I171" s="16">
        <v>6</v>
      </c>
      <c r="J171" s="16">
        <v>80</v>
      </c>
      <c r="K171" s="16">
        <v>1.37</v>
      </c>
      <c r="L171" s="16">
        <v>71.8</v>
      </c>
      <c r="M171" s="16">
        <v>3</v>
      </c>
      <c r="N171" s="18">
        <f>IF(Risk_Calculation_Engine!U171="Low",1,IF(Risk_Calculation_Engine!U171="Medium",2,3))</f>
        <v>1</v>
      </c>
      <c r="O171" s="18" t="str">
        <f>Risk_Calculation_Engine!U171</f>
        <v>Low</v>
      </c>
    </row>
    <row r="172" spans="1:15" ht="15" customHeight="1" x14ac:dyDescent="0.25">
      <c r="A172" s="16">
        <v>168</v>
      </c>
      <c r="B172" s="16">
        <v>38.799999999999997</v>
      </c>
      <c r="C172" s="16">
        <v>3</v>
      </c>
      <c r="D172" s="16">
        <v>177.4</v>
      </c>
      <c r="E172" s="17">
        <f t="shared" si="2"/>
        <v>10.43</v>
      </c>
      <c r="F172" s="16">
        <v>2</v>
      </c>
      <c r="G172" s="16">
        <v>10</v>
      </c>
      <c r="H172" s="16">
        <v>1.5</v>
      </c>
      <c r="I172" s="16">
        <v>9</v>
      </c>
      <c r="J172" s="16">
        <v>197</v>
      </c>
      <c r="K172" s="16">
        <v>5.08</v>
      </c>
      <c r="L172" s="16">
        <v>84.6</v>
      </c>
      <c r="M172" s="16">
        <v>2</v>
      </c>
      <c r="N172" s="18">
        <f>IF(Risk_Calculation_Engine!U172="Low",1,IF(Risk_Calculation_Engine!U172="Medium",2,3))</f>
        <v>2</v>
      </c>
      <c r="O172" s="18" t="str">
        <f>Risk_Calculation_Engine!U172</f>
        <v>Medium</v>
      </c>
    </row>
    <row r="173" spans="1:15" ht="15" customHeight="1" x14ac:dyDescent="0.25">
      <c r="A173" s="16">
        <v>169</v>
      </c>
      <c r="B173" s="16">
        <v>100.1</v>
      </c>
      <c r="C173" s="16">
        <v>2</v>
      </c>
      <c r="D173" s="16">
        <v>373.3</v>
      </c>
      <c r="E173" s="17">
        <f t="shared" si="2"/>
        <v>9</v>
      </c>
      <c r="F173" s="16">
        <v>2</v>
      </c>
      <c r="G173" s="16">
        <v>11</v>
      </c>
      <c r="H173" s="16">
        <v>2.14</v>
      </c>
      <c r="I173" s="16">
        <v>14</v>
      </c>
      <c r="J173" s="16">
        <v>269</v>
      </c>
      <c r="K173" s="16">
        <v>2.69</v>
      </c>
      <c r="L173" s="16">
        <v>85.6</v>
      </c>
      <c r="M173" s="16">
        <v>2</v>
      </c>
      <c r="N173" s="18">
        <f>IF(Risk_Calculation_Engine!U173="Low",1,IF(Risk_Calculation_Engine!U173="Medium",2,3))</f>
        <v>3</v>
      </c>
      <c r="O173" s="18" t="str">
        <f>Risk_Calculation_Engine!U173</f>
        <v>High</v>
      </c>
    </row>
    <row r="174" spans="1:15" ht="15" customHeight="1" x14ac:dyDescent="0.25">
      <c r="A174" s="16">
        <v>170</v>
      </c>
      <c r="B174" s="16">
        <v>23.1</v>
      </c>
      <c r="C174" s="16">
        <v>2</v>
      </c>
      <c r="D174" s="16">
        <v>55.6</v>
      </c>
      <c r="E174" s="17">
        <f t="shared" si="2"/>
        <v>6.35</v>
      </c>
      <c r="F174" s="16">
        <v>3</v>
      </c>
      <c r="G174" s="16">
        <v>4</v>
      </c>
      <c r="H174" s="16">
        <v>1.78</v>
      </c>
      <c r="I174" s="16">
        <v>13</v>
      </c>
      <c r="J174" s="16">
        <v>118</v>
      </c>
      <c r="K174" s="16">
        <v>5.1100000000000003</v>
      </c>
      <c r="L174" s="16">
        <v>50.9</v>
      </c>
      <c r="M174" s="16">
        <v>1</v>
      </c>
      <c r="N174" s="18">
        <f>IF(Risk_Calculation_Engine!U174="Low",1,IF(Risk_Calculation_Engine!U174="Medium",2,3))</f>
        <v>1</v>
      </c>
      <c r="O174" s="18" t="str">
        <f>Risk_Calculation_Engine!U174</f>
        <v>Low</v>
      </c>
    </row>
    <row r="175" spans="1:15" ht="15" customHeight="1" x14ac:dyDescent="0.25">
      <c r="A175" s="16">
        <v>171</v>
      </c>
      <c r="B175" s="16">
        <v>18.100000000000001</v>
      </c>
      <c r="C175" s="16">
        <v>4</v>
      </c>
      <c r="D175" s="16">
        <v>61.2</v>
      </c>
      <c r="E175" s="17">
        <f t="shared" si="2"/>
        <v>13.66</v>
      </c>
      <c r="F175" s="16">
        <v>3</v>
      </c>
      <c r="G175" s="16">
        <v>7</v>
      </c>
      <c r="H175" s="16">
        <v>0.85</v>
      </c>
      <c r="I175" s="16">
        <v>9</v>
      </c>
      <c r="J175" s="16">
        <v>93</v>
      </c>
      <c r="K175" s="16">
        <v>5.14</v>
      </c>
      <c r="L175" s="16">
        <v>81.3</v>
      </c>
      <c r="M175" s="16">
        <v>3</v>
      </c>
      <c r="N175" s="18">
        <f>IF(Risk_Calculation_Engine!U175="Low",1,IF(Risk_Calculation_Engine!U175="Medium",2,3))</f>
        <v>1</v>
      </c>
      <c r="O175" s="18" t="str">
        <f>Risk_Calculation_Engine!U175</f>
        <v>Low</v>
      </c>
    </row>
    <row r="176" spans="1:15" ht="15" customHeight="1" x14ac:dyDescent="0.25">
      <c r="A176" s="16">
        <v>172</v>
      </c>
      <c r="B176" s="16">
        <v>78.900000000000006</v>
      </c>
      <c r="C176" s="16">
        <v>4</v>
      </c>
      <c r="D176" s="16">
        <v>600.79999999999995</v>
      </c>
      <c r="E176" s="17">
        <f t="shared" si="2"/>
        <v>13.85</v>
      </c>
      <c r="F176" s="16">
        <v>1</v>
      </c>
      <c r="G176" s="16">
        <v>5</v>
      </c>
      <c r="H176" s="16">
        <v>1.59</v>
      </c>
      <c r="I176" s="16">
        <v>15</v>
      </c>
      <c r="J176" s="16">
        <v>715</v>
      </c>
      <c r="K176" s="16">
        <v>9.06</v>
      </c>
      <c r="L176" s="16">
        <v>65.900000000000006</v>
      </c>
      <c r="M176" s="16">
        <v>1</v>
      </c>
      <c r="N176" s="18">
        <f>IF(Risk_Calculation_Engine!U176="Low",1,IF(Risk_Calculation_Engine!U176="Medium",2,3))</f>
        <v>2</v>
      </c>
      <c r="O176" s="18" t="str">
        <f>Risk_Calculation_Engine!U176</f>
        <v>Medium</v>
      </c>
    </row>
    <row r="177" spans="1:15" ht="15" customHeight="1" x14ac:dyDescent="0.25">
      <c r="A177" s="16">
        <v>173</v>
      </c>
      <c r="B177" s="16">
        <v>98</v>
      </c>
      <c r="C177" s="16">
        <v>3</v>
      </c>
      <c r="D177" s="16">
        <v>457.5</v>
      </c>
      <c r="E177" s="17">
        <f t="shared" si="2"/>
        <v>15.22</v>
      </c>
      <c r="F177" s="16">
        <v>2</v>
      </c>
      <c r="G177" s="16">
        <v>6</v>
      </c>
      <c r="H177" s="16">
        <v>1.34</v>
      </c>
      <c r="I177" s="16">
        <v>15</v>
      </c>
      <c r="J177" s="16">
        <v>810</v>
      </c>
      <c r="K177" s="16">
        <v>8.27</v>
      </c>
      <c r="L177" s="16">
        <v>92.5</v>
      </c>
      <c r="M177" s="16">
        <v>1</v>
      </c>
      <c r="N177" s="18">
        <f>IF(Risk_Calculation_Engine!U177="Low",1,IF(Risk_Calculation_Engine!U177="Medium",2,3))</f>
        <v>2</v>
      </c>
      <c r="O177" s="18" t="str">
        <f>Risk_Calculation_Engine!U177</f>
        <v>Medium</v>
      </c>
    </row>
    <row r="178" spans="1:15" ht="15" customHeight="1" x14ac:dyDescent="0.25">
      <c r="A178" s="16">
        <v>174</v>
      </c>
      <c r="B178" s="16">
        <v>78.400000000000006</v>
      </c>
      <c r="C178" s="16">
        <v>2</v>
      </c>
      <c r="D178" s="16">
        <v>269.89999999999998</v>
      </c>
      <c r="E178" s="17">
        <f t="shared" si="2"/>
        <v>11.89</v>
      </c>
      <c r="F178" s="16">
        <v>2</v>
      </c>
      <c r="G178" s="16">
        <v>4</v>
      </c>
      <c r="H178" s="16">
        <v>1.48</v>
      </c>
      <c r="I178" s="16">
        <v>8</v>
      </c>
      <c r="J178" s="16">
        <v>194</v>
      </c>
      <c r="K178" s="16">
        <v>2.4700000000000002</v>
      </c>
      <c r="L178" s="16">
        <v>70.900000000000006</v>
      </c>
      <c r="M178" s="16">
        <v>1</v>
      </c>
      <c r="N178" s="18">
        <f>IF(Risk_Calculation_Engine!U178="Low",1,IF(Risk_Calculation_Engine!U178="Medium",2,3))</f>
        <v>1</v>
      </c>
      <c r="O178" s="18" t="str">
        <f>Risk_Calculation_Engine!U178</f>
        <v>Low</v>
      </c>
    </row>
    <row r="179" spans="1:15" ht="15" customHeight="1" x14ac:dyDescent="0.25">
      <c r="A179" s="16">
        <v>175</v>
      </c>
      <c r="B179" s="16">
        <v>85.1</v>
      </c>
      <c r="C179" s="16">
        <v>3</v>
      </c>
      <c r="D179" s="16">
        <v>531.1</v>
      </c>
      <c r="E179" s="17">
        <f t="shared" si="2"/>
        <v>16.11</v>
      </c>
      <c r="F179" s="16">
        <v>1</v>
      </c>
      <c r="G179" s="16">
        <v>6</v>
      </c>
      <c r="H179" s="16">
        <v>1.32</v>
      </c>
      <c r="I179" s="16">
        <v>12</v>
      </c>
      <c r="J179" s="16">
        <v>549</v>
      </c>
      <c r="K179" s="16">
        <v>6.45</v>
      </c>
      <c r="L179" s="16">
        <v>45.5</v>
      </c>
      <c r="M179" s="16">
        <v>3</v>
      </c>
      <c r="N179" s="18">
        <f>IF(Risk_Calculation_Engine!U179="Low",1,IF(Risk_Calculation_Engine!U179="Medium",2,3))</f>
        <v>2</v>
      </c>
      <c r="O179" s="18" t="str">
        <f>Risk_Calculation_Engine!U179</f>
        <v>Medium</v>
      </c>
    </row>
    <row r="180" spans="1:15" ht="15" customHeight="1" x14ac:dyDescent="0.25">
      <c r="A180" s="16">
        <v>176</v>
      </c>
      <c r="B180" s="16">
        <v>96.8</v>
      </c>
      <c r="C180" s="16">
        <v>3</v>
      </c>
      <c r="D180" s="16">
        <v>368.3</v>
      </c>
      <c r="E180" s="17">
        <f t="shared" si="2"/>
        <v>12</v>
      </c>
      <c r="F180" s="16">
        <v>3</v>
      </c>
      <c r="G180" s="16">
        <v>5</v>
      </c>
      <c r="H180" s="16">
        <v>1.6</v>
      </c>
      <c r="I180" s="16">
        <v>7</v>
      </c>
      <c r="J180" s="16">
        <v>833</v>
      </c>
      <c r="K180" s="16">
        <v>8.61</v>
      </c>
      <c r="L180" s="16">
        <v>83.2</v>
      </c>
      <c r="M180" s="16">
        <v>3</v>
      </c>
      <c r="N180" s="18">
        <f>IF(Risk_Calculation_Engine!U180="Low",1,IF(Risk_Calculation_Engine!U180="Medium",2,3))</f>
        <v>1</v>
      </c>
      <c r="O180" s="18" t="str">
        <f>Risk_Calculation_Engine!U180</f>
        <v>Low</v>
      </c>
    </row>
    <row r="181" spans="1:15" ht="15" customHeight="1" x14ac:dyDescent="0.25">
      <c r="A181" s="16">
        <v>177</v>
      </c>
      <c r="B181" s="16">
        <v>149.80000000000001</v>
      </c>
      <c r="C181" s="16">
        <v>4</v>
      </c>
      <c r="D181" s="16">
        <v>784.1</v>
      </c>
      <c r="E181" s="17">
        <f t="shared" si="2"/>
        <v>12.35</v>
      </c>
      <c r="F181" s="16">
        <v>2</v>
      </c>
      <c r="G181" s="16">
        <v>6</v>
      </c>
      <c r="H181" s="16">
        <v>1.92</v>
      </c>
      <c r="I181" s="16">
        <v>14</v>
      </c>
      <c r="J181" s="16">
        <v>856</v>
      </c>
      <c r="K181" s="16">
        <v>5.71</v>
      </c>
      <c r="L181" s="16">
        <v>89.6</v>
      </c>
      <c r="M181" s="16">
        <v>2</v>
      </c>
      <c r="N181" s="18">
        <f>IF(Risk_Calculation_Engine!U181="Low",1,IF(Risk_Calculation_Engine!U181="Medium",2,3))</f>
        <v>3</v>
      </c>
      <c r="O181" s="18" t="str">
        <f>Risk_Calculation_Engine!U181</f>
        <v>High</v>
      </c>
    </row>
    <row r="182" spans="1:15" ht="15" customHeight="1" x14ac:dyDescent="0.25">
      <c r="A182" s="16">
        <v>178</v>
      </c>
      <c r="B182" s="16">
        <v>115.5</v>
      </c>
      <c r="C182" s="16">
        <v>4</v>
      </c>
      <c r="D182" s="16">
        <v>664.7</v>
      </c>
      <c r="E182" s="17">
        <f t="shared" si="2"/>
        <v>23.11</v>
      </c>
      <c r="F182" s="16">
        <v>2</v>
      </c>
      <c r="G182" s="16">
        <v>8</v>
      </c>
      <c r="H182" s="16">
        <v>0.98</v>
      </c>
      <c r="I182" s="16">
        <v>7</v>
      </c>
      <c r="J182" s="16">
        <v>981</v>
      </c>
      <c r="K182" s="16">
        <v>8.49</v>
      </c>
      <c r="L182" s="16">
        <v>50</v>
      </c>
      <c r="M182" s="16">
        <v>1</v>
      </c>
      <c r="N182" s="18">
        <f>IF(Risk_Calculation_Engine!U182="Low",1,IF(Risk_Calculation_Engine!U182="Medium",2,3))</f>
        <v>1</v>
      </c>
      <c r="O182" s="18" t="str">
        <f>Risk_Calculation_Engine!U182</f>
        <v>Low</v>
      </c>
    </row>
    <row r="183" spans="1:15" ht="15" customHeight="1" x14ac:dyDescent="0.25">
      <c r="A183" s="16">
        <v>179</v>
      </c>
      <c r="B183" s="16">
        <v>113</v>
      </c>
      <c r="C183" s="16">
        <v>3</v>
      </c>
      <c r="D183" s="16">
        <v>496.2</v>
      </c>
      <c r="E183" s="17">
        <f t="shared" si="2"/>
        <v>17.100000000000001</v>
      </c>
      <c r="F183" s="16">
        <v>2</v>
      </c>
      <c r="G183" s="16">
        <v>11</v>
      </c>
      <c r="H183" s="16">
        <v>1.22</v>
      </c>
      <c r="I183" s="16">
        <v>6</v>
      </c>
      <c r="J183" s="16">
        <v>365</v>
      </c>
      <c r="K183" s="16">
        <v>3.23</v>
      </c>
      <c r="L183" s="16">
        <v>69.8</v>
      </c>
      <c r="M183" s="16">
        <v>3</v>
      </c>
      <c r="N183" s="18">
        <f>IF(Risk_Calculation_Engine!U183="Low",1,IF(Risk_Calculation_Engine!U183="Medium",2,3))</f>
        <v>2</v>
      </c>
      <c r="O183" s="18" t="str">
        <f>Risk_Calculation_Engine!U183</f>
        <v>Medium</v>
      </c>
    </row>
    <row r="184" spans="1:15" ht="15" customHeight="1" x14ac:dyDescent="0.25">
      <c r="A184" s="16">
        <v>180</v>
      </c>
      <c r="B184" s="16">
        <v>74.2</v>
      </c>
      <c r="C184" s="16">
        <v>3</v>
      </c>
      <c r="D184" s="16">
        <v>341.2</v>
      </c>
      <c r="E184" s="17">
        <f t="shared" si="2"/>
        <v>8.9</v>
      </c>
      <c r="F184" s="16">
        <v>2</v>
      </c>
      <c r="G184" s="16">
        <v>4</v>
      </c>
      <c r="H184" s="16">
        <v>2.11</v>
      </c>
      <c r="I184" s="16">
        <v>4</v>
      </c>
      <c r="J184" s="16">
        <v>526</v>
      </c>
      <c r="K184" s="16">
        <v>7.09</v>
      </c>
      <c r="L184" s="16">
        <v>67.7</v>
      </c>
      <c r="M184" s="16">
        <v>2</v>
      </c>
      <c r="N184" s="18">
        <f>IF(Risk_Calculation_Engine!U184="Low",1,IF(Risk_Calculation_Engine!U184="Medium",2,3))</f>
        <v>2</v>
      </c>
      <c r="O184" s="18" t="str">
        <f>Risk_Calculation_Engine!U184</f>
        <v>Medium</v>
      </c>
    </row>
    <row r="185" spans="1:15" ht="15" customHeight="1" x14ac:dyDescent="0.25">
      <c r="A185" s="16">
        <v>181</v>
      </c>
      <c r="B185" s="16">
        <v>76.400000000000006</v>
      </c>
      <c r="C185" s="16">
        <v>5</v>
      </c>
      <c r="D185" s="16">
        <v>673.8</v>
      </c>
      <c r="E185" s="17">
        <f t="shared" si="2"/>
        <v>10.19</v>
      </c>
      <c r="F185" s="16">
        <v>1</v>
      </c>
      <c r="G185" s="16">
        <v>5</v>
      </c>
      <c r="H185" s="16">
        <v>2.23</v>
      </c>
      <c r="I185" s="16">
        <v>13</v>
      </c>
      <c r="J185" s="16">
        <v>1262</v>
      </c>
      <c r="K185" s="16">
        <v>16.52</v>
      </c>
      <c r="L185" s="16">
        <v>80.400000000000006</v>
      </c>
      <c r="M185" s="16">
        <v>1</v>
      </c>
      <c r="N185" s="18">
        <f>IF(Risk_Calculation_Engine!U185="Low",1,IF(Risk_Calculation_Engine!U185="Medium",2,3))</f>
        <v>3</v>
      </c>
      <c r="O185" s="18" t="str">
        <f>Risk_Calculation_Engine!U185</f>
        <v>High</v>
      </c>
    </row>
    <row r="186" spans="1:15" ht="15" customHeight="1" x14ac:dyDescent="0.25">
      <c r="A186" s="16">
        <v>182</v>
      </c>
      <c r="B186" s="16">
        <v>54.4</v>
      </c>
      <c r="C186" s="16">
        <v>4</v>
      </c>
      <c r="D186" s="16">
        <v>190.4</v>
      </c>
      <c r="E186" s="17">
        <f t="shared" si="2"/>
        <v>6.38</v>
      </c>
      <c r="F186" s="16">
        <v>3</v>
      </c>
      <c r="G186" s="16">
        <v>5</v>
      </c>
      <c r="H186" s="16">
        <v>2.5</v>
      </c>
      <c r="I186" s="16">
        <v>6</v>
      </c>
      <c r="J186" s="16">
        <v>787</v>
      </c>
      <c r="K186" s="16">
        <v>14.47</v>
      </c>
      <c r="L186" s="16">
        <v>74.900000000000006</v>
      </c>
      <c r="M186" s="16">
        <v>2</v>
      </c>
      <c r="N186" s="18">
        <f>IF(Risk_Calculation_Engine!U186="Low",1,IF(Risk_Calculation_Engine!U186="Medium",2,3))</f>
        <v>3</v>
      </c>
      <c r="O186" s="18" t="str">
        <f>Risk_Calculation_Engine!U186</f>
        <v>High</v>
      </c>
    </row>
    <row r="187" spans="1:15" ht="15" customHeight="1" x14ac:dyDescent="0.25">
      <c r="A187" s="16">
        <v>183</v>
      </c>
      <c r="B187" s="16">
        <v>83.2</v>
      </c>
      <c r="C187" s="16">
        <v>3</v>
      </c>
      <c r="D187" s="16">
        <v>408</v>
      </c>
      <c r="E187" s="17">
        <f t="shared" si="2"/>
        <v>11.97</v>
      </c>
      <c r="F187" s="16">
        <v>2</v>
      </c>
      <c r="G187" s="16">
        <v>8</v>
      </c>
      <c r="H187" s="16">
        <v>1.65</v>
      </c>
      <c r="I187" s="16">
        <v>13</v>
      </c>
      <c r="J187" s="16">
        <v>595</v>
      </c>
      <c r="K187" s="16">
        <v>7.15</v>
      </c>
      <c r="L187" s="16">
        <v>73.900000000000006</v>
      </c>
      <c r="M187" s="16">
        <v>2</v>
      </c>
      <c r="N187" s="18">
        <f>IF(Risk_Calculation_Engine!U187="Low",1,IF(Risk_Calculation_Engine!U187="Medium",2,3))</f>
        <v>2</v>
      </c>
      <c r="O187" s="18" t="str">
        <f>Risk_Calculation_Engine!U187</f>
        <v>Medium</v>
      </c>
    </row>
    <row r="188" spans="1:15" ht="15" customHeight="1" x14ac:dyDescent="0.25">
      <c r="A188" s="16">
        <v>184</v>
      </c>
      <c r="B188" s="16">
        <v>21.9</v>
      </c>
      <c r="C188" s="16">
        <v>3</v>
      </c>
      <c r="D188" s="16">
        <v>92.3</v>
      </c>
      <c r="E188" s="17">
        <f t="shared" si="2"/>
        <v>10.95</v>
      </c>
      <c r="F188" s="16">
        <v>2</v>
      </c>
      <c r="G188" s="16">
        <v>6</v>
      </c>
      <c r="H188" s="16">
        <v>1.19</v>
      </c>
      <c r="I188" s="16">
        <v>4</v>
      </c>
      <c r="J188" s="16">
        <v>145</v>
      </c>
      <c r="K188" s="16">
        <v>6.62</v>
      </c>
      <c r="L188" s="16">
        <v>83.7</v>
      </c>
      <c r="M188" s="16">
        <v>2</v>
      </c>
      <c r="N188" s="18">
        <f>IF(Risk_Calculation_Engine!U188="Low",1,IF(Risk_Calculation_Engine!U188="Medium",2,3))</f>
        <v>1</v>
      </c>
      <c r="O188" s="18" t="str">
        <f>Risk_Calculation_Engine!U188</f>
        <v>Low</v>
      </c>
    </row>
    <row r="189" spans="1:15" ht="15" customHeight="1" x14ac:dyDescent="0.25">
      <c r="A189" s="16">
        <v>185</v>
      </c>
      <c r="B189" s="16">
        <v>149.80000000000001</v>
      </c>
      <c r="C189" s="16">
        <v>1</v>
      </c>
      <c r="D189" s="16">
        <v>500.8</v>
      </c>
      <c r="E189" s="17">
        <f t="shared" si="2"/>
        <v>17.010000000000002</v>
      </c>
      <c r="F189" s="16">
        <v>2</v>
      </c>
      <c r="G189" s="16">
        <v>8</v>
      </c>
      <c r="H189" s="16">
        <v>1.23</v>
      </c>
      <c r="I189" s="16">
        <v>9</v>
      </c>
      <c r="J189" s="16">
        <v>423</v>
      </c>
      <c r="K189" s="16">
        <v>2.82</v>
      </c>
      <c r="L189" s="16">
        <v>56.1</v>
      </c>
      <c r="M189" s="16">
        <v>2</v>
      </c>
      <c r="N189" s="18">
        <f>IF(Risk_Calculation_Engine!U189="Low",1,IF(Risk_Calculation_Engine!U189="Medium",2,3))</f>
        <v>1</v>
      </c>
      <c r="O189" s="18" t="str">
        <f>Risk_Calculation_Engine!U189</f>
        <v>Low</v>
      </c>
    </row>
    <row r="190" spans="1:15" ht="15" customHeight="1" x14ac:dyDescent="0.25">
      <c r="A190" s="16">
        <v>186</v>
      </c>
      <c r="B190" s="16">
        <v>28.5</v>
      </c>
      <c r="C190" s="16">
        <v>5</v>
      </c>
      <c r="D190" s="16">
        <v>240.2</v>
      </c>
      <c r="E190" s="17">
        <f t="shared" si="2"/>
        <v>10.45</v>
      </c>
      <c r="F190" s="16">
        <v>1</v>
      </c>
      <c r="G190" s="16">
        <v>5</v>
      </c>
      <c r="H190" s="16">
        <v>1.63</v>
      </c>
      <c r="I190" s="16">
        <v>8</v>
      </c>
      <c r="J190" s="16">
        <v>323</v>
      </c>
      <c r="K190" s="16">
        <v>11.33</v>
      </c>
      <c r="L190" s="16">
        <v>90.6</v>
      </c>
      <c r="M190" s="16">
        <v>3</v>
      </c>
      <c r="N190" s="18">
        <f>IF(Risk_Calculation_Engine!U190="Low",1,IF(Risk_Calculation_Engine!U190="Medium",2,3))</f>
        <v>3</v>
      </c>
      <c r="O190" s="18" t="str">
        <f>Risk_Calculation_Engine!U190</f>
        <v>High</v>
      </c>
    </row>
    <row r="191" spans="1:15" ht="15" customHeight="1" x14ac:dyDescent="0.25">
      <c r="A191" s="16">
        <v>187</v>
      </c>
      <c r="B191" s="16">
        <v>115.3</v>
      </c>
      <c r="C191" s="16">
        <v>3</v>
      </c>
      <c r="D191" s="16">
        <v>808.5</v>
      </c>
      <c r="E191" s="17">
        <f t="shared" si="2"/>
        <v>21.55</v>
      </c>
      <c r="F191" s="16">
        <v>1</v>
      </c>
      <c r="G191" s="16">
        <v>8</v>
      </c>
      <c r="H191" s="16">
        <v>1.1100000000000001</v>
      </c>
      <c r="I191" s="16">
        <v>8</v>
      </c>
      <c r="J191" s="16">
        <v>888</v>
      </c>
      <c r="K191" s="16">
        <v>7.7</v>
      </c>
      <c r="L191" s="16">
        <v>64.7</v>
      </c>
      <c r="M191" s="16">
        <v>2</v>
      </c>
      <c r="N191" s="18">
        <f>IF(Risk_Calculation_Engine!U191="Low",1,IF(Risk_Calculation_Engine!U191="Medium",2,3))</f>
        <v>2</v>
      </c>
      <c r="O191" s="18" t="str">
        <f>Risk_Calculation_Engine!U191</f>
        <v>Medium</v>
      </c>
    </row>
    <row r="192" spans="1:15" ht="15" customHeight="1" x14ac:dyDescent="0.25">
      <c r="A192" s="16">
        <v>188</v>
      </c>
      <c r="B192" s="16">
        <v>149.80000000000001</v>
      </c>
      <c r="C192" s="16">
        <v>3</v>
      </c>
      <c r="D192" s="16">
        <v>731.4</v>
      </c>
      <c r="E192" s="17">
        <f t="shared" si="2"/>
        <v>9.3000000000000007</v>
      </c>
      <c r="F192" s="16">
        <v>2</v>
      </c>
      <c r="G192" s="16">
        <v>7</v>
      </c>
      <c r="H192" s="16">
        <v>2.5</v>
      </c>
      <c r="I192" s="16">
        <v>5</v>
      </c>
      <c r="J192" s="16">
        <v>1105</v>
      </c>
      <c r="K192" s="16">
        <v>7.38</v>
      </c>
      <c r="L192" s="16">
        <v>76.400000000000006</v>
      </c>
      <c r="M192" s="16">
        <v>1</v>
      </c>
      <c r="N192" s="18">
        <f>IF(Risk_Calculation_Engine!U192="Low",1,IF(Risk_Calculation_Engine!U192="Medium",2,3))</f>
        <v>3</v>
      </c>
      <c r="O192" s="18" t="str">
        <f>Risk_Calculation_Engine!U192</f>
        <v>High</v>
      </c>
    </row>
    <row r="193" spans="1:15" ht="15" customHeight="1" x14ac:dyDescent="0.25">
      <c r="A193" s="16">
        <v>189</v>
      </c>
      <c r="B193" s="16">
        <v>115.1</v>
      </c>
      <c r="C193" s="16">
        <v>5</v>
      </c>
      <c r="D193" s="16">
        <v>872.6</v>
      </c>
      <c r="E193" s="17">
        <f t="shared" si="2"/>
        <v>18.510000000000002</v>
      </c>
      <c r="F193" s="16">
        <v>1</v>
      </c>
      <c r="G193" s="16">
        <v>6</v>
      </c>
      <c r="H193" s="16">
        <v>1.32</v>
      </c>
      <c r="I193" s="16">
        <v>3</v>
      </c>
      <c r="J193" s="16">
        <v>2431</v>
      </c>
      <c r="K193" s="16">
        <v>21.12</v>
      </c>
      <c r="L193" s="16">
        <v>61.8</v>
      </c>
      <c r="M193" s="16">
        <v>1</v>
      </c>
      <c r="N193" s="18">
        <f>IF(Risk_Calculation_Engine!U193="Low",1,IF(Risk_Calculation_Engine!U193="Medium",2,3))</f>
        <v>3</v>
      </c>
      <c r="O193" s="18" t="str">
        <f>Risk_Calculation_Engine!U193</f>
        <v>High</v>
      </c>
    </row>
    <row r="194" spans="1:15" ht="15" customHeight="1" x14ac:dyDescent="0.25">
      <c r="A194" s="16">
        <v>190</v>
      </c>
      <c r="B194" s="16">
        <v>149.80000000000001</v>
      </c>
      <c r="C194" s="16">
        <v>4</v>
      </c>
      <c r="D194" s="16">
        <v>835.2</v>
      </c>
      <c r="E194" s="17">
        <f t="shared" si="2"/>
        <v>9.66</v>
      </c>
      <c r="F194" s="16">
        <v>2</v>
      </c>
      <c r="G194" s="16">
        <v>7</v>
      </c>
      <c r="H194" s="16">
        <v>2.5</v>
      </c>
      <c r="I194" s="16">
        <v>7</v>
      </c>
      <c r="J194" s="16">
        <v>1705</v>
      </c>
      <c r="K194" s="16">
        <v>11.38</v>
      </c>
      <c r="L194" s="16">
        <v>56.1</v>
      </c>
      <c r="M194" s="16">
        <v>3</v>
      </c>
      <c r="N194" s="18">
        <f>IF(Risk_Calculation_Engine!U194="Low",1,IF(Risk_Calculation_Engine!U194="Medium",2,3))</f>
        <v>3</v>
      </c>
      <c r="O194" s="18" t="str">
        <f>Risk_Calculation_Engine!U194</f>
        <v>High</v>
      </c>
    </row>
    <row r="195" spans="1:15" ht="15" customHeight="1" x14ac:dyDescent="0.25">
      <c r="A195" s="16">
        <v>191</v>
      </c>
      <c r="B195" s="16">
        <v>5.6</v>
      </c>
      <c r="C195" s="16">
        <v>1</v>
      </c>
      <c r="D195" s="16">
        <v>10.1</v>
      </c>
      <c r="E195" s="17">
        <f t="shared" si="2"/>
        <v>6.62</v>
      </c>
      <c r="F195" s="16">
        <v>3</v>
      </c>
      <c r="G195" s="16">
        <v>9</v>
      </c>
      <c r="H195" s="16">
        <v>1.06</v>
      </c>
      <c r="I195" s="16">
        <v>9</v>
      </c>
      <c r="J195" s="16">
        <v>7</v>
      </c>
      <c r="K195" s="16">
        <v>1.25</v>
      </c>
      <c r="L195" s="16">
        <v>63</v>
      </c>
      <c r="M195" s="16">
        <v>1</v>
      </c>
      <c r="N195" s="18">
        <f>IF(Risk_Calculation_Engine!U195="Low",1,IF(Risk_Calculation_Engine!U195="Medium",2,3))</f>
        <v>1</v>
      </c>
      <c r="O195" s="18" t="str">
        <f>Risk_Calculation_Engine!U195</f>
        <v>Low</v>
      </c>
    </row>
    <row r="196" spans="1:15" ht="15" customHeight="1" x14ac:dyDescent="0.25">
      <c r="A196" s="16">
        <v>192</v>
      </c>
      <c r="B196" s="16">
        <v>41.1</v>
      </c>
      <c r="C196" s="16">
        <v>1</v>
      </c>
      <c r="D196" s="16">
        <v>118.8</v>
      </c>
      <c r="E196" s="17">
        <f t="shared" si="2"/>
        <v>9.4499999999999993</v>
      </c>
      <c r="F196" s="16">
        <v>2</v>
      </c>
      <c r="G196" s="16">
        <v>7</v>
      </c>
      <c r="H196" s="16">
        <v>1.48</v>
      </c>
      <c r="I196" s="16">
        <v>13</v>
      </c>
      <c r="J196" s="16">
        <v>108</v>
      </c>
      <c r="K196" s="16">
        <v>2.63</v>
      </c>
      <c r="L196" s="16">
        <v>54.8</v>
      </c>
      <c r="M196" s="16">
        <v>2</v>
      </c>
      <c r="N196" s="18">
        <f>IF(Risk_Calculation_Engine!U196="Low",1,IF(Risk_Calculation_Engine!U196="Medium",2,3))</f>
        <v>1</v>
      </c>
      <c r="O196" s="18" t="str">
        <f>Risk_Calculation_Engine!U196</f>
        <v>Low</v>
      </c>
    </row>
    <row r="197" spans="1:15" ht="15" customHeight="1" x14ac:dyDescent="0.25">
      <c r="A197" s="16">
        <v>193</v>
      </c>
      <c r="B197" s="16">
        <v>149.80000000000001</v>
      </c>
      <c r="C197" s="16">
        <v>1</v>
      </c>
      <c r="D197" s="16">
        <v>553.4</v>
      </c>
      <c r="E197" s="17">
        <f t="shared" ref="E197:E260" si="3">ROUND(3.67*D197^0.28/H197,2)</f>
        <v>15.48</v>
      </c>
      <c r="F197" s="16">
        <v>2</v>
      </c>
      <c r="G197" s="16">
        <v>6</v>
      </c>
      <c r="H197" s="16">
        <v>1.39</v>
      </c>
      <c r="I197" s="16">
        <v>9</v>
      </c>
      <c r="J197" s="16">
        <v>340</v>
      </c>
      <c r="K197" s="16">
        <v>2.27</v>
      </c>
      <c r="L197" s="16">
        <v>18.600000000000001</v>
      </c>
      <c r="M197" s="16">
        <v>1</v>
      </c>
      <c r="N197" s="18">
        <f>IF(Risk_Calculation_Engine!U197="Low",1,IF(Risk_Calculation_Engine!U197="Medium",2,3))</f>
        <v>2</v>
      </c>
      <c r="O197" s="18" t="str">
        <f>Risk_Calculation_Engine!U197</f>
        <v>Medium</v>
      </c>
    </row>
    <row r="198" spans="1:15" ht="15" customHeight="1" x14ac:dyDescent="0.25">
      <c r="A198" s="16">
        <v>194</v>
      </c>
      <c r="B198" s="16">
        <v>17.3</v>
      </c>
      <c r="C198" s="16">
        <v>4</v>
      </c>
      <c r="D198" s="16">
        <v>89.2</v>
      </c>
      <c r="E198" s="17">
        <f t="shared" si="3"/>
        <v>13.73</v>
      </c>
      <c r="F198" s="16">
        <v>2</v>
      </c>
      <c r="G198" s="16">
        <v>6</v>
      </c>
      <c r="H198" s="16">
        <v>0.94</v>
      </c>
      <c r="I198" s="16">
        <v>6</v>
      </c>
      <c r="J198" s="16">
        <v>220</v>
      </c>
      <c r="K198" s="16">
        <v>12.72</v>
      </c>
      <c r="L198" s="16">
        <v>69</v>
      </c>
      <c r="M198" s="16">
        <v>1</v>
      </c>
      <c r="N198" s="18">
        <f>IF(Risk_Calculation_Engine!U198="Low",1,IF(Risk_Calculation_Engine!U198="Medium",2,3))</f>
        <v>1</v>
      </c>
      <c r="O198" s="18" t="str">
        <f>Risk_Calculation_Engine!U198</f>
        <v>Low</v>
      </c>
    </row>
    <row r="199" spans="1:15" ht="15" customHeight="1" x14ac:dyDescent="0.25">
      <c r="A199" s="16">
        <v>195</v>
      </c>
      <c r="B199" s="16">
        <v>29.4</v>
      </c>
      <c r="C199" s="16">
        <v>1</v>
      </c>
      <c r="D199" s="16">
        <v>108.2</v>
      </c>
      <c r="E199" s="17">
        <f t="shared" si="3"/>
        <v>9.4600000000000009</v>
      </c>
      <c r="F199" s="16">
        <v>1</v>
      </c>
      <c r="G199" s="16">
        <v>3</v>
      </c>
      <c r="H199" s="16">
        <v>1.44</v>
      </c>
      <c r="I199" s="16">
        <v>6</v>
      </c>
      <c r="J199" s="16">
        <v>81</v>
      </c>
      <c r="K199" s="16">
        <v>2.76</v>
      </c>
      <c r="L199" s="16">
        <v>67.5</v>
      </c>
      <c r="M199" s="16">
        <v>2</v>
      </c>
      <c r="N199" s="18">
        <f>IF(Risk_Calculation_Engine!U199="Low",1,IF(Risk_Calculation_Engine!U199="Medium",2,3))</f>
        <v>1</v>
      </c>
      <c r="O199" s="18" t="str">
        <f>Risk_Calculation_Engine!U199</f>
        <v>Low</v>
      </c>
    </row>
    <row r="200" spans="1:15" ht="15" customHeight="1" x14ac:dyDescent="0.25">
      <c r="A200" s="16">
        <v>196</v>
      </c>
      <c r="B200" s="16">
        <v>92.3</v>
      </c>
      <c r="C200" s="16">
        <v>5</v>
      </c>
      <c r="D200" s="16">
        <v>458.6</v>
      </c>
      <c r="E200" s="17">
        <f t="shared" si="3"/>
        <v>11.47</v>
      </c>
      <c r="F200" s="16">
        <v>3</v>
      </c>
      <c r="G200" s="16">
        <v>9</v>
      </c>
      <c r="H200" s="16">
        <v>1.78</v>
      </c>
      <c r="I200" s="16">
        <v>10</v>
      </c>
      <c r="J200" s="16">
        <v>1732</v>
      </c>
      <c r="K200" s="16">
        <v>18.760000000000002</v>
      </c>
      <c r="L200" s="16">
        <v>67.8</v>
      </c>
      <c r="M200" s="16">
        <v>1</v>
      </c>
      <c r="N200" s="18">
        <f>IF(Risk_Calculation_Engine!U200="Low",1,IF(Risk_Calculation_Engine!U200="Medium",2,3))</f>
        <v>3</v>
      </c>
      <c r="O200" s="18" t="str">
        <f>Risk_Calculation_Engine!U200</f>
        <v>High</v>
      </c>
    </row>
    <row r="201" spans="1:15" ht="15" customHeight="1" x14ac:dyDescent="0.25">
      <c r="A201" s="16">
        <v>197</v>
      </c>
      <c r="B201" s="16">
        <v>64.400000000000006</v>
      </c>
      <c r="C201" s="16">
        <v>5</v>
      </c>
      <c r="D201" s="16">
        <v>398.8</v>
      </c>
      <c r="E201" s="17">
        <f t="shared" si="3"/>
        <v>26.17</v>
      </c>
      <c r="F201" s="16">
        <v>2</v>
      </c>
      <c r="G201" s="16">
        <v>9</v>
      </c>
      <c r="H201" s="16">
        <v>0.75</v>
      </c>
      <c r="I201" s="16">
        <v>8</v>
      </c>
      <c r="J201" s="16">
        <v>1689</v>
      </c>
      <c r="K201" s="16">
        <v>26.23</v>
      </c>
      <c r="L201" s="16">
        <v>94.5</v>
      </c>
      <c r="M201" s="16">
        <v>2</v>
      </c>
      <c r="N201" s="18">
        <f>IF(Risk_Calculation_Engine!U201="Low",1,IF(Risk_Calculation_Engine!U201="Medium",2,3))</f>
        <v>2</v>
      </c>
      <c r="O201" s="18" t="str">
        <f>Risk_Calculation_Engine!U201</f>
        <v>Medium</v>
      </c>
    </row>
    <row r="202" spans="1:15" ht="15" customHeight="1" x14ac:dyDescent="0.25">
      <c r="A202" s="16">
        <v>198</v>
      </c>
      <c r="B202" s="16">
        <v>88</v>
      </c>
      <c r="C202" s="16">
        <v>3</v>
      </c>
      <c r="D202" s="16">
        <v>581.79999999999995</v>
      </c>
      <c r="E202" s="17">
        <f t="shared" si="3"/>
        <v>10.91</v>
      </c>
      <c r="F202" s="16">
        <v>1</v>
      </c>
      <c r="G202" s="16">
        <v>9</v>
      </c>
      <c r="H202" s="16">
        <v>2</v>
      </c>
      <c r="I202" s="16">
        <v>14</v>
      </c>
      <c r="J202" s="16">
        <v>322</v>
      </c>
      <c r="K202" s="16">
        <v>3.66</v>
      </c>
      <c r="L202" s="16">
        <v>72.099999999999994</v>
      </c>
      <c r="M202" s="16">
        <v>2</v>
      </c>
      <c r="N202" s="18">
        <f>IF(Risk_Calculation_Engine!U202="Low",1,IF(Risk_Calculation_Engine!U202="Medium",2,3))</f>
        <v>3</v>
      </c>
      <c r="O202" s="18" t="str">
        <f>Risk_Calculation_Engine!U202</f>
        <v>High</v>
      </c>
    </row>
    <row r="203" spans="1:15" ht="15" customHeight="1" x14ac:dyDescent="0.25">
      <c r="A203" s="16">
        <v>199</v>
      </c>
      <c r="B203" s="16">
        <v>68.900000000000006</v>
      </c>
      <c r="C203" s="16">
        <v>4</v>
      </c>
      <c r="D203" s="16">
        <v>546.5</v>
      </c>
      <c r="E203" s="17">
        <f t="shared" si="3"/>
        <v>11.65</v>
      </c>
      <c r="F203" s="16">
        <v>1</v>
      </c>
      <c r="G203" s="16">
        <v>4</v>
      </c>
      <c r="H203" s="16">
        <v>1.84</v>
      </c>
      <c r="I203" s="16">
        <v>8</v>
      </c>
      <c r="J203" s="16">
        <v>347</v>
      </c>
      <c r="K203" s="16">
        <v>5.04</v>
      </c>
      <c r="L203" s="16">
        <v>85</v>
      </c>
      <c r="M203" s="16">
        <v>3</v>
      </c>
      <c r="N203" s="18">
        <f>IF(Risk_Calculation_Engine!U203="Low",1,IF(Risk_Calculation_Engine!U203="Medium",2,3))</f>
        <v>3</v>
      </c>
      <c r="O203" s="18" t="str">
        <f>Risk_Calculation_Engine!U203</f>
        <v>High</v>
      </c>
    </row>
    <row r="204" spans="1:15" ht="15" customHeight="1" x14ac:dyDescent="0.25">
      <c r="A204" s="16">
        <v>200</v>
      </c>
      <c r="B204" s="16">
        <v>74</v>
      </c>
      <c r="C204" s="16">
        <v>3</v>
      </c>
      <c r="D204" s="16">
        <v>240.9</v>
      </c>
      <c r="E204" s="17">
        <f t="shared" si="3"/>
        <v>10.72</v>
      </c>
      <c r="F204" s="16">
        <v>3</v>
      </c>
      <c r="G204" s="16">
        <v>6</v>
      </c>
      <c r="H204" s="16">
        <v>1.59</v>
      </c>
      <c r="I204" s="16">
        <v>10</v>
      </c>
      <c r="J204" s="16">
        <v>368</v>
      </c>
      <c r="K204" s="16">
        <v>4.97</v>
      </c>
      <c r="L204" s="16">
        <v>67.2</v>
      </c>
      <c r="M204" s="16">
        <v>2</v>
      </c>
      <c r="N204" s="18">
        <f>IF(Risk_Calculation_Engine!U204="Low",1,IF(Risk_Calculation_Engine!U204="Medium",2,3))</f>
        <v>1</v>
      </c>
      <c r="O204" s="18" t="str">
        <f>Risk_Calculation_Engine!U204</f>
        <v>Low</v>
      </c>
    </row>
    <row r="205" spans="1:15" ht="15" customHeight="1" x14ac:dyDescent="0.25">
      <c r="A205" s="16">
        <v>201</v>
      </c>
      <c r="B205" s="16">
        <v>32.299999999999997</v>
      </c>
      <c r="C205" s="16">
        <v>1</v>
      </c>
      <c r="D205" s="16">
        <v>137.5</v>
      </c>
      <c r="E205" s="17">
        <f t="shared" si="3"/>
        <v>6.68</v>
      </c>
      <c r="F205" s="16">
        <v>1</v>
      </c>
      <c r="G205" s="16">
        <v>4</v>
      </c>
      <c r="H205" s="16">
        <v>2.1800000000000002</v>
      </c>
      <c r="I205" s="16">
        <v>3</v>
      </c>
      <c r="J205" s="16">
        <v>46</v>
      </c>
      <c r="K205" s="16">
        <v>1.42</v>
      </c>
      <c r="L205" s="16">
        <v>53.1</v>
      </c>
      <c r="M205" s="16">
        <v>1</v>
      </c>
      <c r="N205" s="18">
        <f>IF(Risk_Calculation_Engine!U205="Low",1,IF(Risk_Calculation_Engine!U205="Medium",2,3))</f>
        <v>2</v>
      </c>
      <c r="O205" s="18" t="str">
        <f>Risk_Calculation_Engine!U205</f>
        <v>Medium</v>
      </c>
    </row>
    <row r="206" spans="1:15" ht="15" customHeight="1" x14ac:dyDescent="0.25">
      <c r="A206" s="16">
        <v>202</v>
      </c>
      <c r="B206" s="16">
        <v>72.2</v>
      </c>
      <c r="C206" s="16">
        <v>4</v>
      </c>
      <c r="D206" s="16">
        <v>355.5</v>
      </c>
      <c r="E206" s="17">
        <f t="shared" si="3"/>
        <v>8.4499999999999993</v>
      </c>
      <c r="F206" s="16">
        <v>2</v>
      </c>
      <c r="G206" s="16">
        <v>6</v>
      </c>
      <c r="H206" s="16">
        <v>2.25</v>
      </c>
      <c r="I206" s="16">
        <v>5</v>
      </c>
      <c r="J206" s="16">
        <v>761</v>
      </c>
      <c r="K206" s="16">
        <v>10.54</v>
      </c>
      <c r="L206" s="16">
        <v>92.6</v>
      </c>
      <c r="M206" s="16">
        <v>3</v>
      </c>
      <c r="N206" s="18">
        <f>IF(Risk_Calculation_Engine!U206="Low",1,IF(Risk_Calculation_Engine!U206="Medium",2,3))</f>
        <v>3</v>
      </c>
      <c r="O206" s="18" t="str">
        <f>Risk_Calculation_Engine!U206</f>
        <v>High</v>
      </c>
    </row>
    <row r="207" spans="1:15" ht="15" customHeight="1" x14ac:dyDescent="0.25">
      <c r="A207" s="16">
        <v>203</v>
      </c>
      <c r="B207" s="16">
        <v>43.7</v>
      </c>
      <c r="C207" s="16">
        <v>2</v>
      </c>
      <c r="D207" s="16">
        <v>208.7</v>
      </c>
      <c r="E207" s="17">
        <f t="shared" si="3"/>
        <v>6.55</v>
      </c>
      <c r="F207" s="16">
        <v>1</v>
      </c>
      <c r="G207" s="16">
        <v>6</v>
      </c>
      <c r="H207" s="16">
        <v>2.5</v>
      </c>
      <c r="I207" s="16">
        <v>14</v>
      </c>
      <c r="J207" s="16">
        <v>136</v>
      </c>
      <c r="K207" s="16">
        <v>3.11</v>
      </c>
      <c r="L207" s="16">
        <v>33.200000000000003</v>
      </c>
      <c r="M207" s="16">
        <v>3</v>
      </c>
      <c r="N207" s="18">
        <f>IF(Risk_Calculation_Engine!U207="Low",1,IF(Risk_Calculation_Engine!U207="Medium",2,3))</f>
        <v>2</v>
      </c>
      <c r="O207" s="18" t="str">
        <f>Risk_Calculation_Engine!U207</f>
        <v>Medium</v>
      </c>
    </row>
    <row r="208" spans="1:15" ht="15" customHeight="1" x14ac:dyDescent="0.25">
      <c r="A208" s="16">
        <v>204</v>
      </c>
      <c r="B208" s="16">
        <v>49</v>
      </c>
      <c r="C208" s="16">
        <v>2</v>
      </c>
      <c r="D208" s="16">
        <v>254.1</v>
      </c>
      <c r="E208" s="17">
        <f t="shared" si="3"/>
        <v>18.809999999999999</v>
      </c>
      <c r="F208" s="16">
        <v>1</v>
      </c>
      <c r="G208" s="16">
        <v>7</v>
      </c>
      <c r="H208" s="16">
        <v>0.92</v>
      </c>
      <c r="I208" s="16">
        <v>7</v>
      </c>
      <c r="J208" s="16">
        <v>233</v>
      </c>
      <c r="K208" s="16">
        <v>4.76</v>
      </c>
      <c r="L208" s="16">
        <v>76.099999999999994</v>
      </c>
      <c r="M208" s="16">
        <v>1</v>
      </c>
      <c r="N208" s="18">
        <f>IF(Risk_Calculation_Engine!U208="Low",1,IF(Risk_Calculation_Engine!U208="Medium",2,3))</f>
        <v>1</v>
      </c>
      <c r="O208" s="18" t="str">
        <f>Risk_Calculation_Engine!U208</f>
        <v>Low</v>
      </c>
    </row>
    <row r="209" spans="1:15" ht="15" customHeight="1" x14ac:dyDescent="0.25">
      <c r="A209" s="16">
        <v>205</v>
      </c>
      <c r="B209" s="16">
        <v>114.2</v>
      </c>
      <c r="C209" s="16">
        <v>3</v>
      </c>
      <c r="D209" s="16">
        <v>343.7</v>
      </c>
      <c r="E209" s="17">
        <f t="shared" si="3"/>
        <v>7.53</v>
      </c>
      <c r="F209" s="16">
        <v>3</v>
      </c>
      <c r="G209" s="16">
        <v>6</v>
      </c>
      <c r="H209" s="16">
        <v>2.5</v>
      </c>
      <c r="I209" s="16">
        <v>8</v>
      </c>
      <c r="J209" s="16">
        <v>990</v>
      </c>
      <c r="K209" s="16">
        <v>8.67</v>
      </c>
      <c r="L209" s="16">
        <v>96</v>
      </c>
      <c r="M209" s="16">
        <v>2</v>
      </c>
      <c r="N209" s="18">
        <f>IF(Risk_Calculation_Engine!U209="Low",1,IF(Risk_Calculation_Engine!U209="Medium",2,3))</f>
        <v>2</v>
      </c>
      <c r="O209" s="18" t="str">
        <f>Risk_Calculation_Engine!U209</f>
        <v>Medium</v>
      </c>
    </row>
    <row r="210" spans="1:15" ht="15" customHeight="1" x14ac:dyDescent="0.25">
      <c r="A210" s="16">
        <v>206</v>
      </c>
      <c r="B210" s="16">
        <v>16.399999999999999</v>
      </c>
      <c r="C210" s="16">
        <v>1</v>
      </c>
      <c r="D210" s="16">
        <v>58.9</v>
      </c>
      <c r="E210" s="17">
        <f t="shared" si="3"/>
        <v>4.71</v>
      </c>
      <c r="F210" s="16">
        <v>1</v>
      </c>
      <c r="G210" s="16">
        <v>5</v>
      </c>
      <c r="H210" s="16">
        <v>2.44</v>
      </c>
      <c r="I210" s="16">
        <v>10</v>
      </c>
      <c r="J210" s="16">
        <v>42</v>
      </c>
      <c r="K210" s="16">
        <v>2.56</v>
      </c>
      <c r="L210" s="16">
        <v>66</v>
      </c>
      <c r="M210" s="16">
        <v>2</v>
      </c>
      <c r="N210" s="18">
        <f>IF(Risk_Calculation_Engine!U210="Low",1,IF(Risk_Calculation_Engine!U210="Medium",2,3))</f>
        <v>2</v>
      </c>
      <c r="O210" s="18" t="str">
        <f>Risk_Calculation_Engine!U210</f>
        <v>Medium</v>
      </c>
    </row>
    <row r="211" spans="1:15" ht="15" customHeight="1" x14ac:dyDescent="0.25">
      <c r="A211" s="16">
        <v>207</v>
      </c>
      <c r="B211" s="16">
        <v>2.8</v>
      </c>
      <c r="C211" s="16">
        <v>3</v>
      </c>
      <c r="D211" s="16">
        <v>11.2</v>
      </c>
      <c r="E211" s="17">
        <f t="shared" si="3"/>
        <v>3.92</v>
      </c>
      <c r="F211" s="16">
        <v>1</v>
      </c>
      <c r="G211" s="16">
        <v>6</v>
      </c>
      <c r="H211" s="16">
        <v>1.84</v>
      </c>
      <c r="I211" s="16">
        <v>3</v>
      </c>
      <c r="J211" s="16">
        <v>15</v>
      </c>
      <c r="K211" s="16">
        <v>5.36</v>
      </c>
      <c r="L211" s="16">
        <v>89</v>
      </c>
      <c r="M211" s="16">
        <v>2</v>
      </c>
      <c r="N211" s="18">
        <f>IF(Risk_Calculation_Engine!U211="Low",1,IF(Risk_Calculation_Engine!U211="Medium",2,3))</f>
        <v>2</v>
      </c>
      <c r="O211" s="18" t="str">
        <f>Risk_Calculation_Engine!U211</f>
        <v>Medium</v>
      </c>
    </row>
    <row r="212" spans="1:15" ht="15" customHeight="1" x14ac:dyDescent="0.25">
      <c r="A212" s="16">
        <v>208</v>
      </c>
      <c r="B212" s="16">
        <v>108.1</v>
      </c>
      <c r="C212" s="16">
        <v>4</v>
      </c>
      <c r="D212" s="16">
        <v>526.20000000000005</v>
      </c>
      <c r="E212" s="17">
        <f t="shared" si="3"/>
        <v>19.82</v>
      </c>
      <c r="F212" s="16">
        <v>2</v>
      </c>
      <c r="G212" s="16">
        <v>7</v>
      </c>
      <c r="H212" s="16">
        <v>1.07</v>
      </c>
      <c r="I212" s="16">
        <v>9</v>
      </c>
      <c r="J212" s="16">
        <v>1606</v>
      </c>
      <c r="K212" s="16">
        <v>14.86</v>
      </c>
      <c r="L212" s="16">
        <v>58.6</v>
      </c>
      <c r="M212" s="16">
        <v>1</v>
      </c>
      <c r="N212" s="18">
        <f>IF(Risk_Calculation_Engine!U212="Low",1,IF(Risk_Calculation_Engine!U212="Medium",2,3))</f>
        <v>2</v>
      </c>
      <c r="O212" s="18" t="str">
        <f>Risk_Calculation_Engine!U212</f>
        <v>Medium</v>
      </c>
    </row>
    <row r="213" spans="1:15" ht="15" customHeight="1" x14ac:dyDescent="0.25">
      <c r="A213" s="16">
        <v>209</v>
      </c>
      <c r="B213" s="16">
        <v>72.2</v>
      </c>
      <c r="C213" s="16">
        <v>4</v>
      </c>
      <c r="D213" s="16">
        <v>275.10000000000002</v>
      </c>
      <c r="E213" s="17">
        <f t="shared" si="3"/>
        <v>13.1</v>
      </c>
      <c r="F213" s="16">
        <v>3</v>
      </c>
      <c r="G213" s="16">
        <v>7</v>
      </c>
      <c r="H213" s="16">
        <v>1.35</v>
      </c>
      <c r="I213" s="16">
        <v>7</v>
      </c>
      <c r="J213" s="16">
        <v>918</v>
      </c>
      <c r="K213" s="16">
        <v>12.71</v>
      </c>
      <c r="L213" s="16">
        <v>51.3</v>
      </c>
      <c r="M213" s="16">
        <v>1</v>
      </c>
      <c r="N213" s="18">
        <f>IF(Risk_Calculation_Engine!U213="Low",1,IF(Risk_Calculation_Engine!U213="Medium",2,3))</f>
        <v>2</v>
      </c>
      <c r="O213" s="18" t="str">
        <f>Risk_Calculation_Engine!U213</f>
        <v>Medium</v>
      </c>
    </row>
    <row r="214" spans="1:15" ht="15" customHeight="1" x14ac:dyDescent="0.25">
      <c r="A214" s="16">
        <v>210</v>
      </c>
      <c r="B214" s="16">
        <v>149.80000000000001</v>
      </c>
      <c r="C214" s="16">
        <v>4</v>
      </c>
      <c r="D214" s="16">
        <v>749.4</v>
      </c>
      <c r="E214" s="17">
        <f t="shared" si="3"/>
        <v>18.3</v>
      </c>
      <c r="F214" s="16">
        <v>2</v>
      </c>
      <c r="G214" s="16">
        <v>5</v>
      </c>
      <c r="H214" s="16">
        <v>1.28</v>
      </c>
      <c r="I214" s="16">
        <v>4</v>
      </c>
      <c r="J214" s="16">
        <v>1964</v>
      </c>
      <c r="K214" s="16">
        <v>13.11</v>
      </c>
      <c r="L214" s="16">
        <v>96.4</v>
      </c>
      <c r="M214" s="16">
        <v>1</v>
      </c>
      <c r="N214" s="18">
        <f>IF(Risk_Calculation_Engine!U214="Low",1,IF(Risk_Calculation_Engine!U214="Medium",2,3))</f>
        <v>2</v>
      </c>
      <c r="O214" s="18" t="str">
        <f>Risk_Calculation_Engine!U214</f>
        <v>Medium</v>
      </c>
    </row>
    <row r="215" spans="1:15" ht="15" customHeight="1" x14ac:dyDescent="0.25">
      <c r="A215" s="16">
        <v>211</v>
      </c>
      <c r="B215" s="16">
        <v>30.2</v>
      </c>
      <c r="C215" s="16">
        <v>4</v>
      </c>
      <c r="D215" s="16">
        <v>179.2</v>
      </c>
      <c r="E215" s="17">
        <f t="shared" si="3"/>
        <v>10.32</v>
      </c>
      <c r="F215" s="16">
        <v>1</v>
      </c>
      <c r="G215" s="16">
        <v>6</v>
      </c>
      <c r="H215" s="16">
        <v>1.52</v>
      </c>
      <c r="I215" s="16">
        <v>8</v>
      </c>
      <c r="J215" s="16">
        <v>213</v>
      </c>
      <c r="K215" s="16">
        <v>7.05</v>
      </c>
      <c r="L215" s="16">
        <v>89.3</v>
      </c>
      <c r="M215" s="16">
        <v>1</v>
      </c>
      <c r="N215" s="18">
        <f>IF(Risk_Calculation_Engine!U215="Low",1,IF(Risk_Calculation_Engine!U215="Medium",2,3))</f>
        <v>2</v>
      </c>
      <c r="O215" s="18" t="str">
        <f>Risk_Calculation_Engine!U215</f>
        <v>Medium</v>
      </c>
    </row>
    <row r="216" spans="1:15" ht="15" customHeight="1" x14ac:dyDescent="0.25">
      <c r="A216" s="16">
        <v>212</v>
      </c>
      <c r="B216" s="16">
        <v>56.7</v>
      </c>
      <c r="C216" s="16">
        <v>3</v>
      </c>
      <c r="D216" s="16">
        <v>196.2</v>
      </c>
      <c r="E216" s="17">
        <f t="shared" si="3"/>
        <v>7.52</v>
      </c>
      <c r="F216" s="16">
        <v>3</v>
      </c>
      <c r="G216" s="16">
        <v>8</v>
      </c>
      <c r="H216" s="16">
        <v>2.14</v>
      </c>
      <c r="I216" s="16">
        <v>8</v>
      </c>
      <c r="J216" s="16">
        <v>404</v>
      </c>
      <c r="K216" s="16">
        <v>7.13</v>
      </c>
      <c r="L216" s="16">
        <v>40.4</v>
      </c>
      <c r="M216" s="16">
        <v>2</v>
      </c>
      <c r="N216" s="18">
        <f>IF(Risk_Calculation_Engine!U216="Low",1,IF(Risk_Calculation_Engine!U216="Medium",2,3))</f>
        <v>2</v>
      </c>
      <c r="O216" s="18" t="str">
        <f>Risk_Calculation_Engine!U216</f>
        <v>Medium</v>
      </c>
    </row>
    <row r="217" spans="1:15" ht="15" customHeight="1" x14ac:dyDescent="0.25">
      <c r="A217" s="16">
        <v>213</v>
      </c>
      <c r="B217" s="16">
        <v>66.400000000000006</v>
      </c>
      <c r="C217" s="16">
        <v>4</v>
      </c>
      <c r="D217" s="16">
        <v>363.2</v>
      </c>
      <c r="E217" s="17">
        <f t="shared" si="3"/>
        <v>7.65</v>
      </c>
      <c r="F217" s="16">
        <v>2</v>
      </c>
      <c r="G217" s="16">
        <v>5</v>
      </c>
      <c r="H217" s="16">
        <v>2.5</v>
      </c>
      <c r="I217" s="16">
        <v>5</v>
      </c>
      <c r="J217" s="16">
        <v>379</v>
      </c>
      <c r="K217" s="16">
        <v>5.71</v>
      </c>
      <c r="L217" s="16">
        <v>49.4</v>
      </c>
      <c r="M217" s="16">
        <v>3</v>
      </c>
      <c r="N217" s="18">
        <f>IF(Risk_Calculation_Engine!U217="Low",1,IF(Risk_Calculation_Engine!U217="Medium",2,3))</f>
        <v>2</v>
      </c>
      <c r="O217" s="18" t="str">
        <f>Risk_Calculation_Engine!U217</f>
        <v>Medium</v>
      </c>
    </row>
    <row r="218" spans="1:15" ht="15" customHeight="1" x14ac:dyDescent="0.25">
      <c r="A218" s="16">
        <v>214</v>
      </c>
      <c r="B218" s="16">
        <v>36</v>
      </c>
      <c r="C218" s="16">
        <v>3</v>
      </c>
      <c r="D218" s="16">
        <v>128.4</v>
      </c>
      <c r="E218" s="17">
        <f t="shared" si="3"/>
        <v>5.72</v>
      </c>
      <c r="F218" s="16">
        <v>3</v>
      </c>
      <c r="G218" s="16">
        <v>9</v>
      </c>
      <c r="H218" s="16">
        <v>2.5</v>
      </c>
      <c r="I218" s="16">
        <v>10</v>
      </c>
      <c r="J218" s="16">
        <v>159</v>
      </c>
      <c r="K218" s="16">
        <v>4.42</v>
      </c>
      <c r="L218" s="16">
        <v>79.2</v>
      </c>
      <c r="M218" s="16">
        <v>2</v>
      </c>
      <c r="N218" s="18">
        <f>IF(Risk_Calculation_Engine!U218="Low",1,IF(Risk_Calculation_Engine!U218="Medium",2,3))</f>
        <v>2</v>
      </c>
      <c r="O218" s="18" t="str">
        <f>Risk_Calculation_Engine!U218</f>
        <v>Medium</v>
      </c>
    </row>
    <row r="219" spans="1:15" ht="15" customHeight="1" x14ac:dyDescent="0.25">
      <c r="A219" s="16">
        <v>215</v>
      </c>
      <c r="B219" s="16">
        <v>26.6</v>
      </c>
      <c r="C219" s="16">
        <v>2</v>
      </c>
      <c r="D219" s="16">
        <v>79.599999999999994</v>
      </c>
      <c r="E219" s="17">
        <f t="shared" si="3"/>
        <v>9.19</v>
      </c>
      <c r="F219" s="16">
        <v>3</v>
      </c>
      <c r="G219" s="16">
        <v>11</v>
      </c>
      <c r="H219" s="16">
        <v>1.36</v>
      </c>
      <c r="I219" s="16">
        <v>12</v>
      </c>
      <c r="J219" s="16">
        <v>55</v>
      </c>
      <c r="K219" s="16">
        <v>2.0699999999999998</v>
      </c>
      <c r="L219" s="16">
        <v>92</v>
      </c>
      <c r="M219" s="16">
        <v>2</v>
      </c>
      <c r="N219" s="18">
        <f>IF(Risk_Calculation_Engine!U219="Low",1,IF(Risk_Calculation_Engine!U219="Medium",2,3))</f>
        <v>2</v>
      </c>
      <c r="O219" s="18" t="str">
        <f>Risk_Calculation_Engine!U219</f>
        <v>Medium</v>
      </c>
    </row>
    <row r="220" spans="1:15" ht="15" customHeight="1" x14ac:dyDescent="0.25">
      <c r="A220" s="16">
        <v>216</v>
      </c>
      <c r="B220" s="16">
        <v>112.2</v>
      </c>
      <c r="C220" s="16">
        <v>5</v>
      </c>
      <c r="D220" s="16">
        <v>788.2</v>
      </c>
      <c r="E220" s="17">
        <f t="shared" si="3"/>
        <v>13.81</v>
      </c>
      <c r="F220" s="16">
        <v>2</v>
      </c>
      <c r="G220" s="16">
        <v>7</v>
      </c>
      <c r="H220" s="16">
        <v>1.72</v>
      </c>
      <c r="I220" s="16">
        <v>6</v>
      </c>
      <c r="J220" s="16">
        <v>2434</v>
      </c>
      <c r="K220" s="16">
        <v>21.69</v>
      </c>
      <c r="L220" s="16">
        <v>96.7</v>
      </c>
      <c r="M220" s="16">
        <v>1</v>
      </c>
      <c r="N220" s="18">
        <f>IF(Risk_Calculation_Engine!U220="Low",1,IF(Risk_Calculation_Engine!U220="Medium",2,3))</f>
        <v>3</v>
      </c>
      <c r="O220" s="18" t="str">
        <f>Risk_Calculation_Engine!U220</f>
        <v>High</v>
      </c>
    </row>
    <row r="221" spans="1:15" ht="15" customHeight="1" x14ac:dyDescent="0.25">
      <c r="A221" s="16">
        <v>217</v>
      </c>
      <c r="B221" s="16">
        <v>14.7</v>
      </c>
      <c r="C221" s="16">
        <v>3</v>
      </c>
      <c r="D221" s="16">
        <v>59.8</v>
      </c>
      <c r="E221" s="17">
        <f t="shared" si="3"/>
        <v>10.119999999999999</v>
      </c>
      <c r="F221" s="16">
        <v>2</v>
      </c>
      <c r="G221" s="16">
        <v>9</v>
      </c>
      <c r="H221" s="16">
        <v>1.1399999999999999</v>
      </c>
      <c r="I221" s="16">
        <v>15</v>
      </c>
      <c r="J221" s="16">
        <v>46</v>
      </c>
      <c r="K221" s="16">
        <v>3.13</v>
      </c>
      <c r="L221" s="16">
        <v>74.599999999999994</v>
      </c>
      <c r="M221" s="16">
        <v>2</v>
      </c>
      <c r="N221" s="18">
        <f>IF(Risk_Calculation_Engine!U221="Low",1,IF(Risk_Calculation_Engine!U221="Medium",2,3))</f>
        <v>1</v>
      </c>
      <c r="O221" s="18" t="str">
        <f>Risk_Calculation_Engine!U221</f>
        <v>Low</v>
      </c>
    </row>
    <row r="222" spans="1:15" ht="15" customHeight="1" x14ac:dyDescent="0.25">
      <c r="A222" s="16">
        <v>218</v>
      </c>
      <c r="B222" s="16">
        <v>22.4</v>
      </c>
      <c r="C222" s="16">
        <v>1</v>
      </c>
      <c r="D222" s="16">
        <v>61</v>
      </c>
      <c r="E222" s="17">
        <f t="shared" si="3"/>
        <v>4.66</v>
      </c>
      <c r="F222" s="16">
        <v>2</v>
      </c>
      <c r="G222" s="16">
        <v>5</v>
      </c>
      <c r="H222" s="16">
        <v>2.4900000000000002</v>
      </c>
      <c r="I222" s="16">
        <v>10</v>
      </c>
      <c r="J222" s="16">
        <v>43</v>
      </c>
      <c r="K222" s="16">
        <v>1.92</v>
      </c>
      <c r="L222" s="16">
        <v>74</v>
      </c>
      <c r="M222" s="16">
        <v>3</v>
      </c>
      <c r="N222" s="18">
        <f>IF(Risk_Calculation_Engine!U222="Low",1,IF(Risk_Calculation_Engine!U222="Medium",2,3))</f>
        <v>1</v>
      </c>
      <c r="O222" s="18" t="str">
        <f>Risk_Calculation_Engine!U222</f>
        <v>Low</v>
      </c>
    </row>
    <row r="223" spans="1:15" ht="15" customHeight="1" x14ac:dyDescent="0.25">
      <c r="A223" s="16">
        <v>219</v>
      </c>
      <c r="B223" s="16">
        <v>55.2</v>
      </c>
      <c r="C223" s="16">
        <v>3</v>
      </c>
      <c r="D223" s="16">
        <v>219</v>
      </c>
      <c r="E223" s="17">
        <f t="shared" si="3"/>
        <v>8.7799999999999994</v>
      </c>
      <c r="F223" s="16">
        <v>2</v>
      </c>
      <c r="G223" s="16">
        <v>8</v>
      </c>
      <c r="H223" s="16">
        <v>1.89</v>
      </c>
      <c r="I223" s="16">
        <v>13</v>
      </c>
      <c r="J223" s="16">
        <v>381</v>
      </c>
      <c r="K223" s="16">
        <v>6.9</v>
      </c>
      <c r="L223" s="16">
        <v>85.4</v>
      </c>
      <c r="M223" s="16">
        <v>3</v>
      </c>
      <c r="N223" s="18">
        <f>IF(Risk_Calculation_Engine!U223="Low",1,IF(Risk_Calculation_Engine!U223="Medium",2,3))</f>
        <v>3</v>
      </c>
      <c r="O223" s="18" t="str">
        <f>Risk_Calculation_Engine!U223</f>
        <v>High</v>
      </c>
    </row>
    <row r="224" spans="1:15" ht="15" customHeight="1" x14ac:dyDescent="0.25">
      <c r="A224" s="16">
        <v>220</v>
      </c>
      <c r="B224" s="16">
        <v>121.9</v>
      </c>
      <c r="C224" s="16">
        <v>3</v>
      </c>
      <c r="D224" s="16">
        <v>657.5</v>
      </c>
      <c r="E224" s="17">
        <f t="shared" si="3"/>
        <v>15.46</v>
      </c>
      <c r="F224" s="16">
        <v>2</v>
      </c>
      <c r="G224" s="16">
        <v>5</v>
      </c>
      <c r="H224" s="16">
        <v>1.46</v>
      </c>
      <c r="I224" s="16">
        <v>3</v>
      </c>
      <c r="J224" s="16">
        <v>589</v>
      </c>
      <c r="K224" s="16">
        <v>4.83</v>
      </c>
      <c r="L224" s="16">
        <v>53.9</v>
      </c>
      <c r="M224" s="16">
        <v>2</v>
      </c>
      <c r="N224" s="18">
        <f>IF(Risk_Calculation_Engine!U224="Low",1,IF(Risk_Calculation_Engine!U224="Medium",2,3))</f>
        <v>2</v>
      </c>
      <c r="O224" s="18" t="str">
        <f>Risk_Calculation_Engine!U224</f>
        <v>Medium</v>
      </c>
    </row>
    <row r="225" spans="1:15" ht="15" customHeight="1" x14ac:dyDescent="0.25">
      <c r="A225" s="16">
        <v>221</v>
      </c>
      <c r="B225" s="16">
        <v>38.200000000000003</v>
      </c>
      <c r="C225" s="16">
        <v>3</v>
      </c>
      <c r="D225" s="16">
        <v>137.6</v>
      </c>
      <c r="E225" s="17">
        <f t="shared" si="3"/>
        <v>16.010000000000002</v>
      </c>
      <c r="F225" s="16">
        <v>3</v>
      </c>
      <c r="G225" s="16">
        <v>5</v>
      </c>
      <c r="H225" s="16">
        <v>0.91</v>
      </c>
      <c r="I225" s="16">
        <v>12</v>
      </c>
      <c r="J225" s="16">
        <v>199</v>
      </c>
      <c r="K225" s="16">
        <v>5.21</v>
      </c>
      <c r="L225" s="16">
        <v>80.8</v>
      </c>
      <c r="M225" s="16">
        <v>2</v>
      </c>
      <c r="N225" s="18">
        <f>IF(Risk_Calculation_Engine!U225="Low",1,IF(Risk_Calculation_Engine!U225="Medium",2,3))</f>
        <v>1</v>
      </c>
      <c r="O225" s="18" t="str">
        <f>Risk_Calculation_Engine!U225</f>
        <v>Low</v>
      </c>
    </row>
    <row r="226" spans="1:15" ht="15" customHeight="1" x14ac:dyDescent="0.25">
      <c r="A226" s="16">
        <v>222</v>
      </c>
      <c r="B226" s="16">
        <v>34</v>
      </c>
      <c r="C226" s="16">
        <v>3</v>
      </c>
      <c r="D226" s="16">
        <v>142.4</v>
      </c>
      <c r="E226" s="17">
        <f t="shared" si="3"/>
        <v>8.5</v>
      </c>
      <c r="F226" s="16">
        <v>2</v>
      </c>
      <c r="G226" s="16">
        <v>3</v>
      </c>
      <c r="H226" s="16">
        <v>1.73</v>
      </c>
      <c r="I226" s="16">
        <v>7</v>
      </c>
      <c r="J226" s="16">
        <v>279</v>
      </c>
      <c r="K226" s="16">
        <v>8.2100000000000009</v>
      </c>
      <c r="L226" s="16">
        <v>80.400000000000006</v>
      </c>
      <c r="M226" s="16">
        <v>1</v>
      </c>
      <c r="N226" s="18">
        <f>IF(Risk_Calculation_Engine!U226="Low",1,IF(Risk_Calculation_Engine!U226="Medium",2,3))</f>
        <v>1</v>
      </c>
      <c r="O226" s="18" t="str">
        <f>Risk_Calculation_Engine!U226</f>
        <v>Low</v>
      </c>
    </row>
    <row r="227" spans="1:15" ht="15" customHeight="1" x14ac:dyDescent="0.25">
      <c r="A227" s="16">
        <v>223</v>
      </c>
      <c r="B227" s="16">
        <v>52.5</v>
      </c>
      <c r="C227" s="16">
        <v>5</v>
      </c>
      <c r="D227" s="16">
        <v>426.7</v>
      </c>
      <c r="E227" s="17">
        <f t="shared" si="3"/>
        <v>11.05</v>
      </c>
      <c r="F227" s="16">
        <v>1</v>
      </c>
      <c r="G227" s="16">
        <v>13</v>
      </c>
      <c r="H227" s="16">
        <v>1.81</v>
      </c>
      <c r="I227" s="16">
        <v>12</v>
      </c>
      <c r="J227" s="16">
        <v>1324</v>
      </c>
      <c r="K227" s="16">
        <v>25.22</v>
      </c>
      <c r="L227" s="16">
        <v>30.6</v>
      </c>
      <c r="M227" s="16">
        <v>3</v>
      </c>
      <c r="N227" s="18">
        <f>IF(Risk_Calculation_Engine!U227="Low",1,IF(Risk_Calculation_Engine!U227="Medium",2,3))</f>
        <v>3</v>
      </c>
      <c r="O227" s="18" t="str">
        <f>Risk_Calculation_Engine!U227</f>
        <v>High</v>
      </c>
    </row>
    <row r="228" spans="1:15" ht="15" customHeight="1" x14ac:dyDescent="0.25">
      <c r="A228" s="16">
        <v>224</v>
      </c>
      <c r="B228" s="16">
        <v>81.900000000000006</v>
      </c>
      <c r="C228" s="16">
        <v>3</v>
      </c>
      <c r="D228" s="16">
        <v>318.60000000000002</v>
      </c>
      <c r="E228" s="17">
        <f t="shared" si="3"/>
        <v>22.21</v>
      </c>
      <c r="F228" s="16">
        <v>2</v>
      </c>
      <c r="G228" s="16">
        <v>4</v>
      </c>
      <c r="H228" s="16">
        <v>0.83</v>
      </c>
      <c r="I228" s="16">
        <v>13</v>
      </c>
      <c r="J228" s="16">
        <v>668</v>
      </c>
      <c r="K228" s="16">
        <v>8.16</v>
      </c>
      <c r="L228" s="16">
        <v>43</v>
      </c>
      <c r="M228" s="16">
        <v>2</v>
      </c>
      <c r="N228" s="18">
        <f>IF(Risk_Calculation_Engine!U228="Low",1,IF(Risk_Calculation_Engine!U228="Medium",2,3))</f>
        <v>1</v>
      </c>
      <c r="O228" s="18" t="str">
        <f>Risk_Calculation_Engine!U228</f>
        <v>Low</v>
      </c>
    </row>
    <row r="229" spans="1:15" ht="15" customHeight="1" x14ac:dyDescent="0.25">
      <c r="A229" s="16">
        <v>225</v>
      </c>
      <c r="B229" s="16">
        <v>45.8</v>
      </c>
      <c r="C229" s="16">
        <v>3</v>
      </c>
      <c r="D229" s="16">
        <v>176.6</v>
      </c>
      <c r="E229" s="17">
        <f t="shared" si="3"/>
        <v>15.94</v>
      </c>
      <c r="F229" s="16">
        <v>2</v>
      </c>
      <c r="G229" s="16">
        <v>5</v>
      </c>
      <c r="H229" s="16">
        <v>0.98</v>
      </c>
      <c r="I229" s="16">
        <v>6</v>
      </c>
      <c r="J229" s="16">
        <v>343</v>
      </c>
      <c r="K229" s="16">
        <v>7.49</v>
      </c>
      <c r="L229" s="16">
        <v>95.3</v>
      </c>
      <c r="M229" s="16">
        <v>2</v>
      </c>
      <c r="N229" s="18">
        <f>IF(Risk_Calculation_Engine!U229="Low",1,IF(Risk_Calculation_Engine!U229="Medium",2,3))</f>
        <v>1</v>
      </c>
      <c r="O229" s="18" t="str">
        <f>Risk_Calculation_Engine!U229</f>
        <v>Low</v>
      </c>
    </row>
    <row r="230" spans="1:15" ht="15" customHeight="1" x14ac:dyDescent="0.25">
      <c r="A230" s="16">
        <v>226</v>
      </c>
      <c r="B230" s="16">
        <v>133.4</v>
      </c>
      <c r="C230" s="16">
        <v>3</v>
      </c>
      <c r="D230" s="16">
        <v>648.6</v>
      </c>
      <c r="E230" s="17">
        <f t="shared" si="3"/>
        <v>13.15</v>
      </c>
      <c r="F230" s="16">
        <v>2</v>
      </c>
      <c r="G230" s="16">
        <v>7</v>
      </c>
      <c r="H230" s="16">
        <v>1.71</v>
      </c>
      <c r="I230" s="16">
        <v>6</v>
      </c>
      <c r="J230" s="16">
        <v>622</v>
      </c>
      <c r="K230" s="16">
        <v>4.66</v>
      </c>
      <c r="L230" s="16">
        <v>88.1</v>
      </c>
      <c r="M230" s="16">
        <v>2</v>
      </c>
      <c r="N230" s="18">
        <f>IF(Risk_Calculation_Engine!U230="Low",1,IF(Risk_Calculation_Engine!U230="Medium",2,3))</f>
        <v>2</v>
      </c>
      <c r="O230" s="18" t="str">
        <f>Risk_Calculation_Engine!U230</f>
        <v>Medium</v>
      </c>
    </row>
    <row r="231" spans="1:15" ht="15" customHeight="1" x14ac:dyDescent="0.25">
      <c r="A231" s="16">
        <v>227</v>
      </c>
      <c r="B231" s="16">
        <v>137.5</v>
      </c>
      <c r="C231" s="16">
        <v>4</v>
      </c>
      <c r="D231" s="16">
        <v>523.6</v>
      </c>
      <c r="E231" s="17">
        <f t="shared" si="3"/>
        <v>8.4700000000000006</v>
      </c>
      <c r="F231" s="16">
        <v>3</v>
      </c>
      <c r="G231" s="16">
        <v>8</v>
      </c>
      <c r="H231" s="16">
        <v>2.5</v>
      </c>
      <c r="I231" s="16">
        <v>3</v>
      </c>
      <c r="J231" s="16">
        <v>790</v>
      </c>
      <c r="K231" s="16">
        <v>5.75</v>
      </c>
      <c r="L231" s="16">
        <v>65.3</v>
      </c>
      <c r="M231" s="16">
        <v>1</v>
      </c>
      <c r="N231" s="18">
        <f>IF(Risk_Calculation_Engine!U231="Low",1,IF(Risk_Calculation_Engine!U231="Medium",2,3))</f>
        <v>3</v>
      </c>
      <c r="O231" s="18" t="str">
        <f>Risk_Calculation_Engine!U231</f>
        <v>High</v>
      </c>
    </row>
    <row r="232" spans="1:15" ht="15" customHeight="1" x14ac:dyDescent="0.25">
      <c r="A232" s="16">
        <v>228</v>
      </c>
      <c r="B232" s="16">
        <v>55.2</v>
      </c>
      <c r="C232" s="16">
        <v>2</v>
      </c>
      <c r="D232" s="16">
        <v>209.5</v>
      </c>
      <c r="E232" s="17">
        <f t="shared" si="3"/>
        <v>6.56</v>
      </c>
      <c r="F232" s="16">
        <v>2</v>
      </c>
      <c r="G232" s="16">
        <v>2</v>
      </c>
      <c r="H232" s="16">
        <v>2.5</v>
      </c>
      <c r="I232" s="16">
        <v>10</v>
      </c>
      <c r="J232" s="16">
        <v>218</v>
      </c>
      <c r="K232" s="16">
        <v>3.95</v>
      </c>
      <c r="L232" s="16">
        <v>95.4</v>
      </c>
      <c r="M232" s="16">
        <v>2</v>
      </c>
      <c r="N232" s="18">
        <f>IF(Risk_Calculation_Engine!U232="Low",1,IF(Risk_Calculation_Engine!U232="Medium",2,3))</f>
        <v>1</v>
      </c>
      <c r="O232" s="18" t="str">
        <f>Risk_Calculation_Engine!U232</f>
        <v>Low</v>
      </c>
    </row>
    <row r="233" spans="1:15" ht="15" customHeight="1" x14ac:dyDescent="0.25">
      <c r="A233" s="16">
        <v>229</v>
      </c>
      <c r="B233" s="16">
        <v>149.80000000000001</v>
      </c>
      <c r="C233" s="16">
        <v>2</v>
      </c>
      <c r="D233" s="16">
        <v>941.9</v>
      </c>
      <c r="E233" s="17">
        <f t="shared" si="3"/>
        <v>16.87</v>
      </c>
      <c r="F233" s="16">
        <v>1</v>
      </c>
      <c r="G233" s="16">
        <v>6</v>
      </c>
      <c r="H233" s="16">
        <v>1.48</v>
      </c>
      <c r="I233" s="16">
        <v>13</v>
      </c>
      <c r="J233" s="16">
        <v>853</v>
      </c>
      <c r="K233" s="16">
        <v>5.69</v>
      </c>
      <c r="L233" s="16">
        <v>92.7</v>
      </c>
      <c r="M233" s="16">
        <v>3</v>
      </c>
      <c r="N233" s="18">
        <f>IF(Risk_Calculation_Engine!U233="Low",1,IF(Risk_Calculation_Engine!U233="Medium",2,3))</f>
        <v>2</v>
      </c>
      <c r="O233" s="18" t="str">
        <f>Risk_Calculation_Engine!U233</f>
        <v>Medium</v>
      </c>
    </row>
    <row r="234" spans="1:15" ht="15" customHeight="1" x14ac:dyDescent="0.25">
      <c r="A234" s="16">
        <v>230</v>
      </c>
      <c r="B234" s="16">
        <v>65.2</v>
      </c>
      <c r="C234" s="16">
        <v>3</v>
      </c>
      <c r="D234" s="16">
        <v>317.39999999999998</v>
      </c>
      <c r="E234" s="17">
        <f t="shared" si="3"/>
        <v>13.25</v>
      </c>
      <c r="F234" s="16">
        <v>2</v>
      </c>
      <c r="G234" s="16">
        <v>9</v>
      </c>
      <c r="H234" s="16">
        <v>1.39</v>
      </c>
      <c r="I234" s="16">
        <v>8</v>
      </c>
      <c r="J234" s="16">
        <v>283</v>
      </c>
      <c r="K234" s="16">
        <v>4.34</v>
      </c>
      <c r="L234" s="16">
        <v>53.5</v>
      </c>
      <c r="M234" s="16">
        <v>1</v>
      </c>
      <c r="N234" s="18">
        <f>IF(Risk_Calculation_Engine!U234="Low",1,IF(Risk_Calculation_Engine!U234="Medium",2,3))</f>
        <v>1</v>
      </c>
      <c r="O234" s="18" t="str">
        <f>Risk_Calculation_Engine!U234</f>
        <v>Low</v>
      </c>
    </row>
    <row r="235" spans="1:15" ht="15" customHeight="1" x14ac:dyDescent="0.25">
      <c r="A235" s="16">
        <v>231</v>
      </c>
      <c r="B235" s="16">
        <v>134.19999999999999</v>
      </c>
      <c r="C235" s="16">
        <v>4</v>
      </c>
      <c r="D235" s="16">
        <v>835.2</v>
      </c>
      <c r="E235" s="17">
        <f t="shared" si="3"/>
        <v>20.12</v>
      </c>
      <c r="F235" s="16">
        <v>2</v>
      </c>
      <c r="G235" s="16">
        <v>6</v>
      </c>
      <c r="H235" s="16">
        <v>1.2</v>
      </c>
      <c r="I235" s="16">
        <v>5</v>
      </c>
      <c r="J235" s="16">
        <v>952</v>
      </c>
      <c r="K235" s="16">
        <v>7.09</v>
      </c>
      <c r="L235" s="16">
        <v>52.8</v>
      </c>
      <c r="M235" s="16">
        <v>1</v>
      </c>
      <c r="N235" s="18">
        <f>IF(Risk_Calculation_Engine!U235="Low",1,IF(Risk_Calculation_Engine!U235="Medium",2,3))</f>
        <v>2</v>
      </c>
      <c r="O235" s="18" t="str">
        <f>Risk_Calculation_Engine!U235</f>
        <v>Medium</v>
      </c>
    </row>
    <row r="236" spans="1:15" ht="15" customHeight="1" x14ac:dyDescent="0.25">
      <c r="A236" s="16">
        <v>232</v>
      </c>
      <c r="B236" s="16">
        <v>80.099999999999994</v>
      </c>
      <c r="C236" s="16">
        <v>4</v>
      </c>
      <c r="D236" s="16">
        <v>294.10000000000002</v>
      </c>
      <c r="E236" s="17">
        <f t="shared" si="3"/>
        <v>15.54</v>
      </c>
      <c r="F236" s="16">
        <v>3</v>
      </c>
      <c r="G236" s="16">
        <v>6</v>
      </c>
      <c r="H236" s="16">
        <v>1.1599999999999999</v>
      </c>
      <c r="I236" s="16">
        <v>7</v>
      </c>
      <c r="J236" s="16">
        <v>1025</v>
      </c>
      <c r="K236" s="16">
        <v>12.8</v>
      </c>
      <c r="L236" s="16">
        <v>78.3</v>
      </c>
      <c r="M236" s="16">
        <v>1</v>
      </c>
      <c r="N236" s="18">
        <f>IF(Risk_Calculation_Engine!U236="Low",1,IF(Risk_Calculation_Engine!U236="Medium",2,3))</f>
        <v>1</v>
      </c>
      <c r="O236" s="18" t="str">
        <f>Risk_Calculation_Engine!U236</f>
        <v>Low</v>
      </c>
    </row>
    <row r="237" spans="1:15" ht="15" customHeight="1" x14ac:dyDescent="0.25">
      <c r="A237" s="16">
        <v>233</v>
      </c>
      <c r="B237" s="16">
        <v>79</v>
      </c>
      <c r="C237" s="16">
        <v>4</v>
      </c>
      <c r="D237" s="16">
        <v>412.1</v>
      </c>
      <c r="E237" s="17">
        <f t="shared" si="3"/>
        <v>13.85</v>
      </c>
      <c r="F237" s="16">
        <v>2</v>
      </c>
      <c r="G237" s="16">
        <v>6</v>
      </c>
      <c r="H237" s="16">
        <v>1.43</v>
      </c>
      <c r="I237" s="16">
        <v>8</v>
      </c>
      <c r="J237" s="16">
        <v>863</v>
      </c>
      <c r="K237" s="16">
        <v>10.92</v>
      </c>
      <c r="L237" s="16">
        <v>43.8</v>
      </c>
      <c r="M237" s="16">
        <v>1</v>
      </c>
      <c r="N237" s="18">
        <f>IF(Risk_Calculation_Engine!U237="Low",1,IF(Risk_Calculation_Engine!U237="Medium",2,3))</f>
        <v>2</v>
      </c>
      <c r="O237" s="18" t="str">
        <f>Risk_Calculation_Engine!U237</f>
        <v>Medium</v>
      </c>
    </row>
    <row r="238" spans="1:15" ht="15" customHeight="1" x14ac:dyDescent="0.25">
      <c r="A238" s="16">
        <v>234</v>
      </c>
      <c r="B238" s="16">
        <v>11</v>
      </c>
      <c r="C238" s="16">
        <v>4</v>
      </c>
      <c r="D238" s="16">
        <v>49.9</v>
      </c>
      <c r="E238" s="17">
        <f t="shared" si="3"/>
        <v>4.3899999999999997</v>
      </c>
      <c r="F238" s="16">
        <v>2</v>
      </c>
      <c r="G238" s="16">
        <v>2</v>
      </c>
      <c r="H238" s="16">
        <v>2.5</v>
      </c>
      <c r="I238" s="16">
        <v>14</v>
      </c>
      <c r="J238" s="16">
        <v>99</v>
      </c>
      <c r="K238" s="16">
        <v>9</v>
      </c>
      <c r="L238" s="16">
        <v>80.7</v>
      </c>
      <c r="M238" s="16">
        <v>3</v>
      </c>
      <c r="N238" s="18">
        <f>IF(Risk_Calculation_Engine!U238="Low",1,IF(Risk_Calculation_Engine!U238="Medium",2,3))</f>
        <v>2</v>
      </c>
      <c r="O238" s="18" t="str">
        <f>Risk_Calculation_Engine!U238</f>
        <v>Medium</v>
      </c>
    </row>
    <row r="239" spans="1:15" ht="15" customHeight="1" x14ac:dyDescent="0.25">
      <c r="A239" s="16">
        <v>235</v>
      </c>
      <c r="B239" s="16">
        <v>20.5</v>
      </c>
      <c r="C239" s="16">
        <v>3</v>
      </c>
      <c r="D239" s="16">
        <v>83.5</v>
      </c>
      <c r="E239" s="17">
        <f t="shared" si="3"/>
        <v>9.11</v>
      </c>
      <c r="F239" s="16">
        <v>2</v>
      </c>
      <c r="G239" s="16">
        <v>11</v>
      </c>
      <c r="H239" s="16">
        <v>1.39</v>
      </c>
      <c r="I239" s="16">
        <v>4</v>
      </c>
      <c r="J239" s="16">
        <v>168</v>
      </c>
      <c r="K239" s="16">
        <v>8.1999999999999993</v>
      </c>
      <c r="L239" s="16">
        <v>93.9</v>
      </c>
      <c r="M239" s="16">
        <v>3</v>
      </c>
      <c r="N239" s="18">
        <f>IF(Risk_Calculation_Engine!U239="Low",1,IF(Risk_Calculation_Engine!U239="Medium",2,3))</f>
        <v>2</v>
      </c>
      <c r="O239" s="18" t="str">
        <f>Risk_Calculation_Engine!U239</f>
        <v>Medium</v>
      </c>
    </row>
    <row r="240" spans="1:15" ht="15" customHeight="1" x14ac:dyDescent="0.25">
      <c r="A240" s="16">
        <v>236</v>
      </c>
      <c r="B240" s="16">
        <v>47.9</v>
      </c>
      <c r="C240" s="16">
        <v>1</v>
      </c>
      <c r="D240" s="16">
        <v>174</v>
      </c>
      <c r="E240" s="17">
        <f t="shared" si="3"/>
        <v>9.73</v>
      </c>
      <c r="F240" s="16">
        <v>2</v>
      </c>
      <c r="G240" s="16">
        <v>7</v>
      </c>
      <c r="H240" s="16">
        <v>1.6</v>
      </c>
      <c r="I240" s="16">
        <v>7</v>
      </c>
      <c r="J240" s="16">
        <v>104</v>
      </c>
      <c r="K240" s="16">
        <v>2.17</v>
      </c>
      <c r="L240" s="16">
        <v>65</v>
      </c>
      <c r="M240" s="16">
        <v>3</v>
      </c>
      <c r="N240" s="18">
        <f>IF(Risk_Calculation_Engine!U240="Low",1,IF(Risk_Calculation_Engine!U240="Medium",2,3))</f>
        <v>1</v>
      </c>
      <c r="O240" s="18" t="str">
        <f>Risk_Calculation_Engine!U240</f>
        <v>Low</v>
      </c>
    </row>
    <row r="241" spans="1:15" ht="15" customHeight="1" x14ac:dyDescent="0.25">
      <c r="A241" s="16">
        <v>237</v>
      </c>
      <c r="B241" s="16">
        <v>136.69999999999999</v>
      </c>
      <c r="C241" s="16">
        <v>2</v>
      </c>
      <c r="D241" s="16">
        <v>729.9</v>
      </c>
      <c r="E241" s="17">
        <f t="shared" si="3"/>
        <v>23.02</v>
      </c>
      <c r="F241" s="16">
        <v>1</v>
      </c>
      <c r="G241" s="16">
        <v>11</v>
      </c>
      <c r="H241" s="16">
        <v>1.01</v>
      </c>
      <c r="I241" s="16">
        <v>11</v>
      </c>
      <c r="J241" s="16">
        <v>777</v>
      </c>
      <c r="K241" s="16">
        <v>5.68</v>
      </c>
      <c r="L241" s="16">
        <v>49.1</v>
      </c>
      <c r="M241" s="16">
        <v>3</v>
      </c>
      <c r="N241" s="18">
        <f>IF(Risk_Calculation_Engine!U241="Low",1,IF(Risk_Calculation_Engine!U241="Medium",2,3))</f>
        <v>3</v>
      </c>
      <c r="O241" s="18" t="str">
        <f>Risk_Calculation_Engine!U241</f>
        <v>High</v>
      </c>
    </row>
    <row r="242" spans="1:15" ht="15" customHeight="1" x14ac:dyDescent="0.25">
      <c r="A242" s="16">
        <v>238</v>
      </c>
      <c r="B242" s="16">
        <v>81</v>
      </c>
      <c r="C242" s="16">
        <v>1</v>
      </c>
      <c r="D242" s="16">
        <v>175.8</v>
      </c>
      <c r="E242" s="17">
        <f t="shared" si="3"/>
        <v>7.65</v>
      </c>
      <c r="F242" s="16">
        <v>3</v>
      </c>
      <c r="G242" s="16">
        <v>4</v>
      </c>
      <c r="H242" s="16">
        <v>2.04</v>
      </c>
      <c r="I242" s="16">
        <v>6</v>
      </c>
      <c r="J242" s="16">
        <v>141</v>
      </c>
      <c r="K242" s="16">
        <v>1.74</v>
      </c>
      <c r="L242" s="16">
        <v>60</v>
      </c>
      <c r="M242" s="16">
        <v>2</v>
      </c>
      <c r="N242" s="18">
        <f>IF(Risk_Calculation_Engine!U242="Low",1,IF(Risk_Calculation_Engine!U242="Medium",2,3))</f>
        <v>2</v>
      </c>
      <c r="O242" s="18" t="str">
        <f>Risk_Calculation_Engine!U242</f>
        <v>Medium</v>
      </c>
    </row>
    <row r="243" spans="1:15" ht="15" customHeight="1" x14ac:dyDescent="0.25">
      <c r="A243" s="16">
        <v>239</v>
      </c>
      <c r="B243" s="16">
        <v>48.2</v>
      </c>
      <c r="C243" s="16">
        <v>3</v>
      </c>
      <c r="D243" s="16">
        <v>150.9</v>
      </c>
      <c r="E243" s="17">
        <f t="shared" si="3"/>
        <v>9.4</v>
      </c>
      <c r="F243" s="16">
        <v>3</v>
      </c>
      <c r="G243" s="16">
        <v>4</v>
      </c>
      <c r="H243" s="16">
        <v>1.59</v>
      </c>
      <c r="I243" s="16">
        <v>14</v>
      </c>
      <c r="J243" s="16">
        <v>273</v>
      </c>
      <c r="K243" s="16">
        <v>5.66</v>
      </c>
      <c r="L243" s="16">
        <v>74.8</v>
      </c>
      <c r="M243" s="16">
        <v>2</v>
      </c>
      <c r="N243" s="18">
        <f>IF(Risk_Calculation_Engine!U243="Low",1,IF(Risk_Calculation_Engine!U243="Medium",2,3))</f>
        <v>1</v>
      </c>
      <c r="O243" s="18" t="str">
        <f>Risk_Calculation_Engine!U243</f>
        <v>Low</v>
      </c>
    </row>
    <row r="244" spans="1:15" ht="15" customHeight="1" x14ac:dyDescent="0.25">
      <c r="A244" s="16">
        <v>240</v>
      </c>
      <c r="B244" s="16">
        <v>98.8</v>
      </c>
      <c r="C244" s="16">
        <v>3</v>
      </c>
      <c r="D244" s="16">
        <v>462.3</v>
      </c>
      <c r="E244" s="17">
        <f t="shared" si="3"/>
        <v>15.15</v>
      </c>
      <c r="F244" s="16">
        <v>2</v>
      </c>
      <c r="G244" s="16">
        <v>7</v>
      </c>
      <c r="H244" s="16">
        <v>1.35</v>
      </c>
      <c r="I244" s="16">
        <v>14</v>
      </c>
      <c r="J244" s="16">
        <v>340</v>
      </c>
      <c r="K244" s="16">
        <v>3.44</v>
      </c>
      <c r="L244" s="16">
        <v>37.200000000000003</v>
      </c>
      <c r="M244" s="16">
        <v>2</v>
      </c>
      <c r="N244" s="18">
        <f>IF(Risk_Calculation_Engine!U244="Low",1,IF(Risk_Calculation_Engine!U244="Medium",2,3))</f>
        <v>2</v>
      </c>
      <c r="O244" s="18" t="str">
        <f>Risk_Calculation_Engine!U244</f>
        <v>Medium</v>
      </c>
    </row>
    <row r="245" spans="1:15" ht="15" customHeight="1" x14ac:dyDescent="0.25">
      <c r="A245" s="16">
        <v>241</v>
      </c>
      <c r="B245" s="16">
        <v>133.1</v>
      </c>
      <c r="C245" s="16">
        <v>3</v>
      </c>
      <c r="D245" s="16">
        <v>616.6</v>
      </c>
      <c r="E245" s="17">
        <f t="shared" si="3"/>
        <v>20.53</v>
      </c>
      <c r="F245" s="16">
        <v>2</v>
      </c>
      <c r="G245" s="16">
        <v>7</v>
      </c>
      <c r="H245" s="16">
        <v>1.08</v>
      </c>
      <c r="I245" s="16">
        <v>7</v>
      </c>
      <c r="J245" s="16">
        <v>693</v>
      </c>
      <c r="K245" s="16">
        <v>5.21</v>
      </c>
      <c r="L245" s="16">
        <v>60.7</v>
      </c>
      <c r="M245" s="16">
        <v>2</v>
      </c>
      <c r="N245" s="18">
        <f>IF(Risk_Calculation_Engine!U245="Low",1,IF(Risk_Calculation_Engine!U245="Medium",2,3))</f>
        <v>2</v>
      </c>
      <c r="O245" s="18" t="str">
        <f>Risk_Calculation_Engine!U245</f>
        <v>Medium</v>
      </c>
    </row>
    <row r="246" spans="1:15" ht="15" customHeight="1" x14ac:dyDescent="0.25">
      <c r="A246" s="16">
        <v>242</v>
      </c>
      <c r="B246" s="16">
        <v>61.9</v>
      </c>
      <c r="C246" s="16">
        <v>4</v>
      </c>
      <c r="D246" s="16">
        <v>416.3</v>
      </c>
      <c r="E246" s="17">
        <f t="shared" si="3"/>
        <v>16.84</v>
      </c>
      <c r="F246" s="16">
        <v>1</v>
      </c>
      <c r="G246" s="16">
        <v>5</v>
      </c>
      <c r="H246" s="16">
        <v>1.18</v>
      </c>
      <c r="I246" s="16">
        <v>12</v>
      </c>
      <c r="J246" s="16">
        <v>421</v>
      </c>
      <c r="K246" s="16">
        <v>6.8</v>
      </c>
      <c r="L246" s="16">
        <v>84.7</v>
      </c>
      <c r="M246" s="16">
        <v>3</v>
      </c>
      <c r="N246" s="18">
        <f>IF(Risk_Calculation_Engine!U246="Low",1,IF(Risk_Calculation_Engine!U246="Medium",2,3))</f>
        <v>1</v>
      </c>
      <c r="O246" s="18" t="str">
        <f>Risk_Calculation_Engine!U246</f>
        <v>Low</v>
      </c>
    </row>
    <row r="247" spans="1:15" ht="15" customHeight="1" x14ac:dyDescent="0.25">
      <c r="A247" s="16">
        <v>243</v>
      </c>
      <c r="B247" s="16">
        <v>73.7</v>
      </c>
      <c r="C247" s="16">
        <v>3</v>
      </c>
      <c r="D247" s="16">
        <v>308.8</v>
      </c>
      <c r="E247" s="17">
        <f t="shared" si="3"/>
        <v>13.84</v>
      </c>
      <c r="F247" s="16">
        <v>2</v>
      </c>
      <c r="G247" s="16">
        <v>4</v>
      </c>
      <c r="H247" s="16">
        <v>1.32</v>
      </c>
      <c r="I247" s="16">
        <v>12</v>
      </c>
      <c r="J247" s="16">
        <v>236</v>
      </c>
      <c r="K247" s="16">
        <v>3.2</v>
      </c>
      <c r="L247" s="16">
        <v>49.9</v>
      </c>
      <c r="M247" s="16">
        <v>2</v>
      </c>
      <c r="N247" s="18">
        <f>IF(Risk_Calculation_Engine!U247="Low",1,IF(Risk_Calculation_Engine!U247="Medium",2,3))</f>
        <v>1</v>
      </c>
      <c r="O247" s="18" t="str">
        <f>Risk_Calculation_Engine!U247</f>
        <v>Low</v>
      </c>
    </row>
    <row r="248" spans="1:15" ht="15" customHeight="1" x14ac:dyDescent="0.25">
      <c r="A248" s="16">
        <v>244</v>
      </c>
      <c r="B248" s="16">
        <v>66.400000000000006</v>
      </c>
      <c r="C248" s="16">
        <v>4</v>
      </c>
      <c r="D248" s="16">
        <v>339.9</v>
      </c>
      <c r="E248" s="17">
        <f t="shared" si="3"/>
        <v>13.9</v>
      </c>
      <c r="F248" s="16">
        <v>2</v>
      </c>
      <c r="G248" s="16">
        <v>4</v>
      </c>
      <c r="H248" s="16">
        <v>1.35</v>
      </c>
      <c r="I248" s="16">
        <v>11</v>
      </c>
      <c r="J248" s="16">
        <v>502</v>
      </c>
      <c r="K248" s="16">
        <v>7.56</v>
      </c>
      <c r="L248" s="16">
        <v>85.5</v>
      </c>
      <c r="M248" s="16">
        <v>2</v>
      </c>
      <c r="N248" s="18">
        <f>IF(Risk_Calculation_Engine!U248="Low",1,IF(Risk_Calculation_Engine!U248="Medium",2,3))</f>
        <v>1</v>
      </c>
      <c r="O248" s="18" t="str">
        <f>Risk_Calculation_Engine!U248</f>
        <v>Low</v>
      </c>
    </row>
    <row r="249" spans="1:15" ht="15" customHeight="1" x14ac:dyDescent="0.25">
      <c r="A249" s="16">
        <v>245</v>
      </c>
      <c r="B249" s="16">
        <v>58.8</v>
      </c>
      <c r="C249" s="16">
        <v>4</v>
      </c>
      <c r="D249" s="16">
        <v>321.2</v>
      </c>
      <c r="E249" s="17">
        <f t="shared" si="3"/>
        <v>17.11</v>
      </c>
      <c r="F249" s="16">
        <v>2</v>
      </c>
      <c r="G249" s="16">
        <v>8</v>
      </c>
      <c r="H249" s="16">
        <v>1.08</v>
      </c>
      <c r="I249" s="16">
        <v>5</v>
      </c>
      <c r="J249" s="16">
        <v>582</v>
      </c>
      <c r="K249" s="16">
        <v>9.9</v>
      </c>
      <c r="L249" s="16">
        <v>72.2</v>
      </c>
      <c r="M249" s="16">
        <v>2</v>
      </c>
      <c r="N249" s="18">
        <f>IF(Risk_Calculation_Engine!U249="Low",1,IF(Risk_Calculation_Engine!U249="Medium",2,3))</f>
        <v>1</v>
      </c>
      <c r="O249" s="18" t="str">
        <f>Risk_Calculation_Engine!U249</f>
        <v>Low</v>
      </c>
    </row>
    <row r="250" spans="1:15" ht="15" customHeight="1" x14ac:dyDescent="0.25">
      <c r="A250" s="16">
        <v>246</v>
      </c>
      <c r="B250" s="16">
        <v>29.8</v>
      </c>
      <c r="C250" s="16">
        <v>3</v>
      </c>
      <c r="D250" s="16">
        <v>150.6</v>
      </c>
      <c r="E250" s="17">
        <f t="shared" si="3"/>
        <v>9.77</v>
      </c>
      <c r="F250" s="16">
        <v>1</v>
      </c>
      <c r="G250" s="16">
        <v>5</v>
      </c>
      <c r="H250" s="16">
        <v>1.53</v>
      </c>
      <c r="I250" s="16">
        <v>3</v>
      </c>
      <c r="J250" s="16">
        <v>134</v>
      </c>
      <c r="K250" s="16">
        <v>4.5</v>
      </c>
      <c r="L250" s="16">
        <v>69.5</v>
      </c>
      <c r="M250" s="16">
        <v>1</v>
      </c>
      <c r="N250" s="18">
        <f>IF(Risk_Calculation_Engine!U250="Low",1,IF(Risk_Calculation_Engine!U250="Medium",2,3))</f>
        <v>1</v>
      </c>
      <c r="O250" s="18" t="str">
        <f>Risk_Calculation_Engine!U250</f>
        <v>Low</v>
      </c>
    </row>
    <row r="251" spans="1:15" ht="15" customHeight="1" x14ac:dyDescent="0.25">
      <c r="A251" s="16">
        <v>247</v>
      </c>
      <c r="B251" s="16">
        <v>27.6</v>
      </c>
      <c r="C251" s="16">
        <v>3</v>
      </c>
      <c r="D251" s="16">
        <v>125.5</v>
      </c>
      <c r="E251" s="17">
        <f t="shared" si="3"/>
        <v>8.11</v>
      </c>
      <c r="F251" s="16">
        <v>2</v>
      </c>
      <c r="G251" s="16">
        <v>2</v>
      </c>
      <c r="H251" s="16">
        <v>1.75</v>
      </c>
      <c r="I251" s="16">
        <v>7</v>
      </c>
      <c r="J251" s="16">
        <v>101</v>
      </c>
      <c r="K251" s="16">
        <v>3.66</v>
      </c>
      <c r="L251" s="16">
        <v>98</v>
      </c>
      <c r="M251" s="16">
        <v>2</v>
      </c>
      <c r="N251" s="18">
        <f>IF(Risk_Calculation_Engine!U251="Low",1,IF(Risk_Calculation_Engine!U251="Medium",2,3))</f>
        <v>1</v>
      </c>
      <c r="O251" s="18" t="str">
        <f>Risk_Calculation_Engine!U251</f>
        <v>Low</v>
      </c>
    </row>
    <row r="252" spans="1:15" ht="15" customHeight="1" x14ac:dyDescent="0.25">
      <c r="A252" s="16">
        <v>248</v>
      </c>
      <c r="B252" s="16">
        <v>98.3</v>
      </c>
      <c r="C252" s="16">
        <v>4</v>
      </c>
      <c r="D252" s="16">
        <v>763.1</v>
      </c>
      <c r="E252" s="17">
        <f t="shared" si="3"/>
        <v>10.7</v>
      </c>
      <c r="F252" s="16">
        <v>1</v>
      </c>
      <c r="G252" s="16">
        <v>5</v>
      </c>
      <c r="H252" s="16">
        <v>2.2000000000000002</v>
      </c>
      <c r="I252" s="16">
        <v>4</v>
      </c>
      <c r="J252" s="16">
        <v>935</v>
      </c>
      <c r="K252" s="16">
        <v>9.51</v>
      </c>
      <c r="L252" s="16">
        <v>88.4</v>
      </c>
      <c r="M252" s="16">
        <v>2</v>
      </c>
      <c r="N252" s="18">
        <f>IF(Risk_Calculation_Engine!U252="Low",1,IF(Risk_Calculation_Engine!U252="Medium",2,3))</f>
        <v>3</v>
      </c>
      <c r="O252" s="18" t="str">
        <f>Risk_Calculation_Engine!U252</f>
        <v>High</v>
      </c>
    </row>
    <row r="253" spans="1:15" ht="15" customHeight="1" x14ac:dyDescent="0.25">
      <c r="A253" s="16">
        <v>249</v>
      </c>
      <c r="B253" s="16">
        <v>134.9</v>
      </c>
      <c r="C253" s="16">
        <v>4</v>
      </c>
      <c r="D253" s="16">
        <v>668.5</v>
      </c>
      <c r="E253" s="17">
        <f t="shared" si="3"/>
        <v>9.07</v>
      </c>
      <c r="F253" s="16">
        <v>2</v>
      </c>
      <c r="G253" s="16">
        <v>4</v>
      </c>
      <c r="H253" s="16">
        <v>2.5</v>
      </c>
      <c r="I253" s="16">
        <v>6</v>
      </c>
      <c r="J253" s="16">
        <v>874</v>
      </c>
      <c r="K253" s="16">
        <v>6.48</v>
      </c>
      <c r="L253" s="16">
        <v>86</v>
      </c>
      <c r="M253" s="16">
        <v>2</v>
      </c>
      <c r="N253" s="18">
        <f>IF(Risk_Calculation_Engine!U253="Low",1,IF(Risk_Calculation_Engine!U253="Medium",2,3))</f>
        <v>3</v>
      </c>
      <c r="O253" s="18" t="str">
        <f>Risk_Calculation_Engine!U253</f>
        <v>High</v>
      </c>
    </row>
    <row r="254" spans="1:15" ht="15" customHeight="1" x14ac:dyDescent="0.25">
      <c r="A254" s="16">
        <v>250</v>
      </c>
      <c r="B254" s="16">
        <v>48.2</v>
      </c>
      <c r="C254" s="16">
        <v>3</v>
      </c>
      <c r="D254" s="16">
        <v>178.9</v>
      </c>
      <c r="E254" s="17">
        <f t="shared" si="3"/>
        <v>18.89</v>
      </c>
      <c r="F254" s="16">
        <v>2</v>
      </c>
      <c r="G254" s="16">
        <v>8</v>
      </c>
      <c r="H254" s="16">
        <v>0.83</v>
      </c>
      <c r="I254" s="16">
        <v>11</v>
      </c>
      <c r="J254" s="16">
        <v>169</v>
      </c>
      <c r="K254" s="16">
        <v>3.51</v>
      </c>
      <c r="L254" s="16">
        <v>32.4</v>
      </c>
      <c r="M254" s="16">
        <v>2</v>
      </c>
      <c r="N254" s="18">
        <f>IF(Risk_Calculation_Engine!U254="Low",1,IF(Risk_Calculation_Engine!U254="Medium",2,3))</f>
        <v>1</v>
      </c>
      <c r="O254" s="18" t="str">
        <f>Risk_Calculation_Engine!U254</f>
        <v>Low</v>
      </c>
    </row>
    <row r="255" spans="1:15" ht="15" customHeight="1" x14ac:dyDescent="0.25">
      <c r="A255" s="16">
        <v>251</v>
      </c>
      <c r="B255" s="16">
        <v>47.2</v>
      </c>
      <c r="C255" s="16">
        <v>3</v>
      </c>
      <c r="D255" s="16">
        <v>241.6</v>
      </c>
      <c r="E255" s="17">
        <f t="shared" si="3"/>
        <v>9.17</v>
      </c>
      <c r="F255" s="16">
        <v>1</v>
      </c>
      <c r="G255" s="16">
        <v>5</v>
      </c>
      <c r="H255" s="16">
        <v>1.86</v>
      </c>
      <c r="I255" s="16">
        <v>10</v>
      </c>
      <c r="J255" s="16">
        <v>414</v>
      </c>
      <c r="K255" s="16">
        <v>8.77</v>
      </c>
      <c r="L255" s="16">
        <v>60.2</v>
      </c>
      <c r="M255" s="16">
        <v>3</v>
      </c>
      <c r="N255" s="18">
        <f>IF(Risk_Calculation_Engine!U255="Low",1,IF(Risk_Calculation_Engine!U255="Medium",2,3))</f>
        <v>2</v>
      </c>
      <c r="O255" s="18" t="str">
        <f>Risk_Calculation_Engine!U255</f>
        <v>Medium</v>
      </c>
    </row>
    <row r="256" spans="1:15" ht="15" customHeight="1" x14ac:dyDescent="0.25">
      <c r="A256" s="16">
        <v>252</v>
      </c>
      <c r="B256" s="16">
        <v>7.5</v>
      </c>
      <c r="C256" s="16">
        <v>4</v>
      </c>
      <c r="D256" s="16">
        <v>27.7</v>
      </c>
      <c r="E256" s="17">
        <f t="shared" si="3"/>
        <v>6.6</v>
      </c>
      <c r="F256" s="16">
        <v>2</v>
      </c>
      <c r="G256" s="16">
        <v>6</v>
      </c>
      <c r="H256" s="16">
        <v>1.41</v>
      </c>
      <c r="I256" s="16">
        <v>5</v>
      </c>
      <c r="J256" s="16">
        <v>73</v>
      </c>
      <c r="K256" s="16">
        <v>9.73</v>
      </c>
      <c r="L256" s="16">
        <v>50.2</v>
      </c>
      <c r="M256" s="16">
        <v>3</v>
      </c>
      <c r="N256" s="18">
        <f>IF(Risk_Calculation_Engine!U256="Low",1,IF(Risk_Calculation_Engine!U256="Medium",2,3))</f>
        <v>1</v>
      </c>
      <c r="O256" s="18" t="str">
        <f>Risk_Calculation_Engine!U256</f>
        <v>Low</v>
      </c>
    </row>
    <row r="257" spans="1:15" ht="15" customHeight="1" x14ac:dyDescent="0.25">
      <c r="A257" s="16">
        <v>253</v>
      </c>
      <c r="B257" s="16">
        <v>149.80000000000001</v>
      </c>
      <c r="C257" s="16">
        <v>4</v>
      </c>
      <c r="D257" s="16">
        <v>663.4</v>
      </c>
      <c r="E257" s="17">
        <f t="shared" si="3"/>
        <v>29.39</v>
      </c>
      <c r="F257" s="16">
        <v>3</v>
      </c>
      <c r="G257" s="16">
        <v>6</v>
      </c>
      <c r="H257" s="16">
        <v>0.77</v>
      </c>
      <c r="I257" s="16">
        <v>3</v>
      </c>
      <c r="J257" s="16">
        <v>1951</v>
      </c>
      <c r="K257" s="16">
        <v>13.02</v>
      </c>
      <c r="L257" s="16">
        <v>26.1</v>
      </c>
      <c r="M257" s="16">
        <v>2</v>
      </c>
      <c r="N257" s="18">
        <f>IF(Risk_Calculation_Engine!U257="Low",1,IF(Risk_Calculation_Engine!U257="Medium",2,3))</f>
        <v>2</v>
      </c>
      <c r="O257" s="18" t="str">
        <f>Risk_Calculation_Engine!U257</f>
        <v>Medium</v>
      </c>
    </row>
    <row r="258" spans="1:15" ht="15" customHeight="1" x14ac:dyDescent="0.25">
      <c r="A258" s="16">
        <v>254</v>
      </c>
      <c r="B258" s="16">
        <v>31.8</v>
      </c>
      <c r="C258" s="16">
        <v>2</v>
      </c>
      <c r="D258" s="16">
        <v>130.19999999999999</v>
      </c>
      <c r="E258" s="17">
        <f t="shared" si="3"/>
        <v>11.57</v>
      </c>
      <c r="F258" s="16">
        <v>2</v>
      </c>
      <c r="G258" s="16">
        <v>7</v>
      </c>
      <c r="H258" s="16">
        <v>1.24</v>
      </c>
      <c r="I258" s="16">
        <v>5</v>
      </c>
      <c r="J258" s="16">
        <v>85</v>
      </c>
      <c r="K258" s="16">
        <v>2.67</v>
      </c>
      <c r="L258" s="16">
        <v>68.400000000000006</v>
      </c>
      <c r="M258" s="16">
        <v>2</v>
      </c>
      <c r="N258" s="18">
        <f>IF(Risk_Calculation_Engine!U258="Low",1,IF(Risk_Calculation_Engine!U258="Medium",2,3))</f>
        <v>1</v>
      </c>
      <c r="O258" s="18" t="str">
        <f>Risk_Calculation_Engine!U258</f>
        <v>Low</v>
      </c>
    </row>
    <row r="259" spans="1:15" ht="15" customHeight="1" x14ac:dyDescent="0.25">
      <c r="A259" s="16">
        <v>255</v>
      </c>
      <c r="B259" s="16">
        <v>149.80000000000001</v>
      </c>
      <c r="C259" s="16">
        <v>3</v>
      </c>
      <c r="D259" s="16">
        <v>885.2</v>
      </c>
      <c r="E259" s="17">
        <f t="shared" si="3"/>
        <v>11.68</v>
      </c>
      <c r="F259" s="16">
        <v>1</v>
      </c>
      <c r="G259" s="16">
        <v>6</v>
      </c>
      <c r="H259" s="16">
        <v>2.1</v>
      </c>
      <c r="I259" s="16">
        <v>8</v>
      </c>
      <c r="J259" s="16">
        <v>864</v>
      </c>
      <c r="K259" s="16">
        <v>5.77</v>
      </c>
      <c r="L259" s="16">
        <v>73.599999999999994</v>
      </c>
      <c r="M259" s="16">
        <v>1</v>
      </c>
      <c r="N259" s="18">
        <f>IF(Risk_Calculation_Engine!U259="Low",1,IF(Risk_Calculation_Engine!U259="Medium",2,3))</f>
        <v>3</v>
      </c>
      <c r="O259" s="18" t="str">
        <f>Risk_Calculation_Engine!U259</f>
        <v>High</v>
      </c>
    </row>
    <row r="260" spans="1:15" ht="15" customHeight="1" x14ac:dyDescent="0.25">
      <c r="A260" s="16">
        <v>256</v>
      </c>
      <c r="B260" s="16">
        <v>37.299999999999997</v>
      </c>
      <c r="C260" s="16">
        <v>5</v>
      </c>
      <c r="D260" s="16">
        <v>197.4</v>
      </c>
      <c r="E260" s="17">
        <f t="shared" si="3"/>
        <v>8.14</v>
      </c>
      <c r="F260" s="16">
        <v>2</v>
      </c>
      <c r="G260" s="16">
        <v>3</v>
      </c>
      <c r="H260" s="16">
        <v>1.98</v>
      </c>
      <c r="I260" s="16">
        <v>13</v>
      </c>
      <c r="J260" s="16">
        <v>396</v>
      </c>
      <c r="K260" s="16">
        <v>10.62</v>
      </c>
      <c r="L260" s="16">
        <v>24.8</v>
      </c>
      <c r="M260" s="16">
        <v>1</v>
      </c>
      <c r="N260" s="18">
        <f>IF(Risk_Calculation_Engine!U260="Low",1,IF(Risk_Calculation_Engine!U260="Medium",2,3))</f>
        <v>3</v>
      </c>
      <c r="O260" s="18" t="str">
        <f>Risk_Calculation_Engine!U260</f>
        <v>High</v>
      </c>
    </row>
    <row r="261" spans="1:15" ht="15" customHeight="1" x14ac:dyDescent="0.25">
      <c r="A261" s="16">
        <v>257</v>
      </c>
      <c r="B261" s="16">
        <v>11.4</v>
      </c>
      <c r="C261" s="16">
        <v>1</v>
      </c>
      <c r="D261" s="16">
        <v>34.6</v>
      </c>
      <c r="E261" s="17">
        <f t="shared" ref="E261:E324" si="4">ROUND(3.67*D261^0.28/H261,2)</f>
        <v>5.89</v>
      </c>
      <c r="F261" s="16">
        <v>2</v>
      </c>
      <c r="G261" s="16">
        <v>3</v>
      </c>
      <c r="H261" s="16">
        <v>1.68</v>
      </c>
      <c r="I261" s="16">
        <v>7</v>
      </c>
      <c r="J261" s="16">
        <v>21</v>
      </c>
      <c r="K261" s="16">
        <v>1.84</v>
      </c>
      <c r="L261" s="16">
        <v>62.7</v>
      </c>
      <c r="M261" s="16">
        <v>1</v>
      </c>
      <c r="N261" s="18">
        <f>IF(Risk_Calculation_Engine!U261="Low",1,IF(Risk_Calculation_Engine!U261="Medium",2,3))</f>
        <v>1</v>
      </c>
      <c r="O261" s="18" t="str">
        <f>Risk_Calculation_Engine!U261</f>
        <v>Low</v>
      </c>
    </row>
    <row r="262" spans="1:15" ht="15" customHeight="1" x14ac:dyDescent="0.25">
      <c r="A262" s="16">
        <v>258</v>
      </c>
      <c r="B262" s="16">
        <v>66.8</v>
      </c>
      <c r="C262" s="16">
        <v>5</v>
      </c>
      <c r="D262" s="16">
        <v>401.3</v>
      </c>
      <c r="E262" s="17">
        <f t="shared" si="4"/>
        <v>16.52</v>
      </c>
      <c r="F262" s="16">
        <v>2</v>
      </c>
      <c r="G262" s="16">
        <v>3</v>
      </c>
      <c r="H262" s="16">
        <v>1.19</v>
      </c>
      <c r="I262" s="16">
        <v>6</v>
      </c>
      <c r="J262" s="16">
        <v>1595</v>
      </c>
      <c r="K262" s="16">
        <v>23.88</v>
      </c>
      <c r="L262" s="16">
        <v>80.900000000000006</v>
      </c>
      <c r="M262" s="16">
        <v>3</v>
      </c>
      <c r="N262" s="18">
        <f>IF(Risk_Calculation_Engine!U262="Low",1,IF(Risk_Calculation_Engine!U262="Medium",2,3))</f>
        <v>2</v>
      </c>
      <c r="O262" s="18" t="str">
        <f>Risk_Calculation_Engine!U262</f>
        <v>Medium</v>
      </c>
    </row>
    <row r="263" spans="1:15" ht="15" customHeight="1" x14ac:dyDescent="0.25">
      <c r="A263" s="16">
        <v>259</v>
      </c>
      <c r="B263" s="16">
        <v>111.2</v>
      </c>
      <c r="C263" s="16">
        <v>2</v>
      </c>
      <c r="D263" s="16">
        <v>445.6</v>
      </c>
      <c r="E263" s="17">
        <f t="shared" si="4"/>
        <v>8.1</v>
      </c>
      <c r="F263" s="16">
        <v>2</v>
      </c>
      <c r="G263" s="16">
        <v>5</v>
      </c>
      <c r="H263" s="16">
        <v>2.5</v>
      </c>
      <c r="I263" s="16">
        <v>10</v>
      </c>
      <c r="J263" s="16">
        <v>619</v>
      </c>
      <c r="K263" s="16">
        <v>5.57</v>
      </c>
      <c r="L263" s="16">
        <v>38.6</v>
      </c>
      <c r="M263" s="16">
        <v>3</v>
      </c>
      <c r="N263" s="18">
        <f>IF(Risk_Calculation_Engine!U263="Low",1,IF(Risk_Calculation_Engine!U263="Medium",2,3))</f>
        <v>2</v>
      </c>
      <c r="O263" s="18" t="str">
        <f>Risk_Calculation_Engine!U263</f>
        <v>Medium</v>
      </c>
    </row>
    <row r="264" spans="1:15" ht="15" customHeight="1" x14ac:dyDescent="0.25">
      <c r="A264" s="16">
        <v>260</v>
      </c>
      <c r="B264" s="16">
        <v>102.2</v>
      </c>
      <c r="C264" s="16">
        <v>3</v>
      </c>
      <c r="D264" s="16">
        <v>647.9</v>
      </c>
      <c r="E264" s="17">
        <f t="shared" si="4"/>
        <v>21.62</v>
      </c>
      <c r="F264" s="16">
        <v>1</v>
      </c>
      <c r="G264" s="16">
        <v>1</v>
      </c>
      <c r="H264" s="16">
        <v>1.04</v>
      </c>
      <c r="I264" s="16">
        <v>3</v>
      </c>
      <c r="J264" s="16">
        <v>625</v>
      </c>
      <c r="K264" s="16">
        <v>6.12</v>
      </c>
      <c r="L264" s="16">
        <v>74.5</v>
      </c>
      <c r="M264" s="16">
        <v>1</v>
      </c>
      <c r="N264" s="18">
        <f>IF(Risk_Calculation_Engine!U264="Low",1,IF(Risk_Calculation_Engine!U264="Medium",2,3))</f>
        <v>1</v>
      </c>
      <c r="O264" s="18" t="str">
        <f>Risk_Calculation_Engine!U264</f>
        <v>Low</v>
      </c>
    </row>
    <row r="265" spans="1:15" ht="15" customHeight="1" x14ac:dyDescent="0.25">
      <c r="A265" s="16">
        <v>261</v>
      </c>
      <c r="B265" s="16">
        <v>119.5</v>
      </c>
      <c r="C265" s="16">
        <v>3</v>
      </c>
      <c r="D265" s="16">
        <v>499</v>
      </c>
      <c r="E265" s="17">
        <f t="shared" si="4"/>
        <v>15.37</v>
      </c>
      <c r="F265" s="16">
        <v>2</v>
      </c>
      <c r="G265" s="16">
        <v>5</v>
      </c>
      <c r="H265" s="16">
        <v>1.36</v>
      </c>
      <c r="I265" s="16">
        <v>5</v>
      </c>
      <c r="J265" s="16">
        <v>564</v>
      </c>
      <c r="K265" s="16">
        <v>4.72</v>
      </c>
      <c r="L265" s="16">
        <v>61.8</v>
      </c>
      <c r="M265" s="16">
        <v>3</v>
      </c>
      <c r="N265" s="18">
        <f>IF(Risk_Calculation_Engine!U265="Low",1,IF(Risk_Calculation_Engine!U265="Medium",2,3))</f>
        <v>1</v>
      </c>
      <c r="O265" s="18" t="str">
        <f>Risk_Calculation_Engine!U265</f>
        <v>Low</v>
      </c>
    </row>
    <row r="266" spans="1:15" ht="15" customHeight="1" x14ac:dyDescent="0.25">
      <c r="A266" s="16">
        <v>262</v>
      </c>
      <c r="B266" s="16">
        <v>24.3</v>
      </c>
      <c r="C266" s="16">
        <v>1</v>
      </c>
      <c r="D266" s="16">
        <v>65.7</v>
      </c>
      <c r="E266" s="17">
        <f t="shared" si="4"/>
        <v>8.11</v>
      </c>
      <c r="F266" s="16">
        <v>2</v>
      </c>
      <c r="G266" s="16">
        <v>2</v>
      </c>
      <c r="H266" s="16">
        <v>1.46</v>
      </c>
      <c r="I266" s="16">
        <v>3</v>
      </c>
      <c r="J266" s="16">
        <v>60</v>
      </c>
      <c r="K266" s="16">
        <v>2.4700000000000002</v>
      </c>
      <c r="L266" s="16">
        <v>56.2</v>
      </c>
      <c r="M266" s="16">
        <v>2</v>
      </c>
      <c r="N266" s="18">
        <f>IF(Risk_Calculation_Engine!U266="Low",1,IF(Risk_Calculation_Engine!U266="Medium",2,3))</f>
        <v>1</v>
      </c>
      <c r="O266" s="18" t="str">
        <f>Risk_Calculation_Engine!U266</f>
        <v>Low</v>
      </c>
    </row>
    <row r="267" spans="1:15" ht="15" customHeight="1" x14ac:dyDescent="0.25">
      <c r="A267" s="16">
        <v>263</v>
      </c>
      <c r="B267" s="16">
        <v>149.80000000000001</v>
      </c>
      <c r="C267" s="16">
        <v>5</v>
      </c>
      <c r="D267" s="16">
        <v>829.4</v>
      </c>
      <c r="E267" s="17">
        <f t="shared" si="4"/>
        <v>15.65</v>
      </c>
      <c r="F267" s="16">
        <v>3</v>
      </c>
      <c r="G267" s="16">
        <v>6</v>
      </c>
      <c r="H267" s="16">
        <v>1.54</v>
      </c>
      <c r="I267" s="16">
        <v>9</v>
      </c>
      <c r="J267" s="16">
        <v>3071</v>
      </c>
      <c r="K267" s="16">
        <v>20.5</v>
      </c>
      <c r="L267" s="16">
        <v>36.6</v>
      </c>
      <c r="M267" s="16">
        <v>3</v>
      </c>
      <c r="N267" s="18">
        <f>IF(Risk_Calculation_Engine!U267="Low",1,IF(Risk_Calculation_Engine!U267="Medium",2,3))</f>
        <v>3</v>
      </c>
      <c r="O267" s="18" t="str">
        <f>Risk_Calculation_Engine!U267</f>
        <v>High</v>
      </c>
    </row>
    <row r="268" spans="1:15" ht="15" customHeight="1" x14ac:dyDescent="0.25">
      <c r="A268" s="16">
        <v>264</v>
      </c>
      <c r="B268" s="16">
        <v>149.80000000000001</v>
      </c>
      <c r="C268" s="16">
        <v>3</v>
      </c>
      <c r="D268" s="16">
        <v>1037.4000000000001</v>
      </c>
      <c r="E268" s="17">
        <f t="shared" si="4"/>
        <v>10.26</v>
      </c>
      <c r="F268" s="16">
        <v>1</v>
      </c>
      <c r="G268" s="16">
        <v>6</v>
      </c>
      <c r="H268" s="16">
        <v>2.5</v>
      </c>
      <c r="I268" s="16">
        <v>8</v>
      </c>
      <c r="J268" s="16">
        <v>872</v>
      </c>
      <c r="K268" s="16">
        <v>5.82</v>
      </c>
      <c r="L268" s="16">
        <v>63.7</v>
      </c>
      <c r="M268" s="16">
        <v>2</v>
      </c>
      <c r="N268" s="18">
        <f>IF(Risk_Calculation_Engine!U268="Low",1,IF(Risk_Calculation_Engine!U268="Medium",2,3))</f>
        <v>3</v>
      </c>
      <c r="O268" s="18" t="str">
        <f>Risk_Calculation_Engine!U268</f>
        <v>High</v>
      </c>
    </row>
    <row r="269" spans="1:15" ht="15" customHeight="1" x14ac:dyDescent="0.25">
      <c r="A269" s="16">
        <v>265</v>
      </c>
      <c r="B269" s="16">
        <v>149.80000000000001</v>
      </c>
      <c r="C269" s="16">
        <v>5</v>
      </c>
      <c r="D269" s="16">
        <v>911.5</v>
      </c>
      <c r="E269" s="17">
        <f t="shared" si="4"/>
        <v>9.9</v>
      </c>
      <c r="F269" s="16">
        <v>2</v>
      </c>
      <c r="G269" s="16">
        <v>8</v>
      </c>
      <c r="H269" s="16">
        <v>2.5</v>
      </c>
      <c r="I269" s="16">
        <v>10</v>
      </c>
      <c r="J269" s="16">
        <v>2630</v>
      </c>
      <c r="K269" s="16">
        <v>17.559999999999999</v>
      </c>
      <c r="L269" s="16">
        <v>58.2</v>
      </c>
      <c r="M269" s="16">
        <v>3</v>
      </c>
      <c r="N269" s="18">
        <f>IF(Risk_Calculation_Engine!U269="Low",1,IF(Risk_Calculation_Engine!U269="Medium",2,3))</f>
        <v>3</v>
      </c>
      <c r="O269" s="18" t="str">
        <f>Risk_Calculation_Engine!U269</f>
        <v>High</v>
      </c>
    </row>
    <row r="270" spans="1:15" ht="15" customHeight="1" x14ac:dyDescent="0.25">
      <c r="A270" s="16">
        <v>266</v>
      </c>
      <c r="B270" s="16">
        <v>75.7</v>
      </c>
      <c r="C270" s="16">
        <v>3</v>
      </c>
      <c r="D270" s="16">
        <v>389</v>
      </c>
      <c r="E270" s="17">
        <f t="shared" si="4"/>
        <v>10</v>
      </c>
      <c r="F270" s="16">
        <v>2</v>
      </c>
      <c r="G270" s="16">
        <v>10</v>
      </c>
      <c r="H270" s="16">
        <v>1.95</v>
      </c>
      <c r="I270" s="16">
        <v>11</v>
      </c>
      <c r="J270" s="16">
        <v>451</v>
      </c>
      <c r="K270" s="16">
        <v>5.96</v>
      </c>
      <c r="L270" s="16">
        <v>60.6</v>
      </c>
      <c r="M270" s="16">
        <v>2</v>
      </c>
      <c r="N270" s="18">
        <f>IF(Risk_Calculation_Engine!U270="Low",1,IF(Risk_Calculation_Engine!U270="Medium",2,3))</f>
        <v>3</v>
      </c>
      <c r="O270" s="18" t="str">
        <f>Risk_Calculation_Engine!U270</f>
        <v>High</v>
      </c>
    </row>
    <row r="271" spans="1:15" ht="15" customHeight="1" x14ac:dyDescent="0.25">
      <c r="A271" s="16">
        <v>267</v>
      </c>
      <c r="B271" s="16">
        <v>45</v>
      </c>
      <c r="C271" s="16">
        <v>5</v>
      </c>
      <c r="D271" s="16">
        <v>344.1</v>
      </c>
      <c r="E271" s="17">
        <f t="shared" si="4"/>
        <v>11.77</v>
      </c>
      <c r="F271" s="16">
        <v>1</v>
      </c>
      <c r="G271" s="16">
        <v>5</v>
      </c>
      <c r="H271" s="16">
        <v>1.6</v>
      </c>
      <c r="I271" s="16">
        <v>8</v>
      </c>
      <c r="J271" s="16">
        <v>680</v>
      </c>
      <c r="K271" s="16">
        <v>15.11</v>
      </c>
      <c r="L271" s="16">
        <v>69.400000000000006</v>
      </c>
      <c r="M271" s="16">
        <v>1</v>
      </c>
      <c r="N271" s="18">
        <f>IF(Risk_Calculation_Engine!U271="Low",1,IF(Risk_Calculation_Engine!U271="Medium",2,3))</f>
        <v>3</v>
      </c>
      <c r="O271" s="18" t="str">
        <f>Risk_Calculation_Engine!U271</f>
        <v>High</v>
      </c>
    </row>
    <row r="272" spans="1:15" ht="15" customHeight="1" x14ac:dyDescent="0.25">
      <c r="A272" s="16">
        <v>268</v>
      </c>
      <c r="B272" s="16">
        <v>41.5</v>
      </c>
      <c r="C272" s="16">
        <v>5</v>
      </c>
      <c r="D272" s="16">
        <v>211.7</v>
      </c>
      <c r="E272" s="17">
        <f t="shared" si="4"/>
        <v>10.34</v>
      </c>
      <c r="F272" s="16">
        <v>2</v>
      </c>
      <c r="G272" s="16">
        <v>4</v>
      </c>
      <c r="H272" s="16">
        <v>1.59</v>
      </c>
      <c r="I272" s="16">
        <v>14</v>
      </c>
      <c r="J272" s="16">
        <v>761</v>
      </c>
      <c r="K272" s="16">
        <v>18.34</v>
      </c>
      <c r="L272" s="16">
        <v>66.8</v>
      </c>
      <c r="M272" s="16">
        <v>1</v>
      </c>
      <c r="N272" s="18">
        <f>IF(Risk_Calculation_Engine!U272="Low",1,IF(Risk_Calculation_Engine!U272="Medium",2,3))</f>
        <v>3</v>
      </c>
      <c r="O272" s="18" t="str">
        <f>Risk_Calculation_Engine!U272</f>
        <v>High</v>
      </c>
    </row>
    <row r="273" spans="1:15" ht="15" customHeight="1" x14ac:dyDescent="0.25">
      <c r="A273" s="16">
        <v>269</v>
      </c>
      <c r="B273" s="16">
        <v>11.4</v>
      </c>
      <c r="C273" s="16">
        <v>4</v>
      </c>
      <c r="D273" s="16">
        <v>78</v>
      </c>
      <c r="E273" s="17">
        <f t="shared" si="4"/>
        <v>5.73</v>
      </c>
      <c r="F273" s="16">
        <v>1</v>
      </c>
      <c r="G273" s="16">
        <v>7</v>
      </c>
      <c r="H273" s="16">
        <v>2.17</v>
      </c>
      <c r="I273" s="16">
        <v>14</v>
      </c>
      <c r="J273" s="16">
        <v>64</v>
      </c>
      <c r="K273" s="16">
        <v>5.61</v>
      </c>
      <c r="L273" s="16">
        <v>75.3</v>
      </c>
      <c r="M273" s="16">
        <v>2</v>
      </c>
      <c r="N273" s="18">
        <f>IF(Risk_Calculation_Engine!U273="Low",1,IF(Risk_Calculation_Engine!U273="Medium",2,3))</f>
        <v>3</v>
      </c>
      <c r="O273" s="18" t="str">
        <f>Risk_Calculation_Engine!U273</f>
        <v>High</v>
      </c>
    </row>
    <row r="274" spans="1:15" ht="15" customHeight="1" x14ac:dyDescent="0.25">
      <c r="A274" s="16">
        <v>270</v>
      </c>
      <c r="B274" s="16">
        <v>38.1</v>
      </c>
      <c r="C274" s="16">
        <v>2</v>
      </c>
      <c r="D274" s="16">
        <v>201.5</v>
      </c>
      <c r="E274" s="17">
        <f t="shared" si="4"/>
        <v>6.49</v>
      </c>
      <c r="F274" s="16">
        <v>1</v>
      </c>
      <c r="G274" s="16">
        <v>10</v>
      </c>
      <c r="H274" s="16">
        <v>2.5</v>
      </c>
      <c r="I274" s="16">
        <v>4</v>
      </c>
      <c r="J274" s="16">
        <v>163</v>
      </c>
      <c r="K274" s="16">
        <v>4.28</v>
      </c>
      <c r="L274" s="16">
        <v>81.2</v>
      </c>
      <c r="M274" s="16">
        <v>3</v>
      </c>
      <c r="N274" s="18">
        <f>IF(Risk_Calculation_Engine!U274="Low",1,IF(Risk_Calculation_Engine!U274="Medium",2,3))</f>
        <v>3</v>
      </c>
      <c r="O274" s="18" t="str">
        <f>Risk_Calculation_Engine!U274</f>
        <v>High</v>
      </c>
    </row>
    <row r="275" spans="1:15" ht="15" customHeight="1" x14ac:dyDescent="0.25">
      <c r="A275" s="16">
        <v>271</v>
      </c>
      <c r="B275" s="16">
        <v>2.4</v>
      </c>
      <c r="C275" s="16">
        <v>4</v>
      </c>
      <c r="D275" s="16">
        <v>9.6999999999999993</v>
      </c>
      <c r="E275" s="17">
        <f t="shared" si="4"/>
        <v>6.73</v>
      </c>
      <c r="F275" s="16">
        <v>2</v>
      </c>
      <c r="G275" s="16">
        <v>10</v>
      </c>
      <c r="H275" s="16">
        <v>1.03</v>
      </c>
      <c r="I275" s="16">
        <v>14</v>
      </c>
      <c r="J275" s="16">
        <v>24</v>
      </c>
      <c r="K275" s="16">
        <v>10</v>
      </c>
      <c r="L275" s="16">
        <v>71.7</v>
      </c>
      <c r="M275" s="16">
        <v>2</v>
      </c>
      <c r="N275" s="18">
        <f>IF(Risk_Calculation_Engine!U275="Low",1,IF(Risk_Calculation_Engine!U275="Medium",2,3))</f>
        <v>2</v>
      </c>
      <c r="O275" s="18" t="str">
        <f>Risk_Calculation_Engine!U275</f>
        <v>Medium</v>
      </c>
    </row>
    <row r="276" spans="1:15" ht="15" customHeight="1" x14ac:dyDescent="0.25">
      <c r="A276" s="16">
        <v>272</v>
      </c>
      <c r="B276" s="16">
        <v>9.5</v>
      </c>
      <c r="C276" s="16">
        <v>3</v>
      </c>
      <c r="D276" s="16">
        <v>41</v>
      </c>
      <c r="E276" s="17">
        <f t="shared" si="4"/>
        <v>4.1500000000000004</v>
      </c>
      <c r="F276" s="16">
        <v>1</v>
      </c>
      <c r="G276" s="16">
        <v>7</v>
      </c>
      <c r="H276" s="16">
        <v>2.5</v>
      </c>
      <c r="I276" s="16">
        <v>5</v>
      </c>
      <c r="J276" s="16">
        <v>52</v>
      </c>
      <c r="K276" s="16">
        <v>5.47</v>
      </c>
      <c r="L276" s="16">
        <v>57.7</v>
      </c>
      <c r="M276" s="16">
        <v>3</v>
      </c>
      <c r="N276" s="18">
        <f>IF(Risk_Calculation_Engine!U276="Low",1,IF(Risk_Calculation_Engine!U276="Medium",2,3))</f>
        <v>3</v>
      </c>
      <c r="O276" s="18" t="str">
        <f>Risk_Calculation_Engine!U276</f>
        <v>High</v>
      </c>
    </row>
    <row r="277" spans="1:15" ht="15" customHeight="1" x14ac:dyDescent="0.25">
      <c r="A277" s="16">
        <v>273</v>
      </c>
      <c r="B277" s="16">
        <v>75.099999999999994</v>
      </c>
      <c r="C277" s="16">
        <v>5</v>
      </c>
      <c r="D277" s="16">
        <v>426</v>
      </c>
      <c r="E277" s="17">
        <f t="shared" si="4"/>
        <v>10.47</v>
      </c>
      <c r="F277" s="16">
        <v>2</v>
      </c>
      <c r="G277" s="16">
        <v>5</v>
      </c>
      <c r="H277" s="16">
        <v>1.91</v>
      </c>
      <c r="I277" s="16">
        <v>6</v>
      </c>
      <c r="J277" s="16">
        <v>1114</v>
      </c>
      <c r="K277" s="16">
        <v>14.83</v>
      </c>
      <c r="L277" s="16">
        <v>72</v>
      </c>
      <c r="M277" s="16">
        <v>1</v>
      </c>
      <c r="N277" s="18">
        <f>IF(Risk_Calculation_Engine!U277="Low",1,IF(Risk_Calculation_Engine!U277="Medium",2,3))</f>
        <v>3</v>
      </c>
      <c r="O277" s="18" t="str">
        <f>Risk_Calculation_Engine!U277</f>
        <v>High</v>
      </c>
    </row>
    <row r="278" spans="1:15" ht="15" customHeight="1" x14ac:dyDescent="0.25">
      <c r="A278" s="16">
        <v>274</v>
      </c>
      <c r="B278" s="16">
        <v>49.6</v>
      </c>
      <c r="C278" s="16">
        <v>3</v>
      </c>
      <c r="D278" s="16">
        <v>334.3</v>
      </c>
      <c r="E278" s="17">
        <f t="shared" si="4"/>
        <v>14.6</v>
      </c>
      <c r="F278" s="16">
        <v>1</v>
      </c>
      <c r="G278" s="16">
        <v>18</v>
      </c>
      <c r="H278" s="16">
        <v>1.28</v>
      </c>
      <c r="I278" s="16">
        <v>9</v>
      </c>
      <c r="J278" s="16">
        <v>334</v>
      </c>
      <c r="K278" s="16">
        <v>6.73</v>
      </c>
      <c r="L278" s="16">
        <v>46.4</v>
      </c>
      <c r="M278" s="16">
        <v>3</v>
      </c>
      <c r="N278" s="18">
        <f>IF(Risk_Calculation_Engine!U278="Low",1,IF(Risk_Calculation_Engine!U278="Medium",2,3))</f>
        <v>2</v>
      </c>
      <c r="O278" s="18" t="str">
        <f>Risk_Calculation_Engine!U278</f>
        <v>Medium</v>
      </c>
    </row>
    <row r="279" spans="1:15" ht="15" customHeight="1" x14ac:dyDescent="0.25">
      <c r="A279" s="16">
        <v>275</v>
      </c>
      <c r="B279" s="16">
        <v>72.5</v>
      </c>
      <c r="C279" s="16">
        <v>3</v>
      </c>
      <c r="D279" s="16">
        <v>293.3</v>
      </c>
      <c r="E279" s="17">
        <f t="shared" si="4"/>
        <v>11.93</v>
      </c>
      <c r="F279" s="16">
        <v>2</v>
      </c>
      <c r="G279" s="16">
        <v>6</v>
      </c>
      <c r="H279" s="16">
        <v>1.51</v>
      </c>
      <c r="I279" s="16">
        <v>3</v>
      </c>
      <c r="J279" s="16">
        <v>428</v>
      </c>
      <c r="K279" s="16">
        <v>5.9</v>
      </c>
      <c r="L279" s="16">
        <v>73</v>
      </c>
      <c r="M279" s="16">
        <v>3</v>
      </c>
      <c r="N279" s="18">
        <f>IF(Risk_Calculation_Engine!U279="Low",1,IF(Risk_Calculation_Engine!U279="Medium",2,3))</f>
        <v>1</v>
      </c>
      <c r="O279" s="18" t="str">
        <f>Risk_Calculation_Engine!U279</f>
        <v>Low</v>
      </c>
    </row>
    <row r="280" spans="1:15" ht="15" customHeight="1" x14ac:dyDescent="0.25">
      <c r="A280" s="16">
        <v>276</v>
      </c>
      <c r="B280" s="16">
        <v>105</v>
      </c>
      <c r="C280" s="16">
        <v>2</v>
      </c>
      <c r="D280" s="16">
        <v>475.7</v>
      </c>
      <c r="E280" s="17">
        <f t="shared" si="4"/>
        <v>10.58</v>
      </c>
      <c r="F280" s="16">
        <v>2</v>
      </c>
      <c r="G280" s="16">
        <v>5</v>
      </c>
      <c r="H280" s="16">
        <v>1.95</v>
      </c>
      <c r="I280" s="16">
        <v>7</v>
      </c>
      <c r="J280" s="16">
        <v>252</v>
      </c>
      <c r="K280" s="16">
        <v>2.4</v>
      </c>
      <c r="L280" s="16">
        <v>59.2</v>
      </c>
      <c r="M280" s="16">
        <v>2</v>
      </c>
      <c r="N280" s="18">
        <f>IF(Risk_Calculation_Engine!U280="Low",1,IF(Risk_Calculation_Engine!U280="Medium",2,3))</f>
        <v>2</v>
      </c>
      <c r="O280" s="18" t="str">
        <f>Risk_Calculation_Engine!U280</f>
        <v>Medium</v>
      </c>
    </row>
    <row r="281" spans="1:15" ht="15" customHeight="1" x14ac:dyDescent="0.25">
      <c r="A281" s="16">
        <v>277</v>
      </c>
      <c r="B281" s="16">
        <v>83.3</v>
      </c>
      <c r="C281" s="16">
        <v>4</v>
      </c>
      <c r="D281" s="16">
        <v>360.6</v>
      </c>
      <c r="E281" s="17">
        <f t="shared" si="4"/>
        <v>9.59</v>
      </c>
      <c r="F281" s="16">
        <v>3</v>
      </c>
      <c r="G281" s="16">
        <v>4</v>
      </c>
      <c r="H281" s="16">
        <v>1.99</v>
      </c>
      <c r="I281" s="16">
        <v>5</v>
      </c>
      <c r="J281" s="16">
        <v>728</v>
      </c>
      <c r="K281" s="16">
        <v>8.74</v>
      </c>
      <c r="L281" s="16">
        <v>35.6</v>
      </c>
      <c r="M281" s="16">
        <v>2</v>
      </c>
      <c r="N281" s="18">
        <f>IF(Risk_Calculation_Engine!U281="Low",1,IF(Risk_Calculation_Engine!U281="Medium",2,3))</f>
        <v>3</v>
      </c>
      <c r="O281" s="18" t="str">
        <f>Risk_Calculation_Engine!U281</f>
        <v>High</v>
      </c>
    </row>
    <row r="282" spans="1:15" ht="15" customHeight="1" x14ac:dyDescent="0.25">
      <c r="A282" s="16">
        <v>278</v>
      </c>
      <c r="B282" s="16">
        <v>77.900000000000006</v>
      </c>
      <c r="C282" s="16">
        <v>5</v>
      </c>
      <c r="D282" s="16">
        <v>341.9</v>
      </c>
      <c r="E282" s="17">
        <f t="shared" si="4"/>
        <v>17.25</v>
      </c>
      <c r="F282" s="16">
        <v>3</v>
      </c>
      <c r="G282" s="16">
        <v>8</v>
      </c>
      <c r="H282" s="16">
        <v>1.0900000000000001</v>
      </c>
      <c r="I282" s="16">
        <v>9</v>
      </c>
      <c r="J282" s="16">
        <v>808</v>
      </c>
      <c r="K282" s="16">
        <v>10.37</v>
      </c>
      <c r="L282" s="16">
        <v>94.2</v>
      </c>
      <c r="M282" s="16">
        <v>1</v>
      </c>
      <c r="N282" s="18">
        <f>IF(Risk_Calculation_Engine!U282="Low",1,IF(Risk_Calculation_Engine!U282="Medium",2,3))</f>
        <v>2</v>
      </c>
      <c r="O282" s="18" t="str">
        <f>Risk_Calculation_Engine!U282</f>
        <v>Medium</v>
      </c>
    </row>
    <row r="283" spans="1:15" ht="15" customHeight="1" x14ac:dyDescent="0.25">
      <c r="A283" s="16">
        <v>279</v>
      </c>
      <c r="B283" s="16">
        <v>57.3</v>
      </c>
      <c r="C283" s="16">
        <v>1</v>
      </c>
      <c r="D283" s="16">
        <v>205.7</v>
      </c>
      <c r="E283" s="17">
        <f t="shared" si="4"/>
        <v>10.45</v>
      </c>
      <c r="F283" s="16">
        <v>2</v>
      </c>
      <c r="G283" s="16">
        <v>7</v>
      </c>
      <c r="H283" s="16">
        <v>1.56</v>
      </c>
      <c r="I283" s="16">
        <v>13</v>
      </c>
      <c r="J283" s="16">
        <v>101</v>
      </c>
      <c r="K283" s="16">
        <v>1.76</v>
      </c>
      <c r="L283" s="16">
        <v>83.9</v>
      </c>
      <c r="M283" s="16">
        <v>1</v>
      </c>
      <c r="N283" s="18">
        <f>IF(Risk_Calculation_Engine!U283="Low",1,IF(Risk_Calculation_Engine!U283="Medium",2,3))</f>
        <v>1</v>
      </c>
      <c r="O283" s="18" t="str">
        <f>Risk_Calculation_Engine!U283</f>
        <v>Low</v>
      </c>
    </row>
    <row r="284" spans="1:15" ht="15" customHeight="1" x14ac:dyDescent="0.25">
      <c r="A284" s="16">
        <v>280</v>
      </c>
      <c r="B284" s="16">
        <v>30.7</v>
      </c>
      <c r="C284" s="16">
        <v>4</v>
      </c>
      <c r="D284" s="16">
        <v>167.6</v>
      </c>
      <c r="E284" s="17">
        <f t="shared" si="4"/>
        <v>8.85</v>
      </c>
      <c r="F284" s="16">
        <v>2</v>
      </c>
      <c r="G284" s="16">
        <v>5</v>
      </c>
      <c r="H284" s="16">
        <v>1.74</v>
      </c>
      <c r="I284" s="16">
        <v>15</v>
      </c>
      <c r="J284" s="16">
        <v>317</v>
      </c>
      <c r="K284" s="16">
        <v>10.33</v>
      </c>
      <c r="L284" s="16">
        <v>94.2</v>
      </c>
      <c r="M284" s="16">
        <v>1</v>
      </c>
      <c r="N284" s="18">
        <f>IF(Risk_Calculation_Engine!U284="Low",1,IF(Risk_Calculation_Engine!U284="Medium",2,3))</f>
        <v>2</v>
      </c>
      <c r="O284" s="18" t="str">
        <f>Risk_Calculation_Engine!U284</f>
        <v>Medium</v>
      </c>
    </row>
    <row r="285" spans="1:15" ht="15" customHeight="1" x14ac:dyDescent="0.25">
      <c r="A285" s="16">
        <v>281</v>
      </c>
      <c r="B285" s="16">
        <v>17.5</v>
      </c>
      <c r="C285" s="16">
        <v>5</v>
      </c>
      <c r="D285" s="16">
        <v>139.4</v>
      </c>
      <c r="E285" s="17">
        <f t="shared" si="4"/>
        <v>5.85</v>
      </c>
      <c r="F285" s="16">
        <v>1</v>
      </c>
      <c r="G285" s="16">
        <v>5</v>
      </c>
      <c r="H285" s="16">
        <v>2.5</v>
      </c>
      <c r="I285" s="16">
        <v>5</v>
      </c>
      <c r="J285" s="16">
        <v>281</v>
      </c>
      <c r="K285" s="16">
        <v>16.059999999999999</v>
      </c>
      <c r="L285" s="16">
        <v>78.099999999999994</v>
      </c>
      <c r="M285" s="16">
        <v>3</v>
      </c>
      <c r="N285" s="18">
        <f>IF(Risk_Calculation_Engine!U285="Low",1,IF(Risk_Calculation_Engine!U285="Medium",2,3))</f>
        <v>3</v>
      </c>
      <c r="O285" s="18" t="str">
        <f>Risk_Calculation_Engine!U285</f>
        <v>High</v>
      </c>
    </row>
    <row r="286" spans="1:15" ht="15" customHeight="1" x14ac:dyDescent="0.25">
      <c r="A286" s="16">
        <v>282</v>
      </c>
      <c r="B286" s="16">
        <v>39</v>
      </c>
      <c r="C286" s="16">
        <v>1</v>
      </c>
      <c r="D286" s="16">
        <v>117.4</v>
      </c>
      <c r="E286" s="17">
        <f t="shared" si="4"/>
        <v>5.57</v>
      </c>
      <c r="F286" s="16">
        <v>2</v>
      </c>
      <c r="G286" s="16">
        <v>5</v>
      </c>
      <c r="H286" s="16">
        <v>2.5</v>
      </c>
      <c r="I286" s="16">
        <v>10</v>
      </c>
      <c r="J286" s="16">
        <v>66</v>
      </c>
      <c r="K286" s="16">
        <v>1.69</v>
      </c>
      <c r="L286" s="16">
        <v>60.3</v>
      </c>
      <c r="M286" s="16">
        <v>3</v>
      </c>
      <c r="N286" s="18">
        <f>IF(Risk_Calculation_Engine!U286="Low",1,IF(Risk_Calculation_Engine!U286="Medium",2,3))</f>
        <v>2</v>
      </c>
      <c r="O286" s="18" t="str">
        <f>Risk_Calculation_Engine!U286</f>
        <v>Medium</v>
      </c>
    </row>
    <row r="287" spans="1:15" ht="15" customHeight="1" x14ac:dyDescent="0.25">
      <c r="A287" s="16">
        <v>283</v>
      </c>
      <c r="B287" s="16">
        <v>58.1</v>
      </c>
      <c r="C287" s="16">
        <v>2</v>
      </c>
      <c r="D287" s="16">
        <v>313.3</v>
      </c>
      <c r="E287" s="17">
        <f t="shared" si="4"/>
        <v>18.53</v>
      </c>
      <c r="F287" s="16">
        <v>1</v>
      </c>
      <c r="G287" s="16">
        <v>6</v>
      </c>
      <c r="H287" s="16">
        <v>0.99</v>
      </c>
      <c r="I287" s="16">
        <v>9</v>
      </c>
      <c r="J287" s="16">
        <v>182</v>
      </c>
      <c r="K287" s="16">
        <v>3.13</v>
      </c>
      <c r="L287" s="16">
        <v>69.8</v>
      </c>
      <c r="M287" s="16">
        <v>1</v>
      </c>
      <c r="N287" s="18">
        <f>IF(Risk_Calculation_Engine!U287="Low",1,IF(Risk_Calculation_Engine!U287="Medium",2,3))</f>
        <v>1</v>
      </c>
      <c r="O287" s="18" t="str">
        <f>Risk_Calculation_Engine!U287</f>
        <v>Low</v>
      </c>
    </row>
    <row r="288" spans="1:15" ht="15" customHeight="1" x14ac:dyDescent="0.25">
      <c r="A288" s="16">
        <v>284</v>
      </c>
      <c r="B288" s="16">
        <v>64.2</v>
      </c>
      <c r="C288" s="16">
        <v>4</v>
      </c>
      <c r="D288" s="16">
        <v>315.39999999999998</v>
      </c>
      <c r="E288" s="17">
        <f t="shared" si="4"/>
        <v>11.28</v>
      </c>
      <c r="F288" s="16">
        <v>2</v>
      </c>
      <c r="G288" s="16">
        <v>3</v>
      </c>
      <c r="H288" s="16">
        <v>1.63</v>
      </c>
      <c r="I288" s="16">
        <v>8</v>
      </c>
      <c r="J288" s="16">
        <v>566</v>
      </c>
      <c r="K288" s="16">
        <v>8.82</v>
      </c>
      <c r="L288" s="16">
        <v>58.5</v>
      </c>
      <c r="M288" s="16">
        <v>3</v>
      </c>
      <c r="N288" s="18">
        <f>IF(Risk_Calculation_Engine!U288="Low",1,IF(Risk_Calculation_Engine!U288="Medium",2,3))</f>
        <v>1</v>
      </c>
      <c r="O288" s="18" t="str">
        <f>Risk_Calculation_Engine!U288</f>
        <v>Low</v>
      </c>
    </row>
    <row r="289" spans="1:15" ht="15" customHeight="1" x14ac:dyDescent="0.25">
      <c r="A289" s="16">
        <v>285</v>
      </c>
      <c r="B289" s="16">
        <v>119.7</v>
      </c>
      <c r="C289" s="16">
        <v>4</v>
      </c>
      <c r="D289" s="16">
        <v>808.3</v>
      </c>
      <c r="E289" s="17">
        <f t="shared" si="4"/>
        <v>19.14</v>
      </c>
      <c r="F289" s="16">
        <v>1</v>
      </c>
      <c r="G289" s="16">
        <v>6</v>
      </c>
      <c r="H289" s="16">
        <v>1.25</v>
      </c>
      <c r="I289" s="16">
        <v>11</v>
      </c>
      <c r="J289" s="16">
        <v>681</v>
      </c>
      <c r="K289" s="16">
        <v>5.69</v>
      </c>
      <c r="L289" s="16">
        <v>87.9</v>
      </c>
      <c r="M289" s="16">
        <v>3</v>
      </c>
      <c r="N289" s="18">
        <f>IF(Risk_Calculation_Engine!U289="Low",1,IF(Risk_Calculation_Engine!U289="Medium",2,3))</f>
        <v>2</v>
      </c>
      <c r="O289" s="18" t="str">
        <f>Risk_Calculation_Engine!U289</f>
        <v>Medium</v>
      </c>
    </row>
    <row r="290" spans="1:15" ht="15" customHeight="1" x14ac:dyDescent="0.25">
      <c r="A290" s="16">
        <v>286</v>
      </c>
      <c r="B290" s="16">
        <v>53.8</v>
      </c>
      <c r="C290" s="16">
        <v>1</v>
      </c>
      <c r="D290" s="16">
        <v>144.19999999999999</v>
      </c>
      <c r="E290" s="17">
        <f t="shared" si="4"/>
        <v>7.65</v>
      </c>
      <c r="F290" s="16">
        <v>3</v>
      </c>
      <c r="G290" s="16">
        <v>5</v>
      </c>
      <c r="H290" s="16">
        <v>1.93</v>
      </c>
      <c r="I290" s="16">
        <v>15</v>
      </c>
      <c r="J290" s="16">
        <v>161</v>
      </c>
      <c r="K290" s="16">
        <v>2.99</v>
      </c>
      <c r="L290" s="16">
        <v>58.4</v>
      </c>
      <c r="M290" s="16">
        <v>2</v>
      </c>
      <c r="N290" s="18">
        <f>IF(Risk_Calculation_Engine!U290="Low",1,IF(Risk_Calculation_Engine!U290="Medium",2,3))</f>
        <v>1</v>
      </c>
      <c r="O290" s="18" t="str">
        <f>Risk_Calculation_Engine!U290</f>
        <v>Low</v>
      </c>
    </row>
    <row r="291" spans="1:15" ht="15" customHeight="1" x14ac:dyDescent="0.25">
      <c r="A291" s="16">
        <v>287</v>
      </c>
      <c r="B291" s="16">
        <v>93.9</v>
      </c>
      <c r="C291" s="16">
        <v>4</v>
      </c>
      <c r="D291" s="16">
        <v>582.1</v>
      </c>
      <c r="E291" s="17">
        <f t="shared" si="4"/>
        <v>8.73</v>
      </c>
      <c r="F291" s="16">
        <v>2</v>
      </c>
      <c r="G291" s="16">
        <v>7</v>
      </c>
      <c r="H291" s="16">
        <v>2.5</v>
      </c>
      <c r="I291" s="16">
        <v>8</v>
      </c>
      <c r="J291" s="16">
        <v>991</v>
      </c>
      <c r="K291" s="16">
        <v>10.55</v>
      </c>
      <c r="L291" s="16">
        <v>68.3</v>
      </c>
      <c r="M291" s="16">
        <v>3</v>
      </c>
      <c r="N291" s="18">
        <f>IF(Risk_Calculation_Engine!U291="Low",1,IF(Risk_Calculation_Engine!U291="Medium",2,3))</f>
        <v>3</v>
      </c>
      <c r="O291" s="18" t="str">
        <f>Risk_Calculation_Engine!U291</f>
        <v>High</v>
      </c>
    </row>
    <row r="292" spans="1:15" ht="15" customHeight="1" x14ac:dyDescent="0.25">
      <c r="A292" s="16">
        <v>288</v>
      </c>
      <c r="B292" s="16">
        <v>13.4</v>
      </c>
      <c r="C292" s="16">
        <v>3</v>
      </c>
      <c r="D292" s="16">
        <v>44.3</v>
      </c>
      <c r="E292" s="17">
        <f t="shared" si="4"/>
        <v>4.33</v>
      </c>
      <c r="F292" s="16">
        <v>2</v>
      </c>
      <c r="G292" s="16">
        <v>6</v>
      </c>
      <c r="H292" s="16">
        <v>2.4500000000000002</v>
      </c>
      <c r="I292" s="16">
        <v>3</v>
      </c>
      <c r="J292" s="16">
        <v>91</v>
      </c>
      <c r="K292" s="16">
        <v>6.79</v>
      </c>
      <c r="L292" s="16">
        <v>74.599999999999994</v>
      </c>
      <c r="M292" s="16">
        <v>3</v>
      </c>
      <c r="N292" s="18">
        <f>IF(Risk_Calculation_Engine!U292="Low",1,IF(Risk_Calculation_Engine!U292="Medium",2,3))</f>
        <v>2</v>
      </c>
      <c r="O292" s="18" t="str">
        <f>Risk_Calculation_Engine!U292</f>
        <v>Medium</v>
      </c>
    </row>
    <row r="293" spans="1:15" ht="15" customHeight="1" x14ac:dyDescent="0.25">
      <c r="A293" s="16">
        <v>289</v>
      </c>
      <c r="B293" s="16">
        <v>75.900000000000006</v>
      </c>
      <c r="C293" s="16">
        <v>5</v>
      </c>
      <c r="D293" s="16">
        <v>487</v>
      </c>
      <c r="E293" s="17">
        <f t="shared" si="4"/>
        <v>10.33</v>
      </c>
      <c r="F293" s="16">
        <v>2</v>
      </c>
      <c r="G293" s="16">
        <v>4</v>
      </c>
      <c r="H293" s="16">
        <v>2.0099999999999998</v>
      </c>
      <c r="I293" s="16">
        <v>14</v>
      </c>
      <c r="J293" s="16">
        <v>933</v>
      </c>
      <c r="K293" s="16">
        <v>12.29</v>
      </c>
      <c r="L293" s="16">
        <v>68.2</v>
      </c>
      <c r="M293" s="16">
        <v>1</v>
      </c>
      <c r="N293" s="18">
        <f>IF(Risk_Calculation_Engine!U293="Low",1,IF(Risk_Calculation_Engine!U293="Medium",2,3))</f>
        <v>3</v>
      </c>
      <c r="O293" s="18" t="str">
        <f>Risk_Calculation_Engine!U293</f>
        <v>High</v>
      </c>
    </row>
    <row r="294" spans="1:15" ht="15" customHeight="1" x14ac:dyDescent="0.25">
      <c r="A294" s="16">
        <v>290</v>
      </c>
      <c r="B294" s="16">
        <v>71.8</v>
      </c>
      <c r="C294" s="16">
        <v>5</v>
      </c>
      <c r="D294" s="16">
        <v>673.5</v>
      </c>
      <c r="E294" s="17">
        <f t="shared" si="4"/>
        <v>10.06</v>
      </c>
      <c r="F294" s="16">
        <v>1</v>
      </c>
      <c r="G294" s="16">
        <v>8</v>
      </c>
      <c r="H294" s="16">
        <v>2.2599999999999998</v>
      </c>
      <c r="I294" s="16">
        <v>15</v>
      </c>
      <c r="J294" s="16">
        <v>1840</v>
      </c>
      <c r="K294" s="16">
        <v>25.63</v>
      </c>
      <c r="L294" s="16">
        <v>63.6</v>
      </c>
      <c r="M294" s="16">
        <v>3</v>
      </c>
      <c r="N294" s="18">
        <f>IF(Risk_Calculation_Engine!U294="Low",1,IF(Risk_Calculation_Engine!U294="Medium",2,3))</f>
        <v>3</v>
      </c>
      <c r="O294" s="18" t="str">
        <f>Risk_Calculation_Engine!U294</f>
        <v>High</v>
      </c>
    </row>
    <row r="295" spans="1:15" ht="15" customHeight="1" x14ac:dyDescent="0.25">
      <c r="A295" s="16">
        <v>291</v>
      </c>
      <c r="B295" s="16">
        <v>149.80000000000001</v>
      </c>
      <c r="C295" s="16">
        <v>4</v>
      </c>
      <c r="D295" s="16">
        <v>1201.4000000000001</v>
      </c>
      <c r="E295" s="17">
        <f t="shared" si="4"/>
        <v>10.69</v>
      </c>
      <c r="F295" s="16">
        <v>1</v>
      </c>
      <c r="G295" s="16">
        <v>5</v>
      </c>
      <c r="H295" s="16">
        <v>2.5</v>
      </c>
      <c r="I295" s="16">
        <v>7</v>
      </c>
      <c r="J295" s="16">
        <v>1605</v>
      </c>
      <c r="K295" s="16">
        <v>10.71</v>
      </c>
      <c r="L295" s="16">
        <v>34.700000000000003</v>
      </c>
      <c r="M295" s="16">
        <v>2</v>
      </c>
      <c r="N295" s="18">
        <f>IF(Risk_Calculation_Engine!U295="Low",1,IF(Risk_Calculation_Engine!U295="Medium",2,3))</f>
        <v>3</v>
      </c>
      <c r="O295" s="18" t="str">
        <f>Risk_Calculation_Engine!U295</f>
        <v>High</v>
      </c>
    </row>
    <row r="296" spans="1:15" ht="15" customHeight="1" x14ac:dyDescent="0.25">
      <c r="A296" s="16">
        <v>292</v>
      </c>
      <c r="B296" s="16">
        <v>49.6</v>
      </c>
      <c r="C296" s="16">
        <v>3</v>
      </c>
      <c r="D296" s="16">
        <v>139.30000000000001</v>
      </c>
      <c r="E296" s="17">
        <f t="shared" si="4"/>
        <v>6.22</v>
      </c>
      <c r="F296" s="16">
        <v>3</v>
      </c>
      <c r="G296" s="16">
        <v>4</v>
      </c>
      <c r="H296" s="16">
        <v>2.35</v>
      </c>
      <c r="I296" s="16">
        <v>9</v>
      </c>
      <c r="J296" s="16">
        <v>272</v>
      </c>
      <c r="K296" s="16">
        <v>5.48</v>
      </c>
      <c r="L296" s="16">
        <v>70.5</v>
      </c>
      <c r="M296" s="16">
        <v>1</v>
      </c>
      <c r="N296" s="18">
        <f>IF(Risk_Calculation_Engine!U296="Low",1,IF(Risk_Calculation_Engine!U296="Medium",2,3))</f>
        <v>2</v>
      </c>
      <c r="O296" s="18" t="str">
        <f>Risk_Calculation_Engine!U296</f>
        <v>Medium</v>
      </c>
    </row>
    <row r="297" spans="1:15" ht="15" customHeight="1" x14ac:dyDescent="0.25">
      <c r="A297" s="16">
        <v>293</v>
      </c>
      <c r="B297" s="16">
        <v>47.8</v>
      </c>
      <c r="C297" s="16">
        <v>3</v>
      </c>
      <c r="D297" s="16">
        <v>132.19999999999999</v>
      </c>
      <c r="E297" s="17">
        <f t="shared" si="4"/>
        <v>13.85</v>
      </c>
      <c r="F297" s="16">
        <v>3</v>
      </c>
      <c r="G297" s="16">
        <v>6</v>
      </c>
      <c r="H297" s="16">
        <v>1.04</v>
      </c>
      <c r="I297" s="16">
        <v>14</v>
      </c>
      <c r="J297" s="16">
        <v>348</v>
      </c>
      <c r="K297" s="16">
        <v>7.28</v>
      </c>
      <c r="L297" s="16">
        <v>43.2</v>
      </c>
      <c r="M297" s="16">
        <v>1</v>
      </c>
      <c r="N297" s="18">
        <f>IF(Risk_Calculation_Engine!U297="Low",1,IF(Risk_Calculation_Engine!U297="Medium",2,3))</f>
        <v>1</v>
      </c>
      <c r="O297" s="18" t="str">
        <f>Risk_Calculation_Engine!U297</f>
        <v>Low</v>
      </c>
    </row>
    <row r="298" spans="1:15" ht="15" customHeight="1" x14ac:dyDescent="0.25">
      <c r="A298" s="16">
        <v>294</v>
      </c>
      <c r="B298" s="16">
        <v>105.6</v>
      </c>
      <c r="C298" s="16">
        <v>3</v>
      </c>
      <c r="D298" s="16">
        <v>677.9</v>
      </c>
      <c r="E298" s="17">
        <f t="shared" si="4"/>
        <v>9.11</v>
      </c>
      <c r="F298" s="16">
        <v>1</v>
      </c>
      <c r="G298" s="16">
        <v>8</v>
      </c>
      <c r="H298" s="16">
        <v>2.5</v>
      </c>
      <c r="I298" s="16">
        <v>9</v>
      </c>
      <c r="J298" s="16">
        <v>510</v>
      </c>
      <c r="K298" s="16">
        <v>4.83</v>
      </c>
      <c r="L298" s="16">
        <v>45.6</v>
      </c>
      <c r="M298" s="16">
        <v>2</v>
      </c>
      <c r="N298" s="18">
        <f>IF(Risk_Calculation_Engine!U298="Low",1,IF(Risk_Calculation_Engine!U298="Medium",2,3))</f>
        <v>3</v>
      </c>
      <c r="O298" s="18" t="str">
        <f>Risk_Calculation_Engine!U298</f>
        <v>High</v>
      </c>
    </row>
    <row r="299" spans="1:15" ht="15" customHeight="1" x14ac:dyDescent="0.25">
      <c r="A299" s="16">
        <v>295</v>
      </c>
      <c r="B299" s="16">
        <v>19</v>
      </c>
      <c r="C299" s="16">
        <v>2</v>
      </c>
      <c r="D299" s="16">
        <v>73.8</v>
      </c>
      <c r="E299" s="17">
        <f t="shared" si="4"/>
        <v>7.2</v>
      </c>
      <c r="F299" s="16">
        <v>2</v>
      </c>
      <c r="G299" s="16">
        <v>6</v>
      </c>
      <c r="H299" s="16">
        <v>1.7</v>
      </c>
      <c r="I299" s="16">
        <v>9</v>
      </c>
      <c r="J299" s="16">
        <v>109</v>
      </c>
      <c r="K299" s="16">
        <v>5.74</v>
      </c>
      <c r="L299" s="16">
        <v>46.4</v>
      </c>
      <c r="M299" s="16">
        <v>3</v>
      </c>
      <c r="N299" s="18">
        <f>IF(Risk_Calculation_Engine!U299="Low",1,IF(Risk_Calculation_Engine!U299="Medium",2,3))</f>
        <v>1</v>
      </c>
      <c r="O299" s="18" t="str">
        <f>Risk_Calculation_Engine!U299</f>
        <v>Low</v>
      </c>
    </row>
    <row r="300" spans="1:15" ht="15" customHeight="1" x14ac:dyDescent="0.25">
      <c r="A300" s="16">
        <v>296</v>
      </c>
      <c r="B300" s="16">
        <v>74.400000000000006</v>
      </c>
      <c r="C300" s="16">
        <v>4</v>
      </c>
      <c r="D300" s="16">
        <v>367.7</v>
      </c>
      <c r="E300" s="17">
        <f t="shared" si="4"/>
        <v>10.1</v>
      </c>
      <c r="F300" s="16">
        <v>2</v>
      </c>
      <c r="G300" s="16">
        <v>7</v>
      </c>
      <c r="H300" s="16">
        <v>1.9</v>
      </c>
      <c r="I300" s="16">
        <v>14</v>
      </c>
      <c r="J300" s="16">
        <v>498</v>
      </c>
      <c r="K300" s="16">
        <v>6.69</v>
      </c>
      <c r="L300" s="16">
        <v>36.6</v>
      </c>
      <c r="M300" s="16">
        <v>2</v>
      </c>
      <c r="N300" s="18">
        <f>IF(Risk_Calculation_Engine!U300="Low",1,IF(Risk_Calculation_Engine!U300="Medium",2,3))</f>
        <v>3</v>
      </c>
      <c r="O300" s="18" t="str">
        <f>Risk_Calculation_Engine!U300</f>
        <v>High</v>
      </c>
    </row>
    <row r="301" spans="1:15" ht="15" customHeight="1" x14ac:dyDescent="0.25">
      <c r="A301" s="16">
        <v>297</v>
      </c>
      <c r="B301" s="16">
        <v>18</v>
      </c>
      <c r="C301" s="16">
        <v>2</v>
      </c>
      <c r="D301" s="16">
        <v>80.3</v>
      </c>
      <c r="E301" s="17">
        <f t="shared" si="4"/>
        <v>5.01</v>
      </c>
      <c r="F301" s="16">
        <v>1</v>
      </c>
      <c r="G301" s="16">
        <v>2</v>
      </c>
      <c r="H301" s="16">
        <v>2.5</v>
      </c>
      <c r="I301" s="16">
        <v>13</v>
      </c>
      <c r="J301" s="16">
        <v>96</v>
      </c>
      <c r="K301" s="16">
        <v>5.33</v>
      </c>
      <c r="L301" s="16">
        <v>82.7</v>
      </c>
      <c r="M301" s="16">
        <v>2</v>
      </c>
      <c r="N301" s="18">
        <f>IF(Risk_Calculation_Engine!U301="Low",1,IF(Risk_Calculation_Engine!U301="Medium",2,3))</f>
        <v>2</v>
      </c>
      <c r="O301" s="18" t="str">
        <f>Risk_Calculation_Engine!U301</f>
        <v>Medium</v>
      </c>
    </row>
    <row r="302" spans="1:15" ht="15" customHeight="1" x14ac:dyDescent="0.25">
      <c r="A302" s="16">
        <v>298</v>
      </c>
      <c r="B302" s="16">
        <v>149.80000000000001</v>
      </c>
      <c r="C302" s="16">
        <v>3</v>
      </c>
      <c r="D302" s="16">
        <v>791.3</v>
      </c>
      <c r="E302" s="17">
        <f t="shared" si="4"/>
        <v>9.51</v>
      </c>
      <c r="F302" s="16">
        <v>2</v>
      </c>
      <c r="G302" s="16">
        <v>11</v>
      </c>
      <c r="H302" s="16">
        <v>2.5</v>
      </c>
      <c r="I302" s="16">
        <v>9</v>
      </c>
      <c r="J302" s="16">
        <v>1318</v>
      </c>
      <c r="K302" s="16">
        <v>8.8000000000000007</v>
      </c>
      <c r="L302" s="16">
        <v>65.5</v>
      </c>
      <c r="M302" s="16">
        <v>2</v>
      </c>
      <c r="N302" s="18">
        <f>IF(Risk_Calculation_Engine!U302="Low",1,IF(Risk_Calculation_Engine!U302="Medium",2,3))</f>
        <v>3</v>
      </c>
      <c r="O302" s="18" t="str">
        <f>Risk_Calculation_Engine!U302</f>
        <v>High</v>
      </c>
    </row>
    <row r="303" spans="1:15" ht="15" customHeight="1" x14ac:dyDescent="0.25">
      <c r="A303" s="16">
        <v>299</v>
      </c>
      <c r="B303" s="16">
        <v>42.5</v>
      </c>
      <c r="C303" s="16">
        <v>1</v>
      </c>
      <c r="D303" s="16">
        <v>198</v>
      </c>
      <c r="E303" s="17">
        <f t="shared" si="4"/>
        <v>11.86</v>
      </c>
      <c r="F303" s="16">
        <v>1</v>
      </c>
      <c r="G303" s="16">
        <v>5</v>
      </c>
      <c r="H303" s="16">
        <v>1.36</v>
      </c>
      <c r="I303" s="16">
        <v>5</v>
      </c>
      <c r="J303" s="16">
        <v>84</v>
      </c>
      <c r="K303" s="16">
        <v>1.98</v>
      </c>
      <c r="L303" s="16">
        <v>82.3</v>
      </c>
      <c r="M303" s="16">
        <v>3</v>
      </c>
      <c r="N303" s="18">
        <f>IF(Risk_Calculation_Engine!U303="Low",1,IF(Risk_Calculation_Engine!U303="Medium",2,3))</f>
        <v>1</v>
      </c>
      <c r="O303" s="18" t="str">
        <f>Risk_Calculation_Engine!U303</f>
        <v>Low</v>
      </c>
    </row>
    <row r="304" spans="1:15" ht="15" customHeight="1" x14ac:dyDescent="0.25">
      <c r="A304" s="16">
        <v>300</v>
      </c>
      <c r="B304" s="16">
        <v>16.7</v>
      </c>
      <c r="C304" s="16">
        <v>3</v>
      </c>
      <c r="D304" s="16">
        <v>100.9</v>
      </c>
      <c r="E304" s="17">
        <f t="shared" si="4"/>
        <v>5.34</v>
      </c>
      <c r="F304" s="16">
        <v>1</v>
      </c>
      <c r="G304" s="16">
        <v>8</v>
      </c>
      <c r="H304" s="16">
        <v>2.5</v>
      </c>
      <c r="I304" s="16">
        <v>8</v>
      </c>
      <c r="J304" s="16">
        <v>138</v>
      </c>
      <c r="K304" s="16">
        <v>8.26</v>
      </c>
      <c r="L304" s="16">
        <v>31.7</v>
      </c>
      <c r="M304" s="16">
        <v>1</v>
      </c>
      <c r="N304" s="18">
        <f>IF(Risk_Calculation_Engine!U304="Low",1,IF(Risk_Calculation_Engine!U304="Medium",2,3))</f>
        <v>3</v>
      </c>
      <c r="O304" s="18" t="str">
        <f>Risk_Calculation_Engine!U304</f>
        <v>High</v>
      </c>
    </row>
    <row r="305" spans="1:15" ht="15" customHeight="1" x14ac:dyDescent="0.25">
      <c r="A305" s="16">
        <v>301</v>
      </c>
      <c r="B305" s="16">
        <v>38.700000000000003</v>
      </c>
      <c r="C305" s="16">
        <v>3</v>
      </c>
      <c r="D305" s="16">
        <v>180.7</v>
      </c>
      <c r="E305" s="17">
        <f t="shared" si="4"/>
        <v>11.82</v>
      </c>
      <c r="F305" s="16">
        <v>2</v>
      </c>
      <c r="G305" s="16">
        <v>2</v>
      </c>
      <c r="H305" s="16">
        <v>1.33</v>
      </c>
      <c r="I305" s="16">
        <v>11</v>
      </c>
      <c r="J305" s="16">
        <v>133</v>
      </c>
      <c r="K305" s="16">
        <v>3.44</v>
      </c>
      <c r="L305" s="16">
        <v>66</v>
      </c>
      <c r="M305" s="16">
        <v>2</v>
      </c>
      <c r="N305" s="18">
        <f>IF(Risk_Calculation_Engine!U305="Low",1,IF(Risk_Calculation_Engine!U305="Medium",2,3))</f>
        <v>1</v>
      </c>
      <c r="O305" s="18" t="str">
        <f>Risk_Calculation_Engine!U305</f>
        <v>Low</v>
      </c>
    </row>
    <row r="306" spans="1:15" ht="15" customHeight="1" x14ac:dyDescent="0.25">
      <c r="A306" s="16">
        <v>302</v>
      </c>
      <c r="B306" s="16">
        <v>74.7</v>
      </c>
      <c r="C306" s="16">
        <v>4</v>
      </c>
      <c r="D306" s="16">
        <v>556.5</v>
      </c>
      <c r="E306" s="17">
        <f t="shared" si="4"/>
        <v>11.77</v>
      </c>
      <c r="F306" s="16">
        <v>1</v>
      </c>
      <c r="G306" s="16">
        <v>6</v>
      </c>
      <c r="H306" s="16">
        <v>1.83</v>
      </c>
      <c r="I306" s="16">
        <v>6</v>
      </c>
      <c r="J306" s="16">
        <v>837</v>
      </c>
      <c r="K306" s="16">
        <v>11.2</v>
      </c>
      <c r="L306" s="16">
        <v>52.6</v>
      </c>
      <c r="M306" s="16">
        <v>2</v>
      </c>
      <c r="N306" s="18">
        <f>IF(Risk_Calculation_Engine!U306="Low",1,IF(Risk_Calculation_Engine!U306="Medium",2,3))</f>
        <v>3</v>
      </c>
      <c r="O306" s="18" t="str">
        <f>Risk_Calculation_Engine!U306</f>
        <v>High</v>
      </c>
    </row>
    <row r="307" spans="1:15" ht="15" customHeight="1" x14ac:dyDescent="0.25">
      <c r="A307" s="16">
        <v>303</v>
      </c>
      <c r="B307" s="16">
        <v>91.7</v>
      </c>
      <c r="C307" s="16">
        <v>4</v>
      </c>
      <c r="D307" s="16">
        <v>419.5</v>
      </c>
      <c r="E307" s="17">
        <f t="shared" si="4"/>
        <v>21.18</v>
      </c>
      <c r="F307" s="16">
        <v>3</v>
      </c>
      <c r="G307" s="16">
        <v>14</v>
      </c>
      <c r="H307" s="16">
        <v>0.94</v>
      </c>
      <c r="I307" s="16">
        <v>9</v>
      </c>
      <c r="J307" s="16">
        <v>785</v>
      </c>
      <c r="K307" s="16">
        <v>8.56</v>
      </c>
      <c r="L307" s="16">
        <v>63.3</v>
      </c>
      <c r="M307" s="16">
        <v>1</v>
      </c>
      <c r="N307" s="18">
        <f>IF(Risk_Calculation_Engine!U307="Low",1,IF(Risk_Calculation_Engine!U307="Medium",2,3))</f>
        <v>2</v>
      </c>
      <c r="O307" s="18" t="str">
        <f>Risk_Calculation_Engine!U307</f>
        <v>Medium</v>
      </c>
    </row>
    <row r="308" spans="1:15" ht="15" customHeight="1" x14ac:dyDescent="0.25">
      <c r="A308" s="16">
        <v>304</v>
      </c>
      <c r="B308" s="16">
        <v>149.80000000000001</v>
      </c>
      <c r="C308" s="16">
        <v>1</v>
      </c>
      <c r="D308" s="16">
        <v>548.79999999999995</v>
      </c>
      <c r="E308" s="17">
        <f t="shared" si="4"/>
        <v>16.14</v>
      </c>
      <c r="F308" s="16">
        <v>2</v>
      </c>
      <c r="G308" s="16">
        <v>6</v>
      </c>
      <c r="H308" s="16">
        <v>1.33</v>
      </c>
      <c r="I308" s="16">
        <v>11</v>
      </c>
      <c r="J308" s="16">
        <v>259</v>
      </c>
      <c r="K308" s="16">
        <v>1.73</v>
      </c>
      <c r="L308" s="16">
        <v>66.2</v>
      </c>
      <c r="M308" s="16">
        <v>3</v>
      </c>
      <c r="N308" s="18">
        <f>IF(Risk_Calculation_Engine!U308="Low",1,IF(Risk_Calculation_Engine!U308="Medium",2,3))</f>
        <v>2</v>
      </c>
      <c r="O308" s="18" t="str">
        <f>Risk_Calculation_Engine!U308</f>
        <v>Medium</v>
      </c>
    </row>
    <row r="309" spans="1:15" ht="15" customHeight="1" x14ac:dyDescent="0.25">
      <c r="A309" s="16">
        <v>305</v>
      </c>
      <c r="B309" s="16">
        <v>34.6</v>
      </c>
      <c r="C309" s="16">
        <v>5</v>
      </c>
      <c r="D309" s="16">
        <v>149.80000000000001</v>
      </c>
      <c r="E309" s="17">
        <f t="shared" si="4"/>
        <v>8.34</v>
      </c>
      <c r="F309" s="16">
        <v>3</v>
      </c>
      <c r="G309" s="16">
        <v>4</v>
      </c>
      <c r="H309" s="16">
        <v>1.79</v>
      </c>
      <c r="I309" s="16">
        <v>4</v>
      </c>
      <c r="J309" s="16">
        <v>592</v>
      </c>
      <c r="K309" s="16">
        <v>17.11</v>
      </c>
      <c r="L309" s="16">
        <v>64.2</v>
      </c>
      <c r="M309" s="16">
        <v>3</v>
      </c>
      <c r="N309" s="18">
        <f>IF(Risk_Calculation_Engine!U309="Low",1,IF(Risk_Calculation_Engine!U309="Medium",2,3))</f>
        <v>2</v>
      </c>
      <c r="O309" s="18" t="str">
        <f>Risk_Calculation_Engine!U309</f>
        <v>Medium</v>
      </c>
    </row>
    <row r="310" spans="1:15" ht="15" customHeight="1" x14ac:dyDescent="0.25">
      <c r="A310" s="16">
        <v>306</v>
      </c>
      <c r="B310" s="16">
        <v>109.1</v>
      </c>
      <c r="C310" s="16">
        <v>5</v>
      </c>
      <c r="D310" s="16">
        <v>587.29999999999995</v>
      </c>
      <c r="E310" s="17">
        <f t="shared" si="4"/>
        <v>10.62</v>
      </c>
      <c r="F310" s="16">
        <v>2</v>
      </c>
      <c r="G310" s="16">
        <v>4</v>
      </c>
      <c r="H310" s="16">
        <v>2.06</v>
      </c>
      <c r="I310" s="16">
        <v>10</v>
      </c>
      <c r="J310" s="16">
        <v>2154</v>
      </c>
      <c r="K310" s="16">
        <v>19.739999999999998</v>
      </c>
      <c r="L310" s="16">
        <v>56.8</v>
      </c>
      <c r="M310" s="16">
        <v>2</v>
      </c>
      <c r="N310" s="18">
        <f>IF(Risk_Calculation_Engine!U310="Low",1,IF(Risk_Calculation_Engine!U310="Medium",2,3))</f>
        <v>3</v>
      </c>
      <c r="O310" s="18" t="str">
        <f>Risk_Calculation_Engine!U310</f>
        <v>High</v>
      </c>
    </row>
    <row r="311" spans="1:15" ht="15" customHeight="1" x14ac:dyDescent="0.25">
      <c r="A311" s="16">
        <v>307</v>
      </c>
      <c r="B311" s="16">
        <v>9.5</v>
      </c>
      <c r="C311" s="16">
        <v>3</v>
      </c>
      <c r="D311" s="16">
        <v>25.8</v>
      </c>
      <c r="E311" s="17">
        <f t="shared" si="4"/>
        <v>4.5599999999999996</v>
      </c>
      <c r="F311" s="16">
        <v>3</v>
      </c>
      <c r="G311" s="16">
        <v>5</v>
      </c>
      <c r="H311" s="16">
        <v>2</v>
      </c>
      <c r="I311" s="16">
        <v>12</v>
      </c>
      <c r="J311" s="16">
        <v>64</v>
      </c>
      <c r="K311" s="16">
        <v>6.74</v>
      </c>
      <c r="L311" s="16">
        <v>75.8</v>
      </c>
      <c r="M311" s="16">
        <v>3</v>
      </c>
      <c r="N311" s="18">
        <f>IF(Risk_Calculation_Engine!U311="Low",1,IF(Risk_Calculation_Engine!U311="Medium",2,3))</f>
        <v>2</v>
      </c>
      <c r="O311" s="18" t="str">
        <f>Risk_Calculation_Engine!U311</f>
        <v>Medium</v>
      </c>
    </row>
    <row r="312" spans="1:15" ht="15" customHeight="1" x14ac:dyDescent="0.25">
      <c r="A312" s="16">
        <v>308</v>
      </c>
      <c r="B312" s="16">
        <v>22.5</v>
      </c>
      <c r="C312" s="16">
        <v>4</v>
      </c>
      <c r="D312" s="16">
        <v>91.2</v>
      </c>
      <c r="E312" s="17">
        <f t="shared" si="4"/>
        <v>5.22</v>
      </c>
      <c r="F312" s="16">
        <v>2</v>
      </c>
      <c r="G312" s="16">
        <v>12</v>
      </c>
      <c r="H312" s="16">
        <v>2.4900000000000002</v>
      </c>
      <c r="I312" s="16">
        <v>5</v>
      </c>
      <c r="J312" s="16">
        <v>175</v>
      </c>
      <c r="K312" s="16">
        <v>7.78</v>
      </c>
      <c r="L312" s="16">
        <v>85.6</v>
      </c>
      <c r="M312" s="16">
        <v>3</v>
      </c>
      <c r="N312" s="18">
        <f>IF(Risk_Calculation_Engine!U312="Low",1,IF(Risk_Calculation_Engine!U312="Medium",2,3))</f>
        <v>3</v>
      </c>
      <c r="O312" s="18" t="str">
        <f>Risk_Calculation_Engine!U312</f>
        <v>High</v>
      </c>
    </row>
    <row r="313" spans="1:15" ht="15" customHeight="1" x14ac:dyDescent="0.25">
      <c r="A313" s="16">
        <v>309</v>
      </c>
      <c r="B313" s="16">
        <v>13.9</v>
      </c>
      <c r="C313" s="16">
        <v>3</v>
      </c>
      <c r="D313" s="16">
        <v>59.5</v>
      </c>
      <c r="E313" s="17">
        <f t="shared" si="4"/>
        <v>8.17</v>
      </c>
      <c r="F313" s="16">
        <v>2</v>
      </c>
      <c r="G313" s="16">
        <v>6</v>
      </c>
      <c r="H313" s="16">
        <v>1.41</v>
      </c>
      <c r="I313" s="16">
        <v>10</v>
      </c>
      <c r="J313" s="16">
        <v>74</v>
      </c>
      <c r="K313" s="16">
        <v>5.32</v>
      </c>
      <c r="L313" s="16">
        <v>80.599999999999994</v>
      </c>
      <c r="M313" s="16">
        <v>1</v>
      </c>
      <c r="N313" s="18">
        <f>IF(Risk_Calculation_Engine!U313="Low",1,IF(Risk_Calculation_Engine!U313="Medium",2,3))</f>
        <v>1</v>
      </c>
      <c r="O313" s="18" t="str">
        <f>Risk_Calculation_Engine!U313</f>
        <v>Low</v>
      </c>
    </row>
    <row r="314" spans="1:15" ht="15" customHeight="1" x14ac:dyDescent="0.25">
      <c r="A314" s="16">
        <v>310</v>
      </c>
      <c r="B314" s="16">
        <v>29</v>
      </c>
      <c r="C314" s="16">
        <v>2</v>
      </c>
      <c r="D314" s="16">
        <v>88.6</v>
      </c>
      <c r="E314" s="17">
        <f t="shared" si="4"/>
        <v>8.1999999999999993</v>
      </c>
      <c r="F314" s="16">
        <v>2</v>
      </c>
      <c r="G314" s="16">
        <v>6</v>
      </c>
      <c r="H314" s="16">
        <v>1.57</v>
      </c>
      <c r="I314" s="16">
        <v>12</v>
      </c>
      <c r="J314" s="16">
        <v>87</v>
      </c>
      <c r="K314" s="16">
        <v>3</v>
      </c>
      <c r="L314" s="16">
        <v>48.7</v>
      </c>
      <c r="M314" s="16">
        <v>1</v>
      </c>
      <c r="N314" s="18">
        <f>IF(Risk_Calculation_Engine!U314="Low",1,IF(Risk_Calculation_Engine!U314="Medium",2,3))</f>
        <v>1</v>
      </c>
      <c r="O314" s="18" t="str">
        <f>Risk_Calculation_Engine!U314</f>
        <v>Low</v>
      </c>
    </row>
    <row r="315" spans="1:15" ht="15" customHeight="1" x14ac:dyDescent="0.25">
      <c r="A315" s="16">
        <v>311</v>
      </c>
      <c r="B315" s="16">
        <v>105.5</v>
      </c>
      <c r="C315" s="16">
        <v>3</v>
      </c>
      <c r="D315" s="16">
        <v>348.3</v>
      </c>
      <c r="E315" s="17">
        <f t="shared" si="4"/>
        <v>11.81</v>
      </c>
      <c r="F315" s="16">
        <v>3</v>
      </c>
      <c r="G315" s="16">
        <v>4</v>
      </c>
      <c r="H315" s="16">
        <v>1.6</v>
      </c>
      <c r="I315" s="16">
        <v>3</v>
      </c>
      <c r="J315" s="16">
        <v>717</v>
      </c>
      <c r="K315" s="16">
        <v>6.8</v>
      </c>
      <c r="L315" s="16">
        <v>78</v>
      </c>
      <c r="M315" s="16">
        <v>2</v>
      </c>
      <c r="N315" s="18">
        <f>IF(Risk_Calculation_Engine!U315="Low",1,IF(Risk_Calculation_Engine!U315="Medium",2,3))</f>
        <v>1</v>
      </c>
      <c r="O315" s="18" t="str">
        <f>Risk_Calculation_Engine!U315</f>
        <v>Low</v>
      </c>
    </row>
    <row r="316" spans="1:15" ht="15" customHeight="1" x14ac:dyDescent="0.25">
      <c r="A316" s="16">
        <v>312</v>
      </c>
      <c r="B316" s="16">
        <v>35.4</v>
      </c>
      <c r="C316" s="16">
        <v>2</v>
      </c>
      <c r="D316" s="16">
        <v>203.3</v>
      </c>
      <c r="E316" s="17">
        <f t="shared" si="4"/>
        <v>11.21</v>
      </c>
      <c r="F316" s="16">
        <v>1</v>
      </c>
      <c r="G316" s="16">
        <v>1</v>
      </c>
      <c r="H316" s="16">
        <v>1.45</v>
      </c>
      <c r="I316" s="16">
        <v>11</v>
      </c>
      <c r="J316" s="16">
        <v>85</v>
      </c>
      <c r="K316" s="16">
        <v>2.4</v>
      </c>
      <c r="L316" s="16">
        <v>56.1</v>
      </c>
      <c r="M316" s="16">
        <v>2</v>
      </c>
      <c r="N316" s="18">
        <f>IF(Risk_Calculation_Engine!U316="Low",1,IF(Risk_Calculation_Engine!U316="Medium",2,3))</f>
        <v>1</v>
      </c>
      <c r="O316" s="18" t="str">
        <f>Risk_Calculation_Engine!U316</f>
        <v>Low</v>
      </c>
    </row>
    <row r="317" spans="1:15" ht="15" customHeight="1" x14ac:dyDescent="0.25">
      <c r="A317" s="16">
        <v>313</v>
      </c>
      <c r="B317" s="16">
        <v>41.8</v>
      </c>
      <c r="C317" s="16">
        <v>5</v>
      </c>
      <c r="D317" s="16">
        <v>260.39999999999998</v>
      </c>
      <c r="E317" s="17">
        <f t="shared" si="4"/>
        <v>15.15</v>
      </c>
      <c r="F317" s="16">
        <v>2</v>
      </c>
      <c r="G317" s="16">
        <v>6</v>
      </c>
      <c r="H317" s="16">
        <v>1.1499999999999999</v>
      </c>
      <c r="I317" s="16">
        <v>6</v>
      </c>
      <c r="J317" s="16">
        <v>695</v>
      </c>
      <c r="K317" s="16">
        <v>16.63</v>
      </c>
      <c r="L317" s="16">
        <v>83.5</v>
      </c>
      <c r="M317" s="16">
        <v>2</v>
      </c>
      <c r="N317" s="18">
        <f>IF(Risk_Calculation_Engine!U317="Low",1,IF(Risk_Calculation_Engine!U317="Medium",2,3))</f>
        <v>2</v>
      </c>
      <c r="O317" s="18" t="str">
        <f>Risk_Calculation_Engine!U317</f>
        <v>Medium</v>
      </c>
    </row>
    <row r="318" spans="1:15" ht="15" customHeight="1" x14ac:dyDescent="0.25">
      <c r="A318" s="16">
        <v>314</v>
      </c>
      <c r="B318" s="16">
        <v>76.3</v>
      </c>
      <c r="C318" s="16">
        <v>5</v>
      </c>
      <c r="D318" s="16">
        <v>373.7</v>
      </c>
      <c r="E318" s="17">
        <f t="shared" si="4"/>
        <v>11.34</v>
      </c>
      <c r="F318" s="16">
        <v>3</v>
      </c>
      <c r="G318" s="16">
        <v>7</v>
      </c>
      <c r="H318" s="16">
        <v>1.7</v>
      </c>
      <c r="I318" s="16">
        <v>8</v>
      </c>
      <c r="J318" s="16">
        <v>2031</v>
      </c>
      <c r="K318" s="16">
        <v>26.62</v>
      </c>
      <c r="L318" s="16">
        <v>89.3</v>
      </c>
      <c r="M318" s="16">
        <v>2</v>
      </c>
      <c r="N318" s="18">
        <f>IF(Risk_Calculation_Engine!U318="Low",1,IF(Risk_Calculation_Engine!U318="Medium",2,3))</f>
        <v>3</v>
      </c>
      <c r="O318" s="18" t="str">
        <f>Risk_Calculation_Engine!U318</f>
        <v>High</v>
      </c>
    </row>
    <row r="319" spans="1:15" ht="15" customHeight="1" x14ac:dyDescent="0.25">
      <c r="A319" s="16">
        <v>315</v>
      </c>
      <c r="B319" s="16">
        <v>88.8</v>
      </c>
      <c r="C319" s="16">
        <v>4</v>
      </c>
      <c r="D319" s="16">
        <v>508.9</v>
      </c>
      <c r="E319" s="17">
        <f t="shared" si="4"/>
        <v>9.1</v>
      </c>
      <c r="F319" s="16">
        <v>2</v>
      </c>
      <c r="G319" s="16">
        <v>10</v>
      </c>
      <c r="H319" s="16">
        <v>2.31</v>
      </c>
      <c r="I319" s="16">
        <v>11</v>
      </c>
      <c r="J319" s="16">
        <v>1322</v>
      </c>
      <c r="K319" s="16">
        <v>14.89</v>
      </c>
      <c r="L319" s="16">
        <v>77.400000000000006</v>
      </c>
      <c r="M319" s="16">
        <v>3</v>
      </c>
      <c r="N319" s="18">
        <f>IF(Risk_Calculation_Engine!U319="Low",1,IF(Risk_Calculation_Engine!U319="Medium",2,3))</f>
        <v>3</v>
      </c>
      <c r="O319" s="18" t="str">
        <f>Risk_Calculation_Engine!U319</f>
        <v>High</v>
      </c>
    </row>
    <row r="320" spans="1:15" ht="15" customHeight="1" x14ac:dyDescent="0.25">
      <c r="A320" s="16">
        <v>316</v>
      </c>
      <c r="B320" s="16">
        <v>42.9</v>
      </c>
      <c r="C320" s="16">
        <v>4</v>
      </c>
      <c r="D320" s="16">
        <v>139.1</v>
      </c>
      <c r="E320" s="17">
        <f t="shared" si="4"/>
        <v>7.77</v>
      </c>
      <c r="F320" s="16">
        <v>3</v>
      </c>
      <c r="G320" s="16">
        <v>8</v>
      </c>
      <c r="H320" s="16">
        <v>1.88</v>
      </c>
      <c r="I320" s="16">
        <v>3</v>
      </c>
      <c r="J320" s="16">
        <v>437</v>
      </c>
      <c r="K320" s="16">
        <v>10.19</v>
      </c>
      <c r="L320" s="16">
        <v>82.8</v>
      </c>
      <c r="M320" s="16">
        <v>1</v>
      </c>
      <c r="N320" s="18">
        <f>IF(Risk_Calculation_Engine!U320="Low",1,IF(Risk_Calculation_Engine!U320="Medium",2,3))</f>
        <v>3</v>
      </c>
      <c r="O320" s="18" t="str">
        <f>Risk_Calculation_Engine!U320</f>
        <v>High</v>
      </c>
    </row>
    <row r="321" spans="1:15" ht="15" customHeight="1" x14ac:dyDescent="0.25">
      <c r="A321" s="16">
        <v>317</v>
      </c>
      <c r="B321" s="16">
        <v>22.4</v>
      </c>
      <c r="C321" s="16">
        <v>4</v>
      </c>
      <c r="D321" s="16">
        <v>98.5</v>
      </c>
      <c r="E321" s="17">
        <f t="shared" si="4"/>
        <v>9.61</v>
      </c>
      <c r="F321" s="16">
        <v>2</v>
      </c>
      <c r="G321" s="16">
        <v>9</v>
      </c>
      <c r="H321" s="16">
        <v>1.38</v>
      </c>
      <c r="I321" s="16">
        <v>3</v>
      </c>
      <c r="J321" s="16">
        <v>167</v>
      </c>
      <c r="K321" s="16">
        <v>7.46</v>
      </c>
      <c r="L321" s="16">
        <v>85.9</v>
      </c>
      <c r="M321" s="16">
        <v>1</v>
      </c>
      <c r="N321" s="18">
        <f>IF(Risk_Calculation_Engine!U321="Low",1,IF(Risk_Calculation_Engine!U321="Medium",2,3))</f>
        <v>2</v>
      </c>
      <c r="O321" s="18" t="str">
        <f>Risk_Calculation_Engine!U321</f>
        <v>Medium</v>
      </c>
    </row>
    <row r="322" spans="1:15" ht="15" customHeight="1" x14ac:dyDescent="0.25">
      <c r="A322" s="16">
        <v>318</v>
      </c>
      <c r="B322" s="16">
        <v>149.80000000000001</v>
      </c>
      <c r="C322" s="16">
        <v>5</v>
      </c>
      <c r="D322" s="16">
        <v>1452.1</v>
      </c>
      <c r="E322" s="17">
        <f t="shared" si="4"/>
        <v>16.39</v>
      </c>
      <c r="F322" s="16">
        <v>1</v>
      </c>
      <c r="G322" s="16">
        <v>5</v>
      </c>
      <c r="H322" s="16">
        <v>1.72</v>
      </c>
      <c r="I322" s="16">
        <v>8</v>
      </c>
      <c r="J322" s="16">
        <v>2922</v>
      </c>
      <c r="K322" s="16">
        <v>19.510000000000002</v>
      </c>
      <c r="L322" s="16">
        <v>67.2</v>
      </c>
      <c r="M322" s="16">
        <v>1</v>
      </c>
      <c r="N322" s="18">
        <f>IF(Risk_Calculation_Engine!U322="Low",1,IF(Risk_Calculation_Engine!U322="Medium",2,3))</f>
        <v>3</v>
      </c>
      <c r="O322" s="18" t="str">
        <f>Risk_Calculation_Engine!U322</f>
        <v>High</v>
      </c>
    </row>
    <row r="323" spans="1:15" ht="15" customHeight="1" x14ac:dyDescent="0.25">
      <c r="A323" s="16">
        <v>319</v>
      </c>
      <c r="B323" s="16">
        <v>43.2</v>
      </c>
      <c r="C323" s="16">
        <v>3</v>
      </c>
      <c r="D323" s="16">
        <v>207.1</v>
      </c>
      <c r="E323" s="17">
        <f t="shared" si="4"/>
        <v>12.1</v>
      </c>
      <c r="F323" s="16">
        <v>2</v>
      </c>
      <c r="G323" s="16">
        <v>6</v>
      </c>
      <c r="H323" s="16">
        <v>1.35</v>
      </c>
      <c r="I323" s="16">
        <v>15</v>
      </c>
      <c r="J323" s="16">
        <v>256</v>
      </c>
      <c r="K323" s="16">
        <v>5.93</v>
      </c>
      <c r="L323" s="16">
        <v>36.200000000000003</v>
      </c>
      <c r="M323" s="16">
        <v>2</v>
      </c>
      <c r="N323" s="18">
        <f>IF(Risk_Calculation_Engine!U323="Low",1,IF(Risk_Calculation_Engine!U323="Medium",2,3))</f>
        <v>1</v>
      </c>
      <c r="O323" s="18" t="str">
        <f>Risk_Calculation_Engine!U323</f>
        <v>Low</v>
      </c>
    </row>
    <row r="324" spans="1:15" ht="15" customHeight="1" x14ac:dyDescent="0.25">
      <c r="A324" s="16">
        <v>320</v>
      </c>
      <c r="B324" s="16">
        <v>47.1</v>
      </c>
      <c r="C324" s="16">
        <v>1</v>
      </c>
      <c r="D324" s="16">
        <v>141.9</v>
      </c>
      <c r="E324" s="17">
        <f t="shared" si="4"/>
        <v>7.07</v>
      </c>
      <c r="F324" s="16">
        <v>2</v>
      </c>
      <c r="G324" s="16">
        <v>4</v>
      </c>
      <c r="H324" s="16">
        <v>2.08</v>
      </c>
      <c r="I324" s="16">
        <v>3</v>
      </c>
      <c r="J324" s="16">
        <v>51</v>
      </c>
      <c r="K324" s="16">
        <v>1.08</v>
      </c>
      <c r="L324" s="16">
        <v>68.400000000000006</v>
      </c>
      <c r="M324" s="16">
        <v>3</v>
      </c>
      <c r="N324" s="18">
        <f>IF(Risk_Calculation_Engine!U324="Low",1,IF(Risk_Calculation_Engine!U324="Medium",2,3))</f>
        <v>2</v>
      </c>
      <c r="O324" s="18" t="str">
        <f>Risk_Calculation_Engine!U324</f>
        <v>Medium</v>
      </c>
    </row>
    <row r="325" spans="1:15" ht="15" customHeight="1" x14ac:dyDescent="0.25">
      <c r="A325" s="16">
        <v>321</v>
      </c>
      <c r="B325" s="16">
        <v>52.4</v>
      </c>
      <c r="C325" s="16">
        <v>4</v>
      </c>
      <c r="D325" s="16">
        <v>340</v>
      </c>
      <c r="E325" s="17">
        <f t="shared" ref="E325:E388" si="5">ROUND(3.67*D325^0.28/H325,2)</f>
        <v>8.02</v>
      </c>
      <c r="F325" s="16">
        <v>1</v>
      </c>
      <c r="G325" s="16">
        <v>7</v>
      </c>
      <c r="H325" s="16">
        <v>2.34</v>
      </c>
      <c r="I325" s="16">
        <v>13</v>
      </c>
      <c r="J325" s="16">
        <v>780</v>
      </c>
      <c r="K325" s="16">
        <v>14.89</v>
      </c>
      <c r="L325" s="16">
        <v>88.9</v>
      </c>
      <c r="M325" s="16">
        <v>3</v>
      </c>
      <c r="N325" s="18">
        <f>IF(Risk_Calculation_Engine!U325="Low",1,IF(Risk_Calculation_Engine!U325="Medium",2,3))</f>
        <v>3</v>
      </c>
      <c r="O325" s="18" t="str">
        <f>Risk_Calculation_Engine!U325</f>
        <v>High</v>
      </c>
    </row>
    <row r="326" spans="1:15" ht="15" customHeight="1" x14ac:dyDescent="0.25">
      <c r="A326" s="16">
        <v>322</v>
      </c>
      <c r="B326" s="16">
        <v>96</v>
      </c>
      <c r="C326" s="16">
        <v>3</v>
      </c>
      <c r="D326" s="16">
        <v>561.4</v>
      </c>
      <c r="E326" s="17">
        <f t="shared" si="5"/>
        <v>9.11</v>
      </c>
      <c r="F326" s="16">
        <v>1</v>
      </c>
      <c r="G326" s="16">
        <v>5</v>
      </c>
      <c r="H326" s="16">
        <v>2.37</v>
      </c>
      <c r="I326" s="16">
        <v>3</v>
      </c>
      <c r="J326" s="16">
        <v>476</v>
      </c>
      <c r="K326" s="16">
        <v>4.96</v>
      </c>
      <c r="L326" s="16">
        <v>48.9</v>
      </c>
      <c r="M326" s="16">
        <v>2</v>
      </c>
      <c r="N326" s="18">
        <f>IF(Risk_Calculation_Engine!U326="Low",1,IF(Risk_Calculation_Engine!U326="Medium",2,3))</f>
        <v>3</v>
      </c>
      <c r="O326" s="18" t="str">
        <f>Risk_Calculation_Engine!U326</f>
        <v>High</v>
      </c>
    </row>
    <row r="327" spans="1:15" ht="15" customHeight="1" x14ac:dyDescent="0.25">
      <c r="A327" s="16">
        <v>323</v>
      </c>
      <c r="B327" s="16">
        <v>12.6</v>
      </c>
      <c r="C327" s="16">
        <v>3</v>
      </c>
      <c r="D327" s="16">
        <v>66.3</v>
      </c>
      <c r="E327" s="17">
        <f t="shared" si="5"/>
        <v>7.87</v>
      </c>
      <c r="F327" s="16">
        <v>1</v>
      </c>
      <c r="G327" s="16">
        <v>5</v>
      </c>
      <c r="H327" s="16">
        <v>1.51</v>
      </c>
      <c r="I327" s="16">
        <v>9</v>
      </c>
      <c r="J327" s="16">
        <v>68</v>
      </c>
      <c r="K327" s="16">
        <v>5.4</v>
      </c>
      <c r="L327" s="16">
        <v>40.299999999999997</v>
      </c>
      <c r="M327" s="16">
        <v>2</v>
      </c>
      <c r="N327" s="18">
        <f>IF(Risk_Calculation_Engine!U327="Low",1,IF(Risk_Calculation_Engine!U327="Medium",2,3))</f>
        <v>1</v>
      </c>
      <c r="O327" s="18" t="str">
        <f>Risk_Calculation_Engine!U327</f>
        <v>Low</v>
      </c>
    </row>
    <row r="328" spans="1:15" ht="15" customHeight="1" x14ac:dyDescent="0.25">
      <c r="A328" s="16">
        <v>324</v>
      </c>
      <c r="B328" s="16">
        <v>149.80000000000001</v>
      </c>
      <c r="C328" s="16">
        <v>1</v>
      </c>
      <c r="D328" s="16">
        <v>372</v>
      </c>
      <c r="E328" s="17">
        <f t="shared" si="5"/>
        <v>14.15</v>
      </c>
      <c r="F328" s="16">
        <v>3</v>
      </c>
      <c r="G328" s="16">
        <v>3</v>
      </c>
      <c r="H328" s="16">
        <v>1.36</v>
      </c>
      <c r="I328" s="16">
        <v>8</v>
      </c>
      <c r="J328" s="16">
        <v>304</v>
      </c>
      <c r="K328" s="16">
        <v>2.0299999999999998</v>
      </c>
      <c r="L328" s="16">
        <v>67.8</v>
      </c>
      <c r="M328" s="16">
        <v>1</v>
      </c>
      <c r="N328" s="18">
        <f>IF(Risk_Calculation_Engine!U328="Low",1,IF(Risk_Calculation_Engine!U328="Medium",2,3))</f>
        <v>1</v>
      </c>
      <c r="O328" s="18" t="str">
        <f>Risk_Calculation_Engine!U328</f>
        <v>Low</v>
      </c>
    </row>
    <row r="329" spans="1:15" ht="15" customHeight="1" x14ac:dyDescent="0.25">
      <c r="A329" s="16">
        <v>325</v>
      </c>
      <c r="B329" s="16">
        <v>46</v>
      </c>
      <c r="C329" s="16">
        <v>4</v>
      </c>
      <c r="D329" s="16">
        <v>148.6</v>
      </c>
      <c r="E329" s="17">
        <f t="shared" si="5"/>
        <v>5.98</v>
      </c>
      <c r="F329" s="16">
        <v>3</v>
      </c>
      <c r="G329" s="16">
        <v>6</v>
      </c>
      <c r="H329" s="16">
        <v>2.4900000000000002</v>
      </c>
      <c r="I329" s="16">
        <v>9</v>
      </c>
      <c r="J329" s="16">
        <v>635</v>
      </c>
      <c r="K329" s="16">
        <v>13.8</v>
      </c>
      <c r="L329" s="16">
        <v>79.8</v>
      </c>
      <c r="M329" s="16">
        <v>2</v>
      </c>
      <c r="N329" s="18">
        <f>IF(Risk_Calculation_Engine!U329="Low",1,IF(Risk_Calculation_Engine!U329="Medium",2,3))</f>
        <v>3</v>
      </c>
      <c r="O329" s="18" t="str">
        <f>Risk_Calculation_Engine!U329</f>
        <v>High</v>
      </c>
    </row>
    <row r="330" spans="1:15" ht="15" customHeight="1" x14ac:dyDescent="0.25">
      <c r="A330" s="16">
        <v>326</v>
      </c>
      <c r="B330" s="16">
        <v>98.5</v>
      </c>
      <c r="C330" s="16">
        <v>3</v>
      </c>
      <c r="D330" s="16">
        <v>443.3</v>
      </c>
      <c r="E330" s="17">
        <f t="shared" si="5"/>
        <v>13.85</v>
      </c>
      <c r="F330" s="16">
        <v>2</v>
      </c>
      <c r="G330" s="16">
        <v>10</v>
      </c>
      <c r="H330" s="16">
        <v>1.46</v>
      </c>
      <c r="I330" s="16">
        <v>4</v>
      </c>
      <c r="J330" s="16">
        <v>768</v>
      </c>
      <c r="K330" s="16">
        <v>7.8</v>
      </c>
      <c r="L330" s="16">
        <v>78.2</v>
      </c>
      <c r="M330" s="16">
        <v>3</v>
      </c>
      <c r="N330" s="18">
        <f>IF(Risk_Calculation_Engine!U330="Low",1,IF(Risk_Calculation_Engine!U330="Medium",2,3))</f>
        <v>3</v>
      </c>
      <c r="O330" s="18" t="str">
        <f>Risk_Calculation_Engine!U330</f>
        <v>High</v>
      </c>
    </row>
    <row r="331" spans="1:15" ht="15" customHeight="1" x14ac:dyDescent="0.25">
      <c r="A331" s="16">
        <v>327</v>
      </c>
      <c r="B331" s="16">
        <v>16.899999999999999</v>
      </c>
      <c r="C331" s="16">
        <v>2</v>
      </c>
      <c r="D331" s="16">
        <v>79.8</v>
      </c>
      <c r="E331" s="17">
        <f t="shared" si="5"/>
        <v>7.36</v>
      </c>
      <c r="F331" s="16">
        <v>1</v>
      </c>
      <c r="G331" s="16">
        <v>5</v>
      </c>
      <c r="H331" s="16">
        <v>1.7</v>
      </c>
      <c r="I331" s="16">
        <v>12</v>
      </c>
      <c r="J331" s="16">
        <v>48</v>
      </c>
      <c r="K331" s="16">
        <v>2.84</v>
      </c>
      <c r="L331" s="16">
        <v>71.2</v>
      </c>
      <c r="M331" s="16">
        <v>1</v>
      </c>
      <c r="N331" s="18">
        <f>IF(Risk_Calculation_Engine!U331="Low",1,IF(Risk_Calculation_Engine!U331="Medium",2,3))</f>
        <v>1</v>
      </c>
      <c r="O331" s="18" t="str">
        <f>Risk_Calculation_Engine!U331</f>
        <v>Low</v>
      </c>
    </row>
    <row r="332" spans="1:15" ht="15" customHeight="1" x14ac:dyDescent="0.25">
      <c r="A332" s="16">
        <v>328</v>
      </c>
      <c r="B332" s="16">
        <v>70.3</v>
      </c>
      <c r="C332" s="16">
        <v>1</v>
      </c>
      <c r="D332" s="16">
        <v>240.1</v>
      </c>
      <c r="E332" s="17">
        <f t="shared" si="5"/>
        <v>9.11</v>
      </c>
      <c r="F332" s="16">
        <v>2</v>
      </c>
      <c r="G332" s="16">
        <v>6</v>
      </c>
      <c r="H332" s="16">
        <v>1.87</v>
      </c>
      <c r="I332" s="16">
        <v>6</v>
      </c>
      <c r="J332" s="16">
        <v>171</v>
      </c>
      <c r="K332" s="16">
        <v>2.4300000000000002</v>
      </c>
      <c r="L332" s="16">
        <v>62.6</v>
      </c>
      <c r="M332" s="16">
        <v>3</v>
      </c>
      <c r="N332" s="18">
        <f>IF(Risk_Calculation_Engine!U332="Low",1,IF(Risk_Calculation_Engine!U332="Medium",2,3))</f>
        <v>2</v>
      </c>
      <c r="O332" s="18" t="str">
        <f>Risk_Calculation_Engine!U332</f>
        <v>Medium</v>
      </c>
    </row>
    <row r="333" spans="1:15" ht="15" customHeight="1" x14ac:dyDescent="0.25">
      <c r="A333" s="16">
        <v>329</v>
      </c>
      <c r="B333" s="16">
        <v>149.80000000000001</v>
      </c>
      <c r="C333" s="16">
        <v>3</v>
      </c>
      <c r="D333" s="16">
        <v>518</v>
      </c>
      <c r="E333" s="17">
        <f t="shared" si="5"/>
        <v>12.8</v>
      </c>
      <c r="F333" s="16">
        <v>3</v>
      </c>
      <c r="G333" s="16">
        <v>4</v>
      </c>
      <c r="H333" s="16">
        <v>1.65</v>
      </c>
      <c r="I333" s="16">
        <v>13</v>
      </c>
      <c r="J333" s="16">
        <v>1235</v>
      </c>
      <c r="K333" s="16">
        <v>8.24</v>
      </c>
      <c r="L333" s="16">
        <v>94.5</v>
      </c>
      <c r="M333" s="16">
        <v>1</v>
      </c>
      <c r="N333" s="18">
        <f>IF(Risk_Calculation_Engine!U333="Low",1,IF(Risk_Calculation_Engine!U333="Medium",2,3))</f>
        <v>2</v>
      </c>
      <c r="O333" s="18" t="str">
        <f>Risk_Calculation_Engine!U333</f>
        <v>Medium</v>
      </c>
    </row>
    <row r="334" spans="1:15" ht="15" customHeight="1" x14ac:dyDescent="0.25">
      <c r="A334" s="16">
        <v>330</v>
      </c>
      <c r="B334" s="16">
        <v>149.80000000000001</v>
      </c>
      <c r="C334" s="16">
        <v>5</v>
      </c>
      <c r="D334" s="16">
        <v>919.5</v>
      </c>
      <c r="E334" s="17">
        <f t="shared" si="5"/>
        <v>11.22</v>
      </c>
      <c r="F334" s="16">
        <v>2</v>
      </c>
      <c r="G334" s="16">
        <v>5</v>
      </c>
      <c r="H334" s="16">
        <v>2.21</v>
      </c>
      <c r="I334" s="16">
        <v>11</v>
      </c>
      <c r="J334" s="16">
        <v>3274</v>
      </c>
      <c r="K334" s="16">
        <v>21.86</v>
      </c>
      <c r="L334" s="16">
        <v>26.2</v>
      </c>
      <c r="M334" s="16">
        <v>2</v>
      </c>
      <c r="N334" s="18">
        <f>IF(Risk_Calculation_Engine!U334="Low",1,IF(Risk_Calculation_Engine!U334="Medium",2,3))</f>
        <v>3</v>
      </c>
      <c r="O334" s="18" t="str">
        <f>Risk_Calculation_Engine!U334</f>
        <v>High</v>
      </c>
    </row>
    <row r="335" spans="1:15" ht="15" customHeight="1" x14ac:dyDescent="0.25">
      <c r="A335" s="16">
        <v>331</v>
      </c>
      <c r="B335" s="16">
        <v>96.6</v>
      </c>
      <c r="C335" s="16">
        <v>3</v>
      </c>
      <c r="D335" s="16">
        <v>574.1</v>
      </c>
      <c r="E335" s="17">
        <f t="shared" si="5"/>
        <v>22.41</v>
      </c>
      <c r="F335" s="16">
        <v>1</v>
      </c>
      <c r="G335" s="16">
        <v>9</v>
      </c>
      <c r="H335" s="16">
        <v>0.97</v>
      </c>
      <c r="I335" s="16">
        <v>10</v>
      </c>
      <c r="J335" s="16">
        <v>370</v>
      </c>
      <c r="K335" s="16">
        <v>3.83</v>
      </c>
      <c r="L335" s="16">
        <v>58.5</v>
      </c>
      <c r="M335" s="16">
        <v>2</v>
      </c>
      <c r="N335" s="18">
        <f>IF(Risk_Calculation_Engine!U335="Low",1,IF(Risk_Calculation_Engine!U335="Medium",2,3))</f>
        <v>1</v>
      </c>
      <c r="O335" s="18" t="str">
        <f>Risk_Calculation_Engine!U335</f>
        <v>Low</v>
      </c>
    </row>
    <row r="336" spans="1:15" ht="15" customHeight="1" x14ac:dyDescent="0.25">
      <c r="A336" s="16">
        <v>332</v>
      </c>
      <c r="B336" s="16">
        <v>27.1</v>
      </c>
      <c r="C336" s="16">
        <v>4</v>
      </c>
      <c r="D336" s="16">
        <v>184</v>
      </c>
      <c r="E336" s="17">
        <f t="shared" si="5"/>
        <v>7.94</v>
      </c>
      <c r="F336" s="16">
        <v>1</v>
      </c>
      <c r="G336" s="16">
        <v>9</v>
      </c>
      <c r="H336" s="16">
        <v>1.99</v>
      </c>
      <c r="I336" s="16">
        <v>7</v>
      </c>
      <c r="J336" s="16">
        <v>282</v>
      </c>
      <c r="K336" s="16">
        <v>10.41</v>
      </c>
      <c r="L336" s="16">
        <v>83.9</v>
      </c>
      <c r="M336" s="16">
        <v>3</v>
      </c>
      <c r="N336" s="18">
        <f>IF(Risk_Calculation_Engine!U336="Low",1,IF(Risk_Calculation_Engine!U336="Medium",2,3))</f>
        <v>3</v>
      </c>
      <c r="O336" s="18" t="str">
        <f>Risk_Calculation_Engine!U336</f>
        <v>High</v>
      </c>
    </row>
    <row r="337" spans="1:15" ht="15" customHeight="1" x14ac:dyDescent="0.25">
      <c r="A337" s="16">
        <v>333</v>
      </c>
      <c r="B337" s="16">
        <v>146.1</v>
      </c>
      <c r="C337" s="16">
        <v>4</v>
      </c>
      <c r="D337" s="16">
        <v>578.6</v>
      </c>
      <c r="E337" s="17">
        <f t="shared" si="5"/>
        <v>18</v>
      </c>
      <c r="F337" s="16">
        <v>3</v>
      </c>
      <c r="G337" s="16">
        <v>7</v>
      </c>
      <c r="H337" s="16">
        <v>1.21</v>
      </c>
      <c r="I337" s="16">
        <v>11</v>
      </c>
      <c r="J337" s="16">
        <v>1956</v>
      </c>
      <c r="K337" s="16">
        <v>13.39</v>
      </c>
      <c r="L337" s="16">
        <v>83</v>
      </c>
      <c r="M337" s="16">
        <v>2</v>
      </c>
      <c r="N337" s="18">
        <f>IF(Risk_Calculation_Engine!U337="Low",1,IF(Risk_Calculation_Engine!U337="Medium",2,3))</f>
        <v>3</v>
      </c>
      <c r="O337" s="18" t="str">
        <f>Risk_Calculation_Engine!U337</f>
        <v>High</v>
      </c>
    </row>
    <row r="338" spans="1:15" ht="15" customHeight="1" x14ac:dyDescent="0.25">
      <c r="A338" s="16">
        <v>334</v>
      </c>
      <c r="B338" s="16">
        <v>9.4</v>
      </c>
      <c r="C338" s="16">
        <v>3</v>
      </c>
      <c r="D338" s="16">
        <v>29.1</v>
      </c>
      <c r="E338" s="17">
        <f t="shared" si="5"/>
        <v>6.74</v>
      </c>
      <c r="F338" s="16">
        <v>3</v>
      </c>
      <c r="G338" s="16">
        <v>7</v>
      </c>
      <c r="H338" s="16">
        <v>1.4</v>
      </c>
      <c r="I338" s="16">
        <v>15</v>
      </c>
      <c r="J338" s="16">
        <v>39</v>
      </c>
      <c r="K338" s="16">
        <v>4.1500000000000004</v>
      </c>
      <c r="L338" s="16">
        <v>51.8</v>
      </c>
      <c r="M338" s="16">
        <v>3</v>
      </c>
      <c r="N338" s="18">
        <f>IF(Risk_Calculation_Engine!U338="Low",1,IF(Risk_Calculation_Engine!U338="Medium",2,3))</f>
        <v>1</v>
      </c>
      <c r="O338" s="18" t="str">
        <f>Risk_Calculation_Engine!U338</f>
        <v>Low</v>
      </c>
    </row>
    <row r="339" spans="1:15" ht="15" customHeight="1" x14ac:dyDescent="0.25">
      <c r="A339" s="16">
        <v>335</v>
      </c>
      <c r="B339" s="16">
        <v>26.2</v>
      </c>
      <c r="C339" s="16">
        <v>4</v>
      </c>
      <c r="D339" s="16">
        <v>159.80000000000001</v>
      </c>
      <c r="E339" s="17">
        <f t="shared" si="5"/>
        <v>8.58</v>
      </c>
      <c r="F339" s="16">
        <v>1</v>
      </c>
      <c r="G339" s="16">
        <v>10</v>
      </c>
      <c r="H339" s="16">
        <v>1.77</v>
      </c>
      <c r="I339" s="16">
        <v>15</v>
      </c>
      <c r="J339" s="16">
        <v>272</v>
      </c>
      <c r="K339" s="16">
        <v>10.38</v>
      </c>
      <c r="L339" s="16">
        <v>88.3</v>
      </c>
      <c r="M339" s="16">
        <v>3</v>
      </c>
      <c r="N339" s="18">
        <f>IF(Risk_Calculation_Engine!U339="Low",1,IF(Risk_Calculation_Engine!U339="Medium",2,3))</f>
        <v>3</v>
      </c>
      <c r="O339" s="18" t="str">
        <f>Risk_Calculation_Engine!U339</f>
        <v>High</v>
      </c>
    </row>
    <row r="340" spans="1:15" ht="15" customHeight="1" x14ac:dyDescent="0.25">
      <c r="A340" s="16">
        <v>336</v>
      </c>
      <c r="B340" s="16">
        <v>57.5</v>
      </c>
      <c r="C340" s="16">
        <v>4</v>
      </c>
      <c r="D340" s="16">
        <v>241.2</v>
      </c>
      <c r="E340" s="17">
        <f t="shared" si="5"/>
        <v>18.940000000000001</v>
      </c>
      <c r="F340" s="16">
        <v>3</v>
      </c>
      <c r="G340" s="16">
        <v>8</v>
      </c>
      <c r="H340" s="16">
        <v>0.9</v>
      </c>
      <c r="I340" s="16">
        <v>14</v>
      </c>
      <c r="J340" s="16">
        <v>672</v>
      </c>
      <c r="K340" s="16">
        <v>11.69</v>
      </c>
      <c r="L340" s="16">
        <v>62.9</v>
      </c>
      <c r="M340" s="16">
        <v>2</v>
      </c>
      <c r="N340" s="18">
        <f>IF(Risk_Calculation_Engine!U340="Low",1,IF(Risk_Calculation_Engine!U340="Medium",2,3))</f>
        <v>1</v>
      </c>
      <c r="O340" s="18" t="str">
        <f>Risk_Calculation_Engine!U340</f>
        <v>Low</v>
      </c>
    </row>
    <row r="341" spans="1:15" ht="15" customHeight="1" x14ac:dyDescent="0.25">
      <c r="A341" s="16">
        <v>337</v>
      </c>
      <c r="B341" s="16">
        <v>10.5</v>
      </c>
      <c r="C341" s="16">
        <v>4</v>
      </c>
      <c r="D341" s="16">
        <v>59.1</v>
      </c>
      <c r="E341" s="17">
        <f t="shared" si="5"/>
        <v>7.47</v>
      </c>
      <c r="F341" s="16">
        <v>1</v>
      </c>
      <c r="G341" s="16">
        <v>6</v>
      </c>
      <c r="H341" s="16">
        <v>1.54</v>
      </c>
      <c r="I341" s="16">
        <v>5</v>
      </c>
      <c r="J341" s="16">
        <v>119</v>
      </c>
      <c r="K341" s="16">
        <v>11.33</v>
      </c>
      <c r="L341" s="16">
        <v>57</v>
      </c>
      <c r="M341" s="16">
        <v>2</v>
      </c>
      <c r="N341" s="18">
        <f>IF(Risk_Calculation_Engine!U341="Low",1,IF(Risk_Calculation_Engine!U341="Medium",2,3))</f>
        <v>2</v>
      </c>
      <c r="O341" s="18" t="str">
        <f>Risk_Calculation_Engine!U341</f>
        <v>Medium</v>
      </c>
    </row>
    <row r="342" spans="1:15" ht="15" customHeight="1" x14ac:dyDescent="0.25">
      <c r="A342" s="16">
        <v>338</v>
      </c>
      <c r="B342" s="16">
        <v>38.700000000000003</v>
      </c>
      <c r="C342" s="16">
        <v>1</v>
      </c>
      <c r="D342" s="16">
        <v>170.5</v>
      </c>
      <c r="E342" s="17">
        <f t="shared" si="5"/>
        <v>10.74</v>
      </c>
      <c r="F342" s="16">
        <v>1</v>
      </c>
      <c r="G342" s="16">
        <v>7</v>
      </c>
      <c r="H342" s="16">
        <v>1.44</v>
      </c>
      <c r="I342" s="16">
        <v>10</v>
      </c>
      <c r="J342" s="16">
        <v>47</v>
      </c>
      <c r="K342" s="16">
        <v>1.21</v>
      </c>
      <c r="L342" s="16">
        <v>76.2</v>
      </c>
      <c r="M342" s="16">
        <v>2</v>
      </c>
      <c r="N342" s="18">
        <f>IF(Risk_Calculation_Engine!U342="Low",1,IF(Risk_Calculation_Engine!U342="Medium",2,3))</f>
        <v>2</v>
      </c>
      <c r="O342" s="18" t="str">
        <f>Risk_Calculation_Engine!U342</f>
        <v>Medium</v>
      </c>
    </row>
    <row r="343" spans="1:15" ht="15" customHeight="1" x14ac:dyDescent="0.25">
      <c r="A343" s="16">
        <v>339</v>
      </c>
      <c r="B343" s="16">
        <v>110.8</v>
      </c>
      <c r="C343" s="16">
        <v>1</v>
      </c>
      <c r="D343" s="16">
        <v>301.8</v>
      </c>
      <c r="E343" s="17">
        <f t="shared" si="5"/>
        <v>11.56</v>
      </c>
      <c r="F343" s="16">
        <v>3</v>
      </c>
      <c r="G343" s="16">
        <v>7</v>
      </c>
      <c r="H343" s="16">
        <v>1.57</v>
      </c>
      <c r="I343" s="16">
        <v>8</v>
      </c>
      <c r="J343" s="16">
        <v>172</v>
      </c>
      <c r="K343" s="16">
        <v>1.55</v>
      </c>
      <c r="L343" s="16">
        <v>69.8</v>
      </c>
      <c r="M343" s="16">
        <v>2</v>
      </c>
      <c r="N343" s="18">
        <f>IF(Risk_Calculation_Engine!U343="Low",1,IF(Risk_Calculation_Engine!U343="Medium",2,3))</f>
        <v>1</v>
      </c>
      <c r="O343" s="18" t="str">
        <f>Risk_Calculation_Engine!U343</f>
        <v>Low</v>
      </c>
    </row>
    <row r="344" spans="1:15" ht="15" customHeight="1" x14ac:dyDescent="0.25">
      <c r="A344" s="16">
        <v>340</v>
      </c>
      <c r="B344" s="16">
        <v>32</v>
      </c>
      <c r="C344" s="16">
        <v>5</v>
      </c>
      <c r="D344" s="16">
        <v>160.9</v>
      </c>
      <c r="E344" s="17">
        <f t="shared" si="5"/>
        <v>10.87</v>
      </c>
      <c r="F344" s="16">
        <v>2</v>
      </c>
      <c r="G344" s="16">
        <v>5</v>
      </c>
      <c r="H344" s="16">
        <v>1.4</v>
      </c>
      <c r="I344" s="16">
        <v>15</v>
      </c>
      <c r="J344" s="16">
        <v>606</v>
      </c>
      <c r="K344" s="16">
        <v>18.940000000000001</v>
      </c>
      <c r="L344" s="16">
        <v>72.7</v>
      </c>
      <c r="M344" s="16">
        <v>2</v>
      </c>
      <c r="N344" s="18">
        <f>IF(Risk_Calculation_Engine!U344="Low",1,IF(Risk_Calculation_Engine!U344="Medium",2,3))</f>
        <v>3</v>
      </c>
      <c r="O344" s="18" t="str">
        <f>Risk_Calculation_Engine!U344</f>
        <v>High</v>
      </c>
    </row>
    <row r="345" spans="1:15" ht="15" customHeight="1" x14ac:dyDescent="0.25">
      <c r="A345" s="16">
        <v>341</v>
      </c>
      <c r="B345" s="16">
        <v>114.6</v>
      </c>
      <c r="C345" s="16">
        <v>4</v>
      </c>
      <c r="D345" s="16">
        <v>610.5</v>
      </c>
      <c r="E345" s="17">
        <f t="shared" si="5"/>
        <v>12.93</v>
      </c>
      <c r="F345" s="16">
        <v>2</v>
      </c>
      <c r="G345" s="16">
        <v>4</v>
      </c>
      <c r="H345" s="16">
        <v>1.71</v>
      </c>
      <c r="I345" s="16">
        <v>15</v>
      </c>
      <c r="J345" s="16">
        <v>812</v>
      </c>
      <c r="K345" s="16">
        <v>7.09</v>
      </c>
      <c r="L345" s="16">
        <v>76.8</v>
      </c>
      <c r="M345" s="16">
        <v>2</v>
      </c>
      <c r="N345" s="18">
        <f>IF(Risk_Calculation_Engine!U345="Low",1,IF(Risk_Calculation_Engine!U345="Medium",2,3))</f>
        <v>2</v>
      </c>
      <c r="O345" s="18" t="str">
        <f>Risk_Calculation_Engine!U345</f>
        <v>Medium</v>
      </c>
    </row>
    <row r="346" spans="1:15" ht="15" customHeight="1" x14ac:dyDescent="0.25">
      <c r="A346" s="16">
        <v>342</v>
      </c>
      <c r="B346" s="16">
        <v>149.80000000000001</v>
      </c>
      <c r="C346" s="16">
        <v>5</v>
      </c>
      <c r="D346" s="16">
        <v>647.1</v>
      </c>
      <c r="E346" s="17">
        <f t="shared" si="5"/>
        <v>16.899999999999999</v>
      </c>
      <c r="F346" s="16">
        <v>3</v>
      </c>
      <c r="G346" s="16">
        <v>8</v>
      </c>
      <c r="H346" s="16">
        <v>1.33</v>
      </c>
      <c r="I346" s="16">
        <v>14</v>
      </c>
      <c r="J346" s="16">
        <v>2248</v>
      </c>
      <c r="K346" s="16">
        <v>15.01</v>
      </c>
      <c r="L346" s="16">
        <v>63.2</v>
      </c>
      <c r="M346" s="16">
        <v>2</v>
      </c>
      <c r="N346" s="18">
        <f>IF(Risk_Calculation_Engine!U346="Low",1,IF(Risk_Calculation_Engine!U346="Medium",2,3))</f>
        <v>3</v>
      </c>
      <c r="O346" s="18" t="str">
        <f>Risk_Calculation_Engine!U346</f>
        <v>High</v>
      </c>
    </row>
    <row r="347" spans="1:15" ht="15" customHeight="1" x14ac:dyDescent="0.25">
      <c r="A347" s="16">
        <v>343</v>
      </c>
      <c r="B347" s="16">
        <v>83.5</v>
      </c>
      <c r="C347" s="16">
        <v>5</v>
      </c>
      <c r="D347" s="16">
        <v>384.2</v>
      </c>
      <c r="E347" s="17">
        <f t="shared" si="5"/>
        <v>11.99</v>
      </c>
      <c r="F347" s="16">
        <v>3</v>
      </c>
      <c r="G347" s="16">
        <v>7</v>
      </c>
      <c r="H347" s="16">
        <v>1.62</v>
      </c>
      <c r="I347" s="16">
        <v>5</v>
      </c>
      <c r="J347" s="16">
        <v>1375</v>
      </c>
      <c r="K347" s="16">
        <v>16.47</v>
      </c>
      <c r="L347" s="16">
        <v>90.3</v>
      </c>
      <c r="M347" s="16">
        <v>1</v>
      </c>
      <c r="N347" s="18">
        <f>IF(Risk_Calculation_Engine!U347="Low",1,IF(Risk_Calculation_Engine!U347="Medium",2,3))</f>
        <v>3</v>
      </c>
      <c r="O347" s="18" t="str">
        <f>Risk_Calculation_Engine!U347</f>
        <v>High</v>
      </c>
    </row>
    <row r="348" spans="1:15" ht="15" customHeight="1" x14ac:dyDescent="0.25">
      <c r="A348" s="16">
        <v>344</v>
      </c>
      <c r="B348" s="16">
        <v>113.2</v>
      </c>
      <c r="C348" s="16">
        <v>1</v>
      </c>
      <c r="D348" s="16">
        <v>599</v>
      </c>
      <c r="E348" s="17">
        <f t="shared" si="5"/>
        <v>12.43</v>
      </c>
      <c r="F348" s="16">
        <v>1</v>
      </c>
      <c r="G348" s="16">
        <v>5</v>
      </c>
      <c r="H348" s="16">
        <v>1.77</v>
      </c>
      <c r="I348" s="16">
        <v>7</v>
      </c>
      <c r="J348" s="16">
        <v>116</v>
      </c>
      <c r="K348" s="16">
        <v>1.02</v>
      </c>
      <c r="L348" s="16">
        <v>58.8</v>
      </c>
      <c r="M348" s="16">
        <v>1</v>
      </c>
      <c r="N348" s="18">
        <f>IF(Risk_Calculation_Engine!U348="Low",1,IF(Risk_Calculation_Engine!U348="Medium",2,3))</f>
        <v>1</v>
      </c>
      <c r="O348" s="18" t="str">
        <f>Risk_Calculation_Engine!U348</f>
        <v>Low</v>
      </c>
    </row>
    <row r="349" spans="1:15" ht="15" customHeight="1" x14ac:dyDescent="0.25">
      <c r="A349" s="16">
        <v>345</v>
      </c>
      <c r="B349" s="16">
        <v>149.69999999999999</v>
      </c>
      <c r="C349" s="16">
        <v>4</v>
      </c>
      <c r="D349" s="16">
        <v>874.3</v>
      </c>
      <c r="E349" s="17">
        <f t="shared" si="5"/>
        <v>9.7799999999999994</v>
      </c>
      <c r="F349" s="16">
        <v>2</v>
      </c>
      <c r="G349" s="16">
        <v>3</v>
      </c>
      <c r="H349" s="16">
        <v>2.5</v>
      </c>
      <c r="I349" s="16">
        <v>12</v>
      </c>
      <c r="J349" s="16">
        <v>1513</v>
      </c>
      <c r="K349" s="16">
        <v>10.11</v>
      </c>
      <c r="L349" s="16">
        <v>65.8</v>
      </c>
      <c r="M349" s="16">
        <v>2</v>
      </c>
      <c r="N349" s="18">
        <f>IF(Risk_Calculation_Engine!U349="Low",1,IF(Risk_Calculation_Engine!U349="Medium",2,3))</f>
        <v>3</v>
      </c>
      <c r="O349" s="18" t="str">
        <f>Risk_Calculation_Engine!U349</f>
        <v>High</v>
      </c>
    </row>
    <row r="350" spans="1:15" ht="15" customHeight="1" x14ac:dyDescent="0.25">
      <c r="A350" s="16">
        <v>346</v>
      </c>
      <c r="B350" s="16">
        <v>42</v>
      </c>
      <c r="C350" s="16">
        <v>3</v>
      </c>
      <c r="D350" s="16">
        <v>142.30000000000001</v>
      </c>
      <c r="E350" s="17">
        <f t="shared" si="5"/>
        <v>5.88</v>
      </c>
      <c r="F350" s="16">
        <v>3</v>
      </c>
      <c r="G350" s="16">
        <v>8</v>
      </c>
      <c r="H350" s="16">
        <v>2.5</v>
      </c>
      <c r="I350" s="16">
        <v>12</v>
      </c>
      <c r="J350" s="16">
        <v>377</v>
      </c>
      <c r="K350" s="16">
        <v>8.98</v>
      </c>
      <c r="L350" s="16">
        <v>33.200000000000003</v>
      </c>
      <c r="M350" s="16">
        <v>3</v>
      </c>
      <c r="N350" s="18">
        <f>IF(Risk_Calculation_Engine!U350="Low",1,IF(Risk_Calculation_Engine!U350="Medium",2,3))</f>
        <v>2</v>
      </c>
      <c r="O350" s="18" t="str">
        <f>Risk_Calculation_Engine!U350</f>
        <v>Medium</v>
      </c>
    </row>
    <row r="351" spans="1:15" ht="15" customHeight="1" x14ac:dyDescent="0.25">
      <c r="A351" s="16">
        <v>347</v>
      </c>
      <c r="B351" s="16">
        <v>111.2</v>
      </c>
      <c r="C351" s="16">
        <v>4</v>
      </c>
      <c r="D351" s="16">
        <v>572.79999999999995</v>
      </c>
      <c r="E351" s="17">
        <f t="shared" si="5"/>
        <v>21.94</v>
      </c>
      <c r="F351" s="16">
        <v>2</v>
      </c>
      <c r="G351" s="16">
        <v>2</v>
      </c>
      <c r="H351" s="16">
        <v>0.99</v>
      </c>
      <c r="I351" s="16">
        <v>7</v>
      </c>
      <c r="J351" s="16">
        <v>1010</v>
      </c>
      <c r="K351" s="16">
        <v>9.08</v>
      </c>
      <c r="L351" s="16">
        <v>83.3</v>
      </c>
      <c r="M351" s="16">
        <v>3</v>
      </c>
      <c r="N351" s="18">
        <f>IF(Risk_Calculation_Engine!U351="Low",1,IF(Risk_Calculation_Engine!U351="Medium",2,3))</f>
        <v>1</v>
      </c>
      <c r="O351" s="18" t="str">
        <f>Risk_Calculation_Engine!U351</f>
        <v>Low</v>
      </c>
    </row>
    <row r="352" spans="1:15" ht="15" customHeight="1" x14ac:dyDescent="0.25">
      <c r="A352" s="16">
        <v>348</v>
      </c>
      <c r="B352" s="16">
        <v>41.1</v>
      </c>
      <c r="C352" s="16">
        <v>1</v>
      </c>
      <c r="D352" s="16">
        <v>94.8</v>
      </c>
      <c r="E352" s="17">
        <f t="shared" si="5"/>
        <v>5.25</v>
      </c>
      <c r="F352" s="16">
        <v>3</v>
      </c>
      <c r="G352" s="16">
        <v>5</v>
      </c>
      <c r="H352" s="16">
        <v>2.5</v>
      </c>
      <c r="I352" s="16">
        <v>4</v>
      </c>
      <c r="J352" s="16">
        <v>64</v>
      </c>
      <c r="K352" s="16">
        <v>1.56</v>
      </c>
      <c r="L352" s="16">
        <v>32</v>
      </c>
      <c r="M352" s="16">
        <v>3</v>
      </c>
      <c r="N352" s="18">
        <f>IF(Risk_Calculation_Engine!U352="Low",1,IF(Risk_Calculation_Engine!U352="Medium",2,3))</f>
        <v>1</v>
      </c>
      <c r="O352" s="18" t="str">
        <f>Risk_Calculation_Engine!U352</f>
        <v>Low</v>
      </c>
    </row>
    <row r="353" spans="1:15" ht="15" customHeight="1" x14ac:dyDescent="0.25">
      <c r="A353" s="16">
        <v>349</v>
      </c>
      <c r="B353" s="16">
        <v>79</v>
      </c>
      <c r="C353" s="16">
        <v>3</v>
      </c>
      <c r="D353" s="16">
        <v>385.5</v>
      </c>
      <c r="E353" s="17">
        <f t="shared" si="5"/>
        <v>16.91</v>
      </c>
      <c r="F353" s="16">
        <v>2</v>
      </c>
      <c r="G353" s="16">
        <v>9</v>
      </c>
      <c r="H353" s="16">
        <v>1.1499999999999999</v>
      </c>
      <c r="I353" s="16">
        <v>4</v>
      </c>
      <c r="J353" s="16">
        <v>357</v>
      </c>
      <c r="K353" s="16">
        <v>4.5199999999999996</v>
      </c>
      <c r="L353" s="16">
        <v>65.3</v>
      </c>
      <c r="M353" s="16">
        <v>2</v>
      </c>
      <c r="N353" s="18">
        <f>IF(Risk_Calculation_Engine!U353="Low",1,IF(Risk_Calculation_Engine!U353="Medium",2,3))</f>
        <v>1</v>
      </c>
      <c r="O353" s="18" t="str">
        <f>Risk_Calculation_Engine!U353</f>
        <v>Low</v>
      </c>
    </row>
    <row r="354" spans="1:15" ht="15" customHeight="1" x14ac:dyDescent="0.25">
      <c r="A354" s="16">
        <v>350</v>
      </c>
      <c r="B354" s="16">
        <v>123.8</v>
      </c>
      <c r="C354" s="16">
        <v>4</v>
      </c>
      <c r="D354" s="16">
        <v>839.2</v>
      </c>
      <c r="E354" s="17">
        <f t="shared" si="5"/>
        <v>14.83</v>
      </c>
      <c r="F354" s="16">
        <v>1</v>
      </c>
      <c r="G354" s="16">
        <v>10</v>
      </c>
      <c r="H354" s="16">
        <v>1.63</v>
      </c>
      <c r="I354" s="16">
        <v>11</v>
      </c>
      <c r="J354" s="16">
        <v>1257</v>
      </c>
      <c r="K354" s="16">
        <v>10.15</v>
      </c>
      <c r="L354" s="16">
        <v>53.4</v>
      </c>
      <c r="M354" s="16">
        <v>1</v>
      </c>
      <c r="N354" s="18">
        <f>IF(Risk_Calculation_Engine!U354="Low",1,IF(Risk_Calculation_Engine!U354="Medium",2,3))</f>
        <v>3</v>
      </c>
      <c r="O354" s="18" t="str">
        <f>Risk_Calculation_Engine!U354</f>
        <v>High</v>
      </c>
    </row>
    <row r="355" spans="1:15" ht="15" customHeight="1" x14ac:dyDescent="0.25">
      <c r="A355" s="16">
        <v>351</v>
      </c>
      <c r="B355" s="16">
        <v>28.4</v>
      </c>
      <c r="C355" s="16">
        <v>4</v>
      </c>
      <c r="D355" s="16">
        <v>165.6</v>
      </c>
      <c r="E355" s="17">
        <f t="shared" si="5"/>
        <v>16.86</v>
      </c>
      <c r="F355" s="16">
        <v>1</v>
      </c>
      <c r="G355" s="16">
        <v>6</v>
      </c>
      <c r="H355" s="16">
        <v>0.91</v>
      </c>
      <c r="I355" s="16">
        <v>8</v>
      </c>
      <c r="J355" s="16">
        <v>272</v>
      </c>
      <c r="K355" s="16">
        <v>9.58</v>
      </c>
      <c r="L355" s="16">
        <v>88.5</v>
      </c>
      <c r="M355" s="16">
        <v>2</v>
      </c>
      <c r="N355" s="18">
        <f>IF(Risk_Calculation_Engine!U355="Low",1,IF(Risk_Calculation_Engine!U355="Medium",2,3))</f>
        <v>1</v>
      </c>
      <c r="O355" s="18" t="str">
        <f>Risk_Calculation_Engine!U355</f>
        <v>Low</v>
      </c>
    </row>
    <row r="356" spans="1:15" ht="15" customHeight="1" x14ac:dyDescent="0.25">
      <c r="A356" s="16">
        <v>352</v>
      </c>
      <c r="B356" s="16">
        <v>2.9</v>
      </c>
      <c r="C356" s="16">
        <v>4</v>
      </c>
      <c r="D356" s="16">
        <v>7.6</v>
      </c>
      <c r="E356" s="17">
        <f t="shared" si="5"/>
        <v>8.09</v>
      </c>
      <c r="F356" s="16">
        <v>3</v>
      </c>
      <c r="G356" s="16">
        <v>6</v>
      </c>
      <c r="H356" s="16">
        <v>0.8</v>
      </c>
      <c r="I356" s="16">
        <v>9</v>
      </c>
      <c r="J356" s="16">
        <v>39</v>
      </c>
      <c r="K356" s="16">
        <v>13.45</v>
      </c>
      <c r="L356" s="16">
        <v>53</v>
      </c>
      <c r="M356" s="16">
        <v>3</v>
      </c>
      <c r="N356" s="18">
        <f>IF(Risk_Calculation_Engine!U356="Low",1,IF(Risk_Calculation_Engine!U356="Medium",2,3))</f>
        <v>1</v>
      </c>
      <c r="O356" s="18" t="str">
        <f>Risk_Calculation_Engine!U356</f>
        <v>Low</v>
      </c>
    </row>
    <row r="357" spans="1:15" ht="15" customHeight="1" x14ac:dyDescent="0.25">
      <c r="A357" s="16">
        <v>353</v>
      </c>
      <c r="B357" s="16">
        <v>25.8</v>
      </c>
      <c r="C357" s="16">
        <v>3</v>
      </c>
      <c r="D357" s="16">
        <v>72.3</v>
      </c>
      <c r="E357" s="17">
        <f t="shared" si="5"/>
        <v>4.87</v>
      </c>
      <c r="F357" s="16">
        <v>3</v>
      </c>
      <c r="G357" s="16">
        <v>4</v>
      </c>
      <c r="H357" s="16">
        <v>2.5</v>
      </c>
      <c r="I357" s="16">
        <v>13</v>
      </c>
      <c r="J357" s="16">
        <v>176</v>
      </c>
      <c r="K357" s="16">
        <v>6.82</v>
      </c>
      <c r="L357" s="16">
        <v>75.400000000000006</v>
      </c>
      <c r="M357" s="16">
        <v>2</v>
      </c>
      <c r="N357" s="18">
        <f>IF(Risk_Calculation_Engine!U357="Low",1,IF(Risk_Calculation_Engine!U357="Medium",2,3))</f>
        <v>2</v>
      </c>
      <c r="O357" s="18" t="str">
        <f>Risk_Calculation_Engine!U357</f>
        <v>Medium</v>
      </c>
    </row>
    <row r="358" spans="1:15" ht="15" customHeight="1" x14ac:dyDescent="0.25">
      <c r="A358" s="16">
        <v>354</v>
      </c>
      <c r="B358" s="16">
        <v>137.30000000000001</v>
      </c>
      <c r="C358" s="16">
        <v>3</v>
      </c>
      <c r="D358" s="16">
        <v>1029.0999999999999</v>
      </c>
      <c r="E358" s="17">
        <f t="shared" si="5"/>
        <v>15.61</v>
      </c>
      <c r="F358" s="16">
        <v>1</v>
      </c>
      <c r="G358" s="16">
        <v>12</v>
      </c>
      <c r="H358" s="16">
        <v>1.64</v>
      </c>
      <c r="I358" s="16">
        <v>3</v>
      </c>
      <c r="J358" s="16">
        <v>740</v>
      </c>
      <c r="K358" s="16">
        <v>5.39</v>
      </c>
      <c r="L358" s="16">
        <v>69.5</v>
      </c>
      <c r="M358" s="16">
        <v>2</v>
      </c>
      <c r="N358" s="18">
        <f>IF(Risk_Calculation_Engine!U358="Low",1,IF(Risk_Calculation_Engine!U358="Medium",2,3))</f>
        <v>3</v>
      </c>
      <c r="O358" s="18" t="str">
        <f>Risk_Calculation_Engine!U358</f>
        <v>High</v>
      </c>
    </row>
    <row r="359" spans="1:15" ht="15" customHeight="1" x14ac:dyDescent="0.25">
      <c r="A359" s="16">
        <v>355</v>
      </c>
      <c r="B359" s="16">
        <v>22.6</v>
      </c>
      <c r="C359" s="16">
        <v>5</v>
      </c>
      <c r="D359" s="16">
        <v>149.4</v>
      </c>
      <c r="E359" s="17">
        <f t="shared" si="5"/>
        <v>9.94</v>
      </c>
      <c r="F359" s="16">
        <v>1</v>
      </c>
      <c r="G359" s="16">
        <v>7</v>
      </c>
      <c r="H359" s="16">
        <v>1.5</v>
      </c>
      <c r="I359" s="16">
        <v>12</v>
      </c>
      <c r="J359" s="16">
        <v>360</v>
      </c>
      <c r="K359" s="16">
        <v>15.93</v>
      </c>
      <c r="L359" s="16">
        <v>78.5</v>
      </c>
      <c r="M359" s="16">
        <v>2</v>
      </c>
      <c r="N359" s="18">
        <f>IF(Risk_Calculation_Engine!U359="Low",1,IF(Risk_Calculation_Engine!U359="Medium",2,3))</f>
        <v>3</v>
      </c>
      <c r="O359" s="18" t="str">
        <f>Risk_Calculation_Engine!U359</f>
        <v>High</v>
      </c>
    </row>
    <row r="360" spans="1:15" ht="15" customHeight="1" x14ac:dyDescent="0.25">
      <c r="A360" s="16">
        <v>356</v>
      </c>
      <c r="B360" s="16">
        <v>131.9</v>
      </c>
      <c r="C360" s="16">
        <v>3</v>
      </c>
      <c r="D360" s="16">
        <v>416.6</v>
      </c>
      <c r="E360" s="17">
        <f t="shared" si="5"/>
        <v>10.68</v>
      </c>
      <c r="F360" s="16">
        <v>3</v>
      </c>
      <c r="G360" s="16">
        <v>9</v>
      </c>
      <c r="H360" s="16">
        <v>1.86</v>
      </c>
      <c r="I360" s="16">
        <v>6</v>
      </c>
      <c r="J360" s="16">
        <v>829</v>
      </c>
      <c r="K360" s="16">
        <v>6.29</v>
      </c>
      <c r="L360" s="16">
        <v>50.4</v>
      </c>
      <c r="M360" s="16">
        <v>1</v>
      </c>
      <c r="N360" s="18">
        <f>IF(Risk_Calculation_Engine!U360="Low",1,IF(Risk_Calculation_Engine!U360="Medium",2,3))</f>
        <v>3</v>
      </c>
      <c r="O360" s="18" t="str">
        <f>Risk_Calculation_Engine!U360</f>
        <v>High</v>
      </c>
    </row>
    <row r="361" spans="1:15" ht="15" customHeight="1" x14ac:dyDescent="0.25">
      <c r="A361" s="16">
        <v>357</v>
      </c>
      <c r="B361" s="16">
        <v>25.9</v>
      </c>
      <c r="C361" s="16">
        <v>3</v>
      </c>
      <c r="D361" s="16">
        <v>128.6</v>
      </c>
      <c r="E361" s="17">
        <f t="shared" si="5"/>
        <v>9.4700000000000006</v>
      </c>
      <c r="F361" s="16">
        <v>1</v>
      </c>
      <c r="G361" s="16">
        <v>3</v>
      </c>
      <c r="H361" s="16">
        <v>1.51</v>
      </c>
      <c r="I361" s="16">
        <v>15</v>
      </c>
      <c r="J361" s="16">
        <v>117</v>
      </c>
      <c r="K361" s="16">
        <v>4.5199999999999996</v>
      </c>
      <c r="L361" s="16">
        <v>72.599999999999994</v>
      </c>
      <c r="M361" s="16">
        <v>1</v>
      </c>
      <c r="N361" s="18">
        <f>IF(Risk_Calculation_Engine!U361="Low",1,IF(Risk_Calculation_Engine!U361="Medium",2,3))</f>
        <v>1</v>
      </c>
      <c r="O361" s="18" t="str">
        <f>Risk_Calculation_Engine!U361</f>
        <v>Low</v>
      </c>
    </row>
    <row r="362" spans="1:15" ht="15" customHeight="1" x14ac:dyDescent="0.25">
      <c r="A362" s="16">
        <v>358</v>
      </c>
      <c r="B362" s="16">
        <v>51</v>
      </c>
      <c r="C362" s="16">
        <v>4</v>
      </c>
      <c r="D362" s="16">
        <v>324</v>
      </c>
      <c r="E362" s="17">
        <f t="shared" si="5"/>
        <v>7.95</v>
      </c>
      <c r="F362" s="16">
        <v>1</v>
      </c>
      <c r="G362" s="16">
        <v>7</v>
      </c>
      <c r="H362" s="16">
        <v>2.33</v>
      </c>
      <c r="I362" s="16">
        <v>15</v>
      </c>
      <c r="J362" s="16">
        <v>471</v>
      </c>
      <c r="K362" s="16">
        <v>9.24</v>
      </c>
      <c r="L362" s="16">
        <v>53.2</v>
      </c>
      <c r="M362" s="16">
        <v>1</v>
      </c>
      <c r="N362" s="18">
        <f>IF(Risk_Calculation_Engine!U362="Low",1,IF(Risk_Calculation_Engine!U362="Medium",2,3))</f>
        <v>3</v>
      </c>
      <c r="O362" s="18" t="str">
        <f>Risk_Calculation_Engine!U362</f>
        <v>High</v>
      </c>
    </row>
    <row r="363" spans="1:15" ht="15" customHeight="1" x14ac:dyDescent="0.25">
      <c r="A363" s="16">
        <v>359</v>
      </c>
      <c r="B363" s="16">
        <v>60.9</v>
      </c>
      <c r="C363" s="16">
        <v>3</v>
      </c>
      <c r="D363" s="16">
        <v>194</v>
      </c>
      <c r="E363" s="17">
        <f t="shared" si="5"/>
        <v>8.86</v>
      </c>
      <c r="F363" s="16">
        <v>3</v>
      </c>
      <c r="G363" s="16">
        <v>7</v>
      </c>
      <c r="H363" s="16">
        <v>1.81</v>
      </c>
      <c r="I363" s="16">
        <v>9</v>
      </c>
      <c r="J363" s="16">
        <v>287</v>
      </c>
      <c r="K363" s="16">
        <v>4.71</v>
      </c>
      <c r="L363" s="16">
        <v>41.6</v>
      </c>
      <c r="M363" s="16">
        <v>2</v>
      </c>
      <c r="N363" s="18">
        <f>IF(Risk_Calculation_Engine!U363="Low",1,IF(Risk_Calculation_Engine!U363="Medium",2,3))</f>
        <v>2</v>
      </c>
      <c r="O363" s="18" t="str">
        <f>Risk_Calculation_Engine!U363</f>
        <v>Medium</v>
      </c>
    </row>
    <row r="364" spans="1:15" ht="15" customHeight="1" x14ac:dyDescent="0.25">
      <c r="A364" s="16">
        <v>360</v>
      </c>
      <c r="B364" s="16">
        <v>22.5</v>
      </c>
      <c r="C364" s="16">
        <v>4</v>
      </c>
      <c r="D364" s="16">
        <v>71.900000000000006</v>
      </c>
      <c r="E364" s="17">
        <f t="shared" si="5"/>
        <v>5.62</v>
      </c>
      <c r="F364" s="16">
        <v>3</v>
      </c>
      <c r="G364" s="16">
        <v>8</v>
      </c>
      <c r="H364" s="16">
        <v>2.16</v>
      </c>
      <c r="I364" s="16">
        <v>7</v>
      </c>
      <c r="J364" s="16">
        <v>228</v>
      </c>
      <c r="K364" s="16">
        <v>10.130000000000001</v>
      </c>
      <c r="L364" s="16">
        <v>76.599999999999994</v>
      </c>
      <c r="M364" s="16">
        <v>3</v>
      </c>
      <c r="N364" s="18">
        <f>IF(Risk_Calculation_Engine!U364="Low",1,IF(Risk_Calculation_Engine!U364="Medium",2,3))</f>
        <v>3</v>
      </c>
      <c r="O364" s="18" t="str">
        <f>Risk_Calculation_Engine!U364</f>
        <v>High</v>
      </c>
    </row>
    <row r="365" spans="1:15" ht="15" customHeight="1" x14ac:dyDescent="0.25">
      <c r="A365" s="16">
        <v>361</v>
      </c>
      <c r="B365" s="16">
        <v>51.5</v>
      </c>
      <c r="C365" s="16">
        <v>3</v>
      </c>
      <c r="D365" s="16">
        <v>147.19999999999999</v>
      </c>
      <c r="E365" s="17">
        <f t="shared" si="5"/>
        <v>12.27</v>
      </c>
      <c r="F365" s="16">
        <v>3</v>
      </c>
      <c r="G365" s="16">
        <v>6</v>
      </c>
      <c r="H365" s="16">
        <v>1.21</v>
      </c>
      <c r="I365" s="16">
        <v>6</v>
      </c>
      <c r="J365" s="16">
        <v>323</v>
      </c>
      <c r="K365" s="16">
        <v>6.27</v>
      </c>
      <c r="L365" s="16">
        <v>80.099999999999994</v>
      </c>
      <c r="M365" s="16">
        <v>1</v>
      </c>
      <c r="N365" s="18">
        <f>IF(Risk_Calculation_Engine!U365="Low",1,IF(Risk_Calculation_Engine!U365="Medium",2,3))</f>
        <v>1</v>
      </c>
      <c r="O365" s="18" t="str">
        <f>Risk_Calculation_Engine!U365</f>
        <v>Low</v>
      </c>
    </row>
    <row r="366" spans="1:15" ht="15" customHeight="1" x14ac:dyDescent="0.25">
      <c r="A366" s="16">
        <v>362</v>
      </c>
      <c r="B366" s="16">
        <v>11.4</v>
      </c>
      <c r="C366" s="16">
        <v>4</v>
      </c>
      <c r="D366" s="16">
        <v>44.6</v>
      </c>
      <c r="E366" s="17">
        <f t="shared" si="5"/>
        <v>11.19</v>
      </c>
      <c r="F366" s="16">
        <v>2</v>
      </c>
      <c r="G366" s="16">
        <v>4</v>
      </c>
      <c r="H366" s="16">
        <v>0.95</v>
      </c>
      <c r="I366" s="16">
        <v>5</v>
      </c>
      <c r="J366" s="16">
        <v>154</v>
      </c>
      <c r="K366" s="16">
        <v>13.51</v>
      </c>
      <c r="L366" s="16">
        <v>65.599999999999994</v>
      </c>
      <c r="M366" s="16">
        <v>1</v>
      </c>
      <c r="N366" s="18">
        <f>IF(Risk_Calculation_Engine!U366="Low",1,IF(Risk_Calculation_Engine!U366="Medium",2,3))</f>
        <v>1</v>
      </c>
      <c r="O366" s="18" t="str">
        <f>Risk_Calculation_Engine!U366</f>
        <v>Low</v>
      </c>
    </row>
    <row r="367" spans="1:15" ht="15" customHeight="1" x14ac:dyDescent="0.25">
      <c r="A367" s="16">
        <v>363</v>
      </c>
      <c r="B367" s="16">
        <v>45.4</v>
      </c>
      <c r="C367" s="16">
        <v>5</v>
      </c>
      <c r="D367" s="16">
        <v>284.7</v>
      </c>
      <c r="E367" s="17">
        <f t="shared" si="5"/>
        <v>7.29</v>
      </c>
      <c r="F367" s="16">
        <v>2</v>
      </c>
      <c r="G367" s="16">
        <v>4</v>
      </c>
      <c r="H367" s="16">
        <v>2.4500000000000002</v>
      </c>
      <c r="I367" s="16">
        <v>15</v>
      </c>
      <c r="J367" s="16">
        <v>614</v>
      </c>
      <c r="K367" s="16">
        <v>13.52</v>
      </c>
      <c r="L367" s="16">
        <v>59.4</v>
      </c>
      <c r="M367" s="16">
        <v>3</v>
      </c>
      <c r="N367" s="18">
        <f>IF(Risk_Calculation_Engine!U367="Low",1,IF(Risk_Calculation_Engine!U367="Medium",2,3))</f>
        <v>3</v>
      </c>
      <c r="O367" s="18" t="str">
        <f>Risk_Calculation_Engine!U367</f>
        <v>High</v>
      </c>
    </row>
    <row r="368" spans="1:15" ht="15" customHeight="1" x14ac:dyDescent="0.25">
      <c r="A368" s="16">
        <v>364</v>
      </c>
      <c r="B368" s="16">
        <v>56.8</v>
      </c>
      <c r="C368" s="16">
        <v>5</v>
      </c>
      <c r="D368" s="16">
        <v>252.2</v>
      </c>
      <c r="E368" s="17">
        <f t="shared" si="5"/>
        <v>9.1300000000000008</v>
      </c>
      <c r="F368" s="16">
        <v>3</v>
      </c>
      <c r="G368" s="16">
        <v>5</v>
      </c>
      <c r="H368" s="16">
        <v>1.89</v>
      </c>
      <c r="I368" s="16">
        <v>5</v>
      </c>
      <c r="J368" s="16">
        <v>1436</v>
      </c>
      <c r="K368" s="16">
        <v>25.28</v>
      </c>
      <c r="L368" s="16">
        <v>66.5</v>
      </c>
      <c r="M368" s="16">
        <v>3</v>
      </c>
      <c r="N368" s="18">
        <f>IF(Risk_Calculation_Engine!U368="Low",1,IF(Risk_Calculation_Engine!U368="Medium",2,3))</f>
        <v>3</v>
      </c>
      <c r="O368" s="18" t="str">
        <f>Risk_Calculation_Engine!U368</f>
        <v>High</v>
      </c>
    </row>
    <row r="369" spans="1:15" ht="15" customHeight="1" x14ac:dyDescent="0.25">
      <c r="A369" s="16">
        <v>365</v>
      </c>
      <c r="B369" s="16">
        <v>3.2</v>
      </c>
      <c r="C369" s="16">
        <v>4</v>
      </c>
      <c r="D369" s="16">
        <v>18.2</v>
      </c>
      <c r="E369" s="17">
        <f t="shared" si="5"/>
        <v>7.95</v>
      </c>
      <c r="F369" s="16">
        <v>1</v>
      </c>
      <c r="G369" s="16">
        <v>8</v>
      </c>
      <c r="H369" s="16">
        <v>1.04</v>
      </c>
      <c r="I369" s="16">
        <v>8</v>
      </c>
      <c r="J369" s="16">
        <v>33</v>
      </c>
      <c r="K369" s="16">
        <v>10.31</v>
      </c>
      <c r="L369" s="16">
        <v>58.9</v>
      </c>
      <c r="M369" s="16">
        <v>2</v>
      </c>
      <c r="N369" s="18">
        <f>IF(Risk_Calculation_Engine!U369="Low",1,IF(Risk_Calculation_Engine!U369="Medium",2,3))</f>
        <v>2</v>
      </c>
      <c r="O369" s="18" t="str">
        <f>Risk_Calculation_Engine!U369</f>
        <v>Medium</v>
      </c>
    </row>
    <row r="370" spans="1:15" ht="15" customHeight="1" x14ac:dyDescent="0.25">
      <c r="A370" s="16">
        <v>366</v>
      </c>
      <c r="B370" s="16">
        <v>25.6</v>
      </c>
      <c r="C370" s="16">
        <v>3</v>
      </c>
      <c r="D370" s="16">
        <v>128.6</v>
      </c>
      <c r="E370" s="17">
        <f t="shared" si="5"/>
        <v>13.62</v>
      </c>
      <c r="F370" s="16">
        <v>1</v>
      </c>
      <c r="G370" s="16">
        <v>12</v>
      </c>
      <c r="H370" s="16">
        <v>1.05</v>
      </c>
      <c r="I370" s="16">
        <v>9</v>
      </c>
      <c r="J370" s="16">
        <v>188</v>
      </c>
      <c r="K370" s="16">
        <v>7.34</v>
      </c>
      <c r="L370" s="16">
        <v>86</v>
      </c>
      <c r="M370" s="16">
        <v>2</v>
      </c>
      <c r="N370" s="18">
        <f>IF(Risk_Calculation_Engine!U370="Low",1,IF(Risk_Calculation_Engine!U370="Medium",2,3))</f>
        <v>2</v>
      </c>
      <c r="O370" s="18" t="str">
        <f>Risk_Calculation_Engine!U370</f>
        <v>Medium</v>
      </c>
    </row>
    <row r="371" spans="1:15" ht="15" customHeight="1" x14ac:dyDescent="0.25">
      <c r="A371" s="16">
        <v>367</v>
      </c>
      <c r="B371" s="16">
        <v>77.099999999999994</v>
      </c>
      <c r="C371" s="16">
        <v>4</v>
      </c>
      <c r="D371" s="16">
        <v>288.39999999999998</v>
      </c>
      <c r="E371" s="17">
        <f t="shared" si="5"/>
        <v>10.42</v>
      </c>
      <c r="F371" s="16">
        <v>3</v>
      </c>
      <c r="G371" s="16">
        <v>2</v>
      </c>
      <c r="H371" s="16">
        <v>1.72</v>
      </c>
      <c r="I371" s="16">
        <v>11</v>
      </c>
      <c r="J371" s="16">
        <v>857</v>
      </c>
      <c r="K371" s="16">
        <v>11.12</v>
      </c>
      <c r="L371" s="16">
        <v>66.7</v>
      </c>
      <c r="M371" s="16">
        <v>2</v>
      </c>
      <c r="N371" s="18">
        <f>IF(Risk_Calculation_Engine!U371="Low",1,IF(Risk_Calculation_Engine!U371="Medium",2,3))</f>
        <v>2</v>
      </c>
      <c r="O371" s="18" t="str">
        <f>Risk_Calculation_Engine!U371</f>
        <v>Medium</v>
      </c>
    </row>
    <row r="372" spans="1:15" ht="15" customHeight="1" x14ac:dyDescent="0.25">
      <c r="A372" s="16">
        <v>368</v>
      </c>
      <c r="B372" s="16">
        <v>19.899999999999999</v>
      </c>
      <c r="C372" s="16">
        <v>4</v>
      </c>
      <c r="D372" s="16">
        <v>105.7</v>
      </c>
      <c r="E372" s="17">
        <f t="shared" si="5"/>
        <v>6.48</v>
      </c>
      <c r="F372" s="16">
        <v>2</v>
      </c>
      <c r="G372" s="16">
        <v>8</v>
      </c>
      <c r="H372" s="16">
        <v>2.09</v>
      </c>
      <c r="I372" s="16">
        <v>13</v>
      </c>
      <c r="J372" s="16">
        <v>264</v>
      </c>
      <c r="K372" s="16">
        <v>13.27</v>
      </c>
      <c r="L372" s="16">
        <v>55.4</v>
      </c>
      <c r="M372" s="16">
        <v>2</v>
      </c>
      <c r="N372" s="18">
        <f>IF(Risk_Calculation_Engine!U372="Low",1,IF(Risk_Calculation_Engine!U372="Medium",2,3))</f>
        <v>3</v>
      </c>
      <c r="O372" s="18" t="str">
        <f>Risk_Calculation_Engine!U372</f>
        <v>High</v>
      </c>
    </row>
    <row r="373" spans="1:15" ht="15" customHeight="1" x14ac:dyDescent="0.25">
      <c r="A373" s="16">
        <v>369</v>
      </c>
      <c r="B373" s="16">
        <v>87.3</v>
      </c>
      <c r="C373" s="16">
        <v>4</v>
      </c>
      <c r="D373" s="16">
        <v>307.5</v>
      </c>
      <c r="E373" s="17">
        <f t="shared" si="5"/>
        <v>15.87</v>
      </c>
      <c r="F373" s="16">
        <v>3</v>
      </c>
      <c r="G373" s="16">
        <v>5</v>
      </c>
      <c r="H373" s="16">
        <v>1.1499999999999999</v>
      </c>
      <c r="I373" s="16">
        <v>10</v>
      </c>
      <c r="J373" s="16">
        <v>1015</v>
      </c>
      <c r="K373" s="16">
        <v>11.63</v>
      </c>
      <c r="L373" s="16">
        <v>33.1</v>
      </c>
      <c r="M373" s="16">
        <v>3</v>
      </c>
      <c r="N373" s="18">
        <f>IF(Risk_Calculation_Engine!U373="Low",1,IF(Risk_Calculation_Engine!U373="Medium",2,3))</f>
        <v>1</v>
      </c>
      <c r="O373" s="18" t="str">
        <f>Risk_Calculation_Engine!U373</f>
        <v>Low</v>
      </c>
    </row>
    <row r="374" spans="1:15" ht="15" customHeight="1" x14ac:dyDescent="0.25">
      <c r="A374" s="16">
        <v>370</v>
      </c>
      <c r="B374" s="16">
        <v>93.9</v>
      </c>
      <c r="C374" s="16">
        <v>4</v>
      </c>
      <c r="D374" s="16">
        <v>683.4</v>
      </c>
      <c r="E374" s="17">
        <f t="shared" si="5"/>
        <v>9.1300000000000008</v>
      </c>
      <c r="F374" s="16">
        <v>1</v>
      </c>
      <c r="G374" s="16">
        <v>6</v>
      </c>
      <c r="H374" s="16">
        <v>2.5</v>
      </c>
      <c r="I374" s="16">
        <v>12</v>
      </c>
      <c r="J374" s="16">
        <v>480</v>
      </c>
      <c r="K374" s="16">
        <v>5.1100000000000003</v>
      </c>
      <c r="L374" s="16">
        <v>61.7</v>
      </c>
      <c r="M374" s="16">
        <v>1</v>
      </c>
      <c r="N374" s="18">
        <f>IF(Risk_Calculation_Engine!U374="Low",1,IF(Risk_Calculation_Engine!U374="Medium",2,3))</f>
        <v>3</v>
      </c>
      <c r="O374" s="18" t="str">
        <f>Risk_Calculation_Engine!U374</f>
        <v>High</v>
      </c>
    </row>
    <row r="375" spans="1:15" ht="15" customHeight="1" x14ac:dyDescent="0.25">
      <c r="A375" s="16">
        <v>371</v>
      </c>
      <c r="B375" s="16">
        <v>76.900000000000006</v>
      </c>
      <c r="C375" s="16">
        <v>4</v>
      </c>
      <c r="D375" s="16">
        <v>286.7</v>
      </c>
      <c r="E375" s="17">
        <f t="shared" si="5"/>
        <v>8.1</v>
      </c>
      <c r="F375" s="16">
        <v>3</v>
      </c>
      <c r="G375" s="16">
        <v>4</v>
      </c>
      <c r="H375" s="16">
        <v>2.21</v>
      </c>
      <c r="I375" s="16">
        <v>10</v>
      </c>
      <c r="J375" s="16">
        <v>685</v>
      </c>
      <c r="K375" s="16">
        <v>8.91</v>
      </c>
      <c r="L375" s="16">
        <v>78.900000000000006</v>
      </c>
      <c r="M375" s="16">
        <v>3</v>
      </c>
      <c r="N375" s="18">
        <f>IF(Risk_Calculation_Engine!U375="Low",1,IF(Risk_Calculation_Engine!U375="Medium",2,3))</f>
        <v>3</v>
      </c>
      <c r="O375" s="18" t="str">
        <f>Risk_Calculation_Engine!U375</f>
        <v>High</v>
      </c>
    </row>
    <row r="376" spans="1:15" ht="15" customHeight="1" x14ac:dyDescent="0.25">
      <c r="A376" s="16">
        <v>372</v>
      </c>
      <c r="B376" s="16">
        <v>110.2</v>
      </c>
      <c r="C376" s="16">
        <v>4</v>
      </c>
      <c r="D376" s="16">
        <v>517</v>
      </c>
      <c r="E376" s="17">
        <f t="shared" si="5"/>
        <v>8.44</v>
      </c>
      <c r="F376" s="16">
        <v>2</v>
      </c>
      <c r="G376" s="16">
        <v>6</v>
      </c>
      <c r="H376" s="16">
        <v>2.5</v>
      </c>
      <c r="I376" s="16">
        <v>8</v>
      </c>
      <c r="J376" s="16">
        <v>1585</v>
      </c>
      <c r="K376" s="16">
        <v>14.38</v>
      </c>
      <c r="L376" s="16">
        <v>58.9</v>
      </c>
      <c r="M376" s="16">
        <v>2</v>
      </c>
      <c r="N376" s="18">
        <f>IF(Risk_Calculation_Engine!U376="Low",1,IF(Risk_Calculation_Engine!U376="Medium",2,3))</f>
        <v>3</v>
      </c>
      <c r="O376" s="18" t="str">
        <f>Risk_Calculation_Engine!U376</f>
        <v>High</v>
      </c>
    </row>
    <row r="377" spans="1:15" ht="15" customHeight="1" x14ac:dyDescent="0.25">
      <c r="A377" s="16">
        <v>373</v>
      </c>
      <c r="B377" s="16">
        <v>10.5</v>
      </c>
      <c r="C377" s="16">
        <v>4</v>
      </c>
      <c r="D377" s="16">
        <v>46.4</v>
      </c>
      <c r="E377" s="17">
        <f t="shared" si="5"/>
        <v>6.28</v>
      </c>
      <c r="F377" s="16">
        <v>2</v>
      </c>
      <c r="G377" s="16">
        <v>7</v>
      </c>
      <c r="H377" s="16">
        <v>1.71</v>
      </c>
      <c r="I377" s="16">
        <v>5</v>
      </c>
      <c r="J377" s="16">
        <v>100</v>
      </c>
      <c r="K377" s="16">
        <v>9.52</v>
      </c>
      <c r="L377" s="16">
        <v>47.7</v>
      </c>
      <c r="M377" s="16">
        <v>3</v>
      </c>
      <c r="N377" s="18">
        <f>IF(Risk_Calculation_Engine!U377="Low",1,IF(Risk_Calculation_Engine!U377="Medium",2,3))</f>
        <v>2</v>
      </c>
      <c r="O377" s="18" t="str">
        <f>Risk_Calculation_Engine!U377</f>
        <v>Medium</v>
      </c>
    </row>
    <row r="378" spans="1:15" ht="15" customHeight="1" x14ac:dyDescent="0.25">
      <c r="A378" s="16">
        <v>374</v>
      </c>
      <c r="B378" s="16">
        <v>127.9</v>
      </c>
      <c r="C378" s="16">
        <v>2</v>
      </c>
      <c r="D378" s="16">
        <v>403.5</v>
      </c>
      <c r="E378" s="17">
        <f t="shared" si="5"/>
        <v>11.93</v>
      </c>
      <c r="F378" s="16">
        <v>3</v>
      </c>
      <c r="G378" s="16">
        <v>9</v>
      </c>
      <c r="H378" s="16">
        <v>1.65</v>
      </c>
      <c r="I378" s="16">
        <v>5</v>
      </c>
      <c r="J378" s="16">
        <v>680</v>
      </c>
      <c r="K378" s="16">
        <v>5.32</v>
      </c>
      <c r="L378" s="16">
        <v>80.2</v>
      </c>
      <c r="M378" s="16">
        <v>1</v>
      </c>
      <c r="N378" s="18">
        <f>IF(Risk_Calculation_Engine!U378="Low",1,IF(Risk_Calculation_Engine!U378="Medium",2,3))</f>
        <v>2</v>
      </c>
      <c r="O378" s="18" t="str">
        <f>Risk_Calculation_Engine!U378</f>
        <v>Medium</v>
      </c>
    </row>
    <row r="379" spans="1:15" ht="15" customHeight="1" x14ac:dyDescent="0.25">
      <c r="A379" s="16">
        <v>375</v>
      </c>
      <c r="B379" s="16">
        <v>22.9</v>
      </c>
      <c r="C379" s="16">
        <v>3</v>
      </c>
      <c r="D379" s="16">
        <v>87.1</v>
      </c>
      <c r="E379" s="17">
        <f t="shared" si="5"/>
        <v>12.57</v>
      </c>
      <c r="F379" s="16">
        <v>2</v>
      </c>
      <c r="G379" s="16">
        <v>4</v>
      </c>
      <c r="H379" s="16">
        <v>1.02</v>
      </c>
      <c r="I379" s="16">
        <v>8</v>
      </c>
      <c r="J379" s="16">
        <v>188</v>
      </c>
      <c r="K379" s="16">
        <v>8.2100000000000009</v>
      </c>
      <c r="L379" s="16">
        <v>56.2</v>
      </c>
      <c r="M379" s="16">
        <v>3</v>
      </c>
      <c r="N379" s="18">
        <f>IF(Risk_Calculation_Engine!U379="Low",1,IF(Risk_Calculation_Engine!U379="Medium",2,3))</f>
        <v>1</v>
      </c>
      <c r="O379" s="18" t="str">
        <f>Risk_Calculation_Engine!U379</f>
        <v>Low</v>
      </c>
    </row>
    <row r="380" spans="1:15" ht="15" customHeight="1" x14ac:dyDescent="0.25">
      <c r="A380" s="16">
        <v>376</v>
      </c>
      <c r="B380" s="16">
        <v>66.8</v>
      </c>
      <c r="C380" s="16">
        <v>4</v>
      </c>
      <c r="D380" s="16">
        <v>346.9</v>
      </c>
      <c r="E380" s="17">
        <f t="shared" si="5"/>
        <v>15.47</v>
      </c>
      <c r="F380" s="16">
        <v>2</v>
      </c>
      <c r="G380" s="16">
        <v>4</v>
      </c>
      <c r="H380" s="16">
        <v>1.22</v>
      </c>
      <c r="I380" s="16">
        <v>3</v>
      </c>
      <c r="J380" s="16">
        <v>556</v>
      </c>
      <c r="K380" s="16">
        <v>8.32</v>
      </c>
      <c r="L380" s="16">
        <v>95.9</v>
      </c>
      <c r="M380" s="16">
        <v>2</v>
      </c>
      <c r="N380" s="18">
        <f>IF(Risk_Calculation_Engine!U380="Low",1,IF(Risk_Calculation_Engine!U380="Medium",2,3))</f>
        <v>1</v>
      </c>
      <c r="O380" s="18" t="str">
        <f>Risk_Calculation_Engine!U380</f>
        <v>Low</v>
      </c>
    </row>
    <row r="381" spans="1:15" ht="15" customHeight="1" x14ac:dyDescent="0.25">
      <c r="A381" s="16">
        <v>377</v>
      </c>
      <c r="B381" s="16">
        <v>149.80000000000001</v>
      </c>
      <c r="C381" s="16">
        <v>1</v>
      </c>
      <c r="D381" s="16">
        <v>513.4</v>
      </c>
      <c r="E381" s="17">
        <f t="shared" si="5"/>
        <v>13.5</v>
      </c>
      <c r="F381" s="16">
        <v>2</v>
      </c>
      <c r="G381" s="16">
        <v>4</v>
      </c>
      <c r="H381" s="16">
        <v>1.56</v>
      </c>
      <c r="I381" s="16">
        <v>7</v>
      </c>
      <c r="J381" s="16">
        <v>407</v>
      </c>
      <c r="K381" s="16">
        <v>2.72</v>
      </c>
      <c r="L381" s="16">
        <v>81.900000000000006</v>
      </c>
      <c r="M381" s="16">
        <v>2</v>
      </c>
      <c r="N381" s="18">
        <f>IF(Risk_Calculation_Engine!U381="Low",1,IF(Risk_Calculation_Engine!U381="Medium",2,3))</f>
        <v>2</v>
      </c>
      <c r="O381" s="18" t="str">
        <f>Risk_Calculation_Engine!U381</f>
        <v>Medium</v>
      </c>
    </row>
    <row r="382" spans="1:15" ht="15" customHeight="1" x14ac:dyDescent="0.25">
      <c r="A382" s="16">
        <v>378</v>
      </c>
      <c r="B382" s="16">
        <v>44.6</v>
      </c>
      <c r="C382" s="16">
        <v>5</v>
      </c>
      <c r="D382" s="16">
        <v>190.1</v>
      </c>
      <c r="E382" s="17">
        <f t="shared" si="5"/>
        <v>8.35</v>
      </c>
      <c r="F382" s="16">
        <v>3</v>
      </c>
      <c r="G382" s="16">
        <v>5</v>
      </c>
      <c r="H382" s="16">
        <v>1.91</v>
      </c>
      <c r="I382" s="16">
        <v>9</v>
      </c>
      <c r="J382" s="16">
        <v>704</v>
      </c>
      <c r="K382" s="16">
        <v>15.78</v>
      </c>
      <c r="L382" s="16">
        <v>80.599999999999994</v>
      </c>
      <c r="M382" s="16">
        <v>2</v>
      </c>
      <c r="N382" s="18">
        <f>IF(Risk_Calculation_Engine!U382="Low",1,IF(Risk_Calculation_Engine!U382="Medium",2,3))</f>
        <v>3</v>
      </c>
      <c r="O382" s="18" t="str">
        <f>Risk_Calculation_Engine!U382</f>
        <v>High</v>
      </c>
    </row>
    <row r="383" spans="1:15" ht="15" customHeight="1" x14ac:dyDescent="0.25">
      <c r="A383" s="16">
        <v>379</v>
      </c>
      <c r="B383" s="16">
        <v>62.2</v>
      </c>
      <c r="C383" s="16">
        <v>4</v>
      </c>
      <c r="D383" s="16">
        <v>267.10000000000002</v>
      </c>
      <c r="E383" s="17">
        <f t="shared" si="5"/>
        <v>9.91</v>
      </c>
      <c r="F383" s="16">
        <v>3</v>
      </c>
      <c r="G383" s="16">
        <v>5</v>
      </c>
      <c r="H383" s="16">
        <v>1.77</v>
      </c>
      <c r="I383" s="16">
        <v>9</v>
      </c>
      <c r="J383" s="16">
        <v>327</v>
      </c>
      <c r="K383" s="16">
        <v>5.26</v>
      </c>
      <c r="L383" s="16">
        <v>68.7</v>
      </c>
      <c r="M383" s="16">
        <v>1</v>
      </c>
      <c r="N383" s="18">
        <f>IF(Risk_Calculation_Engine!U383="Low",1,IF(Risk_Calculation_Engine!U383="Medium",2,3))</f>
        <v>1</v>
      </c>
      <c r="O383" s="18" t="str">
        <f>Risk_Calculation_Engine!U383</f>
        <v>Low</v>
      </c>
    </row>
    <row r="384" spans="1:15" ht="15" customHeight="1" x14ac:dyDescent="0.25">
      <c r="A384" s="16">
        <v>380</v>
      </c>
      <c r="B384" s="16">
        <v>23.1</v>
      </c>
      <c r="C384" s="16">
        <v>2</v>
      </c>
      <c r="D384" s="16">
        <v>86.1</v>
      </c>
      <c r="E384" s="17">
        <f t="shared" si="5"/>
        <v>15.4</v>
      </c>
      <c r="F384" s="16">
        <v>2</v>
      </c>
      <c r="G384" s="16">
        <v>4</v>
      </c>
      <c r="H384" s="16">
        <v>0.83</v>
      </c>
      <c r="I384" s="16">
        <v>13</v>
      </c>
      <c r="J384" s="16">
        <v>110</v>
      </c>
      <c r="K384" s="16">
        <v>4.76</v>
      </c>
      <c r="L384" s="16">
        <v>37.299999999999997</v>
      </c>
      <c r="M384" s="16">
        <v>1</v>
      </c>
      <c r="N384" s="18">
        <f>IF(Risk_Calculation_Engine!U384="Low",1,IF(Risk_Calculation_Engine!U384="Medium",2,3))</f>
        <v>1</v>
      </c>
      <c r="O384" s="18" t="str">
        <f>Risk_Calculation_Engine!U384</f>
        <v>Low</v>
      </c>
    </row>
    <row r="385" spans="1:15" ht="15" customHeight="1" x14ac:dyDescent="0.25">
      <c r="A385" s="16">
        <v>381</v>
      </c>
      <c r="B385" s="16">
        <v>149.80000000000001</v>
      </c>
      <c r="C385" s="16">
        <v>4</v>
      </c>
      <c r="D385" s="16">
        <v>1087</v>
      </c>
      <c r="E385" s="17">
        <f t="shared" si="5"/>
        <v>23.21</v>
      </c>
      <c r="F385" s="16">
        <v>1</v>
      </c>
      <c r="G385" s="16">
        <v>7</v>
      </c>
      <c r="H385" s="16">
        <v>1.1200000000000001</v>
      </c>
      <c r="I385" s="16">
        <v>15</v>
      </c>
      <c r="J385" s="16">
        <v>1978</v>
      </c>
      <c r="K385" s="16">
        <v>13.2</v>
      </c>
      <c r="L385" s="16">
        <v>89.7</v>
      </c>
      <c r="M385" s="16">
        <v>1</v>
      </c>
      <c r="N385" s="18">
        <f>IF(Risk_Calculation_Engine!U385="Low",1,IF(Risk_Calculation_Engine!U385="Medium",2,3))</f>
        <v>3</v>
      </c>
      <c r="O385" s="18" t="str">
        <f>Risk_Calculation_Engine!U385</f>
        <v>High</v>
      </c>
    </row>
    <row r="386" spans="1:15" ht="15" customHeight="1" x14ac:dyDescent="0.25">
      <c r="A386" s="16">
        <v>382</v>
      </c>
      <c r="B386" s="16">
        <v>25.6</v>
      </c>
      <c r="C386" s="16">
        <v>4</v>
      </c>
      <c r="D386" s="16">
        <v>153.6</v>
      </c>
      <c r="E386" s="17">
        <f t="shared" si="5"/>
        <v>8.26</v>
      </c>
      <c r="F386" s="16">
        <v>1</v>
      </c>
      <c r="G386" s="16">
        <v>6</v>
      </c>
      <c r="H386" s="16">
        <v>1.82</v>
      </c>
      <c r="I386" s="16">
        <v>12</v>
      </c>
      <c r="J386" s="16">
        <v>244</v>
      </c>
      <c r="K386" s="16">
        <v>9.5299999999999994</v>
      </c>
      <c r="L386" s="16">
        <v>52.6</v>
      </c>
      <c r="M386" s="16">
        <v>1</v>
      </c>
      <c r="N386" s="18">
        <f>IF(Risk_Calculation_Engine!U386="Low",1,IF(Risk_Calculation_Engine!U386="Medium",2,3))</f>
        <v>3</v>
      </c>
      <c r="O386" s="18" t="str">
        <f>Risk_Calculation_Engine!U386</f>
        <v>High</v>
      </c>
    </row>
    <row r="387" spans="1:15" ht="15" customHeight="1" x14ac:dyDescent="0.25">
      <c r="A387" s="16">
        <v>383</v>
      </c>
      <c r="B387" s="16">
        <v>100.2</v>
      </c>
      <c r="C387" s="16">
        <v>4</v>
      </c>
      <c r="D387" s="16">
        <v>436.3</v>
      </c>
      <c r="E387" s="17">
        <f t="shared" si="5"/>
        <v>10.43</v>
      </c>
      <c r="F387" s="16">
        <v>3</v>
      </c>
      <c r="G387" s="16">
        <v>7</v>
      </c>
      <c r="H387" s="16">
        <v>1.93</v>
      </c>
      <c r="I387" s="16">
        <v>4</v>
      </c>
      <c r="J387" s="16">
        <v>675</v>
      </c>
      <c r="K387" s="16">
        <v>6.74</v>
      </c>
      <c r="L387" s="16">
        <v>43.5</v>
      </c>
      <c r="M387" s="16">
        <v>2</v>
      </c>
      <c r="N387" s="18">
        <f>IF(Risk_Calculation_Engine!U387="Low",1,IF(Risk_Calculation_Engine!U387="Medium",2,3))</f>
        <v>3</v>
      </c>
      <c r="O387" s="18" t="str">
        <f>Risk_Calculation_Engine!U387</f>
        <v>High</v>
      </c>
    </row>
    <row r="388" spans="1:15" ht="15" customHeight="1" x14ac:dyDescent="0.25">
      <c r="A388" s="16">
        <v>384</v>
      </c>
      <c r="B388" s="16">
        <v>149.5</v>
      </c>
      <c r="C388" s="16">
        <v>3</v>
      </c>
      <c r="D388" s="16">
        <v>497.6</v>
      </c>
      <c r="E388" s="17">
        <f t="shared" si="5"/>
        <v>14.92</v>
      </c>
      <c r="F388" s="16">
        <v>3</v>
      </c>
      <c r="G388" s="16">
        <v>9</v>
      </c>
      <c r="H388" s="16">
        <v>1.4</v>
      </c>
      <c r="I388" s="16">
        <v>8</v>
      </c>
      <c r="J388" s="16">
        <v>1000</v>
      </c>
      <c r="K388" s="16">
        <v>6.69</v>
      </c>
      <c r="L388" s="16">
        <v>72.8</v>
      </c>
      <c r="M388" s="16">
        <v>2</v>
      </c>
      <c r="N388" s="18">
        <f>IF(Risk_Calculation_Engine!U388="Low",1,IF(Risk_Calculation_Engine!U388="Medium",2,3))</f>
        <v>3</v>
      </c>
      <c r="O388" s="18" t="str">
        <f>Risk_Calculation_Engine!U388</f>
        <v>High</v>
      </c>
    </row>
    <row r="389" spans="1:15" ht="15" customHeight="1" x14ac:dyDescent="0.25">
      <c r="A389" s="16">
        <v>385</v>
      </c>
      <c r="B389" s="16">
        <v>107.4</v>
      </c>
      <c r="C389" s="16">
        <v>5</v>
      </c>
      <c r="D389" s="16">
        <v>567</v>
      </c>
      <c r="E389" s="17">
        <f t="shared" ref="E389:E452" si="6">ROUND(3.67*D389^0.28/H389,2)</f>
        <v>10.220000000000001</v>
      </c>
      <c r="F389" s="16">
        <v>3</v>
      </c>
      <c r="G389" s="16">
        <v>2</v>
      </c>
      <c r="H389" s="16">
        <v>2.12</v>
      </c>
      <c r="I389" s="16">
        <v>12</v>
      </c>
      <c r="J389" s="16">
        <v>2394</v>
      </c>
      <c r="K389" s="16">
        <v>22.29</v>
      </c>
      <c r="L389" s="16">
        <v>78.5</v>
      </c>
      <c r="M389" s="16">
        <v>3</v>
      </c>
      <c r="N389" s="18">
        <f>IF(Risk_Calculation_Engine!U389="Low",1,IF(Risk_Calculation_Engine!U389="Medium",2,3))</f>
        <v>3</v>
      </c>
      <c r="O389" s="18" t="str">
        <f>Risk_Calculation_Engine!U389</f>
        <v>High</v>
      </c>
    </row>
    <row r="390" spans="1:15" ht="15" customHeight="1" x14ac:dyDescent="0.25">
      <c r="A390" s="16">
        <v>386</v>
      </c>
      <c r="B390" s="16">
        <v>80.599999999999994</v>
      </c>
      <c r="C390" s="16">
        <v>3</v>
      </c>
      <c r="D390" s="16">
        <v>553.20000000000005</v>
      </c>
      <c r="E390" s="17">
        <f t="shared" si="6"/>
        <v>10.199999999999999</v>
      </c>
      <c r="F390" s="16">
        <v>1</v>
      </c>
      <c r="G390" s="16">
        <v>9</v>
      </c>
      <c r="H390" s="16">
        <v>2.11</v>
      </c>
      <c r="I390" s="16">
        <v>10</v>
      </c>
      <c r="J390" s="16">
        <v>558</v>
      </c>
      <c r="K390" s="16">
        <v>6.92</v>
      </c>
      <c r="L390" s="16">
        <v>35.4</v>
      </c>
      <c r="M390" s="16">
        <v>2</v>
      </c>
      <c r="N390" s="18">
        <f>IF(Risk_Calculation_Engine!U390="Low",1,IF(Risk_Calculation_Engine!U390="Medium",2,3))</f>
        <v>3</v>
      </c>
      <c r="O390" s="18" t="str">
        <f>Risk_Calculation_Engine!U390</f>
        <v>High</v>
      </c>
    </row>
    <row r="391" spans="1:15" ht="15" customHeight="1" x14ac:dyDescent="0.25">
      <c r="A391" s="16">
        <v>387</v>
      </c>
      <c r="B391" s="16">
        <v>66</v>
      </c>
      <c r="C391" s="16">
        <v>4</v>
      </c>
      <c r="D391" s="16">
        <v>319.5</v>
      </c>
      <c r="E391" s="17">
        <f t="shared" si="6"/>
        <v>7.38</v>
      </c>
      <c r="F391" s="16">
        <v>2</v>
      </c>
      <c r="G391" s="16">
        <v>7</v>
      </c>
      <c r="H391" s="16">
        <v>2.5</v>
      </c>
      <c r="I391" s="16">
        <v>8</v>
      </c>
      <c r="J391" s="16">
        <v>565</v>
      </c>
      <c r="K391" s="16">
        <v>8.56</v>
      </c>
      <c r="L391" s="16">
        <v>88.2</v>
      </c>
      <c r="M391" s="16">
        <v>1</v>
      </c>
      <c r="N391" s="18">
        <f>IF(Risk_Calculation_Engine!U391="Low",1,IF(Risk_Calculation_Engine!U391="Medium",2,3))</f>
        <v>3</v>
      </c>
      <c r="O391" s="18" t="str">
        <f>Risk_Calculation_Engine!U391</f>
        <v>High</v>
      </c>
    </row>
    <row r="392" spans="1:15" ht="15" customHeight="1" x14ac:dyDescent="0.25">
      <c r="A392" s="16">
        <v>388</v>
      </c>
      <c r="B392" s="16">
        <v>16.7</v>
      </c>
      <c r="C392" s="16">
        <v>1</v>
      </c>
      <c r="D392" s="16">
        <v>38.700000000000003</v>
      </c>
      <c r="E392" s="17">
        <f t="shared" si="6"/>
        <v>6.19</v>
      </c>
      <c r="F392" s="16">
        <v>3</v>
      </c>
      <c r="G392" s="16">
        <v>7</v>
      </c>
      <c r="H392" s="16">
        <v>1.65</v>
      </c>
      <c r="I392" s="16">
        <v>8</v>
      </c>
      <c r="J392" s="16">
        <v>29</v>
      </c>
      <c r="K392" s="16">
        <v>1.74</v>
      </c>
      <c r="L392" s="16">
        <v>75</v>
      </c>
      <c r="M392" s="16">
        <v>2</v>
      </c>
      <c r="N392" s="18">
        <f>IF(Risk_Calculation_Engine!U392="Low",1,IF(Risk_Calculation_Engine!U392="Medium",2,3))</f>
        <v>1</v>
      </c>
      <c r="O392" s="18" t="str">
        <f>Risk_Calculation_Engine!U392</f>
        <v>Low</v>
      </c>
    </row>
    <row r="393" spans="1:15" ht="15" customHeight="1" x14ac:dyDescent="0.25">
      <c r="A393" s="16">
        <v>389</v>
      </c>
      <c r="B393" s="16">
        <v>149.80000000000001</v>
      </c>
      <c r="C393" s="16">
        <v>4</v>
      </c>
      <c r="D393" s="16">
        <v>577.20000000000005</v>
      </c>
      <c r="E393" s="17">
        <f t="shared" si="6"/>
        <v>15.77</v>
      </c>
      <c r="F393" s="16">
        <v>3</v>
      </c>
      <c r="G393" s="16">
        <v>8</v>
      </c>
      <c r="H393" s="16">
        <v>1.38</v>
      </c>
      <c r="I393" s="16">
        <v>8</v>
      </c>
      <c r="J393" s="16">
        <v>1572</v>
      </c>
      <c r="K393" s="16">
        <v>10.49</v>
      </c>
      <c r="L393" s="16">
        <v>69.099999999999994</v>
      </c>
      <c r="M393" s="16">
        <v>2</v>
      </c>
      <c r="N393" s="18">
        <f>IF(Risk_Calculation_Engine!U393="Low",1,IF(Risk_Calculation_Engine!U393="Medium",2,3))</f>
        <v>3</v>
      </c>
      <c r="O393" s="18" t="str">
        <f>Risk_Calculation_Engine!U393</f>
        <v>High</v>
      </c>
    </row>
    <row r="394" spans="1:15" ht="15" customHeight="1" x14ac:dyDescent="0.25">
      <c r="A394" s="16">
        <v>390</v>
      </c>
      <c r="B394" s="16">
        <v>75.5</v>
      </c>
      <c r="C394" s="16">
        <v>4</v>
      </c>
      <c r="D394" s="16">
        <v>469.6</v>
      </c>
      <c r="E394" s="17">
        <f t="shared" si="6"/>
        <v>17.87</v>
      </c>
      <c r="F394" s="16">
        <v>1</v>
      </c>
      <c r="G394" s="16">
        <v>7</v>
      </c>
      <c r="H394" s="16">
        <v>1.1499999999999999</v>
      </c>
      <c r="I394" s="16">
        <v>10</v>
      </c>
      <c r="J394" s="16">
        <v>524</v>
      </c>
      <c r="K394" s="16">
        <v>6.94</v>
      </c>
      <c r="L394" s="16">
        <v>58.7</v>
      </c>
      <c r="M394" s="16">
        <v>3</v>
      </c>
      <c r="N394" s="18">
        <f>IF(Risk_Calculation_Engine!U394="Low",1,IF(Risk_Calculation_Engine!U394="Medium",2,3))</f>
        <v>2</v>
      </c>
      <c r="O394" s="18" t="str">
        <f>Risk_Calculation_Engine!U394</f>
        <v>Medium</v>
      </c>
    </row>
    <row r="395" spans="1:15" ht="15" customHeight="1" x14ac:dyDescent="0.25">
      <c r="A395" s="16">
        <v>391</v>
      </c>
      <c r="B395" s="16">
        <v>62.2</v>
      </c>
      <c r="C395" s="16">
        <v>4</v>
      </c>
      <c r="D395" s="16">
        <v>368.1</v>
      </c>
      <c r="E395" s="17">
        <f t="shared" si="6"/>
        <v>19.79</v>
      </c>
      <c r="F395" s="16">
        <v>2</v>
      </c>
      <c r="G395" s="16">
        <v>9</v>
      </c>
      <c r="H395" s="16">
        <v>0.97</v>
      </c>
      <c r="I395" s="16">
        <v>5</v>
      </c>
      <c r="J395" s="16">
        <v>837</v>
      </c>
      <c r="K395" s="16">
        <v>13.46</v>
      </c>
      <c r="L395" s="16">
        <v>62.9</v>
      </c>
      <c r="M395" s="16">
        <v>2</v>
      </c>
      <c r="N395" s="18">
        <f>IF(Risk_Calculation_Engine!U395="Low",1,IF(Risk_Calculation_Engine!U395="Medium",2,3))</f>
        <v>1</v>
      </c>
      <c r="O395" s="18" t="str">
        <f>Risk_Calculation_Engine!U395</f>
        <v>Low</v>
      </c>
    </row>
    <row r="396" spans="1:15" ht="15" customHeight="1" x14ac:dyDescent="0.25">
      <c r="A396" s="16">
        <v>392</v>
      </c>
      <c r="B396" s="16">
        <v>21</v>
      </c>
      <c r="C396" s="16">
        <v>3</v>
      </c>
      <c r="D396" s="16">
        <v>123.5</v>
      </c>
      <c r="E396" s="17">
        <f t="shared" si="6"/>
        <v>6.83</v>
      </c>
      <c r="F396" s="16">
        <v>1</v>
      </c>
      <c r="G396" s="16">
        <v>8</v>
      </c>
      <c r="H396" s="16">
        <v>2.0699999999999998</v>
      </c>
      <c r="I396" s="16">
        <v>9</v>
      </c>
      <c r="J396" s="16">
        <v>76</v>
      </c>
      <c r="K396" s="16">
        <v>3.62</v>
      </c>
      <c r="L396" s="16">
        <v>45.7</v>
      </c>
      <c r="M396" s="16">
        <v>3</v>
      </c>
      <c r="N396" s="18">
        <f>IF(Risk_Calculation_Engine!U396="Low",1,IF(Risk_Calculation_Engine!U396="Medium",2,3))</f>
        <v>2</v>
      </c>
      <c r="O396" s="18" t="str">
        <f>Risk_Calculation_Engine!U396</f>
        <v>Medium</v>
      </c>
    </row>
    <row r="397" spans="1:15" ht="15" customHeight="1" x14ac:dyDescent="0.25">
      <c r="A397" s="16">
        <v>393</v>
      </c>
      <c r="B397" s="16">
        <v>64.7</v>
      </c>
      <c r="C397" s="16">
        <v>4</v>
      </c>
      <c r="D397" s="16">
        <v>336.6</v>
      </c>
      <c r="E397" s="17">
        <f t="shared" si="6"/>
        <v>9.5</v>
      </c>
      <c r="F397" s="16">
        <v>2</v>
      </c>
      <c r="G397" s="16">
        <v>4</v>
      </c>
      <c r="H397" s="16">
        <v>1.97</v>
      </c>
      <c r="I397" s="16">
        <v>5</v>
      </c>
      <c r="J397" s="16">
        <v>638</v>
      </c>
      <c r="K397" s="16">
        <v>9.86</v>
      </c>
      <c r="L397" s="16">
        <v>55.7</v>
      </c>
      <c r="M397" s="16">
        <v>3</v>
      </c>
      <c r="N397" s="18">
        <f>IF(Risk_Calculation_Engine!U397="Low",1,IF(Risk_Calculation_Engine!U397="Medium",2,3))</f>
        <v>2</v>
      </c>
      <c r="O397" s="18" t="str">
        <f>Risk_Calculation_Engine!U397</f>
        <v>Medium</v>
      </c>
    </row>
    <row r="398" spans="1:15" ht="15" customHeight="1" x14ac:dyDescent="0.25">
      <c r="A398" s="16">
        <v>394</v>
      </c>
      <c r="B398" s="16">
        <v>59</v>
      </c>
      <c r="C398" s="16">
        <v>4</v>
      </c>
      <c r="D398" s="16">
        <v>460.5</v>
      </c>
      <c r="E398" s="17">
        <f t="shared" si="6"/>
        <v>20.23</v>
      </c>
      <c r="F398" s="16">
        <v>1</v>
      </c>
      <c r="G398" s="16">
        <v>3</v>
      </c>
      <c r="H398" s="16">
        <v>1.01</v>
      </c>
      <c r="I398" s="16">
        <v>11</v>
      </c>
      <c r="J398" s="16">
        <v>802</v>
      </c>
      <c r="K398" s="16">
        <v>13.59</v>
      </c>
      <c r="L398" s="16">
        <v>65.8</v>
      </c>
      <c r="M398" s="16">
        <v>3</v>
      </c>
      <c r="N398" s="18">
        <f>IF(Risk_Calculation_Engine!U398="Low",1,IF(Risk_Calculation_Engine!U398="Medium",2,3))</f>
        <v>1</v>
      </c>
      <c r="O398" s="18" t="str">
        <f>Risk_Calculation_Engine!U398</f>
        <v>Low</v>
      </c>
    </row>
    <row r="399" spans="1:15" ht="15" customHeight="1" x14ac:dyDescent="0.25">
      <c r="A399" s="16">
        <v>395</v>
      </c>
      <c r="B399" s="16">
        <v>149.80000000000001</v>
      </c>
      <c r="C399" s="16">
        <v>3</v>
      </c>
      <c r="D399" s="16">
        <v>868</v>
      </c>
      <c r="E399" s="17">
        <f t="shared" si="6"/>
        <v>11.73</v>
      </c>
      <c r="F399" s="16">
        <v>1</v>
      </c>
      <c r="G399" s="16">
        <v>4</v>
      </c>
      <c r="H399" s="16">
        <v>2.08</v>
      </c>
      <c r="I399" s="16">
        <v>14</v>
      </c>
      <c r="J399" s="16">
        <v>925</v>
      </c>
      <c r="K399" s="16">
        <v>6.17</v>
      </c>
      <c r="L399" s="16">
        <v>43.2</v>
      </c>
      <c r="M399" s="16">
        <v>2</v>
      </c>
      <c r="N399" s="18">
        <f>IF(Risk_Calculation_Engine!U399="Low",1,IF(Risk_Calculation_Engine!U399="Medium",2,3))</f>
        <v>3</v>
      </c>
      <c r="O399" s="18" t="str">
        <f>Risk_Calculation_Engine!U399</f>
        <v>High</v>
      </c>
    </row>
    <row r="400" spans="1:15" ht="15" customHeight="1" x14ac:dyDescent="0.25">
      <c r="A400" s="16">
        <v>396</v>
      </c>
      <c r="B400" s="16">
        <v>62.2</v>
      </c>
      <c r="C400" s="16">
        <v>5</v>
      </c>
      <c r="D400" s="16">
        <v>543.29999999999995</v>
      </c>
      <c r="E400" s="17">
        <f t="shared" si="6"/>
        <v>12.3</v>
      </c>
      <c r="F400" s="16">
        <v>1</v>
      </c>
      <c r="G400" s="16">
        <v>5</v>
      </c>
      <c r="H400" s="16">
        <v>1.74</v>
      </c>
      <c r="I400" s="16">
        <v>9</v>
      </c>
      <c r="J400" s="16">
        <v>1412</v>
      </c>
      <c r="K400" s="16">
        <v>22.7</v>
      </c>
      <c r="L400" s="16">
        <v>48.4</v>
      </c>
      <c r="M400" s="16">
        <v>2</v>
      </c>
      <c r="N400" s="18">
        <f>IF(Risk_Calculation_Engine!U400="Low",1,IF(Risk_Calculation_Engine!U400="Medium",2,3))</f>
        <v>3</v>
      </c>
      <c r="O400" s="18" t="str">
        <f>Risk_Calculation_Engine!U400</f>
        <v>High</v>
      </c>
    </row>
    <row r="401" spans="1:15" ht="15" customHeight="1" x14ac:dyDescent="0.25">
      <c r="A401" s="16">
        <v>397</v>
      </c>
      <c r="B401" s="16">
        <v>63.9</v>
      </c>
      <c r="C401" s="16">
        <v>4</v>
      </c>
      <c r="D401" s="16">
        <v>283.3</v>
      </c>
      <c r="E401" s="17">
        <f t="shared" si="6"/>
        <v>12.3</v>
      </c>
      <c r="F401" s="16">
        <v>3</v>
      </c>
      <c r="G401" s="16">
        <v>3</v>
      </c>
      <c r="H401" s="16">
        <v>1.45</v>
      </c>
      <c r="I401" s="16">
        <v>8</v>
      </c>
      <c r="J401" s="16">
        <v>473</v>
      </c>
      <c r="K401" s="16">
        <v>7.4</v>
      </c>
      <c r="L401" s="16">
        <v>60.1</v>
      </c>
      <c r="M401" s="16">
        <v>3</v>
      </c>
      <c r="N401" s="18">
        <f>IF(Risk_Calculation_Engine!U401="Low",1,IF(Risk_Calculation_Engine!U401="Medium",2,3))</f>
        <v>1</v>
      </c>
      <c r="O401" s="18" t="str">
        <f>Risk_Calculation_Engine!U401</f>
        <v>Low</v>
      </c>
    </row>
    <row r="402" spans="1:15" ht="15" customHeight="1" x14ac:dyDescent="0.25">
      <c r="A402" s="16">
        <v>398</v>
      </c>
      <c r="B402" s="16">
        <v>21.3</v>
      </c>
      <c r="C402" s="16">
        <v>5</v>
      </c>
      <c r="D402" s="16">
        <v>124.8</v>
      </c>
      <c r="E402" s="17">
        <f t="shared" si="6"/>
        <v>17.29</v>
      </c>
      <c r="F402" s="16">
        <v>2</v>
      </c>
      <c r="G402" s="16">
        <v>10</v>
      </c>
      <c r="H402" s="16">
        <v>0.82</v>
      </c>
      <c r="I402" s="16">
        <v>15</v>
      </c>
      <c r="J402" s="16">
        <v>363</v>
      </c>
      <c r="K402" s="16">
        <v>17.04</v>
      </c>
      <c r="L402" s="16">
        <v>60.9</v>
      </c>
      <c r="M402" s="16">
        <v>3</v>
      </c>
      <c r="N402" s="18">
        <f>IF(Risk_Calculation_Engine!U402="Low",1,IF(Risk_Calculation_Engine!U402="Medium",2,3))</f>
        <v>2</v>
      </c>
      <c r="O402" s="18" t="str">
        <f>Risk_Calculation_Engine!U402</f>
        <v>Medium</v>
      </c>
    </row>
    <row r="403" spans="1:15" ht="15" customHeight="1" x14ac:dyDescent="0.25">
      <c r="A403" s="16">
        <v>399</v>
      </c>
      <c r="B403" s="16">
        <v>30.9</v>
      </c>
      <c r="C403" s="16">
        <v>5</v>
      </c>
      <c r="D403" s="16">
        <v>125.7</v>
      </c>
      <c r="E403" s="17">
        <f t="shared" si="6"/>
        <v>7.25</v>
      </c>
      <c r="F403" s="16">
        <v>3</v>
      </c>
      <c r="G403" s="16">
        <v>4</v>
      </c>
      <c r="H403" s="16">
        <v>1.96</v>
      </c>
      <c r="I403" s="16">
        <v>11</v>
      </c>
      <c r="J403" s="16">
        <v>675</v>
      </c>
      <c r="K403" s="16">
        <v>21.84</v>
      </c>
      <c r="L403" s="16">
        <v>88.4</v>
      </c>
      <c r="M403" s="16">
        <v>3</v>
      </c>
      <c r="N403" s="18">
        <f>IF(Risk_Calculation_Engine!U403="Low",1,IF(Risk_Calculation_Engine!U403="Medium",2,3))</f>
        <v>3</v>
      </c>
      <c r="O403" s="18" t="str">
        <f>Risk_Calculation_Engine!U403</f>
        <v>High</v>
      </c>
    </row>
    <row r="404" spans="1:15" ht="15" customHeight="1" x14ac:dyDescent="0.25">
      <c r="A404" s="16">
        <v>400</v>
      </c>
      <c r="B404" s="16">
        <v>91.4</v>
      </c>
      <c r="C404" s="16">
        <v>5</v>
      </c>
      <c r="D404" s="16">
        <v>539.5</v>
      </c>
      <c r="E404" s="17">
        <f t="shared" si="6"/>
        <v>8.5399999999999991</v>
      </c>
      <c r="F404" s="16">
        <v>2</v>
      </c>
      <c r="G404" s="16">
        <v>8</v>
      </c>
      <c r="H404" s="16">
        <v>2.5</v>
      </c>
      <c r="I404" s="16">
        <v>8</v>
      </c>
      <c r="J404" s="16">
        <v>2284</v>
      </c>
      <c r="K404" s="16">
        <v>24.99</v>
      </c>
      <c r="L404" s="16">
        <v>65.2</v>
      </c>
      <c r="M404" s="16">
        <v>3</v>
      </c>
      <c r="N404" s="18">
        <f>IF(Risk_Calculation_Engine!U404="Low",1,IF(Risk_Calculation_Engine!U404="Medium",2,3))</f>
        <v>3</v>
      </c>
      <c r="O404" s="18" t="str">
        <f>Risk_Calculation_Engine!U404</f>
        <v>High</v>
      </c>
    </row>
    <row r="405" spans="1:15" ht="15" customHeight="1" x14ac:dyDescent="0.25">
      <c r="A405" s="16">
        <v>401</v>
      </c>
      <c r="B405" s="16">
        <v>8.1</v>
      </c>
      <c r="C405" s="16">
        <v>4</v>
      </c>
      <c r="D405" s="16">
        <v>38.4</v>
      </c>
      <c r="E405" s="17">
        <f t="shared" si="6"/>
        <v>8.49</v>
      </c>
      <c r="F405" s="16">
        <v>2</v>
      </c>
      <c r="G405" s="16">
        <v>5</v>
      </c>
      <c r="H405" s="16">
        <v>1.2</v>
      </c>
      <c r="I405" s="16">
        <v>3</v>
      </c>
      <c r="J405" s="16">
        <v>93</v>
      </c>
      <c r="K405" s="16">
        <v>11.48</v>
      </c>
      <c r="L405" s="16">
        <v>41.8</v>
      </c>
      <c r="M405" s="16">
        <v>3</v>
      </c>
      <c r="N405" s="18">
        <f>IF(Risk_Calculation_Engine!U405="Low",1,IF(Risk_Calculation_Engine!U405="Medium",2,3))</f>
        <v>1</v>
      </c>
      <c r="O405" s="18" t="str">
        <f>Risk_Calculation_Engine!U405</f>
        <v>Low</v>
      </c>
    </row>
    <row r="406" spans="1:15" ht="15" customHeight="1" x14ac:dyDescent="0.25">
      <c r="A406" s="16">
        <v>402</v>
      </c>
      <c r="B406" s="16">
        <v>127.4</v>
      </c>
      <c r="C406" s="16">
        <v>4</v>
      </c>
      <c r="D406" s="16">
        <v>667.1</v>
      </c>
      <c r="E406" s="17">
        <f t="shared" si="6"/>
        <v>12.95</v>
      </c>
      <c r="F406" s="16">
        <v>2</v>
      </c>
      <c r="G406" s="16">
        <v>3</v>
      </c>
      <c r="H406" s="16">
        <v>1.75</v>
      </c>
      <c r="I406" s="16">
        <v>3</v>
      </c>
      <c r="J406" s="16">
        <v>946</v>
      </c>
      <c r="K406" s="16">
        <v>7.43</v>
      </c>
      <c r="L406" s="16">
        <v>92</v>
      </c>
      <c r="M406" s="16">
        <v>3</v>
      </c>
      <c r="N406" s="18">
        <f>IF(Risk_Calculation_Engine!U406="Low",1,IF(Risk_Calculation_Engine!U406="Medium",2,3))</f>
        <v>2</v>
      </c>
      <c r="O406" s="18" t="str">
        <f>Risk_Calculation_Engine!U406</f>
        <v>Medium</v>
      </c>
    </row>
    <row r="407" spans="1:15" ht="15" customHeight="1" x14ac:dyDescent="0.25">
      <c r="A407" s="16">
        <v>403</v>
      </c>
      <c r="B407" s="16">
        <v>129.9</v>
      </c>
      <c r="C407" s="16">
        <v>2</v>
      </c>
      <c r="D407" s="16">
        <v>611.5</v>
      </c>
      <c r="E407" s="17">
        <f t="shared" si="6"/>
        <v>10.9</v>
      </c>
      <c r="F407" s="16">
        <v>2</v>
      </c>
      <c r="G407" s="16">
        <v>10</v>
      </c>
      <c r="H407" s="16">
        <v>2.0299999999999998</v>
      </c>
      <c r="I407" s="16">
        <v>5</v>
      </c>
      <c r="J407" s="16">
        <v>336</v>
      </c>
      <c r="K407" s="16">
        <v>2.59</v>
      </c>
      <c r="L407" s="16">
        <v>82.2</v>
      </c>
      <c r="M407" s="16">
        <v>1</v>
      </c>
      <c r="N407" s="18">
        <f>IF(Risk_Calculation_Engine!U407="Low",1,IF(Risk_Calculation_Engine!U407="Medium",2,3))</f>
        <v>3</v>
      </c>
      <c r="O407" s="18" t="str">
        <f>Risk_Calculation_Engine!U407</f>
        <v>High</v>
      </c>
    </row>
    <row r="408" spans="1:15" ht="15" customHeight="1" x14ac:dyDescent="0.25">
      <c r="A408" s="16">
        <v>404</v>
      </c>
      <c r="B408" s="16">
        <v>27.8</v>
      </c>
      <c r="C408" s="16">
        <v>3</v>
      </c>
      <c r="D408" s="16">
        <v>107.8</v>
      </c>
      <c r="E408" s="17">
        <f t="shared" si="6"/>
        <v>18.39</v>
      </c>
      <c r="F408" s="16">
        <v>2</v>
      </c>
      <c r="G408" s="16">
        <v>5</v>
      </c>
      <c r="H408" s="16">
        <v>0.74</v>
      </c>
      <c r="I408" s="16">
        <v>6</v>
      </c>
      <c r="J408" s="16">
        <v>224</v>
      </c>
      <c r="K408" s="16">
        <v>8.06</v>
      </c>
      <c r="L408" s="16">
        <v>66.8</v>
      </c>
      <c r="M408" s="16">
        <v>2</v>
      </c>
      <c r="N408" s="18">
        <f>IF(Risk_Calculation_Engine!U408="Low",1,IF(Risk_Calculation_Engine!U408="Medium",2,3))</f>
        <v>1</v>
      </c>
      <c r="O408" s="18" t="str">
        <f>Risk_Calculation_Engine!U408</f>
        <v>Low</v>
      </c>
    </row>
    <row r="409" spans="1:15" ht="15" customHeight="1" x14ac:dyDescent="0.25">
      <c r="A409" s="16">
        <v>405</v>
      </c>
      <c r="B409" s="16">
        <v>80.8</v>
      </c>
      <c r="C409" s="16">
        <v>4</v>
      </c>
      <c r="D409" s="16">
        <v>382.7</v>
      </c>
      <c r="E409" s="17">
        <f t="shared" si="6"/>
        <v>17.170000000000002</v>
      </c>
      <c r="F409" s="16">
        <v>2</v>
      </c>
      <c r="G409" s="16">
        <v>5</v>
      </c>
      <c r="H409" s="16">
        <v>1.1299999999999999</v>
      </c>
      <c r="I409" s="16">
        <v>12</v>
      </c>
      <c r="J409" s="16">
        <v>852</v>
      </c>
      <c r="K409" s="16">
        <v>10.54</v>
      </c>
      <c r="L409" s="16">
        <v>53.7</v>
      </c>
      <c r="M409" s="16">
        <v>2</v>
      </c>
      <c r="N409" s="18">
        <f>IF(Risk_Calculation_Engine!U409="Low",1,IF(Risk_Calculation_Engine!U409="Medium",2,3))</f>
        <v>2</v>
      </c>
      <c r="O409" s="18" t="str">
        <f>Risk_Calculation_Engine!U409</f>
        <v>Medium</v>
      </c>
    </row>
    <row r="410" spans="1:15" ht="15" customHeight="1" x14ac:dyDescent="0.25">
      <c r="A410" s="16">
        <v>406</v>
      </c>
      <c r="B410" s="16">
        <v>149.80000000000001</v>
      </c>
      <c r="C410" s="16">
        <v>3</v>
      </c>
      <c r="D410" s="16">
        <v>500.6</v>
      </c>
      <c r="E410" s="17">
        <f t="shared" si="6"/>
        <v>22.49</v>
      </c>
      <c r="F410" s="16">
        <v>3</v>
      </c>
      <c r="G410" s="16">
        <v>7</v>
      </c>
      <c r="H410" s="16">
        <v>0.93</v>
      </c>
      <c r="I410" s="16">
        <v>9</v>
      </c>
      <c r="J410" s="16">
        <v>615</v>
      </c>
      <c r="K410" s="16">
        <v>4.1100000000000003</v>
      </c>
      <c r="L410" s="16">
        <v>74.5</v>
      </c>
      <c r="M410" s="16">
        <v>3</v>
      </c>
      <c r="N410" s="18">
        <f>IF(Risk_Calculation_Engine!U410="Low",1,IF(Risk_Calculation_Engine!U410="Medium",2,3))</f>
        <v>1</v>
      </c>
      <c r="O410" s="18" t="str">
        <f>Risk_Calculation_Engine!U410</f>
        <v>Low</v>
      </c>
    </row>
    <row r="411" spans="1:15" ht="15" customHeight="1" x14ac:dyDescent="0.25">
      <c r="A411" s="16">
        <v>407</v>
      </c>
      <c r="B411" s="16">
        <v>55.1</v>
      </c>
      <c r="C411" s="16">
        <v>5</v>
      </c>
      <c r="D411" s="16">
        <v>243.9</v>
      </c>
      <c r="E411" s="17">
        <f t="shared" si="6"/>
        <v>6.84</v>
      </c>
      <c r="F411" s="16">
        <v>3</v>
      </c>
      <c r="G411" s="16">
        <v>6</v>
      </c>
      <c r="H411" s="16">
        <v>2.5</v>
      </c>
      <c r="I411" s="16">
        <v>15</v>
      </c>
      <c r="J411" s="16">
        <v>978</v>
      </c>
      <c r="K411" s="16">
        <v>17.75</v>
      </c>
      <c r="L411" s="16">
        <v>65.7</v>
      </c>
      <c r="M411" s="16">
        <v>2</v>
      </c>
      <c r="N411" s="18">
        <f>IF(Risk_Calculation_Engine!U411="Low",1,IF(Risk_Calculation_Engine!U411="Medium",2,3))</f>
        <v>3</v>
      </c>
      <c r="O411" s="18" t="str">
        <f>Risk_Calculation_Engine!U411</f>
        <v>High</v>
      </c>
    </row>
    <row r="412" spans="1:15" ht="15" customHeight="1" x14ac:dyDescent="0.25">
      <c r="A412" s="16">
        <v>408</v>
      </c>
      <c r="B412" s="16">
        <v>46.8</v>
      </c>
      <c r="C412" s="16">
        <v>2</v>
      </c>
      <c r="D412" s="16">
        <v>214</v>
      </c>
      <c r="E412" s="17">
        <f t="shared" si="6"/>
        <v>22.59</v>
      </c>
      <c r="F412" s="16">
        <v>1</v>
      </c>
      <c r="G412" s="16">
        <v>8</v>
      </c>
      <c r="H412" s="16">
        <v>0.73</v>
      </c>
      <c r="I412" s="16">
        <v>10</v>
      </c>
      <c r="J412" s="16">
        <v>117</v>
      </c>
      <c r="K412" s="16">
        <v>2.5</v>
      </c>
      <c r="L412" s="16">
        <v>60.8</v>
      </c>
      <c r="M412" s="16">
        <v>2</v>
      </c>
      <c r="N412" s="18">
        <f>IF(Risk_Calculation_Engine!U412="Low",1,IF(Risk_Calculation_Engine!U412="Medium",2,3))</f>
        <v>1</v>
      </c>
      <c r="O412" s="18" t="str">
        <f>Risk_Calculation_Engine!U412</f>
        <v>Low</v>
      </c>
    </row>
    <row r="413" spans="1:15" ht="15" customHeight="1" x14ac:dyDescent="0.25">
      <c r="A413" s="16">
        <v>409</v>
      </c>
      <c r="B413" s="16">
        <v>51.9</v>
      </c>
      <c r="C413" s="16">
        <v>3</v>
      </c>
      <c r="D413" s="16">
        <v>218.3</v>
      </c>
      <c r="E413" s="17">
        <f t="shared" si="6"/>
        <v>11.43</v>
      </c>
      <c r="F413" s="16">
        <v>2</v>
      </c>
      <c r="G413" s="16">
        <v>5</v>
      </c>
      <c r="H413" s="16">
        <v>1.45</v>
      </c>
      <c r="I413" s="16">
        <v>14</v>
      </c>
      <c r="J413" s="16">
        <v>188</v>
      </c>
      <c r="K413" s="16">
        <v>3.62</v>
      </c>
      <c r="L413" s="16">
        <v>50.7</v>
      </c>
      <c r="M413" s="16">
        <v>3</v>
      </c>
      <c r="N413" s="18">
        <f>IF(Risk_Calculation_Engine!U413="Low",1,IF(Risk_Calculation_Engine!U413="Medium",2,3))</f>
        <v>1</v>
      </c>
      <c r="O413" s="18" t="str">
        <f>Risk_Calculation_Engine!U413</f>
        <v>Low</v>
      </c>
    </row>
    <row r="414" spans="1:15" ht="15" customHeight="1" x14ac:dyDescent="0.25">
      <c r="A414" s="16">
        <v>410</v>
      </c>
      <c r="B414" s="16">
        <v>75.400000000000006</v>
      </c>
      <c r="C414" s="16">
        <v>3</v>
      </c>
      <c r="D414" s="16">
        <v>524.29999999999995</v>
      </c>
      <c r="E414" s="17">
        <f t="shared" si="6"/>
        <v>11.58</v>
      </c>
      <c r="F414" s="16">
        <v>1</v>
      </c>
      <c r="G414" s="16">
        <v>1</v>
      </c>
      <c r="H414" s="16">
        <v>1.83</v>
      </c>
      <c r="I414" s="16">
        <v>10</v>
      </c>
      <c r="J414" s="16">
        <v>642</v>
      </c>
      <c r="K414" s="16">
        <v>8.51</v>
      </c>
      <c r="L414" s="16">
        <v>90</v>
      </c>
      <c r="M414" s="16">
        <v>2</v>
      </c>
      <c r="N414" s="18">
        <f>IF(Risk_Calculation_Engine!U414="Low",1,IF(Risk_Calculation_Engine!U414="Medium",2,3))</f>
        <v>3</v>
      </c>
      <c r="O414" s="18" t="str">
        <f>Risk_Calculation_Engine!U414</f>
        <v>High</v>
      </c>
    </row>
    <row r="415" spans="1:15" ht="15" customHeight="1" x14ac:dyDescent="0.25">
      <c r="A415" s="16">
        <v>411</v>
      </c>
      <c r="B415" s="16">
        <v>34.9</v>
      </c>
      <c r="C415" s="16">
        <v>3</v>
      </c>
      <c r="D415" s="16">
        <v>175.9</v>
      </c>
      <c r="E415" s="17">
        <f t="shared" si="6"/>
        <v>13.01</v>
      </c>
      <c r="F415" s="16">
        <v>1</v>
      </c>
      <c r="G415" s="16">
        <v>2</v>
      </c>
      <c r="H415" s="16">
        <v>1.2</v>
      </c>
      <c r="I415" s="16">
        <v>7</v>
      </c>
      <c r="J415" s="16">
        <v>219</v>
      </c>
      <c r="K415" s="16">
        <v>6.28</v>
      </c>
      <c r="L415" s="16">
        <v>31.5</v>
      </c>
      <c r="M415" s="16">
        <v>1</v>
      </c>
      <c r="N415" s="18">
        <f>IF(Risk_Calculation_Engine!U415="Low",1,IF(Risk_Calculation_Engine!U415="Medium",2,3))</f>
        <v>1</v>
      </c>
      <c r="O415" s="18" t="str">
        <f>Risk_Calculation_Engine!U415</f>
        <v>Low</v>
      </c>
    </row>
    <row r="416" spans="1:15" ht="15" customHeight="1" x14ac:dyDescent="0.25">
      <c r="A416" s="16">
        <v>412</v>
      </c>
      <c r="B416" s="16">
        <v>43.3</v>
      </c>
      <c r="C416" s="16">
        <v>2</v>
      </c>
      <c r="D416" s="16">
        <v>167</v>
      </c>
      <c r="E416" s="17">
        <f t="shared" si="6"/>
        <v>20.239999999999998</v>
      </c>
      <c r="F416" s="16">
        <v>2</v>
      </c>
      <c r="G416" s="16">
        <v>3</v>
      </c>
      <c r="H416" s="16">
        <v>0.76</v>
      </c>
      <c r="I416" s="16">
        <v>12</v>
      </c>
      <c r="J416" s="16">
        <v>130</v>
      </c>
      <c r="K416" s="16">
        <v>3</v>
      </c>
      <c r="L416" s="16">
        <v>32.5</v>
      </c>
      <c r="M416" s="16">
        <v>3</v>
      </c>
      <c r="N416" s="18">
        <f>IF(Risk_Calculation_Engine!U416="Low",1,IF(Risk_Calculation_Engine!U416="Medium",2,3))</f>
        <v>1</v>
      </c>
      <c r="O416" s="18" t="str">
        <f>Risk_Calculation_Engine!U416</f>
        <v>Low</v>
      </c>
    </row>
    <row r="417" spans="1:15" ht="15" customHeight="1" x14ac:dyDescent="0.25">
      <c r="A417" s="16">
        <v>413</v>
      </c>
      <c r="B417" s="16">
        <v>76.599999999999994</v>
      </c>
      <c r="C417" s="16">
        <v>2</v>
      </c>
      <c r="D417" s="16">
        <v>293.60000000000002</v>
      </c>
      <c r="E417" s="17">
        <f t="shared" si="6"/>
        <v>12.17</v>
      </c>
      <c r="F417" s="16">
        <v>2</v>
      </c>
      <c r="G417" s="16">
        <v>6</v>
      </c>
      <c r="H417" s="16">
        <v>1.48</v>
      </c>
      <c r="I417" s="16">
        <v>8</v>
      </c>
      <c r="J417" s="16">
        <v>423</v>
      </c>
      <c r="K417" s="16">
        <v>5.52</v>
      </c>
      <c r="L417" s="16">
        <v>53</v>
      </c>
      <c r="M417" s="16">
        <v>2</v>
      </c>
      <c r="N417" s="18">
        <f>IF(Risk_Calculation_Engine!U417="Low",1,IF(Risk_Calculation_Engine!U417="Medium",2,3))</f>
        <v>1</v>
      </c>
      <c r="O417" s="18" t="str">
        <f>Risk_Calculation_Engine!U417</f>
        <v>Low</v>
      </c>
    </row>
    <row r="418" spans="1:15" ht="15" customHeight="1" x14ac:dyDescent="0.25">
      <c r="A418" s="16">
        <v>414</v>
      </c>
      <c r="B418" s="16">
        <v>40.200000000000003</v>
      </c>
      <c r="C418" s="16">
        <v>4</v>
      </c>
      <c r="D418" s="16">
        <v>208.9</v>
      </c>
      <c r="E418" s="17">
        <f t="shared" si="6"/>
        <v>13.76</v>
      </c>
      <c r="F418" s="16">
        <v>2</v>
      </c>
      <c r="G418" s="16">
        <v>5</v>
      </c>
      <c r="H418" s="16">
        <v>1.19</v>
      </c>
      <c r="I418" s="16">
        <v>6</v>
      </c>
      <c r="J418" s="16">
        <v>603</v>
      </c>
      <c r="K418" s="16">
        <v>15</v>
      </c>
      <c r="L418" s="16">
        <v>62.4</v>
      </c>
      <c r="M418" s="16">
        <v>1</v>
      </c>
      <c r="N418" s="18">
        <f>IF(Risk_Calculation_Engine!U418="Low",1,IF(Risk_Calculation_Engine!U418="Medium",2,3))</f>
        <v>1</v>
      </c>
      <c r="O418" s="18" t="str">
        <f>Risk_Calculation_Engine!U418</f>
        <v>Low</v>
      </c>
    </row>
    <row r="419" spans="1:15" ht="15" customHeight="1" x14ac:dyDescent="0.25">
      <c r="A419" s="16">
        <v>415</v>
      </c>
      <c r="B419" s="16">
        <v>19.399999999999999</v>
      </c>
      <c r="C419" s="16">
        <v>3</v>
      </c>
      <c r="D419" s="16">
        <v>104.7</v>
      </c>
      <c r="E419" s="17">
        <f t="shared" si="6"/>
        <v>7.07</v>
      </c>
      <c r="F419" s="16">
        <v>1</v>
      </c>
      <c r="G419" s="16">
        <v>3</v>
      </c>
      <c r="H419" s="16">
        <v>1.91</v>
      </c>
      <c r="I419" s="16">
        <v>9</v>
      </c>
      <c r="J419" s="16">
        <v>161</v>
      </c>
      <c r="K419" s="16">
        <v>8.3000000000000007</v>
      </c>
      <c r="L419" s="16">
        <v>65.400000000000006</v>
      </c>
      <c r="M419" s="16">
        <v>2</v>
      </c>
      <c r="N419" s="18">
        <f>IF(Risk_Calculation_Engine!U419="Low",1,IF(Risk_Calculation_Engine!U419="Medium",2,3))</f>
        <v>2</v>
      </c>
      <c r="O419" s="18" t="str">
        <f>Risk_Calculation_Engine!U419</f>
        <v>Medium</v>
      </c>
    </row>
    <row r="420" spans="1:15" ht="15" customHeight="1" x14ac:dyDescent="0.25">
      <c r="A420" s="16">
        <v>416</v>
      </c>
      <c r="B420" s="16">
        <v>63.2</v>
      </c>
      <c r="C420" s="16">
        <v>1</v>
      </c>
      <c r="D420" s="16">
        <v>170.9</v>
      </c>
      <c r="E420" s="17">
        <f t="shared" si="6"/>
        <v>6.97</v>
      </c>
      <c r="F420" s="16">
        <v>3</v>
      </c>
      <c r="G420" s="16">
        <v>7</v>
      </c>
      <c r="H420" s="16">
        <v>2.2200000000000002</v>
      </c>
      <c r="I420" s="16">
        <v>11</v>
      </c>
      <c r="J420" s="16">
        <v>158</v>
      </c>
      <c r="K420" s="16">
        <v>2.5</v>
      </c>
      <c r="L420" s="16">
        <v>60.1</v>
      </c>
      <c r="M420" s="16">
        <v>3</v>
      </c>
      <c r="N420" s="18">
        <f>IF(Risk_Calculation_Engine!U420="Low",1,IF(Risk_Calculation_Engine!U420="Medium",2,3))</f>
        <v>2</v>
      </c>
      <c r="O420" s="18" t="str">
        <f>Risk_Calculation_Engine!U420</f>
        <v>Medium</v>
      </c>
    </row>
    <row r="421" spans="1:15" ht="15" customHeight="1" x14ac:dyDescent="0.25">
      <c r="A421" s="16">
        <v>417</v>
      </c>
      <c r="B421" s="16">
        <v>146.30000000000001</v>
      </c>
      <c r="C421" s="16">
        <v>1</v>
      </c>
      <c r="D421" s="16">
        <v>375.4</v>
      </c>
      <c r="E421" s="17">
        <f t="shared" si="6"/>
        <v>19.11</v>
      </c>
      <c r="F421" s="16">
        <v>3</v>
      </c>
      <c r="G421" s="16">
        <v>9</v>
      </c>
      <c r="H421" s="16">
        <v>1.01</v>
      </c>
      <c r="I421" s="16">
        <v>7</v>
      </c>
      <c r="J421" s="16">
        <v>428</v>
      </c>
      <c r="K421" s="16">
        <v>2.93</v>
      </c>
      <c r="L421" s="16">
        <v>49.9</v>
      </c>
      <c r="M421" s="16">
        <v>2</v>
      </c>
      <c r="N421" s="18">
        <f>IF(Risk_Calculation_Engine!U421="Low",1,IF(Risk_Calculation_Engine!U421="Medium",2,3))</f>
        <v>1</v>
      </c>
      <c r="O421" s="18" t="str">
        <f>Risk_Calculation_Engine!U421</f>
        <v>Low</v>
      </c>
    </row>
    <row r="422" spans="1:15" ht="15" customHeight="1" x14ac:dyDescent="0.25">
      <c r="A422" s="16">
        <v>418</v>
      </c>
      <c r="B422" s="16">
        <v>84</v>
      </c>
      <c r="C422" s="16">
        <v>3</v>
      </c>
      <c r="D422" s="16">
        <v>385.6</v>
      </c>
      <c r="E422" s="17">
        <f t="shared" si="6"/>
        <v>15.81</v>
      </c>
      <c r="F422" s="16">
        <v>2</v>
      </c>
      <c r="G422" s="16">
        <v>6</v>
      </c>
      <c r="H422" s="16">
        <v>1.23</v>
      </c>
      <c r="I422" s="16">
        <v>12</v>
      </c>
      <c r="J422" s="16">
        <v>351</v>
      </c>
      <c r="K422" s="16">
        <v>4.18</v>
      </c>
      <c r="L422" s="16">
        <v>56.4</v>
      </c>
      <c r="M422" s="16">
        <v>2</v>
      </c>
      <c r="N422" s="18">
        <f>IF(Risk_Calculation_Engine!U422="Low",1,IF(Risk_Calculation_Engine!U422="Medium",2,3))</f>
        <v>1</v>
      </c>
      <c r="O422" s="18" t="str">
        <f>Risk_Calculation_Engine!U422</f>
        <v>Low</v>
      </c>
    </row>
    <row r="423" spans="1:15" ht="15" customHeight="1" x14ac:dyDescent="0.25">
      <c r="A423" s="16">
        <v>419</v>
      </c>
      <c r="B423" s="16">
        <v>20.2</v>
      </c>
      <c r="C423" s="16">
        <v>2</v>
      </c>
      <c r="D423" s="16">
        <v>46.4</v>
      </c>
      <c r="E423" s="17">
        <f t="shared" si="6"/>
        <v>8.5299999999999994</v>
      </c>
      <c r="F423" s="16">
        <v>3</v>
      </c>
      <c r="G423" s="16">
        <v>6</v>
      </c>
      <c r="H423" s="16">
        <v>1.26</v>
      </c>
      <c r="I423" s="16">
        <v>15</v>
      </c>
      <c r="J423" s="16">
        <v>111</v>
      </c>
      <c r="K423" s="16">
        <v>5.5</v>
      </c>
      <c r="L423" s="16">
        <v>66.5</v>
      </c>
      <c r="M423" s="16">
        <v>2</v>
      </c>
      <c r="N423" s="18">
        <f>IF(Risk_Calculation_Engine!U423="Low",1,IF(Risk_Calculation_Engine!U423="Medium",2,3))</f>
        <v>1</v>
      </c>
      <c r="O423" s="18" t="str">
        <f>Risk_Calculation_Engine!U423</f>
        <v>Low</v>
      </c>
    </row>
    <row r="424" spans="1:15" ht="15" customHeight="1" x14ac:dyDescent="0.25">
      <c r="A424" s="16">
        <v>420</v>
      </c>
      <c r="B424" s="16">
        <v>30.7</v>
      </c>
      <c r="C424" s="16">
        <v>4</v>
      </c>
      <c r="D424" s="16">
        <v>202.9</v>
      </c>
      <c r="E424" s="17">
        <f t="shared" si="6"/>
        <v>7.35</v>
      </c>
      <c r="F424" s="16">
        <v>1</v>
      </c>
      <c r="G424" s="16">
        <v>4</v>
      </c>
      <c r="H424" s="16">
        <v>2.21</v>
      </c>
      <c r="I424" s="16">
        <v>8</v>
      </c>
      <c r="J424" s="16">
        <v>264</v>
      </c>
      <c r="K424" s="16">
        <v>8.6</v>
      </c>
      <c r="L424" s="16">
        <v>42.8</v>
      </c>
      <c r="M424" s="16">
        <v>2</v>
      </c>
      <c r="N424" s="18">
        <f>IF(Risk_Calculation_Engine!U424="Low",1,IF(Risk_Calculation_Engine!U424="Medium",2,3))</f>
        <v>3</v>
      </c>
      <c r="O424" s="18" t="str">
        <f>Risk_Calculation_Engine!U424</f>
        <v>High</v>
      </c>
    </row>
    <row r="425" spans="1:15" ht="15" customHeight="1" x14ac:dyDescent="0.25">
      <c r="A425" s="16">
        <v>421</v>
      </c>
      <c r="B425" s="16">
        <v>46.5</v>
      </c>
      <c r="C425" s="16">
        <v>4</v>
      </c>
      <c r="D425" s="16">
        <v>207.7</v>
      </c>
      <c r="E425" s="17">
        <f t="shared" si="6"/>
        <v>9.85</v>
      </c>
      <c r="F425" s="16">
        <v>2</v>
      </c>
      <c r="G425" s="16">
        <v>5</v>
      </c>
      <c r="H425" s="16">
        <v>1.66</v>
      </c>
      <c r="I425" s="16">
        <v>6</v>
      </c>
      <c r="J425" s="16">
        <v>247</v>
      </c>
      <c r="K425" s="16">
        <v>5.31</v>
      </c>
      <c r="L425" s="16">
        <v>79.7</v>
      </c>
      <c r="M425" s="16">
        <v>2</v>
      </c>
      <c r="N425" s="18">
        <f>IF(Risk_Calculation_Engine!U425="Low",1,IF(Risk_Calculation_Engine!U425="Medium",2,3))</f>
        <v>1</v>
      </c>
      <c r="O425" s="18" t="str">
        <f>Risk_Calculation_Engine!U425</f>
        <v>Low</v>
      </c>
    </row>
    <row r="426" spans="1:15" ht="15" customHeight="1" x14ac:dyDescent="0.25">
      <c r="A426" s="16">
        <v>422</v>
      </c>
      <c r="B426" s="16">
        <v>149.80000000000001</v>
      </c>
      <c r="C426" s="16">
        <v>2</v>
      </c>
      <c r="D426" s="16">
        <v>484.8</v>
      </c>
      <c r="E426" s="17">
        <f t="shared" si="6"/>
        <v>20.13</v>
      </c>
      <c r="F426" s="16">
        <v>3</v>
      </c>
      <c r="G426" s="16">
        <v>3</v>
      </c>
      <c r="H426" s="16">
        <v>1.03</v>
      </c>
      <c r="I426" s="16">
        <v>8</v>
      </c>
      <c r="J426" s="16">
        <v>319</v>
      </c>
      <c r="K426" s="16">
        <v>2.13</v>
      </c>
      <c r="L426" s="16">
        <v>83.7</v>
      </c>
      <c r="M426" s="16">
        <v>2</v>
      </c>
      <c r="N426" s="18">
        <f>IF(Risk_Calculation_Engine!U426="Low",1,IF(Risk_Calculation_Engine!U426="Medium",2,3))</f>
        <v>1</v>
      </c>
      <c r="O426" s="18" t="str">
        <f>Risk_Calculation_Engine!U426</f>
        <v>Low</v>
      </c>
    </row>
    <row r="427" spans="1:15" ht="15" customHeight="1" x14ac:dyDescent="0.25">
      <c r="A427" s="16">
        <v>423</v>
      </c>
      <c r="B427" s="16">
        <v>149.80000000000001</v>
      </c>
      <c r="C427" s="16">
        <v>4</v>
      </c>
      <c r="D427" s="16">
        <v>622.20000000000005</v>
      </c>
      <c r="E427" s="17">
        <f t="shared" si="6"/>
        <v>8.89</v>
      </c>
      <c r="F427" s="16">
        <v>3</v>
      </c>
      <c r="G427" s="16">
        <v>1</v>
      </c>
      <c r="H427" s="16">
        <v>2.5</v>
      </c>
      <c r="I427" s="16">
        <v>13</v>
      </c>
      <c r="J427" s="16">
        <v>1030</v>
      </c>
      <c r="K427" s="16">
        <v>6.88</v>
      </c>
      <c r="L427" s="16">
        <v>64.400000000000006</v>
      </c>
      <c r="M427" s="16">
        <v>3</v>
      </c>
      <c r="N427" s="18">
        <f>IF(Risk_Calculation_Engine!U427="Low",1,IF(Risk_Calculation_Engine!U427="Medium",2,3))</f>
        <v>3</v>
      </c>
      <c r="O427" s="18" t="str">
        <f>Risk_Calculation_Engine!U427</f>
        <v>High</v>
      </c>
    </row>
    <row r="428" spans="1:15" ht="15" customHeight="1" x14ac:dyDescent="0.25">
      <c r="A428" s="16">
        <v>424</v>
      </c>
      <c r="B428" s="16">
        <v>149.80000000000001</v>
      </c>
      <c r="C428" s="16">
        <v>2</v>
      </c>
      <c r="D428" s="16">
        <v>513.20000000000005</v>
      </c>
      <c r="E428" s="17">
        <f t="shared" si="6"/>
        <v>17.7</v>
      </c>
      <c r="F428" s="16">
        <v>3</v>
      </c>
      <c r="G428" s="16">
        <v>6</v>
      </c>
      <c r="H428" s="16">
        <v>1.19</v>
      </c>
      <c r="I428" s="16">
        <v>5</v>
      </c>
      <c r="J428" s="16">
        <v>767</v>
      </c>
      <c r="K428" s="16">
        <v>5.12</v>
      </c>
      <c r="L428" s="16">
        <v>71.7</v>
      </c>
      <c r="M428" s="16">
        <v>3</v>
      </c>
      <c r="N428" s="18">
        <f>IF(Risk_Calculation_Engine!U428="Low",1,IF(Risk_Calculation_Engine!U428="Medium",2,3))</f>
        <v>1</v>
      </c>
      <c r="O428" s="18" t="str">
        <f>Risk_Calculation_Engine!U428</f>
        <v>Low</v>
      </c>
    </row>
    <row r="429" spans="1:15" ht="15" customHeight="1" x14ac:dyDescent="0.25">
      <c r="A429" s="16">
        <v>425</v>
      </c>
      <c r="B429" s="16">
        <v>68.5</v>
      </c>
      <c r="C429" s="16">
        <v>3</v>
      </c>
      <c r="D429" s="16">
        <v>299.8</v>
      </c>
      <c r="E429" s="17">
        <f t="shared" si="6"/>
        <v>13.83</v>
      </c>
      <c r="F429" s="16">
        <v>2</v>
      </c>
      <c r="G429" s="16">
        <v>6</v>
      </c>
      <c r="H429" s="16">
        <v>1.31</v>
      </c>
      <c r="I429" s="16">
        <v>15</v>
      </c>
      <c r="J429" s="16">
        <v>574</v>
      </c>
      <c r="K429" s="16">
        <v>8.3800000000000008</v>
      </c>
      <c r="L429" s="16">
        <v>33.200000000000003</v>
      </c>
      <c r="M429" s="16">
        <v>2</v>
      </c>
      <c r="N429" s="18">
        <f>IF(Risk_Calculation_Engine!U429="Low",1,IF(Risk_Calculation_Engine!U429="Medium",2,3))</f>
        <v>1</v>
      </c>
      <c r="O429" s="18" t="str">
        <f>Risk_Calculation_Engine!U429</f>
        <v>Low</v>
      </c>
    </row>
    <row r="430" spans="1:15" ht="15" customHeight="1" x14ac:dyDescent="0.25">
      <c r="A430" s="16">
        <v>426</v>
      </c>
      <c r="B430" s="16">
        <v>149.80000000000001</v>
      </c>
      <c r="C430" s="16">
        <v>5</v>
      </c>
      <c r="D430" s="16">
        <v>757</v>
      </c>
      <c r="E430" s="17">
        <f t="shared" si="6"/>
        <v>21.16</v>
      </c>
      <c r="F430" s="16">
        <v>3</v>
      </c>
      <c r="G430" s="16">
        <v>7</v>
      </c>
      <c r="H430" s="16">
        <v>1.1100000000000001</v>
      </c>
      <c r="I430" s="16">
        <v>8</v>
      </c>
      <c r="J430" s="16">
        <v>1693</v>
      </c>
      <c r="K430" s="16">
        <v>11.3</v>
      </c>
      <c r="L430" s="16">
        <v>42.8</v>
      </c>
      <c r="M430" s="16">
        <v>2</v>
      </c>
      <c r="N430" s="18">
        <f>IF(Risk_Calculation_Engine!U430="Low",1,IF(Risk_Calculation_Engine!U430="Medium",2,3))</f>
        <v>3</v>
      </c>
      <c r="O430" s="18" t="str">
        <f>Risk_Calculation_Engine!U430</f>
        <v>High</v>
      </c>
    </row>
    <row r="431" spans="1:15" ht="15" customHeight="1" x14ac:dyDescent="0.25">
      <c r="A431" s="16">
        <v>427</v>
      </c>
      <c r="B431" s="16">
        <v>32.200000000000003</v>
      </c>
      <c r="C431" s="16">
        <v>3</v>
      </c>
      <c r="D431" s="16">
        <v>116.2</v>
      </c>
      <c r="E431" s="17">
        <f t="shared" si="6"/>
        <v>8.08</v>
      </c>
      <c r="F431" s="16">
        <v>2</v>
      </c>
      <c r="G431" s="16">
        <v>5</v>
      </c>
      <c r="H431" s="16">
        <v>1.72</v>
      </c>
      <c r="I431" s="16">
        <v>13</v>
      </c>
      <c r="J431" s="16">
        <v>260</v>
      </c>
      <c r="K431" s="16">
        <v>8.07</v>
      </c>
      <c r="L431" s="16">
        <v>69.900000000000006</v>
      </c>
      <c r="M431" s="16">
        <v>3</v>
      </c>
      <c r="N431" s="18">
        <f>IF(Risk_Calculation_Engine!U431="Low",1,IF(Risk_Calculation_Engine!U431="Medium",2,3))</f>
        <v>1</v>
      </c>
      <c r="O431" s="18" t="str">
        <f>Risk_Calculation_Engine!U431</f>
        <v>Low</v>
      </c>
    </row>
    <row r="432" spans="1:15" ht="15" customHeight="1" x14ac:dyDescent="0.25">
      <c r="A432" s="16">
        <v>428</v>
      </c>
      <c r="B432" s="16">
        <v>45</v>
      </c>
      <c r="C432" s="16">
        <v>5</v>
      </c>
      <c r="D432" s="16">
        <v>377.4</v>
      </c>
      <c r="E432" s="17">
        <f t="shared" si="6"/>
        <v>13.81</v>
      </c>
      <c r="F432" s="16">
        <v>1</v>
      </c>
      <c r="G432" s="16">
        <v>10</v>
      </c>
      <c r="H432" s="16">
        <v>1.4</v>
      </c>
      <c r="I432" s="16">
        <v>13</v>
      </c>
      <c r="J432" s="16">
        <v>1017</v>
      </c>
      <c r="K432" s="16">
        <v>22.6</v>
      </c>
      <c r="L432" s="16">
        <v>69.5</v>
      </c>
      <c r="M432" s="16">
        <v>1</v>
      </c>
      <c r="N432" s="18">
        <f>IF(Risk_Calculation_Engine!U432="Low",1,IF(Risk_Calculation_Engine!U432="Medium",2,3))</f>
        <v>3</v>
      </c>
      <c r="O432" s="18" t="str">
        <f>Risk_Calculation_Engine!U432</f>
        <v>High</v>
      </c>
    </row>
    <row r="433" spans="1:15" ht="15" customHeight="1" x14ac:dyDescent="0.25">
      <c r="A433" s="16">
        <v>429</v>
      </c>
      <c r="B433" s="16">
        <v>120.3</v>
      </c>
      <c r="C433" s="16">
        <v>2</v>
      </c>
      <c r="D433" s="16">
        <v>773.1</v>
      </c>
      <c r="E433" s="17">
        <f t="shared" si="6"/>
        <v>9.4499999999999993</v>
      </c>
      <c r="F433" s="16">
        <v>1</v>
      </c>
      <c r="G433" s="16">
        <v>7</v>
      </c>
      <c r="H433" s="16">
        <v>2.5</v>
      </c>
      <c r="I433" s="16">
        <v>13</v>
      </c>
      <c r="J433" s="16">
        <v>266</v>
      </c>
      <c r="K433" s="16">
        <v>2.21</v>
      </c>
      <c r="L433" s="16">
        <v>87.2</v>
      </c>
      <c r="M433" s="16">
        <v>3</v>
      </c>
      <c r="N433" s="18">
        <f>IF(Risk_Calculation_Engine!U433="Low",1,IF(Risk_Calculation_Engine!U433="Medium",2,3))</f>
        <v>3</v>
      </c>
      <c r="O433" s="18" t="str">
        <f>Risk_Calculation_Engine!U433</f>
        <v>High</v>
      </c>
    </row>
    <row r="434" spans="1:15" ht="15" customHeight="1" x14ac:dyDescent="0.25">
      <c r="A434" s="16">
        <v>430</v>
      </c>
      <c r="B434" s="16">
        <v>76.900000000000006</v>
      </c>
      <c r="C434" s="16">
        <v>3</v>
      </c>
      <c r="D434" s="16">
        <v>257</v>
      </c>
      <c r="E434" s="17">
        <f t="shared" si="6"/>
        <v>10.39</v>
      </c>
      <c r="F434" s="16">
        <v>3</v>
      </c>
      <c r="G434" s="16">
        <v>5</v>
      </c>
      <c r="H434" s="16">
        <v>1.67</v>
      </c>
      <c r="I434" s="16">
        <v>14</v>
      </c>
      <c r="J434" s="16">
        <v>568</v>
      </c>
      <c r="K434" s="16">
        <v>7.39</v>
      </c>
      <c r="L434" s="16">
        <v>88.3</v>
      </c>
      <c r="M434" s="16">
        <v>2</v>
      </c>
      <c r="N434" s="18">
        <f>IF(Risk_Calculation_Engine!U434="Low",1,IF(Risk_Calculation_Engine!U434="Medium",2,3))</f>
        <v>1</v>
      </c>
      <c r="O434" s="18" t="str">
        <f>Risk_Calculation_Engine!U434</f>
        <v>Low</v>
      </c>
    </row>
    <row r="435" spans="1:15" ht="15" customHeight="1" x14ac:dyDescent="0.25">
      <c r="A435" s="16">
        <v>431</v>
      </c>
      <c r="B435" s="16">
        <v>80.400000000000006</v>
      </c>
      <c r="C435" s="16">
        <v>3</v>
      </c>
      <c r="D435" s="16">
        <v>312.60000000000002</v>
      </c>
      <c r="E435" s="17">
        <f t="shared" si="6"/>
        <v>16.22</v>
      </c>
      <c r="F435" s="16">
        <v>2</v>
      </c>
      <c r="G435" s="16">
        <v>4</v>
      </c>
      <c r="H435" s="16">
        <v>1.1299999999999999</v>
      </c>
      <c r="I435" s="16">
        <v>5</v>
      </c>
      <c r="J435" s="16">
        <v>260</v>
      </c>
      <c r="K435" s="16">
        <v>3.23</v>
      </c>
      <c r="L435" s="16">
        <v>32.299999999999997</v>
      </c>
      <c r="M435" s="16">
        <v>1</v>
      </c>
      <c r="N435" s="18">
        <f>IF(Risk_Calculation_Engine!U435="Low",1,IF(Risk_Calculation_Engine!U435="Medium",2,3))</f>
        <v>1</v>
      </c>
      <c r="O435" s="18" t="str">
        <f>Risk_Calculation_Engine!U435</f>
        <v>Low</v>
      </c>
    </row>
    <row r="436" spans="1:15" ht="15" customHeight="1" x14ac:dyDescent="0.25">
      <c r="A436" s="16">
        <v>432</v>
      </c>
      <c r="B436" s="16">
        <v>23.9</v>
      </c>
      <c r="C436" s="16">
        <v>3</v>
      </c>
      <c r="D436" s="16">
        <v>99.5</v>
      </c>
      <c r="E436" s="17">
        <f t="shared" si="6"/>
        <v>8.32</v>
      </c>
      <c r="F436" s="16">
        <v>2</v>
      </c>
      <c r="G436" s="16">
        <v>5</v>
      </c>
      <c r="H436" s="16">
        <v>1.6</v>
      </c>
      <c r="I436" s="16">
        <v>10</v>
      </c>
      <c r="J436" s="16">
        <v>109</v>
      </c>
      <c r="K436" s="16">
        <v>4.5599999999999996</v>
      </c>
      <c r="L436" s="16">
        <v>64.7</v>
      </c>
      <c r="M436" s="16">
        <v>1</v>
      </c>
      <c r="N436" s="18">
        <f>IF(Risk_Calculation_Engine!U436="Low",1,IF(Risk_Calculation_Engine!U436="Medium",2,3))</f>
        <v>1</v>
      </c>
      <c r="O436" s="18" t="str">
        <f>Risk_Calculation_Engine!U436</f>
        <v>Low</v>
      </c>
    </row>
    <row r="437" spans="1:15" ht="15" customHeight="1" x14ac:dyDescent="0.25">
      <c r="A437" s="16">
        <v>433</v>
      </c>
      <c r="B437" s="16">
        <v>58.7</v>
      </c>
      <c r="C437" s="16">
        <v>5</v>
      </c>
      <c r="D437" s="16">
        <v>232.3</v>
      </c>
      <c r="E437" s="17">
        <f t="shared" si="6"/>
        <v>6.75</v>
      </c>
      <c r="F437" s="16">
        <v>3</v>
      </c>
      <c r="G437" s="16">
        <v>6</v>
      </c>
      <c r="H437" s="16">
        <v>2.5</v>
      </c>
      <c r="I437" s="16">
        <v>4</v>
      </c>
      <c r="J437" s="16">
        <v>1089</v>
      </c>
      <c r="K437" s="16">
        <v>18.55</v>
      </c>
      <c r="L437" s="16">
        <v>48.7</v>
      </c>
      <c r="M437" s="16">
        <v>1</v>
      </c>
      <c r="N437" s="18">
        <f>IF(Risk_Calculation_Engine!U437="Low",1,IF(Risk_Calculation_Engine!U437="Medium",2,3))</f>
        <v>3</v>
      </c>
      <c r="O437" s="18" t="str">
        <f>Risk_Calculation_Engine!U437</f>
        <v>High</v>
      </c>
    </row>
    <row r="438" spans="1:15" ht="15" customHeight="1" x14ac:dyDescent="0.25">
      <c r="A438" s="16">
        <v>434</v>
      </c>
      <c r="B438" s="16">
        <v>32.6</v>
      </c>
      <c r="C438" s="16">
        <v>2</v>
      </c>
      <c r="D438" s="16">
        <v>117</v>
      </c>
      <c r="E438" s="17">
        <f t="shared" si="6"/>
        <v>14.06</v>
      </c>
      <c r="F438" s="16">
        <v>2</v>
      </c>
      <c r="G438" s="16">
        <v>7</v>
      </c>
      <c r="H438" s="16">
        <v>0.99</v>
      </c>
      <c r="I438" s="16">
        <v>6</v>
      </c>
      <c r="J438" s="16">
        <v>184</v>
      </c>
      <c r="K438" s="16">
        <v>5.64</v>
      </c>
      <c r="L438" s="16">
        <v>18.600000000000001</v>
      </c>
      <c r="M438" s="16">
        <v>3</v>
      </c>
      <c r="N438" s="18">
        <f>IF(Risk_Calculation_Engine!U438="Low",1,IF(Risk_Calculation_Engine!U438="Medium",2,3))</f>
        <v>1</v>
      </c>
      <c r="O438" s="18" t="str">
        <f>Risk_Calculation_Engine!U438</f>
        <v>Low</v>
      </c>
    </row>
    <row r="439" spans="1:15" ht="15" customHeight="1" x14ac:dyDescent="0.25">
      <c r="A439" s="16">
        <v>435</v>
      </c>
      <c r="B439" s="16">
        <v>15.4</v>
      </c>
      <c r="C439" s="16">
        <v>5</v>
      </c>
      <c r="D439" s="16">
        <v>68.599999999999994</v>
      </c>
      <c r="E439" s="17">
        <f t="shared" si="6"/>
        <v>6.12</v>
      </c>
      <c r="F439" s="16">
        <v>2</v>
      </c>
      <c r="G439" s="16">
        <v>4</v>
      </c>
      <c r="H439" s="16">
        <v>1.96</v>
      </c>
      <c r="I439" s="16">
        <v>3</v>
      </c>
      <c r="J439" s="16">
        <v>168</v>
      </c>
      <c r="K439" s="16">
        <v>10.91</v>
      </c>
      <c r="L439" s="16">
        <v>73.3</v>
      </c>
      <c r="M439" s="16">
        <v>2</v>
      </c>
      <c r="N439" s="18">
        <f>IF(Risk_Calculation_Engine!U439="Low",1,IF(Risk_Calculation_Engine!U439="Medium",2,3))</f>
        <v>3</v>
      </c>
      <c r="O439" s="18" t="str">
        <f>Risk_Calculation_Engine!U439</f>
        <v>High</v>
      </c>
    </row>
    <row r="440" spans="1:15" ht="15" customHeight="1" x14ac:dyDescent="0.25">
      <c r="A440" s="16">
        <v>436</v>
      </c>
      <c r="B440" s="16">
        <v>36.4</v>
      </c>
      <c r="C440" s="16">
        <v>5</v>
      </c>
      <c r="D440" s="16">
        <v>201.9</v>
      </c>
      <c r="E440" s="17">
        <f t="shared" si="6"/>
        <v>19.78</v>
      </c>
      <c r="F440" s="16">
        <v>2</v>
      </c>
      <c r="G440" s="16">
        <v>8</v>
      </c>
      <c r="H440" s="16">
        <v>0.82</v>
      </c>
      <c r="I440" s="16">
        <v>11</v>
      </c>
      <c r="J440" s="16">
        <v>556</v>
      </c>
      <c r="K440" s="16">
        <v>15.27</v>
      </c>
      <c r="L440" s="16">
        <v>60.2</v>
      </c>
      <c r="M440" s="16">
        <v>3</v>
      </c>
      <c r="N440" s="18">
        <f>IF(Risk_Calculation_Engine!U440="Low",1,IF(Risk_Calculation_Engine!U440="Medium",2,3))</f>
        <v>2</v>
      </c>
      <c r="O440" s="18" t="str">
        <f>Risk_Calculation_Engine!U440</f>
        <v>Medium</v>
      </c>
    </row>
    <row r="441" spans="1:15" ht="15" customHeight="1" x14ac:dyDescent="0.25">
      <c r="A441" s="16">
        <v>437</v>
      </c>
      <c r="B441" s="16">
        <v>76.900000000000006</v>
      </c>
      <c r="C441" s="16">
        <v>4</v>
      </c>
      <c r="D441" s="16">
        <v>454.2</v>
      </c>
      <c r="E441" s="17">
        <f t="shared" si="6"/>
        <v>8.14</v>
      </c>
      <c r="F441" s="16">
        <v>2</v>
      </c>
      <c r="G441" s="16">
        <v>4</v>
      </c>
      <c r="H441" s="16">
        <v>2.5</v>
      </c>
      <c r="I441" s="16">
        <v>10</v>
      </c>
      <c r="J441" s="16">
        <v>828</v>
      </c>
      <c r="K441" s="16">
        <v>10.77</v>
      </c>
      <c r="L441" s="16">
        <v>88.8</v>
      </c>
      <c r="M441" s="16">
        <v>3</v>
      </c>
      <c r="N441" s="18">
        <f>IF(Risk_Calculation_Engine!U441="Low",1,IF(Risk_Calculation_Engine!U441="Medium",2,3))</f>
        <v>3</v>
      </c>
      <c r="O441" s="18" t="str">
        <f>Risk_Calculation_Engine!U441</f>
        <v>High</v>
      </c>
    </row>
    <row r="442" spans="1:15" ht="15" customHeight="1" x14ac:dyDescent="0.25">
      <c r="A442" s="16">
        <v>438</v>
      </c>
      <c r="B442" s="16">
        <v>106.3</v>
      </c>
      <c r="C442" s="16">
        <v>3</v>
      </c>
      <c r="D442" s="16">
        <v>332</v>
      </c>
      <c r="E442" s="17">
        <f t="shared" si="6"/>
        <v>14.02</v>
      </c>
      <c r="F442" s="16">
        <v>3</v>
      </c>
      <c r="G442" s="16">
        <v>2</v>
      </c>
      <c r="H442" s="16">
        <v>1.33</v>
      </c>
      <c r="I442" s="16">
        <v>12</v>
      </c>
      <c r="J442" s="16">
        <v>791</v>
      </c>
      <c r="K442" s="16">
        <v>7.44</v>
      </c>
      <c r="L442" s="16">
        <v>98.6</v>
      </c>
      <c r="M442" s="16">
        <v>2</v>
      </c>
      <c r="N442" s="18">
        <f>IF(Risk_Calculation_Engine!U442="Low",1,IF(Risk_Calculation_Engine!U442="Medium",2,3))</f>
        <v>1</v>
      </c>
      <c r="O442" s="18" t="str">
        <f>Risk_Calculation_Engine!U442</f>
        <v>Low</v>
      </c>
    </row>
    <row r="443" spans="1:15" ht="15" customHeight="1" x14ac:dyDescent="0.25">
      <c r="A443" s="16">
        <v>439</v>
      </c>
      <c r="B443" s="16">
        <v>6.8</v>
      </c>
      <c r="C443" s="16">
        <v>3</v>
      </c>
      <c r="D443" s="16">
        <v>24.2</v>
      </c>
      <c r="E443" s="17">
        <f t="shared" si="6"/>
        <v>8</v>
      </c>
      <c r="F443" s="16">
        <v>2</v>
      </c>
      <c r="G443" s="16">
        <v>5</v>
      </c>
      <c r="H443" s="16">
        <v>1.1200000000000001</v>
      </c>
      <c r="I443" s="16">
        <v>5</v>
      </c>
      <c r="J443" s="16">
        <v>58</v>
      </c>
      <c r="K443" s="16">
        <v>8.5299999999999994</v>
      </c>
      <c r="L443" s="16">
        <v>79.400000000000006</v>
      </c>
      <c r="M443" s="16">
        <v>3</v>
      </c>
      <c r="N443" s="18">
        <f>IF(Risk_Calculation_Engine!U443="Low",1,IF(Risk_Calculation_Engine!U443="Medium",2,3))</f>
        <v>1</v>
      </c>
      <c r="O443" s="18" t="str">
        <f>Risk_Calculation_Engine!U443</f>
        <v>Low</v>
      </c>
    </row>
    <row r="444" spans="1:15" ht="15" customHeight="1" x14ac:dyDescent="0.25">
      <c r="A444" s="16">
        <v>440</v>
      </c>
      <c r="B444" s="16">
        <v>61</v>
      </c>
      <c r="C444" s="16">
        <v>3</v>
      </c>
      <c r="D444" s="16">
        <v>250.6</v>
      </c>
      <c r="E444" s="17">
        <f t="shared" si="6"/>
        <v>6.89</v>
      </c>
      <c r="F444" s="16">
        <v>2</v>
      </c>
      <c r="G444" s="16">
        <v>5</v>
      </c>
      <c r="H444" s="16">
        <v>2.5</v>
      </c>
      <c r="I444" s="16">
        <v>7</v>
      </c>
      <c r="J444" s="16">
        <v>355</v>
      </c>
      <c r="K444" s="16">
        <v>5.82</v>
      </c>
      <c r="L444" s="16">
        <v>68.900000000000006</v>
      </c>
      <c r="M444" s="16">
        <v>3</v>
      </c>
      <c r="N444" s="18">
        <f>IF(Risk_Calculation_Engine!U444="Low",1,IF(Risk_Calculation_Engine!U444="Medium",2,3))</f>
        <v>2</v>
      </c>
      <c r="O444" s="18" t="str">
        <f>Risk_Calculation_Engine!U444</f>
        <v>Medium</v>
      </c>
    </row>
    <row r="445" spans="1:15" ht="15" customHeight="1" x14ac:dyDescent="0.25">
      <c r="A445" s="16">
        <v>441</v>
      </c>
      <c r="B445" s="16">
        <v>56.5</v>
      </c>
      <c r="C445" s="16">
        <v>4</v>
      </c>
      <c r="D445" s="16">
        <v>270.10000000000002</v>
      </c>
      <c r="E445" s="17">
        <f t="shared" si="6"/>
        <v>11.28</v>
      </c>
      <c r="F445" s="16">
        <v>2</v>
      </c>
      <c r="G445" s="16">
        <v>3</v>
      </c>
      <c r="H445" s="16">
        <v>1.56</v>
      </c>
      <c r="I445" s="16">
        <v>11</v>
      </c>
      <c r="J445" s="16">
        <v>758</v>
      </c>
      <c r="K445" s="16">
        <v>13.42</v>
      </c>
      <c r="L445" s="16">
        <v>43.1</v>
      </c>
      <c r="M445" s="16">
        <v>2</v>
      </c>
      <c r="N445" s="18">
        <f>IF(Risk_Calculation_Engine!U445="Low",1,IF(Risk_Calculation_Engine!U445="Medium",2,3))</f>
        <v>2</v>
      </c>
      <c r="O445" s="18" t="str">
        <f>Risk_Calculation_Engine!U445</f>
        <v>Medium</v>
      </c>
    </row>
    <row r="446" spans="1:15" ht="15" customHeight="1" x14ac:dyDescent="0.25">
      <c r="A446" s="16">
        <v>442</v>
      </c>
      <c r="B446" s="16">
        <v>73.8</v>
      </c>
      <c r="C446" s="16">
        <v>3</v>
      </c>
      <c r="D446" s="16">
        <v>347.9</v>
      </c>
      <c r="E446" s="17">
        <f t="shared" si="6"/>
        <v>11.96</v>
      </c>
      <c r="F446" s="16">
        <v>2</v>
      </c>
      <c r="G446" s="16">
        <v>8</v>
      </c>
      <c r="H446" s="16">
        <v>1.58</v>
      </c>
      <c r="I446" s="16">
        <v>13</v>
      </c>
      <c r="J446" s="16">
        <v>495</v>
      </c>
      <c r="K446" s="16">
        <v>6.71</v>
      </c>
      <c r="L446" s="16">
        <v>91.4</v>
      </c>
      <c r="M446" s="16">
        <v>3</v>
      </c>
      <c r="N446" s="18">
        <f>IF(Risk_Calculation_Engine!U446="Low",1,IF(Risk_Calculation_Engine!U446="Medium",2,3))</f>
        <v>2</v>
      </c>
      <c r="O446" s="18" t="str">
        <f>Risk_Calculation_Engine!U446</f>
        <v>Medium</v>
      </c>
    </row>
    <row r="447" spans="1:15" ht="15" customHeight="1" x14ac:dyDescent="0.25">
      <c r="A447" s="16">
        <v>443</v>
      </c>
      <c r="B447" s="16">
        <v>20.6</v>
      </c>
      <c r="C447" s="16">
        <v>5</v>
      </c>
      <c r="D447" s="16">
        <v>88.3</v>
      </c>
      <c r="E447" s="17">
        <f t="shared" si="6"/>
        <v>9.68</v>
      </c>
      <c r="F447" s="16">
        <v>3</v>
      </c>
      <c r="G447" s="16">
        <v>4</v>
      </c>
      <c r="H447" s="16">
        <v>1.33</v>
      </c>
      <c r="I447" s="16">
        <v>14</v>
      </c>
      <c r="J447" s="16">
        <v>261</v>
      </c>
      <c r="K447" s="16">
        <v>12.67</v>
      </c>
      <c r="L447" s="16">
        <v>54.2</v>
      </c>
      <c r="M447" s="16">
        <v>3</v>
      </c>
      <c r="N447" s="18">
        <f>IF(Risk_Calculation_Engine!U447="Low",1,IF(Risk_Calculation_Engine!U447="Medium",2,3))</f>
        <v>2</v>
      </c>
      <c r="O447" s="18" t="str">
        <f>Risk_Calculation_Engine!U447</f>
        <v>Medium</v>
      </c>
    </row>
    <row r="448" spans="1:15" ht="15" customHeight="1" x14ac:dyDescent="0.25">
      <c r="A448" s="16">
        <v>444</v>
      </c>
      <c r="B448" s="16">
        <v>21</v>
      </c>
      <c r="C448" s="16">
        <v>4</v>
      </c>
      <c r="D448" s="16">
        <v>149</v>
      </c>
      <c r="E448" s="17">
        <f t="shared" si="6"/>
        <v>10.96</v>
      </c>
      <c r="F448" s="16">
        <v>1</v>
      </c>
      <c r="G448" s="16">
        <v>5</v>
      </c>
      <c r="H448" s="16">
        <v>1.36</v>
      </c>
      <c r="I448" s="16">
        <v>3</v>
      </c>
      <c r="J448" s="16">
        <v>227</v>
      </c>
      <c r="K448" s="16">
        <v>10.81</v>
      </c>
      <c r="L448" s="16">
        <v>42.2</v>
      </c>
      <c r="M448" s="16">
        <v>2</v>
      </c>
      <c r="N448" s="18">
        <f>IF(Risk_Calculation_Engine!U448="Low",1,IF(Risk_Calculation_Engine!U448="Medium",2,3))</f>
        <v>2</v>
      </c>
      <c r="O448" s="18" t="str">
        <f>Risk_Calculation_Engine!U448</f>
        <v>Medium</v>
      </c>
    </row>
    <row r="449" spans="1:15" ht="15" customHeight="1" x14ac:dyDescent="0.25">
      <c r="A449" s="16">
        <v>445</v>
      </c>
      <c r="B449" s="16">
        <v>149.1</v>
      </c>
      <c r="C449" s="16">
        <v>3</v>
      </c>
      <c r="D449" s="16">
        <v>504.9</v>
      </c>
      <c r="E449" s="17">
        <f t="shared" si="6"/>
        <v>26.21</v>
      </c>
      <c r="F449" s="16">
        <v>3</v>
      </c>
      <c r="G449" s="16">
        <v>5</v>
      </c>
      <c r="H449" s="16">
        <v>0.8</v>
      </c>
      <c r="I449" s="16">
        <v>8</v>
      </c>
      <c r="J449" s="16">
        <v>728</v>
      </c>
      <c r="K449" s="16">
        <v>4.88</v>
      </c>
      <c r="L449" s="16">
        <v>91.3</v>
      </c>
      <c r="M449" s="16">
        <v>1</v>
      </c>
      <c r="N449" s="18">
        <f>IF(Risk_Calculation_Engine!U449="Low",1,IF(Risk_Calculation_Engine!U449="Medium",2,3))</f>
        <v>1</v>
      </c>
      <c r="O449" s="18" t="str">
        <f>Risk_Calculation_Engine!U449</f>
        <v>Low</v>
      </c>
    </row>
    <row r="450" spans="1:15" ht="15" customHeight="1" x14ac:dyDescent="0.25">
      <c r="A450" s="16">
        <v>446</v>
      </c>
      <c r="B450" s="16">
        <v>28.2</v>
      </c>
      <c r="C450" s="16">
        <v>4</v>
      </c>
      <c r="D450" s="16">
        <v>118</v>
      </c>
      <c r="E450" s="17">
        <f t="shared" si="6"/>
        <v>7.16</v>
      </c>
      <c r="F450" s="16">
        <v>2</v>
      </c>
      <c r="G450" s="16">
        <v>4</v>
      </c>
      <c r="H450" s="16">
        <v>1.95</v>
      </c>
      <c r="I450" s="16">
        <v>3</v>
      </c>
      <c r="J450" s="16">
        <v>339</v>
      </c>
      <c r="K450" s="16">
        <v>12.02</v>
      </c>
      <c r="L450" s="16">
        <v>86.4</v>
      </c>
      <c r="M450" s="16">
        <v>2</v>
      </c>
      <c r="N450" s="18">
        <f>IF(Risk_Calculation_Engine!U450="Low",1,IF(Risk_Calculation_Engine!U450="Medium",2,3))</f>
        <v>3</v>
      </c>
      <c r="O450" s="18" t="str">
        <f>Risk_Calculation_Engine!U450</f>
        <v>High</v>
      </c>
    </row>
    <row r="451" spans="1:15" ht="15" customHeight="1" x14ac:dyDescent="0.25">
      <c r="A451" s="16">
        <v>447</v>
      </c>
      <c r="B451" s="16">
        <v>43.1</v>
      </c>
      <c r="C451" s="16">
        <v>3</v>
      </c>
      <c r="D451" s="16">
        <v>248.3</v>
      </c>
      <c r="E451" s="17">
        <f t="shared" si="6"/>
        <v>18.48</v>
      </c>
      <c r="F451" s="16">
        <v>1</v>
      </c>
      <c r="G451" s="16">
        <v>5</v>
      </c>
      <c r="H451" s="16">
        <v>0.93</v>
      </c>
      <c r="I451" s="16">
        <v>13</v>
      </c>
      <c r="J451" s="16">
        <v>203</v>
      </c>
      <c r="K451" s="16">
        <v>4.71</v>
      </c>
      <c r="L451" s="16">
        <v>75.8</v>
      </c>
      <c r="M451" s="16">
        <v>3</v>
      </c>
      <c r="N451" s="18">
        <f>IF(Risk_Calculation_Engine!U451="Low",1,IF(Risk_Calculation_Engine!U451="Medium",2,3))</f>
        <v>1</v>
      </c>
      <c r="O451" s="18" t="str">
        <f>Risk_Calculation_Engine!U451</f>
        <v>Low</v>
      </c>
    </row>
    <row r="452" spans="1:15" ht="15" customHeight="1" x14ac:dyDescent="0.25">
      <c r="A452" s="16">
        <v>448</v>
      </c>
      <c r="B452" s="16">
        <v>47.1</v>
      </c>
      <c r="C452" s="16">
        <v>5</v>
      </c>
      <c r="D452" s="16">
        <v>279.7</v>
      </c>
      <c r="E452" s="17">
        <f t="shared" si="6"/>
        <v>7.5</v>
      </c>
      <c r="F452" s="16">
        <v>2</v>
      </c>
      <c r="G452" s="16">
        <v>4</v>
      </c>
      <c r="H452" s="16">
        <v>2.37</v>
      </c>
      <c r="I452" s="16">
        <v>4</v>
      </c>
      <c r="J452" s="16">
        <v>647</v>
      </c>
      <c r="K452" s="16">
        <v>13.74</v>
      </c>
      <c r="L452" s="16">
        <v>74.900000000000006</v>
      </c>
      <c r="M452" s="16">
        <v>3</v>
      </c>
      <c r="N452" s="18">
        <f>IF(Risk_Calculation_Engine!U452="Low",1,IF(Risk_Calculation_Engine!U452="Medium",2,3))</f>
        <v>3</v>
      </c>
      <c r="O452" s="18" t="str">
        <f>Risk_Calculation_Engine!U452</f>
        <v>High</v>
      </c>
    </row>
    <row r="453" spans="1:15" ht="15" customHeight="1" x14ac:dyDescent="0.25">
      <c r="A453" s="16">
        <v>449</v>
      </c>
      <c r="B453" s="16">
        <v>33.200000000000003</v>
      </c>
      <c r="C453" s="16">
        <v>2</v>
      </c>
      <c r="D453" s="16">
        <v>129.19999999999999</v>
      </c>
      <c r="E453" s="17">
        <f t="shared" ref="E453:E516" si="7">ROUND(3.67*D453^0.28/H453,2)</f>
        <v>13.63</v>
      </c>
      <c r="F453" s="16">
        <v>2</v>
      </c>
      <c r="G453" s="16">
        <v>11</v>
      </c>
      <c r="H453" s="16">
        <v>1.05</v>
      </c>
      <c r="I453" s="16">
        <v>13</v>
      </c>
      <c r="J453" s="16">
        <v>192</v>
      </c>
      <c r="K453" s="16">
        <v>5.78</v>
      </c>
      <c r="L453" s="16">
        <v>78.2</v>
      </c>
      <c r="M453" s="16">
        <v>3</v>
      </c>
      <c r="N453" s="18">
        <f>IF(Risk_Calculation_Engine!U453="Low",1,IF(Risk_Calculation_Engine!U453="Medium",2,3))</f>
        <v>1</v>
      </c>
      <c r="O453" s="18" t="str">
        <f>Risk_Calculation_Engine!U453</f>
        <v>Low</v>
      </c>
    </row>
    <row r="454" spans="1:15" ht="15" customHeight="1" x14ac:dyDescent="0.25">
      <c r="A454" s="16">
        <v>450</v>
      </c>
      <c r="B454" s="16">
        <v>89.3</v>
      </c>
      <c r="C454" s="16">
        <v>5</v>
      </c>
      <c r="D454" s="16">
        <v>593.70000000000005</v>
      </c>
      <c r="E454" s="17">
        <f t="shared" si="7"/>
        <v>13.38</v>
      </c>
      <c r="F454" s="16">
        <v>2</v>
      </c>
      <c r="G454" s="16">
        <v>3</v>
      </c>
      <c r="H454" s="16">
        <v>1.64</v>
      </c>
      <c r="I454" s="16">
        <v>5</v>
      </c>
      <c r="J454" s="16">
        <v>2264</v>
      </c>
      <c r="K454" s="16">
        <v>25.35</v>
      </c>
      <c r="L454" s="16">
        <v>50.6</v>
      </c>
      <c r="M454" s="16">
        <v>3</v>
      </c>
      <c r="N454" s="18">
        <f>IF(Risk_Calculation_Engine!U454="Low",1,IF(Risk_Calculation_Engine!U454="Medium",2,3))</f>
        <v>3</v>
      </c>
      <c r="O454" s="18" t="str">
        <f>Risk_Calculation_Engine!U454</f>
        <v>High</v>
      </c>
    </row>
    <row r="455" spans="1:15" ht="15" customHeight="1" x14ac:dyDescent="0.25">
      <c r="A455" s="16">
        <v>451</v>
      </c>
      <c r="B455" s="16">
        <v>83.6</v>
      </c>
      <c r="C455" s="16">
        <v>4</v>
      </c>
      <c r="D455" s="16">
        <v>371.4</v>
      </c>
      <c r="E455" s="17">
        <f t="shared" si="7"/>
        <v>15.39</v>
      </c>
      <c r="F455" s="16">
        <v>3</v>
      </c>
      <c r="G455" s="16">
        <v>8</v>
      </c>
      <c r="H455" s="16">
        <v>1.25</v>
      </c>
      <c r="I455" s="16">
        <v>3</v>
      </c>
      <c r="J455" s="16">
        <v>796</v>
      </c>
      <c r="K455" s="16">
        <v>9.52</v>
      </c>
      <c r="L455" s="16">
        <v>64.2</v>
      </c>
      <c r="M455" s="16">
        <v>1</v>
      </c>
      <c r="N455" s="18">
        <f>IF(Risk_Calculation_Engine!U455="Low",1,IF(Risk_Calculation_Engine!U455="Medium",2,3))</f>
        <v>2</v>
      </c>
      <c r="O455" s="18" t="str">
        <f>Risk_Calculation_Engine!U455</f>
        <v>Medium</v>
      </c>
    </row>
    <row r="456" spans="1:15" ht="15" customHeight="1" x14ac:dyDescent="0.25">
      <c r="A456" s="16">
        <v>452</v>
      </c>
      <c r="B456" s="16">
        <v>54.4</v>
      </c>
      <c r="C456" s="16">
        <v>5</v>
      </c>
      <c r="D456" s="16">
        <v>274.7</v>
      </c>
      <c r="E456" s="17">
        <f t="shared" si="7"/>
        <v>13.3</v>
      </c>
      <c r="F456" s="16">
        <v>2</v>
      </c>
      <c r="G456" s="16">
        <v>4</v>
      </c>
      <c r="H456" s="16">
        <v>1.33</v>
      </c>
      <c r="I456" s="16">
        <v>14</v>
      </c>
      <c r="J456" s="16">
        <v>1239</v>
      </c>
      <c r="K456" s="16">
        <v>22.78</v>
      </c>
      <c r="L456" s="16">
        <v>46.2</v>
      </c>
      <c r="M456" s="16">
        <v>3</v>
      </c>
      <c r="N456" s="18">
        <f>IF(Risk_Calculation_Engine!U456="Low",1,IF(Risk_Calculation_Engine!U456="Medium",2,3))</f>
        <v>3</v>
      </c>
      <c r="O456" s="18" t="str">
        <f>Risk_Calculation_Engine!U456</f>
        <v>High</v>
      </c>
    </row>
    <row r="457" spans="1:15" ht="15" customHeight="1" x14ac:dyDescent="0.25">
      <c r="A457" s="16">
        <v>453</v>
      </c>
      <c r="B457" s="16">
        <v>35.1</v>
      </c>
      <c r="C457" s="16">
        <v>3</v>
      </c>
      <c r="D457" s="16">
        <v>230.7</v>
      </c>
      <c r="E457" s="17">
        <f t="shared" si="7"/>
        <v>11.78</v>
      </c>
      <c r="F457" s="16">
        <v>1</v>
      </c>
      <c r="G457" s="16">
        <v>5</v>
      </c>
      <c r="H457" s="16">
        <v>1.43</v>
      </c>
      <c r="I457" s="16">
        <v>8</v>
      </c>
      <c r="J457" s="16">
        <v>312</v>
      </c>
      <c r="K457" s="16">
        <v>8.89</v>
      </c>
      <c r="L457" s="16">
        <v>95.1</v>
      </c>
      <c r="M457" s="16">
        <v>2</v>
      </c>
      <c r="N457" s="18">
        <f>IF(Risk_Calculation_Engine!U457="Low",1,IF(Risk_Calculation_Engine!U457="Medium",2,3))</f>
        <v>2</v>
      </c>
      <c r="O457" s="18" t="str">
        <f>Risk_Calculation_Engine!U457</f>
        <v>Medium</v>
      </c>
    </row>
    <row r="458" spans="1:15" ht="15" customHeight="1" x14ac:dyDescent="0.25">
      <c r="A458" s="16">
        <v>454</v>
      </c>
      <c r="B458" s="16">
        <v>50.8</v>
      </c>
      <c r="C458" s="16">
        <v>4</v>
      </c>
      <c r="D458" s="16">
        <v>295.10000000000002</v>
      </c>
      <c r="E458" s="17">
        <f t="shared" si="7"/>
        <v>9.91</v>
      </c>
      <c r="F458" s="16">
        <v>2</v>
      </c>
      <c r="G458" s="16">
        <v>7</v>
      </c>
      <c r="H458" s="16">
        <v>1.82</v>
      </c>
      <c r="I458" s="16">
        <v>8</v>
      </c>
      <c r="J458" s="16">
        <v>299</v>
      </c>
      <c r="K458" s="16">
        <v>5.89</v>
      </c>
      <c r="L458" s="16">
        <v>80.5</v>
      </c>
      <c r="M458" s="16">
        <v>3</v>
      </c>
      <c r="N458" s="18">
        <f>IF(Risk_Calculation_Engine!U458="Low",1,IF(Risk_Calculation_Engine!U458="Medium",2,3))</f>
        <v>3</v>
      </c>
      <c r="O458" s="18" t="str">
        <f>Risk_Calculation_Engine!U458</f>
        <v>High</v>
      </c>
    </row>
    <row r="459" spans="1:15" ht="15" customHeight="1" x14ac:dyDescent="0.25">
      <c r="A459" s="16">
        <v>455</v>
      </c>
      <c r="B459" s="16">
        <v>65.2</v>
      </c>
      <c r="C459" s="16">
        <v>3</v>
      </c>
      <c r="D459" s="16">
        <v>250.5</v>
      </c>
      <c r="E459" s="17">
        <f t="shared" si="7"/>
        <v>6.89</v>
      </c>
      <c r="F459" s="16">
        <v>2</v>
      </c>
      <c r="G459" s="16">
        <v>7</v>
      </c>
      <c r="H459" s="16">
        <v>2.5</v>
      </c>
      <c r="I459" s="16">
        <v>11</v>
      </c>
      <c r="J459" s="16">
        <v>433</v>
      </c>
      <c r="K459" s="16">
        <v>6.64</v>
      </c>
      <c r="L459" s="16">
        <v>54.9</v>
      </c>
      <c r="M459" s="16">
        <v>2</v>
      </c>
      <c r="N459" s="18">
        <f>IF(Risk_Calculation_Engine!U459="Low",1,IF(Risk_Calculation_Engine!U459="Medium",2,3))</f>
        <v>3</v>
      </c>
      <c r="O459" s="18" t="str">
        <f>Risk_Calculation_Engine!U459</f>
        <v>High</v>
      </c>
    </row>
    <row r="460" spans="1:15" ht="15" customHeight="1" x14ac:dyDescent="0.25">
      <c r="A460" s="16">
        <v>456</v>
      </c>
      <c r="B460" s="16">
        <v>30.7</v>
      </c>
      <c r="C460" s="16">
        <v>4</v>
      </c>
      <c r="D460" s="16">
        <v>140.4</v>
      </c>
      <c r="E460" s="17">
        <f t="shared" si="7"/>
        <v>11.1</v>
      </c>
      <c r="F460" s="16">
        <v>2</v>
      </c>
      <c r="G460" s="16">
        <v>9</v>
      </c>
      <c r="H460" s="16">
        <v>1.32</v>
      </c>
      <c r="I460" s="16">
        <v>6</v>
      </c>
      <c r="J460" s="16">
        <v>231</v>
      </c>
      <c r="K460" s="16">
        <v>7.52</v>
      </c>
      <c r="L460" s="16">
        <v>81.2</v>
      </c>
      <c r="M460" s="16">
        <v>2</v>
      </c>
      <c r="N460" s="18">
        <f>IF(Risk_Calculation_Engine!U460="Low",1,IF(Risk_Calculation_Engine!U460="Medium",2,3))</f>
        <v>2</v>
      </c>
      <c r="O460" s="18" t="str">
        <f>Risk_Calculation_Engine!U460</f>
        <v>Medium</v>
      </c>
    </row>
    <row r="461" spans="1:15" ht="15" customHeight="1" x14ac:dyDescent="0.25">
      <c r="A461" s="16">
        <v>457</v>
      </c>
      <c r="B461" s="16">
        <v>94.4</v>
      </c>
      <c r="C461" s="16">
        <v>2</v>
      </c>
      <c r="D461" s="16">
        <v>307.3</v>
      </c>
      <c r="E461" s="17">
        <f t="shared" si="7"/>
        <v>23.7</v>
      </c>
      <c r="F461" s="16">
        <v>3</v>
      </c>
      <c r="G461" s="16">
        <v>4</v>
      </c>
      <c r="H461" s="16">
        <v>0.77</v>
      </c>
      <c r="I461" s="16">
        <v>11</v>
      </c>
      <c r="J461" s="16">
        <v>491</v>
      </c>
      <c r="K461" s="16">
        <v>5.2</v>
      </c>
      <c r="L461" s="16">
        <v>87.5</v>
      </c>
      <c r="M461" s="16">
        <v>2</v>
      </c>
      <c r="N461" s="18">
        <f>IF(Risk_Calculation_Engine!U461="Low",1,IF(Risk_Calculation_Engine!U461="Medium",2,3))</f>
        <v>1</v>
      </c>
      <c r="O461" s="18" t="str">
        <f>Risk_Calculation_Engine!U461</f>
        <v>Low</v>
      </c>
    </row>
    <row r="462" spans="1:15" ht="15" customHeight="1" x14ac:dyDescent="0.25">
      <c r="A462" s="16">
        <v>458</v>
      </c>
      <c r="B462" s="16">
        <v>126.7</v>
      </c>
      <c r="C462" s="16">
        <v>3</v>
      </c>
      <c r="D462" s="16">
        <v>600.6</v>
      </c>
      <c r="E462" s="17">
        <f t="shared" si="7"/>
        <v>8.81</v>
      </c>
      <c r="F462" s="16">
        <v>2</v>
      </c>
      <c r="G462" s="16">
        <v>5</v>
      </c>
      <c r="H462" s="16">
        <v>2.5</v>
      </c>
      <c r="I462" s="16">
        <v>8</v>
      </c>
      <c r="J462" s="16">
        <v>457</v>
      </c>
      <c r="K462" s="16">
        <v>3.61</v>
      </c>
      <c r="L462" s="16">
        <v>58.3</v>
      </c>
      <c r="M462" s="16">
        <v>2</v>
      </c>
      <c r="N462" s="18">
        <f>IF(Risk_Calculation_Engine!U462="Low",1,IF(Risk_Calculation_Engine!U462="Medium",2,3))</f>
        <v>3</v>
      </c>
      <c r="O462" s="18" t="str">
        <f>Risk_Calculation_Engine!U462</f>
        <v>High</v>
      </c>
    </row>
    <row r="463" spans="1:15" ht="15" customHeight="1" x14ac:dyDescent="0.25">
      <c r="A463" s="16">
        <v>459</v>
      </c>
      <c r="B463" s="16">
        <v>149.80000000000001</v>
      </c>
      <c r="C463" s="16">
        <v>3</v>
      </c>
      <c r="D463" s="16">
        <v>846.8</v>
      </c>
      <c r="E463" s="17">
        <f t="shared" si="7"/>
        <v>11.65</v>
      </c>
      <c r="F463" s="16">
        <v>1</v>
      </c>
      <c r="G463" s="16">
        <v>10</v>
      </c>
      <c r="H463" s="16">
        <v>2.08</v>
      </c>
      <c r="I463" s="16">
        <v>6</v>
      </c>
      <c r="J463" s="16">
        <v>1158</v>
      </c>
      <c r="K463" s="16">
        <v>7.73</v>
      </c>
      <c r="L463" s="16">
        <v>68.599999999999994</v>
      </c>
      <c r="M463" s="16">
        <v>1</v>
      </c>
      <c r="N463" s="18">
        <f>IF(Risk_Calculation_Engine!U463="Low",1,IF(Risk_Calculation_Engine!U463="Medium",2,3))</f>
        <v>3</v>
      </c>
      <c r="O463" s="18" t="str">
        <f>Risk_Calculation_Engine!U463</f>
        <v>High</v>
      </c>
    </row>
    <row r="464" spans="1:15" ht="15" customHeight="1" x14ac:dyDescent="0.25">
      <c r="A464" s="16">
        <v>460</v>
      </c>
      <c r="B464" s="16">
        <v>149.80000000000001</v>
      </c>
      <c r="C464" s="16">
        <v>3</v>
      </c>
      <c r="D464" s="16">
        <v>695.1</v>
      </c>
      <c r="E464" s="17">
        <f t="shared" si="7"/>
        <v>22.05</v>
      </c>
      <c r="F464" s="16">
        <v>2</v>
      </c>
      <c r="G464" s="16">
        <v>4</v>
      </c>
      <c r="H464" s="16">
        <v>1.04</v>
      </c>
      <c r="I464" s="16">
        <v>8</v>
      </c>
      <c r="J464" s="16">
        <v>630</v>
      </c>
      <c r="K464" s="16">
        <v>4.21</v>
      </c>
      <c r="L464" s="16">
        <v>78.3</v>
      </c>
      <c r="M464" s="16">
        <v>2</v>
      </c>
      <c r="N464" s="18">
        <f>IF(Risk_Calculation_Engine!U464="Low",1,IF(Risk_Calculation_Engine!U464="Medium",2,3))</f>
        <v>1</v>
      </c>
      <c r="O464" s="18" t="str">
        <f>Risk_Calculation_Engine!U464</f>
        <v>Low</v>
      </c>
    </row>
    <row r="465" spans="1:15" ht="15" customHeight="1" x14ac:dyDescent="0.25">
      <c r="A465" s="16">
        <v>461</v>
      </c>
      <c r="B465" s="16">
        <v>46.8</v>
      </c>
      <c r="C465" s="16">
        <v>3</v>
      </c>
      <c r="D465" s="16">
        <v>283.2</v>
      </c>
      <c r="E465" s="17">
        <f t="shared" si="7"/>
        <v>18.2</v>
      </c>
      <c r="F465" s="16">
        <v>1</v>
      </c>
      <c r="G465" s="16">
        <v>5</v>
      </c>
      <c r="H465" s="16">
        <v>0.98</v>
      </c>
      <c r="I465" s="16">
        <v>3</v>
      </c>
      <c r="J465" s="16">
        <v>268</v>
      </c>
      <c r="K465" s="16">
        <v>5.73</v>
      </c>
      <c r="L465" s="16">
        <v>61.7</v>
      </c>
      <c r="M465" s="16">
        <v>2</v>
      </c>
      <c r="N465" s="18">
        <f>IF(Risk_Calculation_Engine!U465="Low",1,IF(Risk_Calculation_Engine!U465="Medium",2,3))</f>
        <v>1</v>
      </c>
      <c r="O465" s="18" t="str">
        <f>Risk_Calculation_Engine!U465</f>
        <v>Low</v>
      </c>
    </row>
    <row r="466" spans="1:15" ht="15" customHeight="1" x14ac:dyDescent="0.25">
      <c r="A466" s="16">
        <v>462</v>
      </c>
      <c r="B466" s="16">
        <v>67.900000000000006</v>
      </c>
      <c r="C466" s="16">
        <v>4</v>
      </c>
      <c r="D466" s="16">
        <v>396.7</v>
      </c>
      <c r="E466" s="17">
        <f t="shared" si="7"/>
        <v>10.54</v>
      </c>
      <c r="F466" s="16">
        <v>2</v>
      </c>
      <c r="G466" s="16">
        <v>3</v>
      </c>
      <c r="H466" s="16">
        <v>1.86</v>
      </c>
      <c r="I466" s="16">
        <v>6</v>
      </c>
      <c r="J466" s="16">
        <v>892</v>
      </c>
      <c r="K466" s="16">
        <v>13.14</v>
      </c>
      <c r="L466" s="16">
        <v>86.3</v>
      </c>
      <c r="M466" s="16">
        <v>3</v>
      </c>
      <c r="N466" s="18">
        <f>IF(Risk_Calculation_Engine!U466="Low",1,IF(Risk_Calculation_Engine!U466="Medium",2,3))</f>
        <v>2</v>
      </c>
      <c r="O466" s="18" t="str">
        <f>Risk_Calculation_Engine!U466</f>
        <v>Medium</v>
      </c>
    </row>
    <row r="467" spans="1:15" ht="15" customHeight="1" x14ac:dyDescent="0.25">
      <c r="A467" s="16">
        <v>463</v>
      </c>
      <c r="B467" s="16">
        <v>53.5</v>
      </c>
      <c r="C467" s="16">
        <v>3</v>
      </c>
      <c r="D467" s="16">
        <v>352.1</v>
      </c>
      <c r="E467" s="17">
        <f t="shared" si="7"/>
        <v>11.02</v>
      </c>
      <c r="F467" s="16">
        <v>1</v>
      </c>
      <c r="G467" s="16">
        <v>3</v>
      </c>
      <c r="H467" s="16">
        <v>1.72</v>
      </c>
      <c r="I467" s="16">
        <v>10</v>
      </c>
      <c r="J467" s="16">
        <v>182</v>
      </c>
      <c r="K467" s="16">
        <v>3.4</v>
      </c>
      <c r="L467" s="16">
        <v>61.4</v>
      </c>
      <c r="M467" s="16">
        <v>1</v>
      </c>
      <c r="N467" s="18">
        <f>IF(Risk_Calculation_Engine!U467="Low",1,IF(Risk_Calculation_Engine!U467="Medium",2,3))</f>
        <v>1</v>
      </c>
      <c r="O467" s="18" t="str">
        <f>Risk_Calculation_Engine!U467</f>
        <v>Low</v>
      </c>
    </row>
    <row r="468" spans="1:15" ht="15" customHeight="1" x14ac:dyDescent="0.25">
      <c r="A468" s="16">
        <v>464</v>
      </c>
      <c r="B468" s="16">
        <v>53.4</v>
      </c>
      <c r="C468" s="16">
        <v>4</v>
      </c>
      <c r="D468" s="16">
        <v>310</v>
      </c>
      <c r="E468" s="17">
        <f t="shared" si="7"/>
        <v>7.32</v>
      </c>
      <c r="F468" s="16">
        <v>2</v>
      </c>
      <c r="G468" s="16">
        <v>6</v>
      </c>
      <c r="H468" s="16">
        <v>2.5</v>
      </c>
      <c r="I468" s="16">
        <v>4</v>
      </c>
      <c r="J468" s="16">
        <v>763</v>
      </c>
      <c r="K468" s="16">
        <v>14.29</v>
      </c>
      <c r="L468" s="16">
        <v>95.6</v>
      </c>
      <c r="M468" s="16">
        <v>1</v>
      </c>
      <c r="N468" s="18">
        <f>IF(Risk_Calculation_Engine!U468="Low",1,IF(Risk_Calculation_Engine!U468="Medium",2,3))</f>
        <v>3</v>
      </c>
      <c r="O468" s="18" t="str">
        <f>Risk_Calculation_Engine!U468</f>
        <v>High</v>
      </c>
    </row>
    <row r="469" spans="1:15" ht="15" customHeight="1" x14ac:dyDescent="0.25">
      <c r="A469" s="16">
        <v>465</v>
      </c>
      <c r="B469" s="16">
        <v>50.5</v>
      </c>
      <c r="C469" s="16">
        <v>1</v>
      </c>
      <c r="D469" s="16">
        <v>118.8</v>
      </c>
      <c r="E469" s="17">
        <f t="shared" si="7"/>
        <v>7.13</v>
      </c>
      <c r="F469" s="16">
        <v>3</v>
      </c>
      <c r="G469" s="16">
        <v>4</v>
      </c>
      <c r="H469" s="16">
        <v>1.96</v>
      </c>
      <c r="I469" s="16">
        <v>4</v>
      </c>
      <c r="J469" s="16">
        <v>72</v>
      </c>
      <c r="K469" s="16">
        <v>1.43</v>
      </c>
      <c r="L469" s="16">
        <v>69.5</v>
      </c>
      <c r="M469" s="16">
        <v>2</v>
      </c>
      <c r="N469" s="18">
        <f>IF(Risk_Calculation_Engine!U469="Low",1,IF(Risk_Calculation_Engine!U469="Medium",2,3))</f>
        <v>1</v>
      </c>
      <c r="O469" s="18" t="str">
        <f>Risk_Calculation_Engine!U469</f>
        <v>Low</v>
      </c>
    </row>
    <row r="470" spans="1:15" ht="15" customHeight="1" x14ac:dyDescent="0.25">
      <c r="A470" s="16">
        <v>466</v>
      </c>
      <c r="B470" s="16">
        <v>61.9</v>
      </c>
      <c r="C470" s="16">
        <v>4</v>
      </c>
      <c r="D470" s="16">
        <v>350.4</v>
      </c>
      <c r="E470" s="17">
        <f t="shared" si="7"/>
        <v>15.52</v>
      </c>
      <c r="F470" s="16">
        <v>2</v>
      </c>
      <c r="G470" s="16">
        <v>5</v>
      </c>
      <c r="H470" s="16">
        <v>1.22</v>
      </c>
      <c r="I470" s="16">
        <v>11</v>
      </c>
      <c r="J470" s="16">
        <v>619</v>
      </c>
      <c r="K470" s="16">
        <v>10</v>
      </c>
      <c r="L470" s="16">
        <v>94.4</v>
      </c>
      <c r="M470" s="16">
        <v>2</v>
      </c>
      <c r="N470" s="18">
        <f>IF(Risk_Calculation_Engine!U470="Low",1,IF(Risk_Calculation_Engine!U470="Medium",2,3))</f>
        <v>1</v>
      </c>
      <c r="O470" s="18" t="str">
        <f>Risk_Calculation_Engine!U470</f>
        <v>Low</v>
      </c>
    </row>
    <row r="471" spans="1:15" ht="15" customHeight="1" x14ac:dyDescent="0.25">
      <c r="A471" s="16">
        <v>467</v>
      </c>
      <c r="B471" s="16">
        <v>141.9</v>
      </c>
      <c r="C471" s="16">
        <v>4</v>
      </c>
      <c r="D471" s="16">
        <v>965.1</v>
      </c>
      <c r="E471" s="17">
        <f t="shared" si="7"/>
        <v>22.45</v>
      </c>
      <c r="F471" s="16">
        <v>1</v>
      </c>
      <c r="G471" s="16">
        <v>5</v>
      </c>
      <c r="H471" s="16">
        <v>1.1200000000000001</v>
      </c>
      <c r="I471" s="16">
        <v>8</v>
      </c>
      <c r="J471" s="16">
        <v>1752</v>
      </c>
      <c r="K471" s="16">
        <v>12.35</v>
      </c>
      <c r="L471" s="16">
        <v>91.2</v>
      </c>
      <c r="M471" s="16">
        <v>2</v>
      </c>
      <c r="N471" s="18">
        <f>IF(Risk_Calculation_Engine!U471="Low",1,IF(Risk_Calculation_Engine!U471="Medium",2,3))</f>
        <v>3</v>
      </c>
      <c r="O471" s="18" t="str">
        <f>Risk_Calculation_Engine!U471</f>
        <v>High</v>
      </c>
    </row>
    <row r="472" spans="1:15" ht="15" customHeight="1" x14ac:dyDescent="0.25">
      <c r="A472" s="16">
        <v>468</v>
      </c>
      <c r="B472" s="16">
        <v>78.7</v>
      </c>
      <c r="C472" s="16">
        <v>3</v>
      </c>
      <c r="D472" s="16">
        <v>360</v>
      </c>
      <c r="E472" s="17">
        <f t="shared" si="7"/>
        <v>11.77</v>
      </c>
      <c r="F472" s="16">
        <v>2</v>
      </c>
      <c r="G472" s="16">
        <v>7</v>
      </c>
      <c r="H472" s="16">
        <v>1.62</v>
      </c>
      <c r="I472" s="16">
        <v>4</v>
      </c>
      <c r="J472" s="16">
        <v>294</v>
      </c>
      <c r="K472" s="16">
        <v>3.74</v>
      </c>
      <c r="L472" s="16">
        <v>98.3</v>
      </c>
      <c r="M472" s="16">
        <v>3</v>
      </c>
      <c r="N472" s="18">
        <f>IF(Risk_Calculation_Engine!U472="Low",1,IF(Risk_Calculation_Engine!U472="Medium",2,3))</f>
        <v>2</v>
      </c>
      <c r="O472" s="18" t="str">
        <f>Risk_Calculation_Engine!U472</f>
        <v>Medium</v>
      </c>
    </row>
    <row r="473" spans="1:15" ht="15" customHeight="1" x14ac:dyDescent="0.25">
      <c r="A473" s="16">
        <v>469</v>
      </c>
      <c r="B473" s="16">
        <v>19.600000000000001</v>
      </c>
      <c r="C473" s="16">
        <v>4</v>
      </c>
      <c r="D473" s="16">
        <v>102.1</v>
      </c>
      <c r="E473" s="17">
        <f t="shared" si="7"/>
        <v>16.55</v>
      </c>
      <c r="F473" s="16">
        <v>2</v>
      </c>
      <c r="G473" s="16">
        <v>8</v>
      </c>
      <c r="H473" s="16">
        <v>0.81</v>
      </c>
      <c r="I473" s="16">
        <v>12</v>
      </c>
      <c r="J473" s="16">
        <v>217</v>
      </c>
      <c r="K473" s="16">
        <v>11.07</v>
      </c>
      <c r="L473" s="16">
        <v>78.8</v>
      </c>
      <c r="M473" s="16">
        <v>1</v>
      </c>
      <c r="N473" s="18">
        <f>IF(Risk_Calculation_Engine!U473="Low",1,IF(Risk_Calculation_Engine!U473="Medium",2,3))</f>
        <v>1</v>
      </c>
      <c r="O473" s="18" t="str">
        <f>Risk_Calculation_Engine!U473</f>
        <v>Low</v>
      </c>
    </row>
    <row r="474" spans="1:15" ht="15" customHeight="1" x14ac:dyDescent="0.25">
      <c r="A474" s="16">
        <v>470</v>
      </c>
      <c r="B474" s="16">
        <v>122.9</v>
      </c>
      <c r="C474" s="16">
        <v>5</v>
      </c>
      <c r="D474" s="16">
        <v>863</v>
      </c>
      <c r="E474" s="17">
        <f t="shared" si="7"/>
        <v>27.69</v>
      </c>
      <c r="F474" s="16">
        <v>2</v>
      </c>
      <c r="G474" s="16">
        <v>6</v>
      </c>
      <c r="H474" s="16">
        <v>0.88</v>
      </c>
      <c r="I474" s="16">
        <v>13</v>
      </c>
      <c r="J474" s="16">
        <v>2247</v>
      </c>
      <c r="K474" s="16">
        <v>18.28</v>
      </c>
      <c r="L474" s="16">
        <v>79</v>
      </c>
      <c r="M474" s="16">
        <v>2</v>
      </c>
      <c r="N474" s="18">
        <f>IF(Risk_Calculation_Engine!U474="Low",1,IF(Risk_Calculation_Engine!U474="Medium",2,3))</f>
        <v>3</v>
      </c>
      <c r="O474" s="18" t="str">
        <f>Risk_Calculation_Engine!U474</f>
        <v>High</v>
      </c>
    </row>
    <row r="475" spans="1:15" ht="15" customHeight="1" x14ac:dyDescent="0.25">
      <c r="A475" s="16">
        <v>471</v>
      </c>
      <c r="B475" s="16">
        <v>73</v>
      </c>
      <c r="C475" s="16">
        <v>4</v>
      </c>
      <c r="D475" s="16">
        <v>552.4</v>
      </c>
      <c r="E475" s="17">
        <f t="shared" si="7"/>
        <v>21.5</v>
      </c>
      <c r="F475" s="16">
        <v>1</v>
      </c>
      <c r="G475" s="16">
        <v>6</v>
      </c>
      <c r="H475" s="16">
        <v>1</v>
      </c>
      <c r="I475" s="16">
        <v>3</v>
      </c>
      <c r="J475" s="16">
        <v>793</v>
      </c>
      <c r="K475" s="16">
        <v>10.86</v>
      </c>
      <c r="L475" s="16">
        <v>94.4</v>
      </c>
      <c r="M475" s="16">
        <v>3</v>
      </c>
      <c r="N475" s="18">
        <f>IF(Risk_Calculation_Engine!U475="Low",1,IF(Risk_Calculation_Engine!U475="Medium",2,3))</f>
        <v>2</v>
      </c>
      <c r="O475" s="18" t="str">
        <f>Risk_Calculation_Engine!U475</f>
        <v>Medium</v>
      </c>
    </row>
    <row r="476" spans="1:15" ht="15" customHeight="1" x14ac:dyDescent="0.25">
      <c r="A476" s="16">
        <v>472</v>
      </c>
      <c r="B476" s="16">
        <v>90.1</v>
      </c>
      <c r="C476" s="16">
        <v>3</v>
      </c>
      <c r="D476" s="16">
        <v>278.10000000000002</v>
      </c>
      <c r="E476" s="17">
        <f t="shared" si="7"/>
        <v>14.66</v>
      </c>
      <c r="F476" s="16">
        <v>3</v>
      </c>
      <c r="G476" s="16">
        <v>2</v>
      </c>
      <c r="H476" s="16">
        <v>1.21</v>
      </c>
      <c r="I476" s="16">
        <v>5</v>
      </c>
      <c r="J476" s="16">
        <v>628</v>
      </c>
      <c r="K476" s="16">
        <v>6.97</v>
      </c>
      <c r="L476" s="16">
        <v>24.4</v>
      </c>
      <c r="M476" s="16">
        <v>2</v>
      </c>
      <c r="N476" s="18">
        <f>IF(Risk_Calculation_Engine!U476="Low",1,IF(Risk_Calculation_Engine!U476="Medium",2,3))</f>
        <v>1</v>
      </c>
      <c r="O476" s="18" t="str">
        <f>Risk_Calculation_Engine!U476</f>
        <v>Low</v>
      </c>
    </row>
    <row r="477" spans="1:15" ht="15" customHeight="1" x14ac:dyDescent="0.25">
      <c r="A477" s="16">
        <v>473</v>
      </c>
      <c r="B477" s="16">
        <v>77.5</v>
      </c>
      <c r="C477" s="16">
        <v>3</v>
      </c>
      <c r="D477" s="16">
        <v>318.5</v>
      </c>
      <c r="E477" s="17">
        <f t="shared" si="7"/>
        <v>11.89</v>
      </c>
      <c r="F477" s="16">
        <v>2</v>
      </c>
      <c r="G477" s="16">
        <v>4</v>
      </c>
      <c r="H477" s="16">
        <v>1.55</v>
      </c>
      <c r="I477" s="16">
        <v>7</v>
      </c>
      <c r="J477" s="16">
        <v>428</v>
      </c>
      <c r="K477" s="16">
        <v>5.52</v>
      </c>
      <c r="L477" s="16">
        <v>62.3</v>
      </c>
      <c r="M477" s="16">
        <v>2</v>
      </c>
      <c r="N477" s="18">
        <f>IF(Risk_Calculation_Engine!U477="Low",1,IF(Risk_Calculation_Engine!U477="Medium",2,3))</f>
        <v>2</v>
      </c>
      <c r="O477" s="18" t="str">
        <f>Risk_Calculation_Engine!U477</f>
        <v>Medium</v>
      </c>
    </row>
    <row r="478" spans="1:15" ht="15" customHeight="1" x14ac:dyDescent="0.25">
      <c r="A478" s="16">
        <v>474</v>
      </c>
      <c r="B478" s="16">
        <v>80.3</v>
      </c>
      <c r="C478" s="16">
        <v>4</v>
      </c>
      <c r="D478" s="16">
        <v>451.2</v>
      </c>
      <c r="E478" s="17">
        <f t="shared" si="7"/>
        <v>10.06</v>
      </c>
      <c r="F478" s="16">
        <v>2</v>
      </c>
      <c r="G478" s="16">
        <v>2</v>
      </c>
      <c r="H478" s="16">
        <v>2.02</v>
      </c>
      <c r="I478" s="16">
        <v>12</v>
      </c>
      <c r="J478" s="16">
        <v>641</v>
      </c>
      <c r="K478" s="16">
        <v>7.98</v>
      </c>
      <c r="L478" s="16">
        <v>60.3</v>
      </c>
      <c r="M478" s="16">
        <v>3</v>
      </c>
      <c r="N478" s="18">
        <f>IF(Risk_Calculation_Engine!U478="Low",1,IF(Risk_Calculation_Engine!U478="Medium",2,3))</f>
        <v>2</v>
      </c>
      <c r="O478" s="18" t="str">
        <f>Risk_Calculation_Engine!U478</f>
        <v>Medium</v>
      </c>
    </row>
    <row r="479" spans="1:15" ht="15" customHeight="1" x14ac:dyDescent="0.25">
      <c r="A479" s="16">
        <v>475</v>
      </c>
      <c r="B479" s="16">
        <v>83.2</v>
      </c>
      <c r="C479" s="16">
        <v>3</v>
      </c>
      <c r="D479" s="16">
        <v>493.6</v>
      </c>
      <c r="E479" s="17">
        <f t="shared" si="7"/>
        <v>8.33</v>
      </c>
      <c r="F479" s="16">
        <v>1</v>
      </c>
      <c r="G479" s="16">
        <v>9</v>
      </c>
      <c r="H479" s="16">
        <v>2.5</v>
      </c>
      <c r="I479" s="16">
        <v>3</v>
      </c>
      <c r="J479" s="16">
        <v>341</v>
      </c>
      <c r="K479" s="16">
        <v>4.0999999999999996</v>
      </c>
      <c r="L479" s="16">
        <v>75.2</v>
      </c>
      <c r="M479" s="16">
        <v>2</v>
      </c>
      <c r="N479" s="18">
        <f>IF(Risk_Calculation_Engine!U479="Low",1,IF(Risk_Calculation_Engine!U479="Medium",2,3))</f>
        <v>3</v>
      </c>
      <c r="O479" s="18" t="str">
        <f>Risk_Calculation_Engine!U479</f>
        <v>High</v>
      </c>
    </row>
    <row r="480" spans="1:15" ht="15" customHeight="1" x14ac:dyDescent="0.25">
      <c r="A480" s="16">
        <v>476</v>
      </c>
      <c r="B480" s="16">
        <v>8.9</v>
      </c>
      <c r="C480" s="16">
        <v>4</v>
      </c>
      <c r="D480" s="16">
        <v>36.1</v>
      </c>
      <c r="E480" s="17">
        <f t="shared" si="7"/>
        <v>4.0599999999999996</v>
      </c>
      <c r="F480" s="16">
        <v>2</v>
      </c>
      <c r="G480" s="16">
        <v>5</v>
      </c>
      <c r="H480" s="16">
        <v>2.4700000000000002</v>
      </c>
      <c r="I480" s="16">
        <v>13</v>
      </c>
      <c r="J480" s="16">
        <v>128</v>
      </c>
      <c r="K480" s="16">
        <v>14.38</v>
      </c>
      <c r="L480" s="16">
        <v>55.6</v>
      </c>
      <c r="M480" s="16">
        <v>1</v>
      </c>
      <c r="N480" s="18">
        <f>IF(Risk_Calculation_Engine!U480="Low",1,IF(Risk_Calculation_Engine!U480="Medium",2,3))</f>
        <v>2</v>
      </c>
      <c r="O480" s="18" t="str">
        <f>Risk_Calculation_Engine!U480</f>
        <v>Medium</v>
      </c>
    </row>
    <row r="481" spans="1:15" ht="15" customHeight="1" x14ac:dyDescent="0.25">
      <c r="A481" s="16">
        <v>477</v>
      </c>
      <c r="B481" s="16">
        <v>89.2</v>
      </c>
      <c r="C481" s="16">
        <v>3</v>
      </c>
      <c r="D481" s="16">
        <v>453.8</v>
      </c>
      <c r="E481" s="17">
        <f t="shared" si="7"/>
        <v>8.89</v>
      </c>
      <c r="F481" s="16">
        <v>2</v>
      </c>
      <c r="G481" s="16">
        <v>1</v>
      </c>
      <c r="H481" s="16">
        <v>2.29</v>
      </c>
      <c r="I481" s="16">
        <v>7</v>
      </c>
      <c r="J481" s="16">
        <v>482</v>
      </c>
      <c r="K481" s="16">
        <v>5.4</v>
      </c>
      <c r="L481" s="16">
        <v>72.2</v>
      </c>
      <c r="M481" s="16">
        <v>1</v>
      </c>
      <c r="N481" s="18">
        <f>IF(Risk_Calculation_Engine!U481="Low",1,IF(Risk_Calculation_Engine!U481="Medium",2,3))</f>
        <v>2</v>
      </c>
      <c r="O481" s="18" t="str">
        <f>Risk_Calculation_Engine!U481</f>
        <v>Medium</v>
      </c>
    </row>
    <row r="482" spans="1:15" ht="15" customHeight="1" x14ac:dyDescent="0.25">
      <c r="A482" s="16">
        <v>478</v>
      </c>
      <c r="B482" s="16">
        <v>32</v>
      </c>
      <c r="C482" s="16">
        <v>4</v>
      </c>
      <c r="D482" s="16">
        <v>182.4</v>
      </c>
      <c r="E482" s="17">
        <f t="shared" si="7"/>
        <v>12.04</v>
      </c>
      <c r="F482" s="16">
        <v>1</v>
      </c>
      <c r="G482" s="16">
        <v>4</v>
      </c>
      <c r="H482" s="16">
        <v>1.31</v>
      </c>
      <c r="I482" s="16">
        <v>4</v>
      </c>
      <c r="J482" s="16">
        <v>250</v>
      </c>
      <c r="K482" s="16">
        <v>7.81</v>
      </c>
      <c r="L482" s="16">
        <v>32</v>
      </c>
      <c r="M482" s="16">
        <v>3</v>
      </c>
      <c r="N482" s="18">
        <f>IF(Risk_Calculation_Engine!U482="Low",1,IF(Risk_Calculation_Engine!U482="Medium",2,3))</f>
        <v>2</v>
      </c>
      <c r="O482" s="18" t="str">
        <f>Risk_Calculation_Engine!U482</f>
        <v>Medium</v>
      </c>
    </row>
    <row r="483" spans="1:15" ht="15" customHeight="1" x14ac:dyDescent="0.25">
      <c r="A483" s="16">
        <v>479</v>
      </c>
      <c r="B483" s="16">
        <v>40.1</v>
      </c>
      <c r="C483" s="16">
        <v>2</v>
      </c>
      <c r="D483" s="16">
        <v>143.6</v>
      </c>
      <c r="E483" s="17">
        <f t="shared" si="7"/>
        <v>13.05</v>
      </c>
      <c r="F483" s="16">
        <v>2</v>
      </c>
      <c r="G483" s="16">
        <v>9</v>
      </c>
      <c r="H483" s="16">
        <v>1.1299999999999999</v>
      </c>
      <c r="I483" s="16">
        <v>14</v>
      </c>
      <c r="J483" s="16">
        <v>89</v>
      </c>
      <c r="K483" s="16">
        <v>2.2200000000000002</v>
      </c>
      <c r="L483" s="16">
        <v>29.7</v>
      </c>
      <c r="M483" s="16">
        <v>3</v>
      </c>
      <c r="N483" s="18">
        <f>IF(Risk_Calculation_Engine!U483="Low",1,IF(Risk_Calculation_Engine!U483="Medium",2,3))</f>
        <v>1</v>
      </c>
      <c r="O483" s="18" t="str">
        <f>Risk_Calculation_Engine!U483</f>
        <v>Low</v>
      </c>
    </row>
    <row r="484" spans="1:15" ht="15" customHeight="1" x14ac:dyDescent="0.25">
      <c r="A484" s="16">
        <v>480</v>
      </c>
      <c r="B484" s="16">
        <v>61.5</v>
      </c>
      <c r="C484" s="16">
        <v>1</v>
      </c>
      <c r="D484" s="16">
        <v>183.6</v>
      </c>
      <c r="E484" s="17">
        <f t="shared" si="7"/>
        <v>8.58</v>
      </c>
      <c r="F484" s="16">
        <v>2</v>
      </c>
      <c r="G484" s="16">
        <v>5</v>
      </c>
      <c r="H484" s="16">
        <v>1.84</v>
      </c>
      <c r="I484" s="16">
        <v>4</v>
      </c>
      <c r="J484" s="16">
        <v>154</v>
      </c>
      <c r="K484" s="16">
        <v>2.5</v>
      </c>
      <c r="L484" s="16">
        <v>87.9</v>
      </c>
      <c r="M484" s="16">
        <v>1</v>
      </c>
      <c r="N484" s="18">
        <f>IF(Risk_Calculation_Engine!U484="Low",1,IF(Risk_Calculation_Engine!U484="Medium",2,3))</f>
        <v>2</v>
      </c>
      <c r="O484" s="18" t="str">
        <f>Risk_Calculation_Engine!U484</f>
        <v>Medium</v>
      </c>
    </row>
    <row r="485" spans="1:15" ht="15" customHeight="1" x14ac:dyDescent="0.25">
      <c r="A485" s="16">
        <v>481</v>
      </c>
      <c r="B485" s="16">
        <v>149.80000000000001</v>
      </c>
      <c r="C485" s="16">
        <v>5</v>
      </c>
      <c r="D485" s="16">
        <v>625.1</v>
      </c>
      <c r="E485" s="17">
        <f t="shared" si="7"/>
        <v>11.78</v>
      </c>
      <c r="F485" s="16">
        <v>3</v>
      </c>
      <c r="G485" s="16">
        <v>6</v>
      </c>
      <c r="H485" s="16">
        <v>1.89</v>
      </c>
      <c r="I485" s="16">
        <v>4</v>
      </c>
      <c r="J485" s="16">
        <v>2771</v>
      </c>
      <c r="K485" s="16">
        <v>18.5</v>
      </c>
      <c r="L485" s="16">
        <v>73.8</v>
      </c>
      <c r="M485" s="16">
        <v>2</v>
      </c>
      <c r="N485" s="18">
        <f>IF(Risk_Calculation_Engine!U485="Low",1,IF(Risk_Calculation_Engine!U485="Medium",2,3))</f>
        <v>3</v>
      </c>
      <c r="O485" s="18" t="str">
        <f>Risk_Calculation_Engine!U485</f>
        <v>High</v>
      </c>
    </row>
    <row r="486" spans="1:15" ht="15" customHeight="1" x14ac:dyDescent="0.25">
      <c r="A486" s="16">
        <v>482</v>
      </c>
      <c r="B486" s="16">
        <v>23.4</v>
      </c>
      <c r="C486" s="16">
        <v>5</v>
      </c>
      <c r="D486" s="16">
        <v>86.5</v>
      </c>
      <c r="E486" s="17">
        <f t="shared" si="7"/>
        <v>12.42</v>
      </c>
      <c r="F486" s="16">
        <v>3</v>
      </c>
      <c r="G486" s="16">
        <v>1</v>
      </c>
      <c r="H486" s="16">
        <v>1.03</v>
      </c>
      <c r="I486" s="16">
        <v>15</v>
      </c>
      <c r="J486" s="16">
        <v>291</v>
      </c>
      <c r="K486" s="16">
        <v>12.44</v>
      </c>
      <c r="L486" s="16">
        <v>49</v>
      </c>
      <c r="M486" s="16">
        <v>2</v>
      </c>
      <c r="N486" s="18">
        <f>IF(Risk_Calculation_Engine!U486="Low",1,IF(Risk_Calculation_Engine!U486="Medium",2,3))</f>
        <v>1</v>
      </c>
      <c r="O486" s="18" t="str">
        <f>Risk_Calculation_Engine!U486</f>
        <v>Low</v>
      </c>
    </row>
    <row r="487" spans="1:15" ht="15" customHeight="1" x14ac:dyDescent="0.25">
      <c r="A487" s="16">
        <v>483</v>
      </c>
      <c r="B487" s="16">
        <v>59.8</v>
      </c>
      <c r="C487" s="16">
        <v>5</v>
      </c>
      <c r="D487" s="16">
        <v>439.4</v>
      </c>
      <c r="E487" s="17">
        <f t="shared" si="7"/>
        <v>14.1</v>
      </c>
      <c r="F487" s="16">
        <v>1</v>
      </c>
      <c r="G487" s="16">
        <v>4</v>
      </c>
      <c r="H487" s="16">
        <v>1.43</v>
      </c>
      <c r="I487" s="16">
        <v>9</v>
      </c>
      <c r="J487" s="16">
        <v>1500</v>
      </c>
      <c r="K487" s="16">
        <v>25.08</v>
      </c>
      <c r="L487" s="16">
        <v>86.7</v>
      </c>
      <c r="M487" s="16">
        <v>1</v>
      </c>
      <c r="N487" s="18">
        <f>IF(Risk_Calculation_Engine!U487="Low",1,IF(Risk_Calculation_Engine!U487="Medium",2,3))</f>
        <v>3</v>
      </c>
      <c r="O487" s="18" t="str">
        <f>Risk_Calculation_Engine!U487</f>
        <v>High</v>
      </c>
    </row>
    <row r="488" spans="1:15" ht="15" customHeight="1" x14ac:dyDescent="0.25">
      <c r="A488" s="16">
        <v>484</v>
      </c>
      <c r="B488" s="16">
        <v>49.5</v>
      </c>
      <c r="C488" s="16">
        <v>5</v>
      </c>
      <c r="D488" s="16">
        <v>394.8</v>
      </c>
      <c r="E488" s="17">
        <f t="shared" si="7"/>
        <v>17.79</v>
      </c>
      <c r="F488" s="16">
        <v>1</v>
      </c>
      <c r="G488" s="16">
        <v>7</v>
      </c>
      <c r="H488" s="16">
        <v>1.1000000000000001</v>
      </c>
      <c r="I488" s="16">
        <v>9</v>
      </c>
      <c r="J488" s="16">
        <v>1277</v>
      </c>
      <c r="K488" s="16">
        <v>25.8</v>
      </c>
      <c r="L488" s="16">
        <v>86.4</v>
      </c>
      <c r="M488" s="16">
        <v>3</v>
      </c>
      <c r="N488" s="18">
        <f>IF(Risk_Calculation_Engine!U488="Low",1,IF(Risk_Calculation_Engine!U488="Medium",2,3))</f>
        <v>3</v>
      </c>
      <c r="O488" s="18" t="str">
        <f>Risk_Calculation_Engine!U488</f>
        <v>High</v>
      </c>
    </row>
    <row r="489" spans="1:15" ht="15" customHeight="1" x14ac:dyDescent="0.25">
      <c r="A489" s="16">
        <v>485</v>
      </c>
      <c r="B489" s="16">
        <v>121.6</v>
      </c>
      <c r="C489" s="16">
        <v>3</v>
      </c>
      <c r="D489" s="16">
        <v>423.8</v>
      </c>
      <c r="E489" s="17">
        <f t="shared" si="7"/>
        <v>22.95</v>
      </c>
      <c r="F489" s="16">
        <v>3</v>
      </c>
      <c r="G489" s="16">
        <v>7</v>
      </c>
      <c r="H489" s="16">
        <v>0.87</v>
      </c>
      <c r="I489" s="16">
        <v>11</v>
      </c>
      <c r="J489" s="16">
        <v>1007</v>
      </c>
      <c r="K489" s="16">
        <v>8.2799999999999994</v>
      </c>
      <c r="L489" s="16">
        <v>60.3</v>
      </c>
      <c r="M489" s="16">
        <v>2</v>
      </c>
      <c r="N489" s="18">
        <f>IF(Risk_Calculation_Engine!U489="Low",1,IF(Risk_Calculation_Engine!U489="Medium",2,3))</f>
        <v>1</v>
      </c>
      <c r="O489" s="18" t="str">
        <f>Risk_Calculation_Engine!U489</f>
        <v>Low</v>
      </c>
    </row>
    <row r="490" spans="1:15" ht="15" customHeight="1" x14ac:dyDescent="0.25">
      <c r="A490" s="16">
        <v>486</v>
      </c>
      <c r="B490" s="16">
        <v>48.3</v>
      </c>
      <c r="C490" s="16">
        <v>3</v>
      </c>
      <c r="D490" s="16">
        <v>155.19999999999999</v>
      </c>
      <c r="E490" s="17">
        <f t="shared" si="7"/>
        <v>8.4700000000000006</v>
      </c>
      <c r="F490" s="16">
        <v>3</v>
      </c>
      <c r="G490" s="16">
        <v>6</v>
      </c>
      <c r="H490" s="16">
        <v>1.78</v>
      </c>
      <c r="I490" s="16">
        <v>11</v>
      </c>
      <c r="J490" s="16">
        <v>307</v>
      </c>
      <c r="K490" s="16">
        <v>6.36</v>
      </c>
      <c r="L490" s="16">
        <v>74.8</v>
      </c>
      <c r="M490" s="16">
        <v>3</v>
      </c>
      <c r="N490" s="18">
        <f>IF(Risk_Calculation_Engine!U490="Low",1,IF(Risk_Calculation_Engine!U490="Medium",2,3))</f>
        <v>1</v>
      </c>
      <c r="O490" s="18" t="str">
        <f>Risk_Calculation_Engine!U490</f>
        <v>Low</v>
      </c>
    </row>
    <row r="491" spans="1:15" ht="15" customHeight="1" x14ac:dyDescent="0.25">
      <c r="A491" s="16">
        <v>487</v>
      </c>
      <c r="B491" s="16">
        <v>73.7</v>
      </c>
      <c r="C491" s="16">
        <v>2</v>
      </c>
      <c r="D491" s="16">
        <v>241.3</v>
      </c>
      <c r="E491" s="17">
        <f t="shared" si="7"/>
        <v>7.51</v>
      </c>
      <c r="F491" s="16">
        <v>3</v>
      </c>
      <c r="G491" s="16">
        <v>6</v>
      </c>
      <c r="H491" s="16">
        <v>2.27</v>
      </c>
      <c r="I491" s="16">
        <v>10</v>
      </c>
      <c r="J491" s="16">
        <v>257</v>
      </c>
      <c r="K491" s="16">
        <v>3.49</v>
      </c>
      <c r="L491" s="16">
        <v>33.1</v>
      </c>
      <c r="M491" s="16">
        <v>3</v>
      </c>
      <c r="N491" s="18">
        <f>IF(Risk_Calculation_Engine!U491="Low",1,IF(Risk_Calculation_Engine!U491="Medium",2,3))</f>
        <v>1</v>
      </c>
      <c r="O491" s="18" t="str">
        <f>Risk_Calculation_Engine!U491</f>
        <v>Low</v>
      </c>
    </row>
    <row r="492" spans="1:15" ht="15" customHeight="1" x14ac:dyDescent="0.25">
      <c r="A492" s="16">
        <v>488</v>
      </c>
      <c r="B492" s="16">
        <v>23.5</v>
      </c>
      <c r="C492" s="16">
        <v>3</v>
      </c>
      <c r="D492" s="16">
        <v>129.4</v>
      </c>
      <c r="E492" s="17">
        <f t="shared" si="7"/>
        <v>5.73</v>
      </c>
      <c r="F492" s="16">
        <v>1</v>
      </c>
      <c r="G492" s="16">
        <v>6</v>
      </c>
      <c r="H492" s="16">
        <v>2.5</v>
      </c>
      <c r="I492" s="16">
        <v>3</v>
      </c>
      <c r="J492" s="16">
        <v>93</v>
      </c>
      <c r="K492" s="16">
        <v>3.96</v>
      </c>
      <c r="L492" s="16">
        <v>77</v>
      </c>
      <c r="M492" s="16">
        <v>1</v>
      </c>
      <c r="N492" s="18">
        <f>IF(Risk_Calculation_Engine!U492="Low",1,IF(Risk_Calculation_Engine!U492="Medium",2,3))</f>
        <v>2</v>
      </c>
      <c r="O492" s="18" t="str">
        <f>Risk_Calculation_Engine!U492</f>
        <v>Medium</v>
      </c>
    </row>
    <row r="493" spans="1:15" ht="15" customHeight="1" x14ac:dyDescent="0.25">
      <c r="A493" s="16">
        <v>489</v>
      </c>
      <c r="B493" s="16">
        <v>136.6</v>
      </c>
      <c r="C493" s="16">
        <v>2</v>
      </c>
      <c r="D493" s="16">
        <v>814.4</v>
      </c>
      <c r="E493" s="17">
        <f t="shared" si="7"/>
        <v>16.2</v>
      </c>
      <c r="F493" s="16">
        <v>1</v>
      </c>
      <c r="G493" s="16">
        <v>6</v>
      </c>
      <c r="H493" s="16">
        <v>1.48</v>
      </c>
      <c r="I493" s="16">
        <v>10</v>
      </c>
      <c r="J493" s="16">
        <v>479</v>
      </c>
      <c r="K493" s="16">
        <v>3.51</v>
      </c>
      <c r="L493" s="16">
        <v>63.3</v>
      </c>
      <c r="M493" s="16">
        <v>3</v>
      </c>
      <c r="N493" s="18">
        <f>IF(Risk_Calculation_Engine!U493="Low",1,IF(Risk_Calculation_Engine!U493="Medium",2,3))</f>
        <v>2</v>
      </c>
      <c r="O493" s="18" t="str">
        <f>Risk_Calculation_Engine!U493</f>
        <v>Medium</v>
      </c>
    </row>
    <row r="494" spans="1:15" ht="15" customHeight="1" x14ac:dyDescent="0.25">
      <c r="A494" s="16">
        <v>490</v>
      </c>
      <c r="B494" s="16">
        <v>14</v>
      </c>
      <c r="C494" s="16">
        <v>5</v>
      </c>
      <c r="D494" s="16">
        <v>102.6</v>
      </c>
      <c r="E494" s="17">
        <f t="shared" si="7"/>
        <v>16.170000000000002</v>
      </c>
      <c r="F494" s="16">
        <v>1</v>
      </c>
      <c r="G494" s="16">
        <v>6</v>
      </c>
      <c r="H494" s="16">
        <v>0.83</v>
      </c>
      <c r="I494" s="16">
        <v>6</v>
      </c>
      <c r="J494" s="16">
        <v>280</v>
      </c>
      <c r="K494" s="16">
        <v>20</v>
      </c>
      <c r="L494" s="16">
        <v>83.4</v>
      </c>
      <c r="M494" s="16">
        <v>3</v>
      </c>
      <c r="N494" s="18">
        <f>IF(Risk_Calculation_Engine!U494="Low",1,IF(Risk_Calculation_Engine!U494="Medium",2,3))</f>
        <v>2</v>
      </c>
      <c r="O494" s="18" t="str">
        <f>Risk_Calculation_Engine!U494</f>
        <v>Medium</v>
      </c>
    </row>
    <row r="495" spans="1:15" ht="15" customHeight="1" x14ac:dyDescent="0.25">
      <c r="A495" s="16">
        <v>491</v>
      </c>
      <c r="B495" s="16">
        <v>88.3</v>
      </c>
      <c r="C495" s="16">
        <v>1</v>
      </c>
      <c r="D495" s="16">
        <v>223</v>
      </c>
      <c r="E495" s="17">
        <f t="shared" si="7"/>
        <v>6.67</v>
      </c>
      <c r="F495" s="16">
        <v>3</v>
      </c>
      <c r="G495" s="16">
        <v>8</v>
      </c>
      <c r="H495" s="16">
        <v>2.5</v>
      </c>
      <c r="I495" s="16">
        <v>13</v>
      </c>
      <c r="J495" s="16">
        <v>128</v>
      </c>
      <c r="K495" s="16">
        <v>1.45</v>
      </c>
      <c r="L495" s="16">
        <v>53.2</v>
      </c>
      <c r="M495" s="16">
        <v>2</v>
      </c>
      <c r="N495" s="18">
        <f>IF(Risk_Calculation_Engine!U495="Low",1,IF(Risk_Calculation_Engine!U495="Medium",2,3))</f>
        <v>2</v>
      </c>
      <c r="O495" s="18" t="str">
        <f>Risk_Calculation_Engine!U495</f>
        <v>Medium</v>
      </c>
    </row>
    <row r="496" spans="1:15" ht="15" customHeight="1" x14ac:dyDescent="0.25">
      <c r="A496" s="16">
        <v>492</v>
      </c>
      <c r="B496" s="16">
        <v>74</v>
      </c>
      <c r="C496" s="16">
        <v>2</v>
      </c>
      <c r="D496" s="16">
        <v>274</v>
      </c>
      <c r="E496" s="17">
        <f t="shared" si="7"/>
        <v>7.07</v>
      </c>
      <c r="F496" s="16">
        <v>2</v>
      </c>
      <c r="G496" s="16">
        <v>2</v>
      </c>
      <c r="H496" s="16">
        <v>2.5</v>
      </c>
      <c r="I496" s="16">
        <v>9</v>
      </c>
      <c r="J496" s="16">
        <v>285</v>
      </c>
      <c r="K496" s="16">
        <v>3.85</v>
      </c>
      <c r="L496" s="16">
        <v>54.3</v>
      </c>
      <c r="M496" s="16">
        <v>1</v>
      </c>
      <c r="N496" s="18">
        <f>IF(Risk_Calculation_Engine!U496="Low",1,IF(Risk_Calculation_Engine!U496="Medium",2,3))</f>
        <v>1</v>
      </c>
      <c r="O496" s="18" t="str">
        <f>Risk_Calculation_Engine!U496</f>
        <v>Low</v>
      </c>
    </row>
    <row r="497" spans="1:15" ht="15" customHeight="1" x14ac:dyDescent="0.25">
      <c r="A497" s="16">
        <v>493</v>
      </c>
      <c r="B497" s="16">
        <v>82.7</v>
      </c>
      <c r="C497" s="16">
        <v>3</v>
      </c>
      <c r="D497" s="16">
        <v>423.8</v>
      </c>
      <c r="E497" s="17">
        <f t="shared" si="7"/>
        <v>7.99</v>
      </c>
      <c r="F497" s="16">
        <v>2</v>
      </c>
      <c r="G497" s="16">
        <v>11</v>
      </c>
      <c r="H497" s="16">
        <v>2.5</v>
      </c>
      <c r="I497" s="16">
        <v>4</v>
      </c>
      <c r="J497" s="16">
        <v>532</v>
      </c>
      <c r="K497" s="16">
        <v>6.43</v>
      </c>
      <c r="L497" s="16">
        <v>47.8</v>
      </c>
      <c r="M497" s="16">
        <v>3</v>
      </c>
      <c r="N497" s="18">
        <f>IF(Risk_Calculation_Engine!U497="Low",1,IF(Risk_Calculation_Engine!U497="Medium",2,3))</f>
        <v>3</v>
      </c>
      <c r="O497" s="18" t="str">
        <f>Risk_Calculation_Engine!U497</f>
        <v>High</v>
      </c>
    </row>
    <row r="498" spans="1:15" ht="15" customHeight="1" x14ac:dyDescent="0.25">
      <c r="A498" s="16">
        <v>494</v>
      </c>
      <c r="B498" s="16">
        <v>14.2</v>
      </c>
      <c r="C498" s="16">
        <v>2</v>
      </c>
      <c r="D498" s="16">
        <v>46.5</v>
      </c>
      <c r="E498" s="17">
        <f t="shared" si="7"/>
        <v>4.3</v>
      </c>
      <c r="F498" s="16">
        <v>2</v>
      </c>
      <c r="G498" s="16">
        <v>2</v>
      </c>
      <c r="H498" s="16">
        <v>2.5</v>
      </c>
      <c r="I498" s="16">
        <v>14</v>
      </c>
      <c r="J498" s="16">
        <v>70</v>
      </c>
      <c r="K498" s="16">
        <v>4.93</v>
      </c>
      <c r="L498" s="16">
        <v>77.7</v>
      </c>
      <c r="M498" s="16">
        <v>2</v>
      </c>
      <c r="N498" s="18">
        <f>IF(Risk_Calculation_Engine!U498="Low",1,IF(Risk_Calculation_Engine!U498="Medium",2,3))</f>
        <v>1</v>
      </c>
      <c r="O498" s="18" t="str">
        <f>Risk_Calculation_Engine!U498</f>
        <v>Low</v>
      </c>
    </row>
    <row r="499" spans="1:15" ht="15" customHeight="1" x14ac:dyDescent="0.25">
      <c r="A499" s="16">
        <v>495</v>
      </c>
      <c r="B499" s="16">
        <v>47.5</v>
      </c>
      <c r="C499" s="16">
        <v>2</v>
      </c>
      <c r="D499" s="16">
        <v>249.8</v>
      </c>
      <c r="E499" s="17">
        <f t="shared" si="7"/>
        <v>9.9499999999999993</v>
      </c>
      <c r="F499" s="16">
        <v>1</v>
      </c>
      <c r="G499" s="16">
        <v>7</v>
      </c>
      <c r="H499" s="16">
        <v>1.73</v>
      </c>
      <c r="I499" s="16">
        <v>6</v>
      </c>
      <c r="J499" s="16">
        <v>112</v>
      </c>
      <c r="K499" s="16">
        <v>2.36</v>
      </c>
      <c r="L499" s="16">
        <v>57.5</v>
      </c>
      <c r="M499" s="16">
        <v>3</v>
      </c>
      <c r="N499" s="18">
        <f>IF(Risk_Calculation_Engine!U499="Low",1,IF(Risk_Calculation_Engine!U499="Medium",2,3))</f>
        <v>2</v>
      </c>
      <c r="O499" s="18" t="str">
        <f>Risk_Calculation_Engine!U499</f>
        <v>Medium</v>
      </c>
    </row>
    <row r="500" spans="1:15" ht="15" customHeight="1" x14ac:dyDescent="0.25">
      <c r="A500" s="16">
        <v>496</v>
      </c>
      <c r="B500" s="16">
        <v>117.3</v>
      </c>
      <c r="C500" s="16">
        <v>4</v>
      </c>
      <c r="D500" s="16">
        <v>661.3</v>
      </c>
      <c r="E500" s="17">
        <f t="shared" si="7"/>
        <v>14.31</v>
      </c>
      <c r="F500" s="16">
        <v>2</v>
      </c>
      <c r="G500" s="16">
        <v>8</v>
      </c>
      <c r="H500" s="16">
        <v>1.58</v>
      </c>
      <c r="I500" s="16">
        <v>6</v>
      </c>
      <c r="J500" s="16">
        <v>1603</v>
      </c>
      <c r="K500" s="16">
        <v>13.67</v>
      </c>
      <c r="L500" s="16">
        <v>55.6</v>
      </c>
      <c r="M500" s="16">
        <v>2</v>
      </c>
      <c r="N500" s="18">
        <f>IF(Risk_Calculation_Engine!U500="Low",1,IF(Risk_Calculation_Engine!U500="Medium",2,3))</f>
        <v>3</v>
      </c>
      <c r="O500" s="18" t="str">
        <f>Risk_Calculation_Engine!U500</f>
        <v>High</v>
      </c>
    </row>
    <row r="501" spans="1:15" ht="15" customHeight="1" x14ac:dyDescent="0.25">
      <c r="A501" s="16">
        <v>497</v>
      </c>
      <c r="B501" s="16">
        <v>149.80000000000001</v>
      </c>
      <c r="C501" s="16">
        <v>3</v>
      </c>
      <c r="D501" s="16">
        <v>1092.4000000000001</v>
      </c>
      <c r="E501" s="17">
        <f t="shared" si="7"/>
        <v>12.05</v>
      </c>
      <c r="F501" s="16">
        <v>1</v>
      </c>
      <c r="G501" s="16">
        <v>9</v>
      </c>
      <c r="H501" s="16">
        <v>2.16</v>
      </c>
      <c r="I501" s="16">
        <v>15</v>
      </c>
      <c r="J501" s="16">
        <v>859</v>
      </c>
      <c r="K501" s="16">
        <v>5.73</v>
      </c>
      <c r="L501" s="16">
        <v>47.6</v>
      </c>
      <c r="M501" s="16">
        <v>3</v>
      </c>
      <c r="N501" s="18">
        <f>IF(Risk_Calculation_Engine!U501="Low",1,IF(Risk_Calculation_Engine!U501="Medium",2,3))</f>
        <v>3</v>
      </c>
      <c r="O501" s="18" t="str">
        <f>Risk_Calculation_Engine!U501</f>
        <v>High</v>
      </c>
    </row>
    <row r="502" spans="1:15" ht="15" customHeight="1" x14ac:dyDescent="0.25">
      <c r="A502" s="16">
        <v>498</v>
      </c>
      <c r="B502" s="16">
        <v>56.2</v>
      </c>
      <c r="C502" s="16">
        <v>4</v>
      </c>
      <c r="D502" s="16">
        <v>292.2</v>
      </c>
      <c r="E502" s="17">
        <f t="shared" si="7"/>
        <v>19.559999999999999</v>
      </c>
      <c r="F502" s="16">
        <v>2</v>
      </c>
      <c r="G502" s="16">
        <v>10</v>
      </c>
      <c r="H502" s="16">
        <v>0.92</v>
      </c>
      <c r="I502" s="16">
        <v>13</v>
      </c>
      <c r="J502" s="16">
        <v>608</v>
      </c>
      <c r="K502" s="16">
        <v>10.82</v>
      </c>
      <c r="L502" s="16">
        <v>90.8</v>
      </c>
      <c r="M502" s="16">
        <v>3</v>
      </c>
      <c r="N502" s="18">
        <f>IF(Risk_Calculation_Engine!U502="Low",1,IF(Risk_Calculation_Engine!U502="Medium",2,3))</f>
        <v>2</v>
      </c>
      <c r="O502" s="18" t="str">
        <f>Risk_Calculation_Engine!U502</f>
        <v>Medium</v>
      </c>
    </row>
    <row r="503" spans="1:15" ht="15" customHeight="1" x14ac:dyDescent="0.25">
      <c r="A503" s="16">
        <v>499</v>
      </c>
      <c r="B503" s="16">
        <v>109.4</v>
      </c>
      <c r="C503" s="16">
        <v>5</v>
      </c>
      <c r="D503" s="16">
        <v>680.3</v>
      </c>
      <c r="E503" s="17">
        <f t="shared" si="7"/>
        <v>19.32</v>
      </c>
      <c r="F503" s="16">
        <v>2</v>
      </c>
      <c r="G503" s="16">
        <v>6</v>
      </c>
      <c r="H503" s="16">
        <v>1.18</v>
      </c>
      <c r="I503" s="16">
        <v>14</v>
      </c>
      <c r="J503" s="16">
        <v>2836</v>
      </c>
      <c r="K503" s="16">
        <v>25.92</v>
      </c>
      <c r="L503" s="16">
        <v>61.7</v>
      </c>
      <c r="M503" s="16">
        <v>2</v>
      </c>
      <c r="N503" s="18">
        <f>IF(Risk_Calculation_Engine!U503="Low",1,IF(Risk_Calculation_Engine!U503="Medium",2,3))</f>
        <v>3</v>
      </c>
      <c r="O503" s="18" t="str">
        <f>Risk_Calculation_Engine!U503</f>
        <v>High</v>
      </c>
    </row>
    <row r="504" spans="1:15" ht="15" customHeight="1" x14ac:dyDescent="0.25">
      <c r="A504" s="16">
        <v>500</v>
      </c>
      <c r="B504" s="16">
        <v>68.5</v>
      </c>
      <c r="C504" s="16">
        <v>4</v>
      </c>
      <c r="D504" s="16">
        <v>355.3</v>
      </c>
      <c r="E504" s="17">
        <f t="shared" si="7"/>
        <v>12.84</v>
      </c>
      <c r="F504" s="16">
        <v>2</v>
      </c>
      <c r="G504" s="16">
        <v>1</v>
      </c>
      <c r="H504" s="16">
        <v>1.48</v>
      </c>
      <c r="I504" s="16">
        <v>11</v>
      </c>
      <c r="J504" s="16">
        <v>458</v>
      </c>
      <c r="K504" s="16">
        <v>6.69</v>
      </c>
      <c r="L504" s="16">
        <v>73.400000000000006</v>
      </c>
      <c r="M504" s="16">
        <v>1</v>
      </c>
      <c r="N504" s="18">
        <f>IF(Risk_Calculation_Engine!U504="Low",1,IF(Risk_Calculation_Engine!U504="Medium",2,3))</f>
        <v>1</v>
      </c>
      <c r="O504" s="18" t="str">
        <f>Risk_Calculation_Engine!U504</f>
        <v>Low</v>
      </c>
    </row>
    <row r="505" spans="1:15" ht="15" customHeight="1" x14ac:dyDescent="0.25">
      <c r="A505" s="16">
        <v>501</v>
      </c>
      <c r="B505" s="16">
        <v>58.6</v>
      </c>
      <c r="C505" s="16">
        <v>4</v>
      </c>
      <c r="D505" s="16">
        <v>328.3</v>
      </c>
      <c r="E505" s="17">
        <f t="shared" si="7"/>
        <v>7.44</v>
      </c>
      <c r="F505" s="16">
        <v>2</v>
      </c>
      <c r="G505" s="16">
        <v>6</v>
      </c>
      <c r="H505" s="16">
        <v>2.5</v>
      </c>
      <c r="I505" s="16">
        <v>14</v>
      </c>
      <c r="J505" s="16">
        <v>811</v>
      </c>
      <c r="K505" s="16">
        <v>13.84</v>
      </c>
      <c r="L505" s="16">
        <v>51.4</v>
      </c>
      <c r="M505" s="16">
        <v>2</v>
      </c>
      <c r="N505" s="18">
        <f>IF(Risk_Calculation_Engine!U505="Low",1,IF(Risk_Calculation_Engine!U505="Medium",2,3))</f>
        <v>3</v>
      </c>
      <c r="O505" s="18" t="str">
        <f>Risk_Calculation_Engine!U505</f>
        <v>High</v>
      </c>
    </row>
    <row r="506" spans="1:15" ht="15" customHeight="1" x14ac:dyDescent="0.25">
      <c r="A506" s="16">
        <v>502</v>
      </c>
      <c r="B506" s="16">
        <v>42.8</v>
      </c>
      <c r="C506" s="16">
        <v>3</v>
      </c>
      <c r="D506" s="16">
        <v>130</v>
      </c>
      <c r="E506" s="17">
        <f t="shared" si="7"/>
        <v>5.74</v>
      </c>
      <c r="F506" s="16">
        <v>3</v>
      </c>
      <c r="G506" s="16">
        <v>5</v>
      </c>
      <c r="H506" s="16">
        <v>2.5</v>
      </c>
      <c r="I506" s="16">
        <v>4</v>
      </c>
      <c r="J506" s="16">
        <v>335</v>
      </c>
      <c r="K506" s="16">
        <v>7.83</v>
      </c>
      <c r="L506" s="16">
        <v>65.3</v>
      </c>
      <c r="M506" s="16">
        <v>3</v>
      </c>
      <c r="N506" s="18">
        <f>IF(Risk_Calculation_Engine!U506="Low",1,IF(Risk_Calculation_Engine!U506="Medium",2,3))</f>
        <v>2</v>
      </c>
      <c r="O506" s="18" t="str">
        <f>Risk_Calculation_Engine!U506</f>
        <v>Medium</v>
      </c>
    </row>
    <row r="507" spans="1:15" ht="15" customHeight="1" x14ac:dyDescent="0.25">
      <c r="A507" s="16">
        <v>503</v>
      </c>
      <c r="B507" s="16">
        <v>61.8</v>
      </c>
      <c r="C507" s="16">
        <v>2</v>
      </c>
      <c r="D507" s="16">
        <v>269.89999999999998</v>
      </c>
      <c r="E507" s="17">
        <f t="shared" si="7"/>
        <v>11.58</v>
      </c>
      <c r="F507" s="16">
        <v>2</v>
      </c>
      <c r="G507" s="16">
        <v>7</v>
      </c>
      <c r="H507" s="16">
        <v>1.52</v>
      </c>
      <c r="I507" s="16">
        <v>10</v>
      </c>
      <c r="J507" s="16">
        <v>369</v>
      </c>
      <c r="K507" s="16">
        <v>5.97</v>
      </c>
      <c r="L507" s="16">
        <v>50.8</v>
      </c>
      <c r="M507" s="16">
        <v>1</v>
      </c>
      <c r="N507" s="18">
        <f>IF(Risk_Calculation_Engine!U507="Low",1,IF(Risk_Calculation_Engine!U507="Medium",2,3))</f>
        <v>1</v>
      </c>
      <c r="O507" s="18" t="str">
        <f>Risk_Calculation_Engine!U507</f>
        <v>Low</v>
      </c>
    </row>
    <row r="508" spans="1:15" ht="15" customHeight="1" x14ac:dyDescent="0.25">
      <c r="A508" s="16">
        <v>504</v>
      </c>
      <c r="B508" s="16">
        <v>102.4</v>
      </c>
      <c r="C508" s="16">
        <v>3</v>
      </c>
      <c r="D508" s="16">
        <v>722.6</v>
      </c>
      <c r="E508" s="17">
        <f t="shared" si="7"/>
        <v>24.4</v>
      </c>
      <c r="F508" s="16">
        <v>1</v>
      </c>
      <c r="G508" s="16">
        <v>7</v>
      </c>
      <c r="H508" s="16">
        <v>0.95</v>
      </c>
      <c r="I508" s="16">
        <v>6</v>
      </c>
      <c r="J508" s="16">
        <v>549</v>
      </c>
      <c r="K508" s="16">
        <v>5.36</v>
      </c>
      <c r="L508" s="16">
        <v>78.900000000000006</v>
      </c>
      <c r="M508" s="16">
        <v>3</v>
      </c>
      <c r="N508" s="18">
        <f>IF(Risk_Calculation_Engine!U508="Low",1,IF(Risk_Calculation_Engine!U508="Medium",2,3))</f>
        <v>1</v>
      </c>
      <c r="O508" s="18" t="str">
        <f>Risk_Calculation_Engine!U508</f>
        <v>Low</v>
      </c>
    </row>
    <row r="509" spans="1:15" ht="15" customHeight="1" x14ac:dyDescent="0.25">
      <c r="A509" s="16">
        <v>505</v>
      </c>
      <c r="B509" s="16">
        <v>108.6</v>
      </c>
      <c r="C509" s="16">
        <v>5</v>
      </c>
      <c r="D509" s="16">
        <v>834.1</v>
      </c>
      <c r="E509" s="17">
        <f t="shared" si="7"/>
        <v>10.73</v>
      </c>
      <c r="F509" s="16">
        <v>1</v>
      </c>
      <c r="G509" s="16">
        <v>7</v>
      </c>
      <c r="H509" s="16">
        <v>2.25</v>
      </c>
      <c r="I509" s="16">
        <v>8</v>
      </c>
      <c r="J509" s="16">
        <v>1225</v>
      </c>
      <c r="K509" s="16">
        <v>11.28</v>
      </c>
      <c r="L509" s="16">
        <v>78.900000000000006</v>
      </c>
      <c r="M509" s="16">
        <v>1</v>
      </c>
      <c r="N509" s="18">
        <f>IF(Risk_Calculation_Engine!U509="Low",1,IF(Risk_Calculation_Engine!U509="Medium",2,3))</f>
        <v>3</v>
      </c>
      <c r="O509" s="18" t="str">
        <f>Risk_Calculation_Engine!U509</f>
        <v>High</v>
      </c>
    </row>
    <row r="510" spans="1:15" ht="15" customHeight="1" x14ac:dyDescent="0.25">
      <c r="A510" s="16">
        <v>506</v>
      </c>
      <c r="B510" s="16">
        <v>17.7</v>
      </c>
      <c r="C510" s="16">
        <v>4</v>
      </c>
      <c r="D510" s="16">
        <v>76.7</v>
      </c>
      <c r="E510" s="17">
        <f t="shared" si="7"/>
        <v>13.3</v>
      </c>
      <c r="F510" s="16">
        <v>2</v>
      </c>
      <c r="G510" s="16">
        <v>2</v>
      </c>
      <c r="H510" s="16">
        <v>0.93</v>
      </c>
      <c r="I510" s="16">
        <v>6</v>
      </c>
      <c r="J510" s="16">
        <v>91</v>
      </c>
      <c r="K510" s="16">
        <v>5.14</v>
      </c>
      <c r="L510" s="16">
        <v>53.6</v>
      </c>
      <c r="M510" s="16">
        <v>3</v>
      </c>
      <c r="N510" s="18">
        <f>IF(Risk_Calculation_Engine!U510="Low",1,IF(Risk_Calculation_Engine!U510="Medium",2,3))</f>
        <v>1</v>
      </c>
      <c r="O510" s="18" t="str">
        <f>Risk_Calculation_Engine!U510</f>
        <v>Low</v>
      </c>
    </row>
    <row r="511" spans="1:15" ht="15" customHeight="1" x14ac:dyDescent="0.25">
      <c r="A511" s="16">
        <v>507</v>
      </c>
      <c r="B511" s="16">
        <v>39.5</v>
      </c>
      <c r="C511" s="16">
        <v>3</v>
      </c>
      <c r="D511" s="16">
        <v>257.5</v>
      </c>
      <c r="E511" s="17">
        <f t="shared" si="7"/>
        <v>13.78</v>
      </c>
      <c r="F511" s="16">
        <v>1</v>
      </c>
      <c r="G511" s="16">
        <v>5</v>
      </c>
      <c r="H511" s="16">
        <v>1.26</v>
      </c>
      <c r="I511" s="16">
        <v>5</v>
      </c>
      <c r="J511" s="16">
        <v>306</v>
      </c>
      <c r="K511" s="16">
        <v>7.75</v>
      </c>
      <c r="L511" s="16">
        <v>70.099999999999994</v>
      </c>
      <c r="M511" s="16">
        <v>1</v>
      </c>
      <c r="N511" s="18">
        <f>IF(Risk_Calculation_Engine!U511="Low",1,IF(Risk_Calculation_Engine!U511="Medium",2,3))</f>
        <v>1</v>
      </c>
      <c r="O511" s="18" t="str">
        <f>Risk_Calculation_Engine!U511</f>
        <v>Low</v>
      </c>
    </row>
    <row r="512" spans="1:15" ht="15" customHeight="1" x14ac:dyDescent="0.25">
      <c r="A512" s="16">
        <v>508</v>
      </c>
      <c r="B512" s="16">
        <v>22.3</v>
      </c>
      <c r="C512" s="16">
        <v>3</v>
      </c>
      <c r="D512" s="16">
        <v>114.2</v>
      </c>
      <c r="E512" s="17">
        <f t="shared" si="7"/>
        <v>7.99</v>
      </c>
      <c r="F512" s="16">
        <v>1</v>
      </c>
      <c r="G512" s="16">
        <v>5</v>
      </c>
      <c r="H512" s="16">
        <v>1.73</v>
      </c>
      <c r="I512" s="16">
        <v>8</v>
      </c>
      <c r="J512" s="16">
        <v>85</v>
      </c>
      <c r="K512" s="16">
        <v>3.81</v>
      </c>
      <c r="L512" s="16">
        <v>43.8</v>
      </c>
      <c r="M512" s="16">
        <v>3</v>
      </c>
      <c r="N512" s="18">
        <f>IF(Risk_Calculation_Engine!U512="Low",1,IF(Risk_Calculation_Engine!U512="Medium",2,3))</f>
        <v>1</v>
      </c>
      <c r="O512" s="18" t="str">
        <f>Risk_Calculation_Engine!U512</f>
        <v>Low</v>
      </c>
    </row>
    <row r="513" spans="1:15" ht="15" customHeight="1" x14ac:dyDescent="0.25">
      <c r="A513" s="16">
        <v>509</v>
      </c>
      <c r="B513" s="16">
        <v>64.3</v>
      </c>
      <c r="C513" s="16">
        <v>4</v>
      </c>
      <c r="D513" s="16">
        <v>433.9</v>
      </c>
      <c r="E513" s="17">
        <f t="shared" si="7"/>
        <v>22.58</v>
      </c>
      <c r="F513" s="16">
        <v>1</v>
      </c>
      <c r="G513" s="16">
        <v>5</v>
      </c>
      <c r="H513" s="16">
        <v>0.89</v>
      </c>
      <c r="I513" s="16">
        <v>14</v>
      </c>
      <c r="J513" s="16">
        <v>518</v>
      </c>
      <c r="K513" s="16">
        <v>8.06</v>
      </c>
      <c r="L513" s="16">
        <v>78.099999999999994</v>
      </c>
      <c r="M513" s="16">
        <v>2</v>
      </c>
      <c r="N513" s="18">
        <f>IF(Risk_Calculation_Engine!U513="Low",1,IF(Risk_Calculation_Engine!U513="Medium",2,3))</f>
        <v>1</v>
      </c>
      <c r="O513" s="18" t="str">
        <f>Risk_Calculation_Engine!U513</f>
        <v>Low</v>
      </c>
    </row>
    <row r="514" spans="1:15" ht="15" customHeight="1" x14ac:dyDescent="0.25">
      <c r="A514" s="16">
        <v>510</v>
      </c>
      <c r="B514" s="16">
        <v>46</v>
      </c>
      <c r="C514" s="16">
        <v>4</v>
      </c>
      <c r="D514" s="16">
        <v>290.60000000000002</v>
      </c>
      <c r="E514" s="17">
        <f t="shared" si="7"/>
        <v>15.49</v>
      </c>
      <c r="F514" s="16">
        <v>1</v>
      </c>
      <c r="G514" s="16">
        <v>8</v>
      </c>
      <c r="H514" s="16">
        <v>1.1599999999999999</v>
      </c>
      <c r="I514" s="16">
        <v>11</v>
      </c>
      <c r="J514" s="16">
        <v>684</v>
      </c>
      <c r="K514" s="16">
        <v>14.87</v>
      </c>
      <c r="L514" s="16">
        <v>19.2</v>
      </c>
      <c r="M514" s="16">
        <v>2</v>
      </c>
      <c r="N514" s="18">
        <f>IF(Risk_Calculation_Engine!U514="Low",1,IF(Risk_Calculation_Engine!U514="Medium",2,3))</f>
        <v>2</v>
      </c>
      <c r="O514" s="18" t="str">
        <f>Risk_Calculation_Engine!U514</f>
        <v>Medium</v>
      </c>
    </row>
    <row r="515" spans="1:15" ht="15" customHeight="1" x14ac:dyDescent="0.25">
      <c r="A515" s="16">
        <v>511</v>
      </c>
      <c r="B515" s="16">
        <v>80.599999999999994</v>
      </c>
      <c r="C515" s="16">
        <v>4</v>
      </c>
      <c r="D515" s="16">
        <v>372.5</v>
      </c>
      <c r="E515" s="17">
        <f t="shared" si="7"/>
        <v>7.99</v>
      </c>
      <c r="F515" s="16">
        <v>2</v>
      </c>
      <c r="G515" s="16">
        <v>5</v>
      </c>
      <c r="H515" s="16">
        <v>2.41</v>
      </c>
      <c r="I515" s="16">
        <v>7</v>
      </c>
      <c r="J515" s="16">
        <v>759</v>
      </c>
      <c r="K515" s="16">
        <v>9.42</v>
      </c>
      <c r="L515" s="16">
        <v>87.3</v>
      </c>
      <c r="M515" s="16">
        <v>3</v>
      </c>
      <c r="N515" s="18">
        <f>IF(Risk_Calculation_Engine!U515="Low",1,IF(Risk_Calculation_Engine!U515="Medium",2,3))</f>
        <v>3</v>
      </c>
      <c r="O515" s="18" t="str">
        <f>Risk_Calculation_Engine!U515</f>
        <v>High</v>
      </c>
    </row>
    <row r="516" spans="1:15" ht="15" customHeight="1" x14ac:dyDescent="0.25">
      <c r="A516" s="16">
        <v>512</v>
      </c>
      <c r="B516" s="16">
        <v>84.9</v>
      </c>
      <c r="C516" s="16">
        <v>5</v>
      </c>
      <c r="D516" s="16">
        <v>518.1</v>
      </c>
      <c r="E516" s="17">
        <f t="shared" si="7"/>
        <v>9.7799999999999994</v>
      </c>
      <c r="F516" s="16">
        <v>2</v>
      </c>
      <c r="G516" s="16">
        <v>3</v>
      </c>
      <c r="H516" s="16">
        <v>2.16</v>
      </c>
      <c r="I516" s="16">
        <v>8</v>
      </c>
      <c r="J516" s="16">
        <v>1117</v>
      </c>
      <c r="K516" s="16">
        <v>13.16</v>
      </c>
      <c r="L516" s="16">
        <v>59.7</v>
      </c>
      <c r="M516" s="16">
        <v>1</v>
      </c>
      <c r="N516" s="18">
        <f>IF(Risk_Calculation_Engine!U516="Low",1,IF(Risk_Calculation_Engine!U516="Medium",2,3))</f>
        <v>3</v>
      </c>
      <c r="O516" s="18" t="str">
        <f>Risk_Calculation_Engine!U516</f>
        <v>High</v>
      </c>
    </row>
    <row r="517" spans="1:15" ht="15" customHeight="1" x14ac:dyDescent="0.25">
      <c r="A517" s="16">
        <v>513</v>
      </c>
      <c r="B517" s="16">
        <v>3.9</v>
      </c>
      <c r="C517" s="16">
        <v>4</v>
      </c>
      <c r="D517" s="16">
        <v>22.6</v>
      </c>
      <c r="E517" s="17">
        <f t="shared" ref="E517:E580" si="8">ROUND(3.67*D517^0.28/H517,2)</f>
        <v>8.9700000000000006</v>
      </c>
      <c r="F517" s="16">
        <v>1</v>
      </c>
      <c r="G517" s="16">
        <v>7</v>
      </c>
      <c r="H517" s="16">
        <v>0.98</v>
      </c>
      <c r="I517" s="16">
        <v>9</v>
      </c>
      <c r="J517" s="16">
        <v>49</v>
      </c>
      <c r="K517" s="16">
        <v>12.56</v>
      </c>
      <c r="L517" s="16">
        <v>92.2</v>
      </c>
      <c r="M517" s="16">
        <v>1</v>
      </c>
      <c r="N517" s="18">
        <f>IF(Risk_Calculation_Engine!U517="Low",1,IF(Risk_Calculation_Engine!U517="Medium",2,3))</f>
        <v>1</v>
      </c>
      <c r="O517" s="18" t="str">
        <f>Risk_Calculation_Engine!U517</f>
        <v>Low</v>
      </c>
    </row>
    <row r="518" spans="1:15" ht="15" customHeight="1" x14ac:dyDescent="0.25">
      <c r="A518" s="16">
        <v>514</v>
      </c>
      <c r="B518" s="16">
        <v>61.4</v>
      </c>
      <c r="C518" s="16">
        <v>4</v>
      </c>
      <c r="D518" s="16">
        <v>334.1</v>
      </c>
      <c r="E518" s="17">
        <f t="shared" si="8"/>
        <v>10.26</v>
      </c>
      <c r="F518" s="16">
        <v>2</v>
      </c>
      <c r="G518" s="16">
        <v>5</v>
      </c>
      <c r="H518" s="16">
        <v>1.82</v>
      </c>
      <c r="I518" s="16">
        <v>6</v>
      </c>
      <c r="J518" s="16">
        <v>474</v>
      </c>
      <c r="K518" s="16">
        <v>7.72</v>
      </c>
      <c r="L518" s="16">
        <v>86.1</v>
      </c>
      <c r="M518" s="16">
        <v>1</v>
      </c>
      <c r="N518" s="18">
        <f>IF(Risk_Calculation_Engine!U518="Low",1,IF(Risk_Calculation_Engine!U518="Medium",2,3))</f>
        <v>2</v>
      </c>
      <c r="O518" s="18" t="str">
        <f>Risk_Calculation_Engine!U518</f>
        <v>Medium</v>
      </c>
    </row>
    <row r="519" spans="1:15" ht="15" customHeight="1" x14ac:dyDescent="0.25">
      <c r="A519" s="16">
        <v>515</v>
      </c>
      <c r="B519" s="16">
        <v>143.9</v>
      </c>
      <c r="C519" s="16">
        <v>2</v>
      </c>
      <c r="D519" s="16">
        <v>710.6</v>
      </c>
      <c r="E519" s="17">
        <f t="shared" si="8"/>
        <v>28.14</v>
      </c>
      <c r="F519" s="16">
        <v>1</v>
      </c>
      <c r="G519" s="16">
        <v>5</v>
      </c>
      <c r="H519" s="16">
        <v>0.82</v>
      </c>
      <c r="I519" s="16">
        <v>9</v>
      </c>
      <c r="J519" s="16">
        <v>593</v>
      </c>
      <c r="K519" s="16">
        <v>4.12</v>
      </c>
      <c r="L519" s="16">
        <v>83.4</v>
      </c>
      <c r="M519" s="16">
        <v>2</v>
      </c>
      <c r="N519" s="18">
        <f>IF(Risk_Calculation_Engine!U519="Low",1,IF(Risk_Calculation_Engine!U519="Medium",2,3))</f>
        <v>1</v>
      </c>
      <c r="O519" s="18" t="str">
        <f>Risk_Calculation_Engine!U519</f>
        <v>Low</v>
      </c>
    </row>
    <row r="520" spans="1:15" ht="15" customHeight="1" x14ac:dyDescent="0.25">
      <c r="A520" s="16">
        <v>516</v>
      </c>
      <c r="B520" s="16">
        <v>39.5</v>
      </c>
      <c r="C520" s="16">
        <v>2</v>
      </c>
      <c r="D520" s="16">
        <v>146.9</v>
      </c>
      <c r="E520" s="17">
        <f t="shared" si="8"/>
        <v>7.2</v>
      </c>
      <c r="F520" s="16">
        <v>2</v>
      </c>
      <c r="G520" s="16">
        <v>5</v>
      </c>
      <c r="H520" s="16">
        <v>2.06</v>
      </c>
      <c r="I520" s="16">
        <v>12</v>
      </c>
      <c r="J520" s="16">
        <v>104</v>
      </c>
      <c r="K520" s="16">
        <v>2.63</v>
      </c>
      <c r="L520" s="16">
        <v>78.8</v>
      </c>
      <c r="M520" s="16">
        <v>3</v>
      </c>
      <c r="N520" s="18">
        <f>IF(Risk_Calculation_Engine!U520="Low",1,IF(Risk_Calculation_Engine!U520="Medium",2,3))</f>
        <v>2</v>
      </c>
      <c r="O520" s="18" t="str">
        <f>Risk_Calculation_Engine!U520</f>
        <v>Medium</v>
      </c>
    </row>
    <row r="521" spans="1:15" ht="15" customHeight="1" x14ac:dyDescent="0.25">
      <c r="A521" s="16">
        <v>517</v>
      </c>
      <c r="B521" s="16">
        <v>38.5</v>
      </c>
      <c r="C521" s="16">
        <v>5</v>
      </c>
      <c r="D521" s="16">
        <v>283.8</v>
      </c>
      <c r="E521" s="17">
        <f t="shared" si="8"/>
        <v>14.87</v>
      </c>
      <c r="F521" s="16">
        <v>1</v>
      </c>
      <c r="G521" s="16">
        <v>5</v>
      </c>
      <c r="H521" s="16">
        <v>1.2</v>
      </c>
      <c r="I521" s="16">
        <v>6</v>
      </c>
      <c r="J521" s="16">
        <v>666</v>
      </c>
      <c r="K521" s="16">
        <v>17.3</v>
      </c>
      <c r="L521" s="16">
        <v>57.9</v>
      </c>
      <c r="M521" s="16">
        <v>1</v>
      </c>
      <c r="N521" s="18">
        <f>IF(Risk_Calculation_Engine!U521="Low",1,IF(Risk_Calculation_Engine!U521="Medium",2,3))</f>
        <v>2</v>
      </c>
      <c r="O521" s="18" t="str">
        <f>Risk_Calculation_Engine!U521</f>
        <v>Medium</v>
      </c>
    </row>
    <row r="522" spans="1:15" ht="15" customHeight="1" x14ac:dyDescent="0.25">
      <c r="A522" s="16">
        <v>518</v>
      </c>
      <c r="B522" s="16">
        <v>126.6</v>
      </c>
      <c r="C522" s="16">
        <v>4</v>
      </c>
      <c r="D522" s="16">
        <v>551.1</v>
      </c>
      <c r="E522" s="17">
        <f t="shared" si="8"/>
        <v>14.92</v>
      </c>
      <c r="F522" s="16">
        <v>3</v>
      </c>
      <c r="G522" s="16">
        <v>5</v>
      </c>
      <c r="H522" s="16">
        <v>1.44</v>
      </c>
      <c r="I522" s="16">
        <v>10</v>
      </c>
      <c r="J522" s="16">
        <v>771</v>
      </c>
      <c r="K522" s="16">
        <v>6.09</v>
      </c>
      <c r="L522" s="16">
        <v>86.9</v>
      </c>
      <c r="M522" s="16">
        <v>3</v>
      </c>
      <c r="N522" s="18">
        <f>IF(Risk_Calculation_Engine!U522="Low",1,IF(Risk_Calculation_Engine!U522="Medium",2,3))</f>
        <v>2</v>
      </c>
      <c r="O522" s="18" t="str">
        <f>Risk_Calculation_Engine!U522</f>
        <v>Medium</v>
      </c>
    </row>
    <row r="523" spans="1:15" ht="15" customHeight="1" x14ac:dyDescent="0.25">
      <c r="A523" s="16">
        <v>519</v>
      </c>
      <c r="B523" s="16">
        <v>112.3</v>
      </c>
      <c r="C523" s="16">
        <v>3</v>
      </c>
      <c r="D523" s="16">
        <v>384.7</v>
      </c>
      <c r="E523" s="17">
        <f t="shared" si="8"/>
        <v>11.85</v>
      </c>
      <c r="F523" s="16">
        <v>3</v>
      </c>
      <c r="G523" s="16">
        <v>12</v>
      </c>
      <c r="H523" s="16">
        <v>1.64</v>
      </c>
      <c r="I523" s="16">
        <v>12</v>
      </c>
      <c r="J523" s="16">
        <v>858</v>
      </c>
      <c r="K523" s="16">
        <v>7.64</v>
      </c>
      <c r="L523" s="16">
        <v>69.099999999999994</v>
      </c>
      <c r="M523" s="16">
        <v>2</v>
      </c>
      <c r="N523" s="18">
        <f>IF(Risk_Calculation_Engine!U523="Low",1,IF(Risk_Calculation_Engine!U523="Medium",2,3))</f>
        <v>3</v>
      </c>
      <c r="O523" s="18" t="str">
        <f>Risk_Calculation_Engine!U523</f>
        <v>High</v>
      </c>
    </row>
    <row r="524" spans="1:15" ht="15" customHeight="1" x14ac:dyDescent="0.25">
      <c r="A524" s="16">
        <v>520</v>
      </c>
      <c r="B524" s="16">
        <v>24.7</v>
      </c>
      <c r="C524" s="16">
        <v>4</v>
      </c>
      <c r="D524" s="16">
        <v>134</v>
      </c>
      <c r="E524" s="17">
        <f t="shared" si="8"/>
        <v>14.46</v>
      </c>
      <c r="F524" s="16">
        <v>2</v>
      </c>
      <c r="G524" s="16">
        <v>5</v>
      </c>
      <c r="H524" s="16">
        <v>1</v>
      </c>
      <c r="I524" s="16">
        <v>9</v>
      </c>
      <c r="J524" s="16">
        <v>214</v>
      </c>
      <c r="K524" s="16">
        <v>8.66</v>
      </c>
      <c r="L524" s="16">
        <v>51.5</v>
      </c>
      <c r="M524" s="16">
        <v>3</v>
      </c>
      <c r="N524" s="18">
        <f>IF(Risk_Calculation_Engine!U524="Low",1,IF(Risk_Calculation_Engine!U524="Medium",2,3))</f>
        <v>1</v>
      </c>
      <c r="O524" s="18" t="str">
        <f>Risk_Calculation_Engine!U524</f>
        <v>Low</v>
      </c>
    </row>
    <row r="525" spans="1:15" ht="15" customHeight="1" x14ac:dyDescent="0.25">
      <c r="A525" s="16">
        <v>521</v>
      </c>
      <c r="B525" s="16">
        <v>104.4</v>
      </c>
      <c r="C525" s="16">
        <v>1</v>
      </c>
      <c r="D525" s="16">
        <v>536.20000000000005</v>
      </c>
      <c r="E525" s="17">
        <f t="shared" si="8"/>
        <v>18.38</v>
      </c>
      <c r="F525" s="16">
        <v>1</v>
      </c>
      <c r="G525" s="16">
        <v>1</v>
      </c>
      <c r="H525" s="16">
        <v>1.1599999999999999</v>
      </c>
      <c r="I525" s="16">
        <v>6</v>
      </c>
      <c r="J525" s="16">
        <v>171</v>
      </c>
      <c r="K525" s="16">
        <v>1.64</v>
      </c>
      <c r="L525" s="16">
        <v>59</v>
      </c>
      <c r="M525" s="16">
        <v>2</v>
      </c>
      <c r="N525" s="18">
        <f>IF(Risk_Calculation_Engine!U525="Low",1,IF(Risk_Calculation_Engine!U525="Medium",2,3))</f>
        <v>1</v>
      </c>
      <c r="O525" s="18" t="str">
        <f>Risk_Calculation_Engine!U525</f>
        <v>Low</v>
      </c>
    </row>
    <row r="526" spans="1:15" ht="15" customHeight="1" x14ac:dyDescent="0.25">
      <c r="A526" s="16">
        <v>522</v>
      </c>
      <c r="B526" s="16">
        <v>30.4</v>
      </c>
      <c r="C526" s="16">
        <v>4</v>
      </c>
      <c r="D526" s="16">
        <v>213.4</v>
      </c>
      <c r="E526" s="17">
        <f t="shared" si="8"/>
        <v>6.59</v>
      </c>
      <c r="F526" s="16">
        <v>1</v>
      </c>
      <c r="G526" s="16">
        <v>7</v>
      </c>
      <c r="H526" s="16">
        <v>2.5</v>
      </c>
      <c r="I526" s="16">
        <v>10</v>
      </c>
      <c r="J526" s="16">
        <v>454</v>
      </c>
      <c r="K526" s="16">
        <v>14.93</v>
      </c>
      <c r="L526" s="16">
        <v>77.400000000000006</v>
      </c>
      <c r="M526" s="16">
        <v>3</v>
      </c>
      <c r="N526" s="18">
        <f>IF(Risk_Calculation_Engine!U526="Low",1,IF(Risk_Calculation_Engine!U526="Medium",2,3))</f>
        <v>3</v>
      </c>
      <c r="O526" s="18" t="str">
        <f>Risk_Calculation_Engine!U526</f>
        <v>High</v>
      </c>
    </row>
    <row r="527" spans="1:15" ht="15" customHeight="1" x14ac:dyDescent="0.25">
      <c r="A527" s="16">
        <v>523</v>
      </c>
      <c r="B527" s="16">
        <v>38.1</v>
      </c>
      <c r="C527" s="16">
        <v>2</v>
      </c>
      <c r="D527" s="16">
        <v>192.8</v>
      </c>
      <c r="E527" s="17">
        <f t="shared" si="8"/>
        <v>11.44</v>
      </c>
      <c r="F527" s="16">
        <v>1</v>
      </c>
      <c r="G527" s="16">
        <v>6</v>
      </c>
      <c r="H527" s="16">
        <v>1.4</v>
      </c>
      <c r="I527" s="16">
        <v>13</v>
      </c>
      <c r="J527" s="16">
        <v>203</v>
      </c>
      <c r="K527" s="16">
        <v>5.33</v>
      </c>
      <c r="L527" s="16">
        <v>56.5</v>
      </c>
      <c r="M527" s="16">
        <v>2</v>
      </c>
      <c r="N527" s="18">
        <f>IF(Risk_Calculation_Engine!U527="Low",1,IF(Risk_Calculation_Engine!U527="Medium",2,3))</f>
        <v>1</v>
      </c>
      <c r="O527" s="18" t="str">
        <f>Risk_Calculation_Engine!U527</f>
        <v>Low</v>
      </c>
    </row>
    <row r="528" spans="1:15" ht="15" customHeight="1" x14ac:dyDescent="0.25">
      <c r="A528" s="16">
        <v>524</v>
      </c>
      <c r="B528" s="16">
        <v>24.7</v>
      </c>
      <c r="C528" s="16">
        <v>4</v>
      </c>
      <c r="D528" s="16">
        <v>90</v>
      </c>
      <c r="E528" s="17">
        <f t="shared" si="8"/>
        <v>7.7</v>
      </c>
      <c r="F528" s="16">
        <v>3</v>
      </c>
      <c r="G528" s="16">
        <v>7</v>
      </c>
      <c r="H528" s="16">
        <v>1.68</v>
      </c>
      <c r="I528" s="16">
        <v>5</v>
      </c>
      <c r="J528" s="16">
        <v>260</v>
      </c>
      <c r="K528" s="16">
        <v>10.53</v>
      </c>
      <c r="L528" s="16">
        <v>75</v>
      </c>
      <c r="M528" s="16">
        <v>3</v>
      </c>
      <c r="N528" s="18">
        <f>IF(Risk_Calculation_Engine!U528="Low",1,IF(Risk_Calculation_Engine!U528="Medium",2,3))</f>
        <v>2</v>
      </c>
      <c r="O528" s="18" t="str">
        <f>Risk_Calculation_Engine!U528</f>
        <v>Medium</v>
      </c>
    </row>
    <row r="529" spans="1:15" ht="15" customHeight="1" x14ac:dyDescent="0.25">
      <c r="A529" s="16">
        <v>525</v>
      </c>
      <c r="B529" s="16">
        <v>17.600000000000001</v>
      </c>
      <c r="C529" s="16">
        <v>3</v>
      </c>
      <c r="D529" s="16">
        <v>92.7</v>
      </c>
      <c r="E529" s="17">
        <f t="shared" si="8"/>
        <v>7.72</v>
      </c>
      <c r="F529" s="16">
        <v>1</v>
      </c>
      <c r="G529" s="16">
        <v>9</v>
      </c>
      <c r="H529" s="16">
        <v>1.69</v>
      </c>
      <c r="I529" s="16">
        <v>10</v>
      </c>
      <c r="J529" s="16">
        <v>153</v>
      </c>
      <c r="K529" s="16">
        <v>8.69</v>
      </c>
      <c r="L529" s="16">
        <v>64.7</v>
      </c>
      <c r="M529" s="16">
        <v>2</v>
      </c>
      <c r="N529" s="18">
        <f>IF(Risk_Calculation_Engine!U529="Low",1,IF(Risk_Calculation_Engine!U529="Medium",2,3))</f>
        <v>2</v>
      </c>
      <c r="O529" s="18" t="str">
        <f>Risk_Calculation_Engine!U529</f>
        <v>Medium</v>
      </c>
    </row>
    <row r="530" spans="1:15" ht="15" customHeight="1" x14ac:dyDescent="0.25">
      <c r="A530" s="16">
        <v>526</v>
      </c>
      <c r="B530" s="16">
        <v>67.3</v>
      </c>
      <c r="C530" s="16">
        <v>3</v>
      </c>
      <c r="D530" s="16">
        <v>245.4</v>
      </c>
      <c r="E530" s="17">
        <f t="shared" si="8"/>
        <v>6.85</v>
      </c>
      <c r="F530" s="16">
        <v>3</v>
      </c>
      <c r="G530" s="16">
        <v>7</v>
      </c>
      <c r="H530" s="16">
        <v>2.5</v>
      </c>
      <c r="I530" s="16">
        <v>11</v>
      </c>
      <c r="J530" s="16">
        <v>287</v>
      </c>
      <c r="K530" s="16">
        <v>4.26</v>
      </c>
      <c r="L530" s="16">
        <v>95.8</v>
      </c>
      <c r="M530" s="16">
        <v>2</v>
      </c>
      <c r="N530" s="18">
        <f>IF(Risk_Calculation_Engine!U530="Low",1,IF(Risk_Calculation_Engine!U530="Medium",2,3))</f>
        <v>2</v>
      </c>
      <c r="O530" s="18" t="str">
        <f>Risk_Calculation_Engine!U530</f>
        <v>Medium</v>
      </c>
    </row>
    <row r="531" spans="1:15" ht="15" customHeight="1" x14ac:dyDescent="0.25">
      <c r="A531" s="16">
        <v>527</v>
      </c>
      <c r="B531" s="16">
        <v>14.7</v>
      </c>
      <c r="C531" s="16">
        <v>1</v>
      </c>
      <c r="D531" s="16">
        <v>46.3</v>
      </c>
      <c r="E531" s="17">
        <f t="shared" si="8"/>
        <v>4.84</v>
      </c>
      <c r="F531" s="16">
        <v>2</v>
      </c>
      <c r="G531" s="16">
        <v>6</v>
      </c>
      <c r="H531" s="16">
        <v>2.2200000000000002</v>
      </c>
      <c r="I531" s="16">
        <v>7</v>
      </c>
      <c r="J531" s="16">
        <v>32</v>
      </c>
      <c r="K531" s="16">
        <v>2.1800000000000002</v>
      </c>
      <c r="L531" s="16">
        <v>98.5</v>
      </c>
      <c r="M531" s="16">
        <v>3</v>
      </c>
      <c r="N531" s="18">
        <f>IF(Risk_Calculation_Engine!U531="Low",1,IF(Risk_Calculation_Engine!U531="Medium",2,3))</f>
        <v>1</v>
      </c>
      <c r="O531" s="18" t="str">
        <f>Risk_Calculation_Engine!U531</f>
        <v>Low</v>
      </c>
    </row>
    <row r="532" spans="1:15" ht="15" customHeight="1" x14ac:dyDescent="0.25">
      <c r="A532" s="16">
        <v>528</v>
      </c>
      <c r="B532" s="16">
        <v>69.5</v>
      </c>
      <c r="C532" s="16">
        <v>4</v>
      </c>
      <c r="D532" s="16">
        <v>420.1</v>
      </c>
      <c r="E532" s="17">
        <f t="shared" si="8"/>
        <v>19.53</v>
      </c>
      <c r="F532" s="16">
        <v>2</v>
      </c>
      <c r="G532" s="16">
        <v>6</v>
      </c>
      <c r="H532" s="16">
        <v>1.02</v>
      </c>
      <c r="I532" s="16">
        <v>8</v>
      </c>
      <c r="J532" s="16">
        <v>993</v>
      </c>
      <c r="K532" s="16">
        <v>14.29</v>
      </c>
      <c r="L532" s="16">
        <v>63.1</v>
      </c>
      <c r="M532" s="16">
        <v>2</v>
      </c>
      <c r="N532" s="18">
        <f>IF(Risk_Calculation_Engine!U532="Low",1,IF(Risk_Calculation_Engine!U532="Medium",2,3))</f>
        <v>1</v>
      </c>
      <c r="O532" s="18" t="str">
        <f>Risk_Calculation_Engine!U532</f>
        <v>Low</v>
      </c>
    </row>
    <row r="533" spans="1:15" ht="15" customHeight="1" x14ac:dyDescent="0.25">
      <c r="A533" s="16">
        <v>529</v>
      </c>
      <c r="B533" s="16">
        <v>67.8</v>
      </c>
      <c r="C533" s="16">
        <v>2</v>
      </c>
      <c r="D533" s="16">
        <v>203.6</v>
      </c>
      <c r="E533" s="17">
        <f t="shared" si="8"/>
        <v>6.5</v>
      </c>
      <c r="F533" s="16">
        <v>3</v>
      </c>
      <c r="G533" s="16">
        <v>8</v>
      </c>
      <c r="H533" s="16">
        <v>2.5</v>
      </c>
      <c r="I533" s="16">
        <v>14</v>
      </c>
      <c r="J533" s="16">
        <v>290</v>
      </c>
      <c r="K533" s="16">
        <v>4.28</v>
      </c>
      <c r="L533" s="16">
        <v>60.4</v>
      </c>
      <c r="M533" s="16">
        <v>2</v>
      </c>
      <c r="N533" s="18">
        <f>IF(Risk_Calculation_Engine!U533="Low",1,IF(Risk_Calculation_Engine!U533="Medium",2,3))</f>
        <v>2</v>
      </c>
      <c r="O533" s="18" t="str">
        <f>Risk_Calculation_Engine!U533</f>
        <v>Medium</v>
      </c>
    </row>
    <row r="534" spans="1:15" ht="15" customHeight="1" x14ac:dyDescent="0.25">
      <c r="A534" s="16">
        <v>530</v>
      </c>
      <c r="B534" s="16">
        <v>54.1</v>
      </c>
      <c r="C534" s="16">
        <v>1</v>
      </c>
      <c r="D534" s="16">
        <v>249.8</v>
      </c>
      <c r="E534" s="17">
        <f t="shared" si="8"/>
        <v>6.89</v>
      </c>
      <c r="F534" s="16">
        <v>1</v>
      </c>
      <c r="G534" s="16">
        <v>6</v>
      </c>
      <c r="H534" s="16">
        <v>2.5</v>
      </c>
      <c r="I534" s="16">
        <v>7</v>
      </c>
      <c r="J534" s="16">
        <v>87</v>
      </c>
      <c r="K534" s="16">
        <v>1.61</v>
      </c>
      <c r="L534" s="16">
        <v>98.6</v>
      </c>
      <c r="M534" s="16">
        <v>2</v>
      </c>
      <c r="N534" s="18">
        <f>IF(Risk_Calculation_Engine!U534="Low",1,IF(Risk_Calculation_Engine!U534="Medium",2,3))</f>
        <v>2</v>
      </c>
      <c r="O534" s="18" t="str">
        <f>Risk_Calculation_Engine!U534</f>
        <v>Medium</v>
      </c>
    </row>
    <row r="535" spans="1:15" ht="15" customHeight="1" x14ac:dyDescent="0.25">
      <c r="A535" s="16">
        <v>531</v>
      </c>
      <c r="B535" s="16">
        <v>41.2</v>
      </c>
      <c r="C535" s="16">
        <v>4</v>
      </c>
      <c r="D535" s="16">
        <v>149.1</v>
      </c>
      <c r="E535" s="17">
        <f t="shared" si="8"/>
        <v>14.61</v>
      </c>
      <c r="F535" s="16">
        <v>3</v>
      </c>
      <c r="G535" s="16">
        <v>8</v>
      </c>
      <c r="H535" s="16">
        <v>1.02</v>
      </c>
      <c r="I535" s="16">
        <v>10</v>
      </c>
      <c r="J535" s="16">
        <v>540</v>
      </c>
      <c r="K535" s="16">
        <v>13.11</v>
      </c>
      <c r="L535" s="16">
        <v>80.8</v>
      </c>
      <c r="M535" s="16">
        <v>3</v>
      </c>
      <c r="N535" s="18">
        <f>IF(Risk_Calculation_Engine!U535="Low",1,IF(Risk_Calculation_Engine!U535="Medium",2,3))</f>
        <v>2</v>
      </c>
      <c r="O535" s="18" t="str">
        <f>Risk_Calculation_Engine!U535</f>
        <v>Medium</v>
      </c>
    </row>
    <row r="536" spans="1:15" ht="15" customHeight="1" x14ac:dyDescent="0.25">
      <c r="A536" s="16">
        <v>532</v>
      </c>
      <c r="B536" s="16">
        <v>34.299999999999997</v>
      </c>
      <c r="C536" s="16">
        <v>3</v>
      </c>
      <c r="D536" s="16">
        <v>167.5</v>
      </c>
      <c r="E536" s="17">
        <f t="shared" si="8"/>
        <v>11.24</v>
      </c>
      <c r="F536" s="16">
        <v>1</v>
      </c>
      <c r="G536" s="16">
        <v>7</v>
      </c>
      <c r="H536" s="16">
        <v>1.37</v>
      </c>
      <c r="I536" s="16">
        <v>4</v>
      </c>
      <c r="J536" s="16">
        <v>131</v>
      </c>
      <c r="K536" s="16">
        <v>3.82</v>
      </c>
      <c r="L536" s="16">
        <v>64.3</v>
      </c>
      <c r="M536" s="16">
        <v>3</v>
      </c>
      <c r="N536" s="18">
        <f>IF(Risk_Calculation_Engine!U536="Low",1,IF(Risk_Calculation_Engine!U536="Medium",2,3))</f>
        <v>2</v>
      </c>
      <c r="O536" s="18" t="str">
        <f>Risk_Calculation_Engine!U536</f>
        <v>Medium</v>
      </c>
    </row>
    <row r="537" spans="1:15" ht="15" customHeight="1" x14ac:dyDescent="0.25">
      <c r="A537" s="16">
        <v>533</v>
      </c>
      <c r="B537" s="16">
        <v>21.6</v>
      </c>
      <c r="C537" s="16">
        <v>3</v>
      </c>
      <c r="D537" s="16">
        <v>68.5</v>
      </c>
      <c r="E537" s="17">
        <f t="shared" si="8"/>
        <v>7.99</v>
      </c>
      <c r="F537" s="16">
        <v>3</v>
      </c>
      <c r="G537" s="16">
        <v>8</v>
      </c>
      <c r="H537" s="16">
        <v>1.5</v>
      </c>
      <c r="I537" s="16">
        <v>15</v>
      </c>
      <c r="J537" s="16">
        <v>84</v>
      </c>
      <c r="K537" s="16">
        <v>3.89</v>
      </c>
      <c r="L537" s="16">
        <v>54.6</v>
      </c>
      <c r="M537" s="16">
        <v>1</v>
      </c>
      <c r="N537" s="18">
        <f>IF(Risk_Calculation_Engine!U537="Low",1,IF(Risk_Calculation_Engine!U537="Medium",2,3))</f>
        <v>1</v>
      </c>
      <c r="O537" s="18" t="str">
        <f>Risk_Calculation_Engine!U537</f>
        <v>Low</v>
      </c>
    </row>
    <row r="538" spans="1:15" ht="15" customHeight="1" x14ac:dyDescent="0.25">
      <c r="A538" s="16">
        <v>534</v>
      </c>
      <c r="B538" s="16">
        <v>149.80000000000001</v>
      </c>
      <c r="C538" s="16">
        <v>3</v>
      </c>
      <c r="D538" s="16">
        <v>821.4</v>
      </c>
      <c r="E538" s="17">
        <f t="shared" si="8"/>
        <v>17.29</v>
      </c>
      <c r="F538" s="16">
        <v>2</v>
      </c>
      <c r="G538" s="16">
        <v>7</v>
      </c>
      <c r="H538" s="16">
        <v>1.39</v>
      </c>
      <c r="I538" s="16">
        <v>10</v>
      </c>
      <c r="J538" s="16">
        <v>1107</v>
      </c>
      <c r="K538" s="16">
        <v>7.39</v>
      </c>
      <c r="L538" s="16">
        <v>69.2</v>
      </c>
      <c r="M538" s="16">
        <v>3</v>
      </c>
      <c r="N538" s="18">
        <f>IF(Risk_Calculation_Engine!U538="Low",1,IF(Risk_Calculation_Engine!U538="Medium",2,3))</f>
        <v>3</v>
      </c>
      <c r="O538" s="18" t="str">
        <f>Risk_Calculation_Engine!U538</f>
        <v>High</v>
      </c>
    </row>
    <row r="539" spans="1:15" ht="15" customHeight="1" x14ac:dyDescent="0.25">
      <c r="A539" s="16">
        <v>535</v>
      </c>
      <c r="B539" s="16">
        <v>52.1</v>
      </c>
      <c r="C539" s="16">
        <v>5</v>
      </c>
      <c r="D539" s="16">
        <v>462.1</v>
      </c>
      <c r="E539" s="17">
        <f t="shared" si="8"/>
        <v>9.93</v>
      </c>
      <c r="F539" s="16">
        <v>1</v>
      </c>
      <c r="G539" s="16">
        <v>10</v>
      </c>
      <c r="H539" s="16">
        <v>2.06</v>
      </c>
      <c r="I539" s="16">
        <v>12</v>
      </c>
      <c r="J539" s="16">
        <v>534</v>
      </c>
      <c r="K539" s="16">
        <v>10.25</v>
      </c>
      <c r="L539" s="16">
        <v>31.5</v>
      </c>
      <c r="M539" s="16">
        <v>2</v>
      </c>
      <c r="N539" s="18">
        <f>IF(Risk_Calculation_Engine!U539="Low",1,IF(Risk_Calculation_Engine!U539="Medium",2,3))</f>
        <v>3</v>
      </c>
      <c r="O539" s="18" t="str">
        <f>Risk_Calculation_Engine!U539</f>
        <v>High</v>
      </c>
    </row>
    <row r="540" spans="1:15" ht="15" customHeight="1" x14ac:dyDescent="0.25">
      <c r="A540" s="16">
        <v>536</v>
      </c>
      <c r="B540" s="16">
        <v>50.7</v>
      </c>
      <c r="C540" s="16">
        <v>3</v>
      </c>
      <c r="D540" s="16">
        <v>183.9</v>
      </c>
      <c r="E540" s="17">
        <f t="shared" si="8"/>
        <v>10.9</v>
      </c>
      <c r="F540" s="16">
        <v>3</v>
      </c>
      <c r="G540" s="16">
        <v>5</v>
      </c>
      <c r="H540" s="16">
        <v>1.45</v>
      </c>
      <c r="I540" s="16">
        <v>10</v>
      </c>
      <c r="J540" s="16">
        <v>168</v>
      </c>
      <c r="K540" s="16">
        <v>3.31</v>
      </c>
      <c r="L540" s="16">
        <v>71.2</v>
      </c>
      <c r="M540" s="16">
        <v>1</v>
      </c>
      <c r="N540" s="18">
        <f>IF(Risk_Calculation_Engine!U540="Low",1,IF(Risk_Calculation_Engine!U540="Medium",2,3))</f>
        <v>1</v>
      </c>
      <c r="O540" s="18" t="str">
        <f>Risk_Calculation_Engine!U540</f>
        <v>Low</v>
      </c>
    </row>
    <row r="541" spans="1:15" ht="15" customHeight="1" x14ac:dyDescent="0.25">
      <c r="A541" s="16">
        <v>537</v>
      </c>
      <c r="B541" s="16">
        <v>25.9</v>
      </c>
      <c r="C541" s="16">
        <v>2</v>
      </c>
      <c r="D541" s="16">
        <v>121.8</v>
      </c>
      <c r="E541" s="17">
        <f t="shared" si="8"/>
        <v>11.09</v>
      </c>
      <c r="F541" s="16">
        <v>1</v>
      </c>
      <c r="G541" s="16">
        <v>8</v>
      </c>
      <c r="H541" s="16">
        <v>1.27</v>
      </c>
      <c r="I541" s="16">
        <v>7</v>
      </c>
      <c r="J541" s="16">
        <v>91</v>
      </c>
      <c r="K541" s="16">
        <v>3.51</v>
      </c>
      <c r="L541" s="16">
        <v>72.099999999999994</v>
      </c>
      <c r="M541" s="16">
        <v>1</v>
      </c>
      <c r="N541" s="18">
        <f>IF(Risk_Calculation_Engine!U541="Low",1,IF(Risk_Calculation_Engine!U541="Medium",2,3))</f>
        <v>1</v>
      </c>
      <c r="O541" s="18" t="str">
        <f>Risk_Calculation_Engine!U541</f>
        <v>Low</v>
      </c>
    </row>
    <row r="542" spans="1:15" ht="15" customHeight="1" x14ac:dyDescent="0.25">
      <c r="A542" s="16">
        <v>538</v>
      </c>
      <c r="B542" s="16">
        <v>149.80000000000001</v>
      </c>
      <c r="C542" s="16">
        <v>3</v>
      </c>
      <c r="D542" s="16">
        <v>1058.3</v>
      </c>
      <c r="E542" s="17">
        <f t="shared" si="8"/>
        <v>12.23</v>
      </c>
      <c r="F542" s="16">
        <v>1</v>
      </c>
      <c r="G542" s="16">
        <v>9</v>
      </c>
      <c r="H542" s="16">
        <v>2.11</v>
      </c>
      <c r="I542" s="16">
        <v>7</v>
      </c>
      <c r="J542" s="16">
        <v>807</v>
      </c>
      <c r="K542" s="16">
        <v>5.39</v>
      </c>
      <c r="L542" s="16">
        <v>79.099999999999994</v>
      </c>
      <c r="M542" s="16">
        <v>1</v>
      </c>
      <c r="N542" s="18">
        <f>IF(Risk_Calculation_Engine!U542="Low",1,IF(Risk_Calculation_Engine!U542="Medium",2,3))</f>
        <v>3</v>
      </c>
      <c r="O542" s="18" t="str">
        <f>Risk_Calculation_Engine!U542</f>
        <v>High</v>
      </c>
    </row>
    <row r="543" spans="1:15" ht="15" customHeight="1" x14ac:dyDescent="0.25">
      <c r="A543" s="16">
        <v>539</v>
      </c>
      <c r="B543" s="16">
        <v>36.299999999999997</v>
      </c>
      <c r="C543" s="16">
        <v>2</v>
      </c>
      <c r="D543" s="16">
        <v>103.6</v>
      </c>
      <c r="E543" s="17">
        <f t="shared" si="8"/>
        <v>17.48</v>
      </c>
      <c r="F543" s="16">
        <v>3</v>
      </c>
      <c r="G543" s="16">
        <v>6</v>
      </c>
      <c r="H543" s="16">
        <v>0.77</v>
      </c>
      <c r="I543" s="16">
        <v>12</v>
      </c>
      <c r="J543" s="16">
        <v>141</v>
      </c>
      <c r="K543" s="16">
        <v>3.88</v>
      </c>
      <c r="L543" s="16">
        <v>77.599999999999994</v>
      </c>
      <c r="M543" s="16">
        <v>2</v>
      </c>
      <c r="N543" s="18">
        <f>IF(Risk_Calculation_Engine!U543="Low",1,IF(Risk_Calculation_Engine!U543="Medium",2,3))</f>
        <v>1</v>
      </c>
      <c r="O543" s="18" t="str">
        <f>Risk_Calculation_Engine!U543</f>
        <v>Low</v>
      </c>
    </row>
    <row r="544" spans="1:15" ht="15" customHeight="1" x14ac:dyDescent="0.25">
      <c r="A544" s="16">
        <v>540</v>
      </c>
      <c r="B544" s="16">
        <v>74.8</v>
      </c>
      <c r="C544" s="16">
        <v>3</v>
      </c>
      <c r="D544" s="16">
        <v>342.7</v>
      </c>
      <c r="E544" s="17">
        <f t="shared" si="8"/>
        <v>10.81</v>
      </c>
      <c r="F544" s="16">
        <v>2</v>
      </c>
      <c r="G544" s="16">
        <v>8</v>
      </c>
      <c r="H544" s="16">
        <v>1.74</v>
      </c>
      <c r="I544" s="16">
        <v>14</v>
      </c>
      <c r="J544" s="16">
        <v>557</v>
      </c>
      <c r="K544" s="16">
        <v>7.45</v>
      </c>
      <c r="L544" s="16">
        <v>71.599999999999994</v>
      </c>
      <c r="M544" s="16">
        <v>1</v>
      </c>
      <c r="N544" s="18">
        <f>IF(Risk_Calculation_Engine!U544="Low",1,IF(Risk_Calculation_Engine!U544="Medium",2,3))</f>
        <v>2</v>
      </c>
      <c r="O544" s="18" t="str">
        <f>Risk_Calculation_Engine!U544</f>
        <v>Medium</v>
      </c>
    </row>
    <row r="545" spans="1:15" ht="15" customHeight="1" x14ac:dyDescent="0.25">
      <c r="A545" s="16">
        <v>541</v>
      </c>
      <c r="B545" s="16">
        <v>86.3</v>
      </c>
      <c r="C545" s="16">
        <v>2</v>
      </c>
      <c r="D545" s="16">
        <v>230.9</v>
      </c>
      <c r="E545" s="17">
        <f t="shared" si="8"/>
        <v>8.59</v>
      </c>
      <c r="F545" s="16">
        <v>3</v>
      </c>
      <c r="G545" s="16">
        <v>2</v>
      </c>
      <c r="H545" s="16">
        <v>1.96</v>
      </c>
      <c r="I545" s="16">
        <v>4</v>
      </c>
      <c r="J545" s="16">
        <v>369</v>
      </c>
      <c r="K545" s="16">
        <v>4.28</v>
      </c>
      <c r="L545" s="16">
        <v>54.1</v>
      </c>
      <c r="M545" s="16">
        <v>1</v>
      </c>
      <c r="N545" s="18">
        <f>IF(Risk_Calculation_Engine!U545="Low",1,IF(Risk_Calculation_Engine!U545="Medium",2,3))</f>
        <v>2</v>
      </c>
      <c r="O545" s="18" t="str">
        <f>Risk_Calculation_Engine!U545</f>
        <v>Medium</v>
      </c>
    </row>
    <row r="546" spans="1:15" ht="15" customHeight="1" x14ac:dyDescent="0.25">
      <c r="A546" s="16">
        <v>542</v>
      </c>
      <c r="B546" s="16">
        <v>67.400000000000006</v>
      </c>
      <c r="C546" s="16">
        <v>2</v>
      </c>
      <c r="D546" s="16">
        <v>268.60000000000002</v>
      </c>
      <c r="E546" s="17">
        <f t="shared" si="8"/>
        <v>7.03</v>
      </c>
      <c r="F546" s="16">
        <v>2</v>
      </c>
      <c r="G546" s="16">
        <v>6</v>
      </c>
      <c r="H546" s="16">
        <v>2.5</v>
      </c>
      <c r="I546" s="16">
        <v>13</v>
      </c>
      <c r="J546" s="16">
        <v>327</v>
      </c>
      <c r="K546" s="16">
        <v>4.8499999999999996</v>
      </c>
      <c r="L546" s="16">
        <v>38</v>
      </c>
      <c r="M546" s="16">
        <v>2</v>
      </c>
      <c r="N546" s="18">
        <f>IF(Risk_Calculation_Engine!U546="Low",1,IF(Risk_Calculation_Engine!U546="Medium",2,3))</f>
        <v>2</v>
      </c>
      <c r="O546" s="18" t="str">
        <f>Risk_Calculation_Engine!U546</f>
        <v>Medium</v>
      </c>
    </row>
    <row r="547" spans="1:15" ht="15" customHeight="1" x14ac:dyDescent="0.25">
      <c r="A547" s="16">
        <v>543</v>
      </c>
      <c r="B547" s="16">
        <v>14.3</v>
      </c>
      <c r="C547" s="16">
        <v>3</v>
      </c>
      <c r="D547" s="16">
        <v>51.5</v>
      </c>
      <c r="E547" s="17">
        <f t="shared" si="8"/>
        <v>6.79</v>
      </c>
      <c r="F547" s="16">
        <v>2</v>
      </c>
      <c r="G547" s="16">
        <v>9</v>
      </c>
      <c r="H547" s="16">
        <v>1.63</v>
      </c>
      <c r="I547" s="16">
        <v>13</v>
      </c>
      <c r="J547" s="16">
        <v>47</v>
      </c>
      <c r="K547" s="16">
        <v>3.29</v>
      </c>
      <c r="L547" s="16">
        <v>81.3</v>
      </c>
      <c r="M547" s="16">
        <v>3</v>
      </c>
      <c r="N547" s="18">
        <f>IF(Risk_Calculation_Engine!U547="Low",1,IF(Risk_Calculation_Engine!U547="Medium",2,3))</f>
        <v>1</v>
      </c>
      <c r="O547" s="18" t="str">
        <f>Risk_Calculation_Engine!U547</f>
        <v>Low</v>
      </c>
    </row>
    <row r="548" spans="1:15" ht="15" customHeight="1" x14ac:dyDescent="0.25">
      <c r="A548" s="16">
        <v>544</v>
      </c>
      <c r="B548" s="16">
        <v>101.2</v>
      </c>
      <c r="C548" s="16">
        <v>5</v>
      </c>
      <c r="D548" s="16">
        <v>918.6</v>
      </c>
      <c r="E548" s="17">
        <f t="shared" si="8"/>
        <v>29.52</v>
      </c>
      <c r="F548" s="16">
        <v>1</v>
      </c>
      <c r="G548" s="16">
        <v>7</v>
      </c>
      <c r="H548" s="16">
        <v>0.84</v>
      </c>
      <c r="I548" s="16">
        <v>4</v>
      </c>
      <c r="J548" s="16">
        <v>1486</v>
      </c>
      <c r="K548" s="16">
        <v>14.68</v>
      </c>
      <c r="L548" s="16">
        <v>32.5</v>
      </c>
      <c r="M548" s="16">
        <v>2</v>
      </c>
      <c r="N548" s="18">
        <f>IF(Risk_Calculation_Engine!U548="Low",1,IF(Risk_Calculation_Engine!U548="Medium",2,3))</f>
        <v>3</v>
      </c>
      <c r="O548" s="18" t="str">
        <f>Risk_Calculation_Engine!U548</f>
        <v>High</v>
      </c>
    </row>
    <row r="549" spans="1:15" ht="15" customHeight="1" x14ac:dyDescent="0.25">
      <c r="A549" s="16">
        <v>545</v>
      </c>
      <c r="B549" s="16">
        <v>36</v>
      </c>
      <c r="C549" s="16">
        <v>1</v>
      </c>
      <c r="D549" s="16">
        <v>171.5</v>
      </c>
      <c r="E549" s="17">
        <f t="shared" si="8"/>
        <v>9.2799999999999994</v>
      </c>
      <c r="F549" s="16">
        <v>1</v>
      </c>
      <c r="G549" s="16">
        <v>8</v>
      </c>
      <c r="H549" s="16">
        <v>1.67</v>
      </c>
      <c r="I549" s="16">
        <v>4</v>
      </c>
      <c r="J549" s="16">
        <v>106</v>
      </c>
      <c r="K549" s="16">
        <v>2.94</v>
      </c>
      <c r="L549" s="16">
        <v>42.3</v>
      </c>
      <c r="M549" s="16">
        <v>2</v>
      </c>
      <c r="N549" s="18">
        <f>IF(Risk_Calculation_Engine!U549="Low",1,IF(Risk_Calculation_Engine!U549="Medium",2,3))</f>
        <v>2</v>
      </c>
      <c r="O549" s="18" t="str">
        <f>Risk_Calculation_Engine!U549</f>
        <v>Medium</v>
      </c>
    </row>
    <row r="550" spans="1:15" ht="15" customHeight="1" x14ac:dyDescent="0.25">
      <c r="A550" s="16">
        <v>546</v>
      </c>
      <c r="B550" s="16">
        <v>111.5</v>
      </c>
      <c r="C550" s="16">
        <v>2</v>
      </c>
      <c r="D550" s="16">
        <v>365.1</v>
      </c>
      <c r="E550" s="17">
        <f t="shared" si="8"/>
        <v>23.35</v>
      </c>
      <c r="F550" s="16">
        <v>3</v>
      </c>
      <c r="G550" s="16">
        <v>10</v>
      </c>
      <c r="H550" s="16">
        <v>0.82</v>
      </c>
      <c r="I550" s="16">
        <v>12</v>
      </c>
      <c r="J550" s="16">
        <v>414</v>
      </c>
      <c r="K550" s="16">
        <v>3.71</v>
      </c>
      <c r="L550" s="16">
        <v>91.6</v>
      </c>
      <c r="M550" s="16">
        <v>3</v>
      </c>
      <c r="N550" s="18">
        <f>IF(Risk_Calculation_Engine!U550="Low",1,IF(Risk_Calculation_Engine!U550="Medium",2,3))</f>
        <v>1</v>
      </c>
      <c r="O550" s="18" t="str">
        <f>Risk_Calculation_Engine!U550</f>
        <v>Low</v>
      </c>
    </row>
    <row r="551" spans="1:15" ht="15" customHeight="1" x14ac:dyDescent="0.25">
      <c r="A551" s="16">
        <v>547</v>
      </c>
      <c r="B551" s="16">
        <v>58.3</v>
      </c>
      <c r="C551" s="16">
        <v>5</v>
      </c>
      <c r="D551" s="16">
        <v>437.9</v>
      </c>
      <c r="E551" s="17">
        <f t="shared" si="8"/>
        <v>10.77</v>
      </c>
      <c r="F551" s="16">
        <v>1</v>
      </c>
      <c r="G551" s="16">
        <v>4</v>
      </c>
      <c r="H551" s="16">
        <v>1.87</v>
      </c>
      <c r="I551" s="16">
        <v>13</v>
      </c>
      <c r="J551" s="16">
        <v>758</v>
      </c>
      <c r="K551" s="16">
        <v>13</v>
      </c>
      <c r="L551" s="16">
        <v>63.9</v>
      </c>
      <c r="M551" s="16">
        <v>1</v>
      </c>
      <c r="N551" s="18">
        <f>IF(Risk_Calculation_Engine!U551="Low",1,IF(Risk_Calculation_Engine!U551="Medium",2,3))</f>
        <v>3</v>
      </c>
      <c r="O551" s="18" t="str">
        <f>Risk_Calculation_Engine!U551</f>
        <v>High</v>
      </c>
    </row>
    <row r="552" spans="1:15" ht="15" customHeight="1" x14ac:dyDescent="0.25">
      <c r="A552" s="16">
        <v>548</v>
      </c>
      <c r="B552" s="16">
        <v>90.3</v>
      </c>
      <c r="C552" s="16">
        <v>5</v>
      </c>
      <c r="D552" s="16">
        <v>552.29999999999995</v>
      </c>
      <c r="E552" s="17">
        <f t="shared" si="8"/>
        <v>8.6</v>
      </c>
      <c r="F552" s="16">
        <v>2</v>
      </c>
      <c r="G552" s="16">
        <v>3</v>
      </c>
      <c r="H552" s="16">
        <v>2.5</v>
      </c>
      <c r="I552" s="16">
        <v>8</v>
      </c>
      <c r="J552" s="16">
        <v>2425</v>
      </c>
      <c r="K552" s="16">
        <v>26.85</v>
      </c>
      <c r="L552" s="16">
        <v>71.5</v>
      </c>
      <c r="M552" s="16">
        <v>3</v>
      </c>
      <c r="N552" s="18">
        <f>IF(Risk_Calculation_Engine!U552="Low",1,IF(Risk_Calculation_Engine!U552="Medium",2,3))</f>
        <v>3</v>
      </c>
      <c r="O552" s="18" t="str">
        <f>Risk_Calculation_Engine!U552</f>
        <v>High</v>
      </c>
    </row>
    <row r="553" spans="1:15" ht="15" customHeight="1" x14ac:dyDescent="0.25">
      <c r="A553" s="16">
        <v>549</v>
      </c>
      <c r="B553" s="16">
        <v>148.80000000000001</v>
      </c>
      <c r="C553" s="16">
        <v>4</v>
      </c>
      <c r="D553" s="16">
        <v>1177.5999999999999</v>
      </c>
      <c r="E553" s="17">
        <f t="shared" si="8"/>
        <v>17.260000000000002</v>
      </c>
      <c r="F553" s="16">
        <v>1</v>
      </c>
      <c r="G553" s="16">
        <v>8</v>
      </c>
      <c r="H553" s="16">
        <v>1.54</v>
      </c>
      <c r="I553" s="16">
        <v>11</v>
      </c>
      <c r="J553" s="16">
        <v>1356</v>
      </c>
      <c r="K553" s="16">
        <v>9.11</v>
      </c>
      <c r="L553" s="16">
        <v>47.3</v>
      </c>
      <c r="M553" s="16">
        <v>1</v>
      </c>
      <c r="N553" s="18">
        <f>IF(Risk_Calculation_Engine!U553="Low",1,IF(Risk_Calculation_Engine!U553="Medium",2,3))</f>
        <v>3</v>
      </c>
      <c r="O553" s="18" t="str">
        <f>Risk_Calculation_Engine!U553</f>
        <v>High</v>
      </c>
    </row>
    <row r="554" spans="1:15" ht="15" customHeight="1" x14ac:dyDescent="0.25">
      <c r="A554" s="16">
        <v>550</v>
      </c>
      <c r="B554" s="16">
        <v>98.4</v>
      </c>
      <c r="C554" s="16">
        <v>3</v>
      </c>
      <c r="D554" s="16">
        <v>669</v>
      </c>
      <c r="E554" s="17">
        <f t="shared" si="8"/>
        <v>15.65</v>
      </c>
      <c r="F554" s="16">
        <v>1</v>
      </c>
      <c r="G554" s="16">
        <v>9</v>
      </c>
      <c r="H554" s="16">
        <v>1.45</v>
      </c>
      <c r="I554" s="16">
        <v>15</v>
      </c>
      <c r="J554" s="16">
        <v>578</v>
      </c>
      <c r="K554" s="16">
        <v>5.87</v>
      </c>
      <c r="L554" s="16">
        <v>91.2</v>
      </c>
      <c r="M554" s="16">
        <v>1</v>
      </c>
      <c r="N554" s="18">
        <f>IF(Risk_Calculation_Engine!U554="Low",1,IF(Risk_Calculation_Engine!U554="Medium",2,3))</f>
        <v>2</v>
      </c>
      <c r="O554" s="18" t="str">
        <f>Risk_Calculation_Engine!U554</f>
        <v>Medium</v>
      </c>
    </row>
    <row r="555" spans="1:15" ht="15" customHeight="1" x14ac:dyDescent="0.25">
      <c r="A555" s="16">
        <v>551</v>
      </c>
      <c r="B555" s="16">
        <v>92</v>
      </c>
      <c r="C555" s="16">
        <v>3</v>
      </c>
      <c r="D555" s="16">
        <v>380.2</v>
      </c>
      <c r="E555" s="17">
        <f t="shared" si="8"/>
        <v>8.8000000000000007</v>
      </c>
      <c r="F555" s="16">
        <v>2</v>
      </c>
      <c r="G555" s="16">
        <v>6</v>
      </c>
      <c r="H555" s="16">
        <v>2.2000000000000002</v>
      </c>
      <c r="I555" s="16">
        <v>7</v>
      </c>
      <c r="J555" s="16">
        <v>400</v>
      </c>
      <c r="K555" s="16">
        <v>4.3499999999999996</v>
      </c>
      <c r="L555" s="16">
        <v>94</v>
      </c>
      <c r="M555" s="16">
        <v>2</v>
      </c>
      <c r="N555" s="18">
        <f>IF(Risk_Calculation_Engine!U555="Low",1,IF(Risk_Calculation_Engine!U555="Medium",2,3))</f>
        <v>2</v>
      </c>
      <c r="O555" s="18" t="str">
        <f>Risk_Calculation_Engine!U555</f>
        <v>Medium</v>
      </c>
    </row>
    <row r="556" spans="1:15" ht="15" customHeight="1" x14ac:dyDescent="0.25">
      <c r="A556" s="16">
        <v>552</v>
      </c>
      <c r="B556" s="16">
        <v>104.6</v>
      </c>
      <c r="C556" s="16">
        <v>2</v>
      </c>
      <c r="D556" s="16">
        <v>321.10000000000002</v>
      </c>
      <c r="E556" s="17">
        <f t="shared" si="8"/>
        <v>10.09</v>
      </c>
      <c r="F556" s="16">
        <v>3</v>
      </c>
      <c r="G556" s="16">
        <v>4</v>
      </c>
      <c r="H556" s="16">
        <v>1.83</v>
      </c>
      <c r="I556" s="16">
        <v>5</v>
      </c>
      <c r="J556" s="16">
        <v>484</v>
      </c>
      <c r="K556" s="16">
        <v>4.63</v>
      </c>
      <c r="L556" s="16">
        <v>86.3</v>
      </c>
      <c r="M556" s="16">
        <v>1</v>
      </c>
      <c r="N556" s="18">
        <f>IF(Risk_Calculation_Engine!U556="Low",1,IF(Risk_Calculation_Engine!U556="Medium",2,3))</f>
        <v>2</v>
      </c>
      <c r="O556" s="18" t="str">
        <f>Risk_Calculation_Engine!U556</f>
        <v>Medium</v>
      </c>
    </row>
    <row r="557" spans="1:15" ht="15" customHeight="1" x14ac:dyDescent="0.25">
      <c r="A557" s="16">
        <v>553</v>
      </c>
      <c r="B557" s="16">
        <v>29.4</v>
      </c>
      <c r="C557" s="16">
        <v>2</v>
      </c>
      <c r="D557" s="16">
        <v>87.4</v>
      </c>
      <c r="E557" s="17">
        <f t="shared" si="8"/>
        <v>6.02</v>
      </c>
      <c r="F557" s="16">
        <v>3</v>
      </c>
      <c r="G557" s="16">
        <v>9</v>
      </c>
      <c r="H557" s="16">
        <v>2.13</v>
      </c>
      <c r="I557" s="16">
        <v>15</v>
      </c>
      <c r="J557" s="16">
        <v>83</v>
      </c>
      <c r="K557" s="16">
        <v>2.82</v>
      </c>
      <c r="L557" s="16">
        <v>82.7</v>
      </c>
      <c r="M557" s="16">
        <v>1</v>
      </c>
      <c r="N557" s="18">
        <f>IF(Risk_Calculation_Engine!U557="Low",1,IF(Risk_Calculation_Engine!U557="Medium",2,3))</f>
        <v>2</v>
      </c>
      <c r="O557" s="18" t="str">
        <f>Risk_Calculation_Engine!U557</f>
        <v>Medium</v>
      </c>
    </row>
    <row r="558" spans="1:15" ht="15" customHeight="1" x14ac:dyDescent="0.25">
      <c r="A558" s="16">
        <v>554</v>
      </c>
      <c r="B558" s="16">
        <v>115</v>
      </c>
      <c r="C558" s="16">
        <v>3</v>
      </c>
      <c r="D558" s="16">
        <v>348.9</v>
      </c>
      <c r="E558" s="17">
        <f t="shared" si="8"/>
        <v>7.56</v>
      </c>
      <c r="F558" s="16">
        <v>3</v>
      </c>
      <c r="G558" s="16">
        <v>6</v>
      </c>
      <c r="H558" s="16">
        <v>2.5</v>
      </c>
      <c r="I558" s="16">
        <v>6</v>
      </c>
      <c r="J558" s="16">
        <v>766</v>
      </c>
      <c r="K558" s="16">
        <v>6.66</v>
      </c>
      <c r="L558" s="16">
        <v>76.7</v>
      </c>
      <c r="M558" s="16">
        <v>3</v>
      </c>
      <c r="N558" s="18">
        <f>IF(Risk_Calculation_Engine!U558="Low",1,IF(Risk_Calculation_Engine!U558="Medium",2,3))</f>
        <v>2</v>
      </c>
      <c r="O558" s="18" t="str">
        <f>Risk_Calculation_Engine!U558</f>
        <v>Medium</v>
      </c>
    </row>
    <row r="559" spans="1:15" ht="15" customHeight="1" x14ac:dyDescent="0.25">
      <c r="A559" s="16">
        <v>555</v>
      </c>
      <c r="B559" s="16">
        <v>48.8</v>
      </c>
      <c r="C559" s="16">
        <v>4</v>
      </c>
      <c r="D559" s="16">
        <v>362</v>
      </c>
      <c r="E559" s="17">
        <f t="shared" si="8"/>
        <v>14.69</v>
      </c>
      <c r="F559" s="16">
        <v>1</v>
      </c>
      <c r="G559" s="16">
        <v>6</v>
      </c>
      <c r="H559" s="16">
        <v>1.3</v>
      </c>
      <c r="I559" s="16">
        <v>9</v>
      </c>
      <c r="J559" s="16">
        <v>614</v>
      </c>
      <c r="K559" s="16">
        <v>12.58</v>
      </c>
      <c r="L559" s="16">
        <v>51.5</v>
      </c>
      <c r="M559" s="16">
        <v>2</v>
      </c>
      <c r="N559" s="18">
        <f>IF(Risk_Calculation_Engine!U559="Low",1,IF(Risk_Calculation_Engine!U559="Medium",2,3))</f>
        <v>2</v>
      </c>
      <c r="O559" s="18" t="str">
        <f>Risk_Calculation_Engine!U559</f>
        <v>Medium</v>
      </c>
    </row>
    <row r="560" spans="1:15" ht="15" customHeight="1" x14ac:dyDescent="0.25">
      <c r="A560" s="16">
        <v>556</v>
      </c>
      <c r="B560" s="16">
        <v>50.2</v>
      </c>
      <c r="C560" s="16">
        <v>3</v>
      </c>
      <c r="D560" s="16">
        <v>243.3</v>
      </c>
      <c r="E560" s="17">
        <f t="shared" si="8"/>
        <v>8.9</v>
      </c>
      <c r="F560" s="16">
        <v>2</v>
      </c>
      <c r="G560" s="16">
        <v>9</v>
      </c>
      <c r="H560" s="16">
        <v>1.92</v>
      </c>
      <c r="I560" s="16">
        <v>8</v>
      </c>
      <c r="J560" s="16">
        <v>347</v>
      </c>
      <c r="K560" s="16">
        <v>6.91</v>
      </c>
      <c r="L560" s="16">
        <v>56</v>
      </c>
      <c r="M560" s="16">
        <v>1</v>
      </c>
      <c r="N560" s="18">
        <f>IF(Risk_Calculation_Engine!U560="Low",1,IF(Risk_Calculation_Engine!U560="Medium",2,3))</f>
        <v>3</v>
      </c>
      <c r="O560" s="18" t="str">
        <f>Risk_Calculation_Engine!U560</f>
        <v>High</v>
      </c>
    </row>
    <row r="561" spans="1:15" ht="15" customHeight="1" x14ac:dyDescent="0.25">
      <c r="A561" s="16">
        <v>557</v>
      </c>
      <c r="B561" s="16">
        <v>65.7</v>
      </c>
      <c r="C561" s="16">
        <v>4</v>
      </c>
      <c r="D561" s="16">
        <v>511.7</v>
      </c>
      <c r="E561" s="17">
        <f t="shared" si="8"/>
        <v>8.42</v>
      </c>
      <c r="F561" s="16">
        <v>1</v>
      </c>
      <c r="G561" s="16">
        <v>4</v>
      </c>
      <c r="H561" s="16">
        <v>2.5</v>
      </c>
      <c r="I561" s="16">
        <v>9</v>
      </c>
      <c r="J561" s="16">
        <v>388</v>
      </c>
      <c r="K561" s="16">
        <v>5.91</v>
      </c>
      <c r="L561" s="16">
        <v>74.2</v>
      </c>
      <c r="M561" s="16">
        <v>2</v>
      </c>
      <c r="N561" s="18">
        <f>IF(Risk_Calculation_Engine!U561="Low",1,IF(Risk_Calculation_Engine!U561="Medium",2,3))</f>
        <v>3</v>
      </c>
      <c r="O561" s="18" t="str">
        <f>Risk_Calculation_Engine!U561</f>
        <v>High</v>
      </c>
    </row>
    <row r="562" spans="1:15" ht="15" customHeight="1" x14ac:dyDescent="0.25">
      <c r="A562" s="16">
        <v>558</v>
      </c>
      <c r="B562" s="16">
        <v>45</v>
      </c>
      <c r="C562" s="16">
        <v>3</v>
      </c>
      <c r="D562" s="16">
        <v>218.7</v>
      </c>
      <c r="E562" s="17">
        <f t="shared" si="8"/>
        <v>6.64</v>
      </c>
      <c r="F562" s="16">
        <v>2</v>
      </c>
      <c r="G562" s="16">
        <v>7</v>
      </c>
      <c r="H562" s="16">
        <v>2.5</v>
      </c>
      <c r="I562" s="16">
        <v>6</v>
      </c>
      <c r="J562" s="16">
        <v>157</v>
      </c>
      <c r="K562" s="16">
        <v>3.49</v>
      </c>
      <c r="L562" s="16">
        <v>82.5</v>
      </c>
      <c r="M562" s="16">
        <v>3</v>
      </c>
      <c r="N562" s="18">
        <f>IF(Risk_Calculation_Engine!U562="Low",1,IF(Risk_Calculation_Engine!U562="Medium",2,3))</f>
        <v>2</v>
      </c>
      <c r="O562" s="18" t="str">
        <f>Risk_Calculation_Engine!U562</f>
        <v>Medium</v>
      </c>
    </row>
    <row r="563" spans="1:15" ht="15" customHeight="1" x14ac:dyDescent="0.25">
      <c r="A563" s="16">
        <v>559</v>
      </c>
      <c r="B563" s="16">
        <v>23.8</v>
      </c>
      <c r="C563" s="16">
        <v>3</v>
      </c>
      <c r="D563" s="16">
        <v>104.2</v>
      </c>
      <c r="E563" s="17">
        <f t="shared" si="8"/>
        <v>6.74</v>
      </c>
      <c r="F563" s="16">
        <v>2</v>
      </c>
      <c r="G563" s="16">
        <v>5</v>
      </c>
      <c r="H563" s="16">
        <v>2</v>
      </c>
      <c r="I563" s="16">
        <v>11</v>
      </c>
      <c r="J563" s="16">
        <v>192</v>
      </c>
      <c r="K563" s="16">
        <v>8.07</v>
      </c>
      <c r="L563" s="16">
        <v>49.1</v>
      </c>
      <c r="M563" s="16">
        <v>3</v>
      </c>
      <c r="N563" s="18">
        <f>IF(Risk_Calculation_Engine!U563="Low",1,IF(Risk_Calculation_Engine!U563="Medium",2,3))</f>
        <v>2</v>
      </c>
      <c r="O563" s="18" t="str">
        <f>Risk_Calculation_Engine!U563</f>
        <v>Medium</v>
      </c>
    </row>
    <row r="564" spans="1:15" ht="15" customHeight="1" x14ac:dyDescent="0.25">
      <c r="A564" s="16">
        <v>560</v>
      </c>
      <c r="B564" s="16">
        <v>61.8</v>
      </c>
      <c r="C564" s="16">
        <v>4</v>
      </c>
      <c r="D564" s="16">
        <v>322.8</v>
      </c>
      <c r="E564" s="17">
        <f t="shared" si="8"/>
        <v>13.03</v>
      </c>
      <c r="F564" s="16">
        <v>2</v>
      </c>
      <c r="G564" s="16">
        <v>7</v>
      </c>
      <c r="H564" s="16">
        <v>1.42</v>
      </c>
      <c r="I564" s="16">
        <v>11</v>
      </c>
      <c r="J564" s="16">
        <v>868</v>
      </c>
      <c r="K564" s="16">
        <v>14.05</v>
      </c>
      <c r="L564" s="16">
        <v>48.3</v>
      </c>
      <c r="M564" s="16">
        <v>1</v>
      </c>
      <c r="N564" s="18">
        <f>IF(Risk_Calculation_Engine!U564="Low",1,IF(Risk_Calculation_Engine!U564="Medium",2,3))</f>
        <v>2</v>
      </c>
      <c r="O564" s="18" t="str">
        <f>Risk_Calculation_Engine!U564</f>
        <v>Medium</v>
      </c>
    </row>
    <row r="565" spans="1:15" ht="15" customHeight="1" x14ac:dyDescent="0.25">
      <c r="A565" s="16">
        <v>561</v>
      </c>
      <c r="B565" s="16">
        <v>50.4</v>
      </c>
      <c r="C565" s="16">
        <v>5</v>
      </c>
      <c r="D565" s="16">
        <v>399.4</v>
      </c>
      <c r="E565" s="17">
        <f t="shared" si="8"/>
        <v>9.31</v>
      </c>
      <c r="F565" s="16">
        <v>1</v>
      </c>
      <c r="G565" s="16">
        <v>6</v>
      </c>
      <c r="H565" s="16">
        <v>2.11</v>
      </c>
      <c r="I565" s="16">
        <v>5</v>
      </c>
      <c r="J565" s="16">
        <v>577</v>
      </c>
      <c r="K565" s="16">
        <v>11.45</v>
      </c>
      <c r="L565" s="16">
        <v>64.900000000000006</v>
      </c>
      <c r="M565" s="16">
        <v>3</v>
      </c>
      <c r="N565" s="18">
        <f>IF(Risk_Calculation_Engine!U565="Low",1,IF(Risk_Calculation_Engine!U565="Medium",2,3))</f>
        <v>3</v>
      </c>
      <c r="O565" s="18" t="str">
        <f>Risk_Calculation_Engine!U565</f>
        <v>High</v>
      </c>
    </row>
    <row r="566" spans="1:15" ht="15" customHeight="1" x14ac:dyDescent="0.25">
      <c r="A566" s="16">
        <v>562</v>
      </c>
      <c r="B566" s="16">
        <v>48.9</v>
      </c>
      <c r="C566" s="16">
        <v>3</v>
      </c>
      <c r="D566" s="16">
        <v>136.4</v>
      </c>
      <c r="E566" s="17">
        <f t="shared" si="8"/>
        <v>6.82</v>
      </c>
      <c r="F566" s="16">
        <v>3</v>
      </c>
      <c r="G566" s="16">
        <v>7</v>
      </c>
      <c r="H566" s="16">
        <v>2.13</v>
      </c>
      <c r="I566" s="16">
        <v>9</v>
      </c>
      <c r="J566" s="16">
        <v>257</v>
      </c>
      <c r="K566" s="16">
        <v>5.26</v>
      </c>
      <c r="L566" s="16">
        <v>55.8</v>
      </c>
      <c r="M566" s="16">
        <v>3</v>
      </c>
      <c r="N566" s="18">
        <f>IF(Risk_Calculation_Engine!U566="Low",1,IF(Risk_Calculation_Engine!U566="Medium",2,3))</f>
        <v>2</v>
      </c>
      <c r="O566" s="18" t="str">
        <f>Risk_Calculation_Engine!U566</f>
        <v>Medium</v>
      </c>
    </row>
    <row r="567" spans="1:15" ht="15" customHeight="1" x14ac:dyDescent="0.25">
      <c r="A567" s="16">
        <v>563</v>
      </c>
      <c r="B567" s="16">
        <v>56.7</v>
      </c>
      <c r="C567" s="16">
        <v>4</v>
      </c>
      <c r="D567" s="16">
        <v>186.9</v>
      </c>
      <c r="E567" s="17">
        <f t="shared" si="8"/>
        <v>6.9</v>
      </c>
      <c r="F567" s="16">
        <v>3</v>
      </c>
      <c r="G567" s="16">
        <v>4</v>
      </c>
      <c r="H567" s="16">
        <v>2.2999999999999998</v>
      </c>
      <c r="I567" s="16">
        <v>3</v>
      </c>
      <c r="J567" s="16">
        <v>654</v>
      </c>
      <c r="K567" s="16">
        <v>11.53</v>
      </c>
      <c r="L567" s="16">
        <v>95.6</v>
      </c>
      <c r="M567" s="16">
        <v>2</v>
      </c>
      <c r="N567" s="18">
        <f>IF(Risk_Calculation_Engine!U567="Low",1,IF(Risk_Calculation_Engine!U567="Medium",2,3))</f>
        <v>3</v>
      </c>
      <c r="O567" s="18" t="str">
        <f>Risk_Calculation_Engine!U567</f>
        <v>High</v>
      </c>
    </row>
    <row r="568" spans="1:15" ht="15" customHeight="1" x14ac:dyDescent="0.25">
      <c r="A568" s="16">
        <v>564</v>
      </c>
      <c r="B568" s="16">
        <v>49.2</v>
      </c>
      <c r="C568" s="16">
        <v>3</v>
      </c>
      <c r="D568" s="16">
        <v>166.4</v>
      </c>
      <c r="E568" s="17">
        <f t="shared" si="8"/>
        <v>14.78</v>
      </c>
      <c r="F568" s="16">
        <v>3</v>
      </c>
      <c r="G568" s="16">
        <v>3</v>
      </c>
      <c r="H568" s="16">
        <v>1.04</v>
      </c>
      <c r="I568" s="16">
        <v>5</v>
      </c>
      <c r="J568" s="16">
        <v>394</v>
      </c>
      <c r="K568" s="16">
        <v>8.01</v>
      </c>
      <c r="L568" s="16">
        <v>70.8</v>
      </c>
      <c r="M568" s="16">
        <v>1</v>
      </c>
      <c r="N568" s="18">
        <f>IF(Risk_Calculation_Engine!U568="Low",1,IF(Risk_Calculation_Engine!U568="Medium",2,3))</f>
        <v>1</v>
      </c>
      <c r="O568" s="18" t="str">
        <f>Risk_Calculation_Engine!U568</f>
        <v>Low</v>
      </c>
    </row>
    <row r="569" spans="1:15" ht="15" customHeight="1" x14ac:dyDescent="0.25">
      <c r="A569" s="16">
        <v>565</v>
      </c>
      <c r="B569" s="16">
        <v>149.80000000000001</v>
      </c>
      <c r="C569" s="16">
        <v>1</v>
      </c>
      <c r="D569" s="16">
        <v>677.1</v>
      </c>
      <c r="E569" s="17">
        <f t="shared" si="8"/>
        <v>9.11</v>
      </c>
      <c r="F569" s="16">
        <v>1</v>
      </c>
      <c r="G569" s="16">
        <v>8</v>
      </c>
      <c r="H569" s="16">
        <v>2.5</v>
      </c>
      <c r="I569" s="16">
        <v>15</v>
      </c>
      <c r="J569" s="16">
        <v>422</v>
      </c>
      <c r="K569" s="16">
        <v>2.82</v>
      </c>
      <c r="L569" s="16">
        <v>60.9</v>
      </c>
      <c r="M569" s="16">
        <v>2</v>
      </c>
      <c r="N569" s="18">
        <f>IF(Risk_Calculation_Engine!U569="Low",1,IF(Risk_Calculation_Engine!U569="Medium",2,3))</f>
        <v>3</v>
      </c>
      <c r="O569" s="18" t="str">
        <f>Risk_Calculation_Engine!U569</f>
        <v>High</v>
      </c>
    </row>
    <row r="570" spans="1:15" ht="15" customHeight="1" x14ac:dyDescent="0.25">
      <c r="A570" s="16">
        <v>566</v>
      </c>
      <c r="B570" s="16">
        <v>149.80000000000001</v>
      </c>
      <c r="C570" s="16">
        <v>4</v>
      </c>
      <c r="D570" s="16">
        <v>599.20000000000005</v>
      </c>
      <c r="E570" s="17">
        <f t="shared" si="8"/>
        <v>8.8000000000000007</v>
      </c>
      <c r="F570" s="16">
        <v>3</v>
      </c>
      <c r="G570" s="16">
        <v>10</v>
      </c>
      <c r="H570" s="16">
        <v>2.5</v>
      </c>
      <c r="I570" s="16">
        <v>9</v>
      </c>
      <c r="J570" s="16">
        <v>1796</v>
      </c>
      <c r="K570" s="16">
        <v>11.99</v>
      </c>
      <c r="L570" s="16">
        <v>64.599999999999994</v>
      </c>
      <c r="M570" s="16">
        <v>1</v>
      </c>
      <c r="N570" s="18">
        <f>IF(Risk_Calculation_Engine!U570="Low",1,IF(Risk_Calculation_Engine!U570="Medium",2,3))</f>
        <v>3</v>
      </c>
      <c r="O570" s="18" t="str">
        <f>Risk_Calculation_Engine!U570</f>
        <v>High</v>
      </c>
    </row>
    <row r="571" spans="1:15" ht="15" customHeight="1" x14ac:dyDescent="0.25">
      <c r="A571" s="16">
        <v>567</v>
      </c>
      <c r="B571" s="16">
        <v>63.5</v>
      </c>
      <c r="C571" s="16">
        <v>2</v>
      </c>
      <c r="D571" s="16">
        <v>367.6</v>
      </c>
      <c r="E571" s="17">
        <f t="shared" si="8"/>
        <v>12.3</v>
      </c>
      <c r="F571" s="16">
        <v>1</v>
      </c>
      <c r="G571" s="16">
        <v>6</v>
      </c>
      <c r="H571" s="16">
        <v>1.56</v>
      </c>
      <c r="I571" s="16">
        <v>11</v>
      </c>
      <c r="J571" s="16">
        <v>164</v>
      </c>
      <c r="K571" s="16">
        <v>2.58</v>
      </c>
      <c r="L571" s="16">
        <v>68.3</v>
      </c>
      <c r="M571" s="16">
        <v>3</v>
      </c>
      <c r="N571" s="18">
        <f>IF(Risk_Calculation_Engine!U571="Low",1,IF(Risk_Calculation_Engine!U571="Medium",2,3))</f>
        <v>1</v>
      </c>
      <c r="O571" s="18" t="str">
        <f>Risk_Calculation_Engine!U571</f>
        <v>Low</v>
      </c>
    </row>
    <row r="572" spans="1:15" ht="15" customHeight="1" x14ac:dyDescent="0.25">
      <c r="A572" s="16">
        <v>568</v>
      </c>
      <c r="B572" s="16">
        <v>61.8</v>
      </c>
      <c r="C572" s="16">
        <v>3</v>
      </c>
      <c r="D572" s="16">
        <v>242.4</v>
      </c>
      <c r="E572" s="17">
        <f t="shared" si="8"/>
        <v>6.83</v>
      </c>
      <c r="F572" s="16">
        <v>2</v>
      </c>
      <c r="G572" s="16">
        <v>1</v>
      </c>
      <c r="H572" s="16">
        <v>2.5</v>
      </c>
      <c r="I572" s="16">
        <v>14</v>
      </c>
      <c r="J572" s="16">
        <v>470</v>
      </c>
      <c r="K572" s="16">
        <v>7.61</v>
      </c>
      <c r="L572" s="16">
        <v>49.9</v>
      </c>
      <c r="M572" s="16">
        <v>3</v>
      </c>
      <c r="N572" s="18">
        <f>IF(Risk_Calculation_Engine!U572="Low",1,IF(Risk_Calculation_Engine!U572="Medium",2,3))</f>
        <v>2</v>
      </c>
      <c r="O572" s="18" t="str">
        <f>Risk_Calculation_Engine!U572</f>
        <v>Medium</v>
      </c>
    </row>
    <row r="573" spans="1:15" ht="15" customHeight="1" x14ac:dyDescent="0.25">
      <c r="A573" s="16">
        <v>569</v>
      </c>
      <c r="B573" s="16">
        <v>2.9</v>
      </c>
      <c r="C573" s="16">
        <v>3</v>
      </c>
      <c r="D573" s="16">
        <v>12.1</v>
      </c>
      <c r="E573" s="17">
        <f t="shared" si="8"/>
        <v>4.8899999999999997</v>
      </c>
      <c r="F573" s="16">
        <v>1</v>
      </c>
      <c r="G573" s="16">
        <v>8</v>
      </c>
      <c r="H573" s="16">
        <v>1.51</v>
      </c>
      <c r="I573" s="16">
        <v>12</v>
      </c>
      <c r="J573" s="16">
        <v>24</v>
      </c>
      <c r="K573" s="16">
        <v>8.2799999999999994</v>
      </c>
      <c r="L573" s="16">
        <v>63.5</v>
      </c>
      <c r="M573" s="16">
        <v>1</v>
      </c>
      <c r="N573" s="18">
        <f>IF(Risk_Calculation_Engine!U573="Low",1,IF(Risk_Calculation_Engine!U573="Medium",2,3))</f>
        <v>2</v>
      </c>
      <c r="O573" s="18" t="str">
        <f>Risk_Calculation_Engine!U573</f>
        <v>Medium</v>
      </c>
    </row>
    <row r="574" spans="1:15" ht="15" customHeight="1" x14ac:dyDescent="0.25">
      <c r="A574" s="16">
        <v>570</v>
      </c>
      <c r="B574" s="16">
        <v>37.9</v>
      </c>
      <c r="C574" s="16">
        <v>2</v>
      </c>
      <c r="D574" s="16">
        <v>201.4</v>
      </c>
      <c r="E574" s="17">
        <f t="shared" si="8"/>
        <v>6.48</v>
      </c>
      <c r="F574" s="16">
        <v>1</v>
      </c>
      <c r="G574" s="16">
        <v>8</v>
      </c>
      <c r="H574" s="16">
        <v>2.5</v>
      </c>
      <c r="I574" s="16">
        <v>13</v>
      </c>
      <c r="J574" s="16">
        <v>129</v>
      </c>
      <c r="K574" s="16">
        <v>3.4</v>
      </c>
      <c r="L574" s="16">
        <v>88.5</v>
      </c>
      <c r="M574" s="16">
        <v>1</v>
      </c>
      <c r="N574" s="18">
        <f>IF(Risk_Calculation_Engine!U574="Low",1,IF(Risk_Calculation_Engine!U574="Medium",2,3))</f>
        <v>2</v>
      </c>
      <c r="O574" s="18" t="str">
        <f>Risk_Calculation_Engine!U574</f>
        <v>Medium</v>
      </c>
    </row>
    <row r="575" spans="1:15" ht="15" customHeight="1" x14ac:dyDescent="0.25">
      <c r="A575" s="16">
        <v>571</v>
      </c>
      <c r="B575" s="16">
        <v>103.8</v>
      </c>
      <c r="C575" s="16">
        <v>2</v>
      </c>
      <c r="D575" s="16">
        <v>362.9</v>
      </c>
      <c r="E575" s="17">
        <f t="shared" si="8"/>
        <v>11.52</v>
      </c>
      <c r="F575" s="16">
        <v>2</v>
      </c>
      <c r="G575" s="16">
        <v>5</v>
      </c>
      <c r="H575" s="16">
        <v>1.66</v>
      </c>
      <c r="I575" s="16">
        <v>12</v>
      </c>
      <c r="J575" s="16">
        <v>413</v>
      </c>
      <c r="K575" s="16">
        <v>3.98</v>
      </c>
      <c r="L575" s="16">
        <v>63</v>
      </c>
      <c r="M575" s="16">
        <v>3</v>
      </c>
      <c r="N575" s="18">
        <f>IF(Risk_Calculation_Engine!U575="Low",1,IF(Risk_Calculation_Engine!U575="Medium",2,3))</f>
        <v>1</v>
      </c>
      <c r="O575" s="18" t="str">
        <f>Risk_Calculation_Engine!U575</f>
        <v>Low</v>
      </c>
    </row>
    <row r="576" spans="1:15" ht="15" customHeight="1" x14ac:dyDescent="0.25">
      <c r="A576" s="16">
        <v>572</v>
      </c>
      <c r="B576" s="16">
        <v>44</v>
      </c>
      <c r="C576" s="16">
        <v>3</v>
      </c>
      <c r="D576" s="16">
        <v>260</v>
      </c>
      <c r="E576" s="17">
        <f t="shared" si="8"/>
        <v>15.55</v>
      </c>
      <c r="F576" s="16">
        <v>1</v>
      </c>
      <c r="G576" s="16">
        <v>6</v>
      </c>
      <c r="H576" s="16">
        <v>1.1200000000000001</v>
      </c>
      <c r="I576" s="16">
        <v>9</v>
      </c>
      <c r="J576" s="16">
        <v>176</v>
      </c>
      <c r="K576" s="16">
        <v>4</v>
      </c>
      <c r="L576" s="16">
        <v>82.6</v>
      </c>
      <c r="M576" s="16">
        <v>2</v>
      </c>
      <c r="N576" s="18">
        <f>IF(Risk_Calculation_Engine!U576="Low",1,IF(Risk_Calculation_Engine!U576="Medium",2,3))</f>
        <v>1</v>
      </c>
      <c r="O576" s="18" t="str">
        <f>Risk_Calculation_Engine!U576</f>
        <v>Low</v>
      </c>
    </row>
    <row r="577" spans="1:15" ht="15" customHeight="1" x14ac:dyDescent="0.25">
      <c r="A577" s="16">
        <v>573</v>
      </c>
      <c r="B577" s="16">
        <v>130.30000000000001</v>
      </c>
      <c r="C577" s="16">
        <v>5</v>
      </c>
      <c r="D577" s="16">
        <v>731.5</v>
      </c>
      <c r="E577" s="17">
        <f t="shared" si="8"/>
        <v>9.3000000000000007</v>
      </c>
      <c r="F577" s="16">
        <v>2</v>
      </c>
      <c r="G577" s="16">
        <v>3</v>
      </c>
      <c r="H577" s="16">
        <v>2.5</v>
      </c>
      <c r="I577" s="16">
        <v>11</v>
      </c>
      <c r="J577" s="16">
        <v>1887</v>
      </c>
      <c r="K577" s="16">
        <v>14.48</v>
      </c>
      <c r="L577" s="16">
        <v>34.4</v>
      </c>
      <c r="M577" s="16">
        <v>2</v>
      </c>
      <c r="N577" s="18">
        <f>IF(Risk_Calculation_Engine!U577="Low",1,IF(Risk_Calculation_Engine!U577="Medium",2,3))</f>
        <v>3</v>
      </c>
      <c r="O577" s="18" t="str">
        <f>Risk_Calculation_Engine!U577</f>
        <v>High</v>
      </c>
    </row>
    <row r="578" spans="1:15" ht="15" customHeight="1" x14ac:dyDescent="0.25">
      <c r="A578" s="16">
        <v>574</v>
      </c>
      <c r="B578" s="16">
        <v>124.7</v>
      </c>
      <c r="C578" s="16">
        <v>4</v>
      </c>
      <c r="D578" s="16">
        <v>749.6</v>
      </c>
      <c r="E578" s="17">
        <f t="shared" si="8"/>
        <v>10.36</v>
      </c>
      <c r="F578" s="16">
        <v>2</v>
      </c>
      <c r="G578" s="16">
        <v>4</v>
      </c>
      <c r="H578" s="16">
        <v>2.2599999999999998</v>
      </c>
      <c r="I578" s="16">
        <v>6</v>
      </c>
      <c r="J578" s="16">
        <v>1708</v>
      </c>
      <c r="K578" s="16">
        <v>13.7</v>
      </c>
      <c r="L578" s="16">
        <v>96.4</v>
      </c>
      <c r="M578" s="16">
        <v>3</v>
      </c>
      <c r="N578" s="18">
        <f>IF(Risk_Calculation_Engine!U578="Low",1,IF(Risk_Calculation_Engine!U578="Medium",2,3))</f>
        <v>3</v>
      </c>
      <c r="O578" s="18" t="str">
        <f>Risk_Calculation_Engine!U578</f>
        <v>High</v>
      </c>
    </row>
    <row r="579" spans="1:15" ht="15" customHeight="1" x14ac:dyDescent="0.25">
      <c r="A579" s="16">
        <v>575</v>
      </c>
      <c r="B579" s="16">
        <v>37.200000000000003</v>
      </c>
      <c r="C579" s="16">
        <v>3</v>
      </c>
      <c r="D579" s="16">
        <v>122.2</v>
      </c>
      <c r="E579" s="17">
        <f t="shared" si="8"/>
        <v>9.59</v>
      </c>
      <c r="F579" s="16">
        <v>3</v>
      </c>
      <c r="G579" s="16">
        <v>11</v>
      </c>
      <c r="H579" s="16">
        <v>1.47</v>
      </c>
      <c r="I579" s="16">
        <v>14</v>
      </c>
      <c r="J579" s="16">
        <v>131</v>
      </c>
      <c r="K579" s="16">
        <v>3.52</v>
      </c>
      <c r="L579" s="16">
        <v>49.2</v>
      </c>
      <c r="M579" s="16">
        <v>1</v>
      </c>
      <c r="N579" s="18">
        <f>IF(Risk_Calculation_Engine!U579="Low",1,IF(Risk_Calculation_Engine!U579="Medium",2,3))</f>
        <v>2</v>
      </c>
      <c r="O579" s="18" t="str">
        <f>Risk_Calculation_Engine!U579</f>
        <v>Medium</v>
      </c>
    </row>
    <row r="580" spans="1:15" ht="15" customHeight="1" x14ac:dyDescent="0.25">
      <c r="A580" s="16">
        <v>576</v>
      </c>
      <c r="B580" s="16">
        <v>67.400000000000006</v>
      </c>
      <c r="C580" s="16">
        <v>1</v>
      </c>
      <c r="D580" s="16">
        <v>227.6</v>
      </c>
      <c r="E580" s="17">
        <f t="shared" si="8"/>
        <v>6.71</v>
      </c>
      <c r="F580" s="16">
        <v>2</v>
      </c>
      <c r="G580" s="16">
        <v>8</v>
      </c>
      <c r="H580" s="16">
        <v>2.5</v>
      </c>
      <c r="I580" s="16">
        <v>5</v>
      </c>
      <c r="J580" s="16">
        <v>170</v>
      </c>
      <c r="K580" s="16">
        <v>2.52</v>
      </c>
      <c r="L580" s="16">
        <v>51.8</v>
      </c>
      <c r="M580" s="16">
        <v>2</v>
      </c>
      <c r="N580" s="18">
        <f>IF(Risk_Calculation_Engine!U580="Low",1,IF(Risk_Calculation_Engine!U580="Medium",2,3))</f>
        <v>2</v>
      </c>
      <c r="O580" s="18" t="str">
        <f>Risk_Calculation_Engine!U580</f>
        <v>Medium</v>
      </c>
    </row>
    <row r="581" spans="1:15" ht="15" customHeight="1" x14ac:dyDescent="0.25">
      <c r="A581" s="16">
        <v>577</v>
      </c>
      <c r="B581" s="16">
        <v>149.80000000000001</v>
      </c>
      <c r="C581" s="16">
        <v>4</v>
      </c>
      <c r="D581" s="16">
        <v>779.2</v>
      </c>
      <c r="E581" s="17">
        <f t="shared" ref="E581:E644" si="9">ROUND(3.67*D581^0.28/H581,2)</f>
        <v>11.17</v>
      </c>
      <c r="F581" s="16">
        <v>2</v>
      </c>
      <c r="G581" s="16">
        <v>6</v>
      </c>
      <c r="H581" s="16">
        <v>2.12</v>
      </c>
      <c r="I581" s="16">
        <v>14</v>
      </c>
      <c r="J581" s="16">
        <v>895</v>
      </c>
      <c r="K581" s="16">
        <v>5.97</v>
      </c>
      <c r="L581" s="16">
        <v>51.9</v>
      </c>
      <c r="M581" s="16">
        <v>3</v>
      </c>
      <c r="N581" s="18">
        <f>IF(Risk_Calculation_Engine!U581="Low",1,IF(Risk_Calculation_Engine!U581="Medium",2,3))</f>
        <v>3</v>
      </c>
      <c r="O581" s="18" t="str">
        <f>Risk_Calculation_Engine!U581</f>
        <v>High</v>
      </c>
    </row>
    <row r="582" spans="1:15" ht="15" customHeight="1" x14ac:dyDescent="0.25">
      <c r="A582" s="16">
        <v>578</v>
      </c>
      <c r="B582" s="16">
        <v>14</v>
      </c>
      <c r="C582" s="16">
        <v>2</v>
      </c>
      <c r="D582" s="16">
        <v>68.099999999999994</v>
      </c>
      <c r="E582" s="17">
        <f t="shared" si="9"/>
        <v>8.5500000000000007</v>
      </c>
      <c r="F582" s="16">
        <v>1</v>
      </c>
      <c r="G582" s="16">
        <v>13</v>
      </c>
      <c r="H582" s="16">
        <v>1.4</v>
      </c>
      <c r="I582" s="16">
        <v>14</v>
      </c>
      <c r="J582" s="16">
        <v>44</v>
      </c>
      <c r="K582" s="16">
        <v>3.14</v>
      </c>
      <c r="L582" s="16">
        <v>75.900000000000006</v>
      </c>
      <c r="M582" s="16">
        <v>2</v>
      </c>
      <c r="N582" s="18">
        <f>IF(Risk_Calculation_Engine!U582="Low",1,IF(Risk_Calculation_Engine!U582="Medium",2,3))</f>
        <v>2</v>
      </c>
      <c r="O582" s="18" t="str">
        <f>Risk_Calculation_Engine!U582</f>
        <v>Medium</v>
      </c>
    </row>
    <row r="583" spans="1:15" ht="15" customHeight="1" x14ac:dyDescent="0.25">
      <c r="A583" s="16">
        <v>579</v>
      </c>
      <c r="B583" s="16">
        <v>44.9</v>
      </c>
      <c r="C583" s="16">
        <v>3</v>
      </c>
      <c r="D583" s="16">
        <v>135.9</v>
      </c>
      <c r="E583" s="17">
        <f t="shared" si="9"/>
        <v>5.81</v>
      </c>
      <c r="F583" s="16">
        <v>3</v>
      </c>
      <c r="G583" s="16">
        <v>11</v>
      </c>
      <c r="H583" s="16">
        <v>2.5</v>
      </c>
      <c r="I583" s="16">
        <v>4</v>
      </c>
      <c r="J583" s="16">
        <v>292</v>
      </c>
      <c r="K583" s="16">
        <v>6.5</v>
      </c>
      <c r="L583" s="16">
        <v>68.2</v>
      </c>
      <c r="M583" s="16">
        <v>2</v>
      </c>
      <c r="N583" s="18">
        <f>IF(Risk_Calculation_Engine!U583="Low",1,IF(Risk_Calculation_Engine!U583="Medium",2,3))</f>
        <v>3</v>
      </c>
      <c r="O583" s="18" t="str">
        <f>Risk_Calculation_Engine!U583</f>
        <v>High</v>
      </c>
    </row>
    <row r="584" spans="1:15" ht="15" customHeight="1" x14ac:dyDescent="0.25">
      <c r="A584" s="16">
        <v>580</v>
      </c>
      <c r="B584" s="16">
        <v>12.3</v>
      </c>
      <c r="C584" s="16">
        <v>4</v>
      </c>
      <c r="D584" s="16">
        <v>76</v>
      </c>
      <c r="E584" s="17">
        <f t="shared" si="9"/>
        <v>5.39</v>
      </c>
      <c r="F584" s="16">
        <v>1</v>
      </c>
      <c r="G584" s="16">
        <v>10</v>
      </c>
      <c r="H584" s="16">
        <v>2.29</v>
      </c>
      <c r="I584" s="16">
        <v>12</v>
      </c>
      <c r="J584" s="16">
        <v>62</v>
      </c>
      <c r="K584" s="16">
        <v>5.04</v>
      </c>
      <c r="L584" s="16">
        <v>39.9</v>
      </c>
      <c r="M584" s="16">
        <v>3</v>
      </c>
      <c r="N584" s="18">
        <f>IF(Risk_Calculation_Engine!U584="Low",1,IF(Risk_Calculation_Engine!U584="Medium",2,3))</f>
        <v>3</v>
      </c>
      <c r="O584" s="18" t="str">
        <f>Risk_Calculation_Engine!U584</f>
        <v>High</v>
      </c>
    </row>
    <row r="585" spans="1:15" ht="15" customHeight="1" x14ac:dyDescent="0.25">
      <c r="A585" s="16">
        <v>581</v>
      </c>
      <c r="B585" s="16">
        <v>27.4</v>
      </c>
      <c r="C585" s="16">
        <v>3</v>
      </c>
      <c r="D585" s="16">
        <v>134.69999999999999</v>
      </c>
      <c r="E585" s="17">
        <f t="shared" si="9"/>
        <v>7.79</v>
      </c>
      <c r="F585" s="16">
        <v>1</v>
      </c>
      <c r="G585" s="16">
        <v>6</v>
      </c>
      <c r="H585" s="16">
        <v>1.86</v>
      </c>
      <c r="I585" s="16">
        <v>15</v>
      </c>
      <c r="J585" s="16">
        <v>193</v>
      </c>
      <c r="K585" s="16">
        <v>7.04</v>
      </c>
      <c r="L585" s="16">
        <v>94.3</v>
      </c>
      <c r="M585" s="16">
        <v>1</v>
      </c>
      <c r="N585" s="18">
        <f>IF(Risk_Calculation_Engine!U585="Low",1,IF(Risk_Calculation_Engine!U585="Medium",2,3))</f>
        <v>2</v>
      </c>
      <c r="O585" s="18" t="str">
        <f>Risk_Calculation_Engine!U585</f>
        <v>Medium</v>
      </c>
    </row>
    <row r="586" spans="1:15" ht="15" customHeight="1" x14ac:dyDescent="0.25">
      <c r="A586" s="16">
        <v>582</v>
      </c>
      <c r="B586" s="16">
        <v>149.80000000000001</v>
      </c>
      <c r="C586" s="16">
        <v>3</v>
      </c>
      <c r="D586" s="16">
        <v>874.1</v>
      </c>
      <c r="E586" s="17">
        <f t="shared" si="9"/>
        <v>15.09</v>
      </c>
      <c r="F586" s="16">
        <v>1</v>
      </c>
      <c r="G586" s="16">
        <v>3</v>
      </c>
      <c r="H586" s="16">
        <v>1.62</v>
      </c>
      <c r="I586" s="16">
        <v>10</v>
      </c>
      <c r="J586" s="16">
        <v>734</v>
      </c>
      <c r="K586" s="16">
        <v>4.9000000000000004</v>
      </c>
      <c r="L586" s="16">
        <v>84.4</v>
      </c>
      <c r="M586" s="16">
        <v>1</v>
      </c>
      <c r="N586" s="18">
        <f>IF(Risk_Calculation_Engine!U586="Low",1,IF(Risk_Calculation_Engine!U586="Medium",2,3))</f>
        <v>2</v>
      </c>
      <c r="O586" s="18" t="str">
        <f>Risk_Calculation_Engine!U586</f>
        <v>Medium</v>
      </c>
    </row>
    <row r="587" spans="1:15" ht="15" customHeight="1" x14ac:dyDescent="0.25">
      <c r="A587" s="16">
        <v>583</v>
      </c>
      <c r="B587" s="16">
        <v>44.9</v>
      </c>
      <c r="C587" s="16">
        <v>1</v>
      </c>
      <c r="D587" s="16">
        <v>128</v>
      </c>
      <c r="E587" s="17">
        <f t="shared" si="9"/>
        <v>12.98</v>
      </c>
      <c r="F587" s="16">
        <v>2</v>
      </c>
      <c r="G587" s="16">
        <v>7</v>
      </c>
      <c r="H587" s="16">
        <v>1.1000000000000001</v>
      </c>
      <c r="I587" s="16">
        <v>7</v>
      </c>
      <c r="J587" s="16">
        <v>112</v>
      </c>
      <c r="K587" s="16">
        <v>2.4900000000000002</v>
      </c>
      <c r="L587" s="16">
        <v>26.9</v>
      </c>
      <c r="M587" s="16">
        <v>2</v>
      </c>
      <c r="N587" s="18">
        <f>IF(Risk_Calculation_Engine!U587="Low",1,IF(Risk_Calculation_Engine!U587="Medium",2,3))</f>
        <v>1</v>
      </c>
      <c r="O587" s="18" t="str">
        <f>Risk_Calculation_Engine!U587</f>
        <v>Low</v>
      </c>
    </row>
    <row r="588" spans="1:15" ht="15" customHeight="1" x14ac:dyDescent="0.25">
      <c r="A588" s="16">
        <v>584</v>
      </c>
      <c r="B588" s="16">
        <v>6.6</v>
      </c>
      <c r="C588" s="16">
        <v>1</v>
      </c>
      <c r="D588" s="16">
        <v>15.6</v>
      </c>
      <c r="E588" s="17">
        <f t="shared" si="9"/>
        <v>11.16</v>
      </c>
      <c r="F588" s="16">
        <v>2</v>
      </c>
      <c r="G588" s="16">
        <v>9</v>
      </c>
      <c r="H588" s="16">
        <v>0.71</v>
      </c>
      <c r="I588" s="16">
        <v>14</v>
      </c>
      <c r="J588" s="16">
        <v>19</v>
      </c>
      <c r="K588" s="16">
        <v>2.88</v>
      </c>
      <c r="L588" s="16">
        <v>86.4</v>
      </c>
      <c r="M588" s="16">
        <v>3</v>
      </c>
      <c r="N588" s="18">
        <f>IF(Risk_Calculation_Engine!U588="Low",1,IF(Risk_Calculation_Engine!U588="Medium",2,3))</f>
        <v>1</v>
      </c>
      <c r="O588" s="18" t="str">
        <f>Risk_Calculation_Engine!U588</f>
        <v>Low</v>
      </c>
    </row>
    <row r="589" spans="1:15" ht="15" customHeight="1" x14ac:dyDescent="0.25">
      <c r="A589" s="16">
        <v>585</v>
      </c>
      <c r="B589" s="16">
        <v>23.5</v>
      </c>
      <c r="C589" s="16">
        <v>3</v>
      </c>
      <c r="D589" s="16">
        <v>84.1</v>
      </c>
      <c r="E589" s="17">
        <f t="shared" si="9"/>
        <v>5.8</v>
      </c>
      <c r="F589" s="16">
        <v>2</v>
      </c>
      <c r="G589" s="16">
        <v>11</v>
      </c>
      <c r="H589" s="16">
        <v>2.19</v>
      </c>
      <c r="I589" s="16">
        <v>9</v>
      </c>
      <c r="J589" s="16">
        <v>129</v>
      </c>
      <c r="K589" s="16">
        <v>5.49</v>
      </c>
      <c r="L589" s="16">
        <v>69.8</v>
      </c>
      <c r="M589" s="16">
        <v>2</v>
      </c>
      <c r="N589" s="18">
        <f>IF(Risk_Calculation_Engine!U589="Low",1,IF(Risk_Calculation_Engine!U589="Medium",2,3))</f>
        <v>3</v>
      </c>
      <c r="O589" s="18" t="str">
        <f>Risk_Calculation_Engine!U589</f>
        <v>High</v>
      </c>
    </row>
    <row r="590" spans="1:15" ht="15" customHeight="1" x14ac:dyDescent="0.25">
      <c r="A590" s="16">
        <v>586</v>
      </c>
      <c r="B590" s="16">
        <v>10.8</v>
      </c>
      <c r="C590" s="16">
        <v>5</v>
      </c>
      <c r="D590" s="16">
        <v>47.8</v>
      </c>
      <c r="E590" s="17">
        <f t="shared" si="9"/>
        <v>10.62</v>
      </c>
      <c r="F590" s="16">
        <v>2</v>
      </c>
      <c r="G590" s="16">
        <v>10</v>
      </c>
      <c r="H590" s="16">
        <v>1.02</v>
      </c>
      <c r="I590" s="16">
        <v>4</v>
      </c>
      <c r="J590" s="16">
        <v>103</v>
      </c>
      <c r="K590" s="16">
        <v>9.5399999999999991</v>
      </c>
      <c r="L590" s="16">
        <v>64.3</v>
      </c>
      <c r="M590" s="16">
        <v>1</v>
      </c>
      <c r="N590" s="18">
        <f>IF(Risk_Calculation_Engine!U590="Low",1,IF(Risk_Calculation_Engine!U590="Medium",2,3))</f>
        <v>2</v>
      </c>
      <c r="O590" s="18" t="str">
        <f>Risk_Calculation_Engine!U590</f>
        <v>Medium</v>
      </c>
    </row>
    <row r="591" spans="1:15" ht="15" customHeight="1" x14ac:dyDescent="0.25">
      <c r="A591" s="16">
        <v>587</v>
      </c>
      <c r="B591" s="16">
        <v>69.5</v>
      </c>
      <c r="C591" s="16">
        <v>3</v>
      </c>
      <c r="D591" s="16">
        <v>347.8</v>
      </c>
      <c r="E591" s="17">
        <f t="shared" si="9"/>
        <v>17.170000000000002</v>
      </c>
      <c r="F591" s="16">
        <v>2</v>
      </c>
      <c r="G591" s="16">
        <v>5</v>
      </c>
      <c r="H591" s="16">
        <v>1.1000000000000001</v>
      </c>
      <c r="I591" s="16">
        <v>6</v>
      </c>
      <c r="J591" s="16">
        <v>562</v>
      </c>
      <c r="K591" s="16">
        <v>8.09</v>
      </c>
      <c r="L591" s="16">
        <v>58.8</v>
      </c>
      <c r="M591" s="16">
        <v>2</v>
      </c>
      <c r="N591" s="18">
        <f>IF(Risk_Calculation_Engine!U591="Low",1,IF(Risk_Calculation_Engine!U591="Medium",2,3))</f>
        <v>1</v>
      </c>
      <c r="O591" s="18" t="str">
        <f>Risk_Calculation_Engine!U591</f>
        <v>Low</v>
      </c>
    </row>
    <row r="592" spans="1:15" ht="15" customHeight="1" x14ac:dyDescent="0.25">
      <c r="A592" s="16">
        <v>588</v>
      </c>
      <c r="B592" s="16">
        <v>85.4</v>
      </c>
      <c r="C592" s="16">
        <v>4</v>
      </c>
      <c r="D592" s="16">
        <v>465.8</v>
      </c>
      <c r="E592" s="17">
        <f t="shared" si="9"/>
        <v>13.67</v>
      </c>
      <c r="F592" s="16">
        <v>2</v>
      </c>
      <c r="G592" s="16">
        <v>12</v>
      </c>
      <c r="H592" s="16">
        <v>1.5</v>
      </c>
      <c r="I592" s="16">
        <v>11</v>
      </c>
      <c r="J592" s="16">
        <v>661</v>
      </c>
      <c r="K592" s="16">
        <v>7.74</v>
      </c>
      <c r="L592" s="16">
        <v>63.5</v>
      </c>
      <c r="M592" s="16">
        <v>2</v>
      </c>
      <c r="N592" s="18">
        <f>IF(Risk_Calculation_Engine!U592="Low",1,IF(Risk_Calculation_Engine!U592="Medium",2,3))</f>
        <v>3</v>
      </c>
      <c r="O592" s="18" t="str">
        <f>Risk_Calculation_Engine!U592</f>
        <v>High</v>
      </c>
    </row>
    <row r="593" spans="1:15" ht="15" customHeight="1" x14ac:dyDescent="0.25">
      <c r="A593" s="16">
        <v>589</v>
      </c>
      <c r="B593" s="16">
        <v>116.1</v>
      </c>
      <c r="C593" s="16">
        <v>4</v>
      </c>
      <c r="D593" s="16">
        <v>911.4</v>
      </c>
      <c r="E593" s="17">
        <f t="shared" si="9"/>
        <v>16.28</v>
      </c>
      <c r="F593" s="16">
        <v>1</v>
      </c>
      <c r="G593" s="16">
        <v>6</v>
      </c>
      <c r="H593" s="16">
        <v>1.52</v>
      </c>
      <c r="I593" s="16">
        <v>8</v>
      </c>
      <c r="J593" s="16">
        <v>753</v>
      </c>
      <c r="K593" s="16">
        <v>6.49</v>
      </c>
      <c r="L593" s="16">
        <v>98.7</v>
      </c>
      <c r="M593" s="16">
        <v>3</v>
      </c>
      <c r="N593" s="18">
        <f>IF(Risk_Calculation_Engine!U593="Low",1,IF(Risk_Calculation_Engine!U593="Medium",2,3))</f>
        <v>2</v>
      </c>
      <c r="O593" s="18" t="str">
        <f>Risk_Calculation_Engine!U593</f>
        <v>Medium</v>
      </c>
    </row>
    <row r="594" spans="1:15" ht="15" customHeight="1" x14ac:dyDescent="0.25">
      <c r="A594" s="16">
        <v>590</v>
      </c>
      <c r="B594" s="16">
        <v>99.7</v>
      </c>
      <c r="C594" s="16">
        <v>1</v>
      </c>
      <c r="D594" s="16">
        <v>317.39999999999998</v>
      </c>
      <c r="E594" s="17">
        <f t="shared" si="9"/>
        <v>16.010000000000002</v>
      </c>
      <c r="F594" s="16">
        <v>2</v>
      </c>
      <c r="G594" s="16">
        <v>6</v>
      </c>
      <c r="H594" s="16">
        <v>1.1499999999999999</v>
      </c>
      <c r="I594" s="16">
        <v>5</v>
      </c>
      <c r="J594" s="16">
        <v>275</v>
      </c>
      <c r="K594" s="16">
        <v>2.76</v>
      </c>
      <c r="L594" s="16">
        <v>72.8</v>
      </c>
      <c r="M594" s="16">
        <v>3</v>
      </c>
      <c r="N594" s="18">
        <f>IF(Risk_Calculation_Engine!U594="Low",1,IF(Risk_Calculation_Engine!U594="Medium",2,3))</f>
        <v>1</v>
      </c>
      <c r="O594" s="18" t="str">
        <f>Risk_Calculation_Engine!U594</f>
        <v>Low</v>
      </c>
    </row>
    <row r="595" spans="1:15" ht="15" customHeight="1" x14ac:dyDescent="0.25">
      <c r="A595" s="16">
        <v>591</v>
      </c>
      <c r="B595" s="16">
        <v>14.8</v>
      </c>
      <c r="C595" s="16">
        <v>2</v>
      </c>
      <c r="D595" s="16">
        <v>43</v>
      </c>
      <c r="E595" s="17">
        <f t="shared" si="9"/>
        <v>4.8</v>
      </c>
      <c r="F595" s="16">
        <v>2</v>
      </c>
      <c r="G595" s="16">
        <v>5</v>
      </c>
      <c r="H595" s="16">
        <v>2.19</v>
      </c>
      <c r="I595" s="16">
        <v>13</v>
      </c>
      <c r="J595" s="16">
        <v>43</v>
      </c>
      <c r="K595" s="16">
        <v>2.91</v>
      </c>
      <c r="L595" s="16">
        <v>67.5</v>
      </c>
      <c r="M595" s="16">
        <v>2</v>
      </c>
      <c r="N595" s="18">
        <f>IF(Risk_Calculation_Engine!U595="Low",1,IF(Risk_Calculation_Engine!U595="Medium",2,3))</f>
        <v>1</v>
      </c>
      <c r="O595" s="18" t="str">
        <f>Risk_Calculation_Engine!U595</f>
        <v>Low</v>
      </c>
    </row>
    <row r="596" spans="1:15" ht="15" customHeight="1" x14ac:dyDescent="0.25">
      <c r="A596" s="16">
        <v>592</v>
      </c>
      <c r="B596" s="16">
        <v>82.1</v>
      </c>
      <c r="C596" s="16">
        <v>3</v>
      </c>
      <c r="D596" s="16">
        <v>427.8</v>
      </c>
      <c r="E596" s="17">
        <f t="shared" si="9"/>
        <v>23.55</v>
      </c>
      <c r="F596" s="16">
        <v>2</v>
      </c>
      <c r="G596" s="16">
        <v>7</v>
      </c>
      <c r="H596" s="16">
        <v>0.85</v>
      </c>
      <c r="I596" s="16">
        <v>4</v>
      </c>
      <c r="J596" s="16">
        <v>544</v>
      </c>
      <c r="K596" s="16">
        <v>6.63</v>
      </c>
      <c r="L596" s="16">
        <v>57</v>
      </c>
      <c r="M596" s="16">
        <v>3</v>
      </c>
      <c r="N596" s="18">
        <f>IF(Risk_Calculation_Engine!U596="Low",1,IF(Risk_Calculation_Engine!U596="Medium",2,3))</f>
        <v>1</v>
      </c>
      <c r="O596" s="18" t="str">
        <f>Risk_Calculation_Engine!U596</f>
        <v>Low</v>
      </c>
    </row>
    <row r="597" spans="1:15" ht="15" customHeight="1" x14ac:dyDescent="0.25">
      <c r="A597" s="16">
        <v>593</v>
      </c>
      <c r="B597" s="16">
        <v>54.7</v>
      </c>
      <c r="C597" s="16">
        <v>4</v>
      </c>
      <c r="D597" s="16">
        <v>332.8</v>
      </c>
      <c r="E597" s="17">
        <f t="shared" si="9"/>
        <v>8.6</v>
      </c>
      <c r="F597" s="16">
        <v>1</v>
      </c>
      <c r="G597" s="16">
        <v>6</v>
      </c>
      <c r="H597" s="16">
        <v>2.17</v>
      </c>
      <c r="I597" s="16">
        <v>5</v>
      </c>
      <c r="J597" s="16">
        <v>412</v>
      </c>
      <c r="K597" s="16">
        <v>7.53</v>
      </c>
      <c r="L597" s="16">
        <v>77.8</v>
      </c>
      <c r="M597" s="16">
        <v>3</v>
      </c>
      <c r="N597" s="18">
        <f>IF(Risk_Calculation_Engine!U597="Low",1,IF(Risk_Calculation_Engine!U597="Medium",2,3))</f>
        <v>3</v>
      </c>
      <c r="O597" s="18" t="str">
        <f>Risk_Calculation_Engine!U597</f>
        <v>High</v>
      </c>
    </row>
    <row r="598" spans="1:15" ht="15" customHeight="1" x14ac:dyDescent="0.25">
      <c r="A598" s="16">
        <v>594</v>
      </c>
      <c r="B598" s="16">
        <v>128.4</v>
      </c>
      <c r="C598" s="16">
        <v>3</v>
      </c>
      <c r="D598" s="16">
        <v>672.8</v>
      </c>
      <c r="E598" s="17">
        <f t="shared" si="9"/>
        <v>15.89</v>
      </c>
      <c r="F598" s="16">
        <v>2</v>
      </c>
      <c r="G598" s="16">
        <v>11</v>
      </c>
      <c r="H598" s="16">
        <v>1.43</v>
      </c>
      <c r="I598" s="16">
        <v>9</v>
      </c>
      <c r="J598" s="16">
        <v>934</v>
      </c>
      <c r="K598" s="16">
        <v>7.27</v>
      </c>
      <c r="L598" s="16">
        <v>80.900000000000006</v>
      </c>
      <c r="M598" s="16">
        <v>3</v>
      </c>
      <c r="N598" s="18">
        <f>IF(Risk_Calculation_Engine!U598="Low",1,IF(Risk_Calculation_Engine!U598="Medium",2,3))</f>
        <v>3</v>
      </c>
      <c r="O598" s="18" t="str">
        <f>Risk_Calculation_Engine!U598</f>
        <v>High</v>
      </c>
    </row>
    <row r="599" spans="1:15" ht="15" customHeight="1" x14ac:dyDescent="0.25">
      <c r="A599" s="16">
        <v>595</v>
      </c>
      <c r="B599" s="16">
        <v>108.2</v>
      </c>
      <c r="C599" s="16">
        <v>4</v>
      </c>
      <c r="D599" s="16">
        <v>624</v>
      </c>
      <c r="E599" s="17">
        <f t="shared" si="9"/>
        <v>19.690000000000001</v>
      </c>
      <c r="F599" s="16">
        <v>2</v>
      </c>
      <c r="G599" s="16">
        <v>4</v>
      </c>
      <c r="H599" s="16">
        <v>1.1299999999999999</v>
      </c>
      <c r="I599" s="16">
        <v>3</v>
      </c>
      <c r="J599" s="16">
        <v>1243</v>
      </c>
      <c r="K599" s="16">
        <v>11.49</v>
      </c>
      <c r="L599" s="16">
        <v>97.7</v>
      </c>
      <c r="M599" s="16">
        <v>2</v>
      </c>
      <c r="N599" s="18">
        <f>IF(Risk_Calculation_Engine!U599="Low",1,IF(Risk_Calculation_Engine!U599="Medium",2,3))</f>
        <v>2</v>
      </c>
      <c r="O599" s="18" t="str">
        <f>Risk_Calculation_Engine!U599</f>
        <v>Medium</v>
      </c>
    </row>
    <row r="600" spans="1:15" ht="15" customHeight="1" x14ac:dyDescent="0.25">
      <c r="A600" s="16">
        <v>596</v>
      </c>
      <c r="B600" s="16">
        <v>149.80000000000001</v>
      </c>
      <c r="C600" s="16">
        <v>5</v>
      </c>
      <c r="D600" s="16">
        <v>1295.8</v>
      </c>
      <c r="E600" s="17">
        <f t="shared" si="9"/>
        <v>31.02</v>
      </c>
      <c r="F600" s="16">
        <v>1</v>
      </c>
      <c r="G600" s="16">
        <v>3</v>
      </c>
      <c r="H600" s="16">
        <v>0.88</v>
      </c>
      <c r="I600" s="16">
        <v>8</v>
      </c>
      <c r="J600" s="16">
        <v>2721</v>
      </c>
      <c r="K600" s="16">
        <v>18.16</v>
      </c>
      <c r="L600" s="16">
        <v>53.2</v>
      </c>
      <c r="M600" s="16">
        <v>1</v>
      </c>
      <c r="N600" s="18">
        <f>IF(Risk_Calculation_Engine!U600="Low",1,IF(Risk_Calculation_Engine!U600="Medium",2,3))</f>
        <v>3</v>
      </c>
      <c r="O600" s="18" t="str">
        <f>Risk_Calculation_Engine!U600</f>
        <v>High</v>
      </c>
    </row>
    <row r="601" spans="1:15" ht="15" customHeight="1" x14ac:dyDescent="0.25">
      <c r="A601" s="16">
        <v>597</v>
      </c>
      <c r="B601" s="16">
        <v>25.5</v>
      </c>
      <c r="C601" s="16">
        <v>4</v>
      </c>
      <c r="D601" s="16">
        <v>178.2</v>
      </c>
      <c r="E601" s="17">
        <f t="shared" si="9"/>
        <v>9</v>
      </c>
      <c r="F601" s="16">
        <v>1</v>
      </c>
      <c r="G601" s="16">
        <v>7</v>
      </c>
      <c r="H601" s="16">
        <v>1.74</v>
      </c>
      <c r="I601" s="16">
        <v>14</v>
      </c>
      <c r="J601" s="16">
        <v>269</v>
      </c>
      <c r="K601" s="16">
        <v>10.55</v>
      </c>
      <c r="L601" s="16">
        <v>29</v>
      </c>
      <c r="M601" s="16">
        <v>2</v>
      </c>
      <c r="N601" s="18">
        <f>IF(Risk_Calculation_Engine!U601="Low",1,IF(Risk_Calculation_Engine!U601="Medium",2,3))</f>
        <v>3</v>
      </c>
      <c r="O601" s="18" t="str">
        <f>Risk_Calculation_Engine!U601</f>
        <v>High</v>
      </c>
    </row>
    <row r="602" spans="1:15" ht="15" customHeight="1" x14ac:dyDescent="0.25">
      <c r="A602" s="16">
        <v>598</v>
      </c>
      <c r="B602" s="16">
        <v>21.9</v>
      </c>
      <c r="C602" s="16">
        <v>5</v>
      </c>
      <c r="D602" s="16">
        <v>126.8</v>
      </c>
      <c r="E602" s="17">
        <f t="shared" si="9"/>
        <v>14.24</v>
      </c>
      <c r="F602" s="16">
        <v>2</v>
      </c>
      <c r="G602" s="16">
        <v>5</v>
      </c>
      <c r="H602" s="16">
        <v>1</v>
      </c>
      <c r="I602" s="16">
        <v>15</v>
      </c>
      <c r="J602" s="16">
        <v>287</v>
      </c>
      <c r="K602" s="16">
        <v>13.11</v>
      </c>
      <c r="L602" s="16">
        <v>50.2</v>
      </c>
      <c r="M602" s="16">
        <v>2</v>
      </c>
      <c r="N602" s="18">
        <f>IF(Risk_Calculation_Engine!U602="Low",1,IF(Risk_Calculation_Engine!U602="Medium",2,3))</f>
        <v>1</v>
      </c>
      <c r="O602" s="18" t="str">
        <f>Risk_Calculation_Engine!U602</f>
        <v>Low</v>
      </c>
    </row>
    <row r="603" spans="1:15" ht="15" customHeight="1" x14ac:dyDescent="0.25">
      <c r="A603" s="16">
        <v>599</v>
      </c>
      <c r="B603" s="16">
        <v>40</v>
      </c>
      <c r="C603" s="16">
        <v>4</v>
      </c>
      <c r="D603" s="16">
        <v>221.6</v>
      </c>
      <c r="E603" s="17">
        <f t="shared" si="9"/>
        <v>17.53</v>
      </c>
      <c r="F603" s="16">
        <v>2</v>
      </c>
      <c r="G603" s="16">
        <v>8</v>
      </c>
      <c r="H603" s="16">
        <v>0.95</v>
      </c>
      <c r="I603" s="16">
        <v>14</v>
      </c>
      <c r="J603" s="16">
        <v>209</v>
      </c>
      <c r="K603" s="16">
        <v>5.22</v>
      </c>
      <c r="L603" s="16">
        <v>60.1</v>
      </c>
      <c r="M603" s="16">
        <v>2</v>
      </c>
      <c r="N603" s="18">
        <f>IF(Risk_Calculation_Engine!U603="Low",1,IF(Risk_Calculation_Engine!U603="Medium",2,3))</f>
        <v>1</v>
      </c>
      <c r="O603" s="18" t="str">
        <f>Risk_Calculation_Engine!U603</f>
        <v>Low</v>
      </c>
    </row>
    <row r="604" spans="1:15" ht="15" customHeight="1" x14ac:dyDescent="0.25">
      <c r="A604" s="16">
        <v>600</v>
      </c>
      <c r="B604" s="16">
        <v>56.5</v>
      </c>
      <c r="C604" s="16">
        <v>5</v>
      </c>
      <c r="D604" s="16">
        <v>337.7</v>
      </c>
      <c r="E604" s="17">
        <f t="shared" si="9"/>
        <v>7.49</v>
      </c>
      <c r="F604" s="16">
        <v>2</v>
      </c>
      <c r="G604" s="16">
        <v>4</v>
      </c>
      <c r="H604" s="16">
        <v>2.5</v>
      </c>
      <c r="I604" s="16">
        <v>7</v>
      </c>
      <c r="J604" s="16">
        <v>1323</v>
      </c>
      <c r="K604" s="16">
        <v>23.42</v>
      </c>
      <c r="L604" s="16">
        <v>62.6</v>
      </c>
      <c r="M604" s="16">
        <v>1</v>
      </c>
      <c r="N604" s="18">
        <f>IF(Risk_Calculation_Engine!U604="Low",1,IF(Risk_Calculation_Engine!U604="Medium",2,3))</f>
        <v>3</v>
      </c>
      <c r="O604" s="18" t="str">
        <f>Risk_Calculation_Engine!U604</f>
        <v>High</v>
      </c>
    </row>
    <row r="605" spans="1:15" ht="15" customHeight="1" x14ac:dyDescent="0.25">
      <c r="A605" s="16">
        <v>601</v>
      </c>
      <c r="B605" s="16">
        <v>33.299999999999997</v>
      </c>
      <c r="C605" s="16">
        <v>4</v>
      </c>
      <c r="D605" s="16">
        <v>203.5</v>
      </c>
      <c r="E605" s="17">
        <f t="shared" si="9"/>
        <v>17.670000000000002</v>
      </c>
      <c r="F605" s="16">
        <v>1</v>
      </c>
      <c r="G605" s="16">
        <v>4</v>
      </c>
      <c r="H605" s="16">
        <v>0.92</v>
      </c>
      <c r="I605" s="16">
        <v>3</v>
      </c>
      <c r="J605" s="16">
        <v>463</v>
      </c>
      <c r="K605" s="16">
        <v>13.9</v>
      </c>
      <c r="L605" s="16">
        <v>64.5</v>
      </c>
      <c r="M605" s="16">
        <v>1</v>
      </c>
      <c r="N605" s="18">
        <f>IF(Risk_Calculation_Engine!U605="Low",1,IF(Risk_Calculation_Engine!U605="Medium",2,3))</f>
        <v>1</v>
      </c>
      <c r="O605" s="18" t="str">
        <f>Risk_Calculation_Engine!U605</f>
        <v>Low</v>
      </c>
    </row>
    <row r="606" spans="1:15" ht="15" customHeight="1" x14ac:dyDescent="0.25">
      <c r="A606" s="16">
        <v>602</v>
      </c>
      <c r="B606" s="16">
        <v>26.8</v>
      </c>
      <c r="C606" s="16">
        <v>4</v>
      </c>
      <c r="D606" s="16">
        <v>97.9</v>
      </c>
      <c r="E606" s="17">
        <f t="shared" si="9"/>
        <v>15.58</v>
      </c>
      <c r="F606" s="16">
        <v>3</v>
      </c>
      <c r="G606" s="16">
        <v>10</v>
      </c>
      <c r="H606" s="16">
        <v>0.85</v>
      </c>
      <c r="I606" s="16">
        <v>13</v>
      </c>
      <c r="J606" s="16">
        <v>342</v>
      </c>
      <c r="K606" s="16">
        <v>12.76</v>
      </c>
      <c r="L606" s="16">
        <v>93.4</v>
      </c>
      <c r="M606" s="16">
        <v>1</v>
      </c>
      <c r="N606" s="18">
        <f>IF(Risk_Calculation_Engine!U606="Low",1,IF(Risk_Calculation_Engine!U606="Medium",2,3))</f>
        <v>2</v>
      </c>
      <c r="O606" s="18" t="str">
        <f>Risk_Calculation_Engine!U606</f>
        <v>Medium</v>
      </c>
    </row>
    <row r="607" spans="1:15" ht="15" customHeight="1" x14ac:dyDescent="0.25">
      <c r="A607" s="16">
        <v>603</v>
      </c>
      <c r="B607" s="16">
        <v>78</v>
      </c>
      <c r="C607" s="16">
        <v>4</v>
      </c>
      <c r="D607" s="16">
        <v>499.4</v>
      </c>
      <c r="E607" s="17">
        <f t="shared" si="9"/>
        <v>10</v>
      </c>
      <c r="F607" s="16">
        <v>1</v>
      </c>
      <c r="G607" s="16">
        <v>3</v>
      </c>
      <c r="H607" s="16">
        <v>2.09</v>
      </c>
      <c r="I607" s="16">
        <v>7</v>
      </c>
      <c r="J607" s="16">
        <v>942</v>
      </c>
      <c r="K607" s="16">
        <v>12.08</v>
      </c>
      <c r="L607" s="16">
        <v>87.6</v>
      </c>
      <c r="M607" s="16">
        <v>1</v>
      </c>
      <c r="N607" s="18">
        <f>IF(Risk_Calculation_Engine!U607="Low",1,IF(Risk_Calculation_Engine!U607="Medium",2,3))</f>
        <v>3</v>
      </c>
      <c r="O607" s="18" t="str">
        <f>Risk_Calculation_Engine!U607</f>
        <v>High</v>
      </c>
    </row>
    <row r="608" spans="1:15" ht="15" customHeight="1" x14ac:dyDescent="0.25">
      <c r="A608" s="16">
        <v>604</v>
      </c>
      <c r="B608" s="16">
        <v>39.9</v>
      </c>
      <c r="C608" s="16">
        <v>5</v>
      </c>
      <c r="D608" s="16">
        <v>218.8</v>
      </c>
      <c r="E608" s="17">
        <f t="shared" si="9"/>
        <v>9.2200000000000006</v>
      </c>
      <c r="F608" s="16">
        <v>2</v>
      </c>
      <c r="G608" s="16">
        <v>3</v>
      </c>
      <c r="H608" s="16">
        <v>1.8</v>
      </c>
      <c r="I608" s="16">
        <v>12</v>
      </c>
      <c r="J608" s="16">
        <v>698</v>
      </c>
      <c r="K608" s="16">
        <v>17.489999999999998</v>
      </c>
      <c r="L608" s="16">
        <v>88.2</v>
      </c>
      <c r="M608" s="16">
        <v>1</v>
      </c>
      <c r="N608" s="18">
        <f>IF(Risk_Calculation_Engine!U608="Low",1,IF(Risk_Calculation_Engine!U608="Medium",2,3))</f>
        <v>3</v>
      </c>
      <c r="O608" s="18" t="str">
        <f>Risk_Calculation_Engine!U608</f>
        <v>High</v>
      </c>
    </row>
    <row r="609" spans="1:15" ht="15" customHeight="1" x14ac:dyDescent="0.25">
      <c r="A609" s="16">
        <v>605</v>
      </c>
      <c r="B609" s="16">
        <v>32</v>
      </c>
      <c r="C609" s="16">
        <v>3</v>
      </c>
      <c r="D609" s="16">
        <v>102.8</v>
      </c>
      <c r="E609" s="17">
        <f t="shared" si="9"/>
        <v>10.66</v>
      </c>
      <c r="F609" s="16">
        <v>3</v>
      </c>
      <c r="G609" s="16">
        <v>3</v>
      </c>
      <c r="H609" s="16">
        <v>1.26</v>
      </c>
      <c r="I609" s="16">
        <v>4</v>
      </c>
      <c r="J609" s="16">
        <v>208</v>
      </c>
      <c r="K609" s="16">
        <v>6.5</v>
      </c>
      <c r="L609" s="16">
        <v>75.3</v>
      </c>
      <c r="M609" s="16">
        <v>1</v>
      </c>
      <c r="N609" s="18">
        <f>IF(Risk_Calculation_Engine!U609="Low",1,IF(Risk_Calculation_Engine!U609="Medium",2,3))</f>
        <v>1</v>
      </c>
      <c r="O609" s="18" t="str">
        <f>Risk_Calculation_Engine!U609</f>
        <v>Low</v>
      </c>
    </row>
    <row r="610" spans="1:15" ht="15" customHeight="1" x14ac:dyDescent="0.25">
      <c r="A610" s="16">
        <v>606</v>
      </c>
      <c r="B610" s="16">
        <v>14.7</v>
      </c>
      <c r="C610" s="16">
        <v>4</v>
      </c>
      <c r="D610" s="16">
        <v>61.2</v>
      </c>
      <c r="E610" s="17">
        <f t="shared" si="9"/>
        <v>10.75</v>
      </c>
      <c r="F610" s="16">
        <v>2</v>
      </c>
      <c r="G610" s="16">
        <v>6</v>
      </c>
      <c r="H610" s="16">
        <v>1.08</v>
      </c>
      <c r="I610" s="16">
        <v>11</v>
      </c>
      <c r="J610" s="16">
        <v>175</v>
      </c>
      <c r="K610" s="16">
        <v>11.9</v>
      </c>
      <c r="L610" s="16">
        <v>43.2</v>
      </c>
      <c r="M610" s="16">
        <v>1</v>
      </c>
      <c r="N610" s="18">
        <f>IF(Risk_Calculation_Engine!U610="Low",1,IF(Risk_Calculation_Engine!U610="Medium",2,3))</f>
        <v>1</v>
      </c>
      <c r="O610" s="18" t="str">
        <f>Risk_Calculation_Engine!U610</f>
        <v>Low</v>
      </c>
    </row>
    <row r="611" spans="1:15" ht="15" customHeight="1" x14ac:dyDescent="0.25">
      <c r="A611" s="16">
        <v>607</v>
      </c>
      <c r="B611" s="16">
        <v>3.4</v>
      </c>
      <c r="C611" s="16">
        <v>3</v>
      </c>
      <c r="D611" s="16">
        <v>17.2</v>
      </c>
      <c r="E611" s="17">
        <f t="shared" si="9"/>
        <v>6.9</v>
      </c>
      <c r="F611" s="16">
        <v>1</v>
      </c>
      <c r="G611" s="16">
        <v>6</v>
      </c>
      <c r="H611" s="16">
        <v>1.18</v>
      </c>
      <c r="I611" s="16">
        <v>10</v>
      </c>
      <c r="J611" s="16">
        <v>11</v>
      </c>
      <c r="K611" s="16">
        <v>3.24</v>
      </c>
      <c r="L611" s="16">
        <v>40.4</v>
      </c>
      <c r="M611" s="16">
        <v>1</v>
      </c>
      <c r="N611" s="18">
        <f>IF(Risk_Calculation_Engine!U611="Low",1,IF(Risk_Calculation_Engine!U611="Medium",2,3))</f>
        <v>1</v>
      </c>
      <c r="O611" s="18" t="str">
        <f>Risk_Calculation_Engine!U611</f>
        <v>Low</v>
      </c>
    </row>
    <row r="612" spans="1:15" ht="15" customHeight="1" x14ac:dyDescent="0.25">
      <c r="A612" s="16">
        <v>608</v>
      </c>
      <c r="B612" s="16">
        <v>149.80000000000001</v>
      </c>
      <c r="C612" s="16">
        <v>5</v>
      </c>
      <c r="D612" s="16">
        <v>1113</v>
      </c>
      <c r="E612" s="17">
        <f t="shared" si="9"/>
        <v>20.440000000000001</v>
      </c>
      <c r="F612" s="16">
        <v>2</v>
      </c>
      <c r="G612" s="16">
        <v>9</v>
      </c>
      <c r="H612" s="16">
        <v>1.28</v>
      </c>
      <c r="I612" s="16">
        <v>14</v>
      </c>
      <c r="J612" s="16">
        <v>2491</v>
      </c>
      <c r="K612" s="16">
        <v>16.63</v>
      </c>
      <c r="L612" s="16">
        <v>83.1</v>
      </c>
      <c r="M612" s="16">
        <v>3</v>
      </c>
      <c r="N612" s="18">
        <f>IF(Risk_Calculation_Engine!U612="Low",1,IF(Risk_Calculation_Engine!U612="Medium",2,3))</f>
        <v>3</v>
      </c>
      <c r="O612" s="18" t="str">
        <f>Risk_Calculation_Engine!U612</f>
        <v>High</v>
      </c>
    </row>
    <row r="613" spans="1:15" ht="15" customHeight="1" x14ac:dyDescent="0.25">
      <c r="A613" s="16">
        <v>609</v>
      </c>
      <c r="B613" s="16">
        <v>149.80000000000001</v>
      </c>
      <c r="C613" s="16">
        <v>3</v>
      </c>
      <c r="D613" s="16">
        <v>474.5</v>
      </c>
      <c r="E613" s="17">
        <f t="shared" si="9"/>
        <v>10.41</v>
      </c>
      <c r="F613" s="16">
        <v>3</v>
      </c>
      <c r="G613" s="16">
        <v>2</v>
      </c>
      <c r="H613" s="16">
        <v>1.98</v>
      </c>
      <c r="I613" s="16">
        <v>4</v>
      </c>
      <c r="J613" s="16">
        <v>651</v>
      </c>
      <c r="K613" s="16">
        <v>4.3499999999999996</v>
      </c>
      <c r="L613" s="16">
        <v>61.1</v>
      </c>
      <c r="M613" s="16">
        <v>2</v>
      </c>
      <c r="N613" s="18">
        <f>IF(Risk_Calculation_Engine!U613="Low",1,IF(Risk_Calculation_Engine!U613="Medium",2,3))</f>
        <v>2</v>
      </c>
      <c r="O613" s="18" t="str">
        <f>Risk_Calculation_Engine!U613</f>
        <v>Medium</v>
      </c>
    </row>
    <row r="614" spans="1:15" ht="15" customHeight="1" x14ac:dyDescent="0.25">
      <c r="A614" s="16">
        <v>610</v>
      </c>
      <c r="B614" s="16">
        <v>110.6</v>
      </c>
      <c r="C614" s="16">
        <v>4</v>
      </c>
      <c r="D614" s="16">
        <v>415.4</v>
      </c>
      <c r="E614" s="17">
        <f t="shared" si="9"/>
        <v>11.34</v>
      </c>
      <c r="F614" s="16">
        <v>3</v>
      </c>
      <c r="G614" s="16">
        <v>5</v>
      </c>
      <c r="H614" s="16">
        <v>1.75</v>
      </c>
      <c r="I614" s="16">
        <v>8</v>
      </c>
      <c r="J614" s="16">
        <v>956</v>
      </c>
      <c r="K614" s="16">
        <v>8.64</v>
      </c>
      <c r="L614" s="16">
        <v>55.1</v>
      </c>
      <c r="M614" s="16">
        <v>2</v>
      </c>
      <c r="N614" s="18">
        <f>IF(Risk_Calculation_Engine!U614="Low",1,IF(Risk_Calculation_Engine!U614="Medium",2,3))</f>
        <v>2</v>
      </c>
      <c r="O614" s="18" t="str">
        <f>Risk_Calculation_Engine!U614</f>
        <v>Medium</v>
      </c>
    </row>
    <row r="615" spans="1:15" ht="15" customHeight="1" x14ac:dyDescent="0.25">
      <c r="A615" s="16">
        <v>611</v>
      </c>
      <c r="B615" s="16">
        <v>92.3</v>
      </c>
      <c r="C615" s="16">
        <v>4</v>
      </c>
      <c r="D615" s="16">
        <v>677.6</v>
      </c>
      <c r="E615" s="17">
        <f t="shared" si="9"/>
        <v>16.62</v>
      </c>
      <c r="F615" s="16">
        <v>1</v>
      </c>
      <c r="G615" s="16">
        <v>7</v>
      </c>
      <c r="H615" s="16">
        <v>1.37</v>
      </c>
      <c r="I615" s="16">
        <v>15</v>
      </c>
      <c r="J615" s="16">
        <v>1153</v>
      </c>
      <c r="K615" s="16">
        <v>12.49</v>
      </c>
      <c r="L615" s="16">
        <v>72</v>
      </c>
      <c r="M615" s="16">
        <v>3</v>
      </c>
      <c r="N615" s="18">
        <f>IF(Risk_Calculation_Engine!U615="Low",1,IF(Risk_Calculation_Engine!U615="Medium",2,3))</f>
        <v>3</v>
      </c>
      <c r="O615" s="18" t="str">
        <f>Risk_Calculation_Engine!U615</f>
        <v>High</v>
      </c>
    </row>
    <row r="616" spans="1:15" ht="15" customHeight="1" x14ac:dyDescent="0.25">
      <c r="A616" s="16">
        <v>612</v>
      </c>
      <c r="B616" s="16">
        <v>36.700000000000003</v>
      </c>
      <c r="C616" s="16">
        <v>5</v>
      </c>
      <c r="D616" s="16">
        <v>133.6</v>
      </c>
      <c r="E616" s="17">
        <f t="shared" si="9"/>
        <v>10.63</v>
      </c>
      <c r="F616" s="16">
        <v>3</v>
      </c>
      <c r="G616" s="16">
        <v>3</v>
      </c>
      <c r="H616" s="16">
        <v>1.36</v>
      </c>
      <c r="I616" s="16">
        <v>8</v>
      </c>
      <c r="J616" s="16">
        <v>570</v>
      </c>
      <c r="K616" s="16">
        <v>15.53</v>
      </c>
      <c r="L616" s="16">
        <v>44.7</v>
      </c>
      <c r="M616" s="16">
        <v>2</v>
      </c>
      <c r="N616" s="18">
        <f>IF(Risk_Calculation_Engine!U616="Low",1,IF(Risk_Calculation_Engine!U616="Medium",2,3))</f>
        <v>2</v>
      </c>
      <c r="O616" s="18" t="str">
        <f>Risk_Calculation_Engine!U616</f>
        <v>Medium</v>
      </c>
    </row>
    <row r="617" spans="1:15" ht="15" customHeight="1" x14ac:dyDescent="0.25">
      <c r="A617" s="16">
        <v>613</v>
      </c>
      <c r="B617" s="16">
        <v>95.1</v>
      </c>
      <c r="C617" s="16">
        <v>3</v>
      </c>
      <c r="D617" s="16">
        <v>387.1</v>
      </c>
      <c r="E617" s="17">
        <f t="shared" si="9"/>
        <v>9.14</v>
      </c>
      <c r="F617" s="16">
        <v>2</v>
      </c>
      <c r="G617" s="16">
        <v>3</v>
      </c>
      <c r="H617" s="16">
        <v>2.13</v>
      </c>
      <c r="I617" s="16">
        <v>11</v>
      </c>
      <c r="J617" s="16">
        <v>707</v>
      </c>
      <c r="K617" s="16">
        <v>7.43</v>
      </c>
      <c r="L617" s="16">
        <v>29.9</v>
      </c>
      <c r="M617" s="16">
        <v>1</v>
      </c>
      <c r="N617" s="18">
        <f>IF(Risk_Calculation_Engine!U617="Low",1,IF(Risk_Calculation_Engine!U617="Medium",2,3))</f>
        <v>2</v>
      </c>
      <c r="O617" s="18" t="str">
        <f>Risk_Calculation_Engine!U617</f>
        <v>Medium</v>
      </c>
    </row>
    <row r="618" spans="1:15" ht="15" customHeight="1" x14ac:dyDescent="0.25">
      <c r="A618" s="16">
        <v>614</v>
      </c>
      <c r="B618" s="16">
        <v>20.3</v>
      </c>
      <c r="C618" s="16">
        <v>4</v>
      </c>
      <c r="D618" s="16">
        <v>144.6</v>
      </c>
      <c r="E618" s="17">
        <f t="shared" si="9"/>
        <v>13.07</v>
      </c>
      <c r="F618" s="16">
        <v>1</v>
      </c>
      <c r="G618" s="16">
        <v>7</v>
      </c>
      <c r="H618" s="16">
        <v>1.1299999999999999</v>
      </c>
      <c r="I618" s="16">
        <v>5</v>
      </c>
      <c r="J618" s="16">
        <v>299</v>
      </c>
      <c r="K618" s="16">
        <v>14.73</v>
      </c>
      <c r="L618" s="16">
        <v>87.9</v>
      </c>
      <c r="M618" s="16">
        <v>2</v>
      </c>
      <c r="N618" s="18">
        <f>IF(Risk_Calculation_Engine!U618="Low",1,IF(Risk_Calculation_Engine!U618="Medium",2,3))</f>
        <v>2</v>
      </c>
      <c r="O618" s="18" t="str">
        <f>Risk_Calculation_Engine!U618</f>
        <v>Medium</v>
      </c>
    </row>
    <row r="619" spans="1:15" ht="15" customHeight="1" x14ac:dyDescent="0.25">
      <c r="A619" s="16">
        <v>615</v>
      </c>
      <c r="B619" s="16">
        <v>66.099999999999994</v>
      </c>
      <c r="C619" s="16">
        <v>4</v>
      </c>
      <c r="D619" s="16">
        <v>298.60000000000002</v>
      </c>
      <c r="E619" s="17">
        <f t="shared" si="9"/>
        <v>20.81</v>
      </c>
      <c r="F619" s="16">
        <v>2</v>
      </c>
      <c r="G619" s="16">
        <v>2</v>
      </c>
      <c r="H619" s="16">
        <v>0.87</v>
      </c>
      <c r="I619" s="16">
        <v>12</v>
      </c>
      <c r="J619" s="16">
        <v>941</v>
      </c>
      <c r="K619" s="16">
        <v>14.24</v>
      </c>
      <c r="L619" s="16">
        <v>84.2</v>
      </c>
      <c r="M619" s="16">
        <v>2</v>
      </c>
      <c r="N619" s="18">
        <f>IF(Risk_Calculation_Engine!U619="Low",1,IF(Risk_Calculation_Engine!U619="Medium",2,3))</f>
        <v>1</v>
      </c>
      <c r="O619" s="18" t="str">
        <f>Risk_Calculation_Engine!U619</f>
        <v>Low</v>
      </c>
    </row>
    <row r="620" spans="1:15" ht="15" customHeight="1" x14ac:dyDescent="0.25">
      <c r="A620" s="16">
        <v>616</v>
      </c>
      <c r="B620" s="16">
        <v>29.4</v>
      </c>
      <c r="C620" s="16">
        <v>5</v>
      </c>
      <c r="D620" s="16">
        <v>150.1</v>
      </c>
      <c r="E620" s="17">
        <f t="shared" si="9"/>
        <v>5.97</v>
      </c>
      <c r="F620" s="16">
        <v>2</v>
      </c>
      <c r="G620" s="16">
        <v>7</v>
      </c>
      <c r="H620" s="16">
        <v>2.5</v>
      </c>
      <c r="I620" s="16">
        <v>6</v>
      </c>
      <c r="J620" s="16">
        <v>703</v>
      </c>
      <c r="K620" s="16">
        <v>23.91</v>
      </c>
      <c r="L620" s="16">
        <v>44.1</v>
      </c>
      <c r="M620" s="16">
        <v>2</v>
      </c>
      <c r="N620" s="18">
        <f>IF(Risk_Calculation_Engine!U620="Low",1,IF(Risk_Calculation_Engine!U620="Medium",2,3))</f>
        <v>3</v>
      </c>
      <c r="O620" s="18" t="str">
        <f>Risk_Calculation_Engine!U620</f>
        <v>High</v>
      </c>
    </row>
    <row r="621" spans="1:15" ht="15" customHeight="1" x14ac:dyDescent="0.25">
      <c r="A621" s="16">
        <v>617</v>
      </c>
      <c r="B621" s="16">
        <v>95.4</v>
      </c>
      <c r="C621" s="16">
        <v>5</v>
      </c>
      <c r="D621" s="16">
        <v>579.29999999999995</v>
      </c>
      <c r="E621" s="17">
        <f t="shared" si="9"/>
        <v>15.91</v>
      </c>
      <c r="F621" s="16">
        <v>2</v>
      </c>
      <c r="G621" s="16">
        <v>6</v>
      </c>
      <c r="H621" s="16">
        <v>1.37</v>
      </c>
      <c r="I621" s="16">
        <v>10</v>
      </c>
      <c r="J621" s="16">
        <v>2323</v>
      </c>
      <c r="K621" s="16">
        <v>24.35</v>
      </c>
      <c r="L621" s="16">
        <v>80.400000000000006</v>
      </c>
      <c r="M621" s="16">
        <v>1</v>
      </c>
      <c r="N621" s="18">
        <f>IF(Risk_Calculation_Engine!U621="Low",1,IF(Risk_Calculation_Engine!U621="Medium",2,3))</f>
        <v>3</v>
      </c>
      <c r="O621" s="18" t="str">
        <f>Risk_Calculation_Engine!U621</f>
        <v>High</v>
      </c>
    </row>
    <row r="622" spans="1:15" ht="15" customHeight="1" x14ac:dyDescent="0.25">
      <c r="A622" s="16">
        <v>618</v>
      </c>
      <c r="B622" s="16">
        <v>149.80000000000001</v>
      </c>
      <c r="C622" s="16">
        <v>4</v>
      </c>
      <c r="D622" s="16">
        <v>544.6</v>
      </c>
      <c r="E622" s="17">
        <f t="shared" si="9"/>
        <v>8.57</v>
      </c>
      <c r="F622" s="16">
        <v>3</v>
      </c>
      <c r="G622" s="16">
        <v>8</v>
      </c>
      <c r="H622" s="16">
        <v>2.5</v>
      </c>
      <c r="I622" s="16">
        <v>14</v>
      </c>
      <c r="J622" s="16">
        <v>1339</v>
      </c>
      <c r="K622" s="16">
        <v>8.94</v>
      </c>
      <c r="L622" s="16">
        <v>88.5</v>
      </c>
      <c r="M622" s="16">
        <v>2</v>
      </c>
      <c r="N622" s="18">
        <f>IF(Risk_Calculation_Engine!U622="Low",1,IF(Risk_Calculation_Engine!U622="Medium",2,3))</f>
        <v>3</v>
      </c>
      <c r="O622" s="18" t="str">
        <f>Risk_Calculation_Engine!U622</f>
        <v>High</v>
      </c>
    </row>
    <row r="623" spans="1:15" ht="15" customHeight="1" x14ac:dyDescent="0.25">
      <c r="A623" s="16">
        <v>619</v>
      </c>
      <c r="B623" s="16">
        <v>23.4</v>
      </c>
      <c r="C623" s="16">
        <v>4</v>
      </c>
      <c r="D623" s="16">
        <v>120.6</v>
      </c>
      <c r="E623" s="17">
        <f t="shared" si="9"/>
        <v>10.89</v>
      </c>
      <c r="F623" s="16">
        <v>2</v>
      </c>
      <c r="G623" s="16">
        <v>6</v>
      </c>
      <c r="H623" s="16">
        <v>1.29</v>
      </c>
      <c r="I623" s="16">
        <v>11</v>
      </c>
      <c r="J623" s="16">
        <v>288</v>
      </c>
      <c r="K623" s="16">
        <v>12.31</v>
      </c>
      <c r="L623" s="16">
        <v>39.4</v>
      </c>
      <c r="M623" s="16">
        <v>1</v>
      </c>
      <c r="N623" s="18">
        <f>IF(Risk_Calculation_Engine!U623="Low",1,IF(Risk_Calculation_Engine!U623="Medium",2,3))</f>
        <v>1</v>
      </c>
      <c r="O623" s="18" t="str">
        <f>Risk_Calculation_Engine!U623</f>
        <v>Low</v>
      </c>
    </row>
    <row r="624" spans="1:15" ht="15" customHeight="1" x14ac:dyDescent="0.25">
      <c r="A624" s="16">
        <v>620</v>
      </c>
      <c r="B624" s="16">
        <v>38.299999999999997</v>
      </c>
      <c r="C624" s="16">
        <v>2</v>
      </c>
      <c r="D624" s="16">
        <v>155</v>
      </c>
      <c r="E624" s="17">
        <f t="shared" si="9"/>
        <v>9.5299999999999994</v>
      </c>
      <c r="F624" s="16">
        <v>2</v>
      </c>
      <c r="G624" s="16">
        <v>6</v>
      </c>
      <c r="H624" s="16">
        <v>1.58</v>
      </c>
      <c r="I624" s="16">
        <v>9</v>
      </c>
      <c r="J624" s="16">
        <v>179</v>
      </c>
      <c r="K624" s="16">
        <v>4.67</v>
      </c>
      <c r="L624" s="16">
        <v>91.1</v>
      </c>
      <c r="M624" s="16">
        <v>1</v>
      </c>
      <c r="N624" s="18">
        <f>IF(Risk_Calculation_Engine!U624="Low",1,IF(Risk_Calculation_Engine!U624="Medium",2,3))</f>
        <v>1</v>
      </c>
      <c r="O624" s="18" t="str">
        <f>Risk_Calculation_Engine!U624</f>
        <v>Low</v>
      </c>
    </row>
    <row r="625" spans="1:15" ht="15" customHeight="1" x14ac:dyDescent="0.25">
      <c r="A625" s="16">
        <v>621</v>
      </c>
      <c r="B625" s="16">
        <v>65.099999999999994</v>
      </c>
      <c r="C625" s="16">
        <v>5</v>
      </c>
      <c r="D625" s="16">
        <v>377.1</v>
      </c>
      <c r="E625" s="17">
        <f t="shared" si="9"/>
        <v>17.57</v>
      </c>
      <c r="F625" s="16">
        <v>2</v>
      </c>
      <c r="G625" s="16">
        <v>3</v>
      </c>
      <c r="H625" s="16">
        <v>1.1000000000000001</v>
      </c>
      <c r="I625" s="16">
        <v>5</v>
      </c>
      <c r="J625" s="16">
        <v>1738</v>
      </c>
      <c r="K625" s="16">
        <v>26.7</v>
      </c>
      <c r="L625" s="16">
        <v>83.5</v>
      </c>
      <c r="M625" s="16">
        <v>2</v>
      </c>
      <c r="N625" s="18">
        <f>IF(Risk_Calculation_Engine!U625="Low",1,IF(Risk_Calculation_Engine!U625="Medium",2,3))</f>
        <v>2</v>
      </c>
      <c r="O625" s="18" t="str">
        <f>Risk_Calculation_Engine!U625</f>
        <v>Medium</v>
      </c>
    </row>
    <row r="626" spans="1:15" ht="15" customHeight="1" x14ac:dyDescent="0.25">
      <c r="A626" s="16">
        <v>622</v>
      </c>
      <c r="B626" s="16">
        <v>7.8</v>
      </c>
      <c r="C626" s="16">
        <v>3</v>
      </c>
      <c r="D626" s="16">
        <v>35.1</v>
      </c>
      <c r="E626" s="17">
        <f t="shared" si="9"/>
        <v>5.62</v>
      </c>
      <c r="F626" s="16">
        <v>1</v>
      </c>
      <c r="G626" s="16">
        <v>6</v>
      </c>
      <c r="H626" s="16">
        <v>1.77</v>
      </c>
      <c r="I626" s="16">
        <v>7</v>
      </c>
      <c r="J626" s="16">
        <v>50</v>
      </c>
      <c r="K626" s="16">
        <v>6.41</v>
      </c>
      <c r="L626" s="16">
        <v>41.9</v>
      </c>
      <c r="M626" s="16">
        <v>1</v>
      </c>
      <c r="N626" s="18">
        <f>IF(Risk_Calculation_Engine!U626="Low",1,IF(Risk_Calculation_Engine!U626="Medium",2,3))</f>
        <v>1</v>
      </c>
      <c r="O626" s="18" t="str">
        <f>Risk_Calculation_Engine!U626</f>
        <v>Low</v>
      </c>
    </row>
    <row r="627" spans="1:15" ht="15" customHeight="1" x14ac:dyDescent="0.25">
      <c r="A627" s="16">
        <v>623</v>
      </c>
      <c r="B627" s="16">
        <v>11.5</v>
      </c>
      <c r="C627" s="16">
        <v>4</v>
      </c>
      <c r="D627" s="16">
        <v>56.4</v>
      </c>
      <c r="E627" s="17">
        <f t="shared" si="9"/>
        <v>8.2899999999999991</v>
      </c>
      <c r="F627" s="16">
        <v>2</v>
      </c>
      <c r="G627" s="16">
        <v>4</v>
      </c>
      <c r="H627" s="16">
        <v>1.37</v>
      </c>
      <c r="I627" s="16">
        <v>14</v>
      </c>
      <c r="J627" s="16">
        <v>107</v>
      </c>
      <c r="K627" s="16">
        <v>9.3000000000000007</v>
      </c>
      <c r="L627" s="16">
        <v>64.2</v>
      </c>
      <c r="M627" s="16">
        <v>2</v>
      </c>
      <c r="N627" s="18">
        <f>IF(Risk_Calculation_Engine!U627="Low",1,IF(Risk_Calculation_Engine!U627="Medium",2,3))</f>
        <v>1</v>
      </c>
      <c r="O627" s="18" t="str">
        <f>Risk_Calculation_Engine!U627</f>
        <v>Low</v>
      </c>
    </row>
    <row r="628" spans="1:15" ht="15" customHeight="1" x14ac:dyDescent="0.25">
      <c r="A628" s="16">
        <v>624</v>
      </c>
      <c r="B628" s="16">
        <v>149.80000000000001</v>
      </c>
      <c r="C628" s="16">
        <v>4</v>
      </c>
      <c r="D628" s="16">
        <v>670.1</v>
      </c>
      <c r="E628" s="17">
        <f t="shared" si="9"/>
        <v>15.76</v>
      </c>
      <c r="F628" s="16">
        <v>3</v>
      </c>
      <c r="G628" s="16">
        <v>4</v>
      </c>
      <c r="H628" s="16">
        <v>1.44</v>
      </c>
      <c r="I628" s="16">
        <v>5</v>
      </c>
      <c r="J628" s="16">
        <v>2003</v>
      </c>
      <c r="K628" s="16">
        <v>13.37</v>
      </c>
      <c r="L628" s="16">
        <v>55.7</v>
      </c>
      <c r="M628" s="16">
        <v>1</v>
      </c>
      <c r="N628" s="18">
        <f>IF(Risk_Calculation_Engine!U628="Low",1,IF(Risk_Calculation_Engine!U628="Medium",2,3))</f>
        <v>3</v>
      </c>
      <c r="O628" s="18" t="str">
        <f>Risk_Calculation_Engine!U628</f>
        <v>High</v>
      </c>
    </row>
    <row r="629" spans="1:15" ht="15" customHeight="1" x14ac:dyDescent="0.25">
      <c r="A629" s="16">
        <v>625</v>
      </c>
      <c r="B629" s="16">
        <v>78.3</v>
      </c>
      <c r="C629" s="16">
        <v>3</v>
      </c>
      <c r="D629" s="16">
        <v>358.6</v>
      </c>
      <c r="E629" s="17">
        <f t="shared" si="9"/>
        <v>11.55</v>
      </c>
      <c r="F629" s="16">
        <v>2</v>
      </c>
      <c r="G629" s="16">
        <v>3</v>
      </c>
      <c r="H629" s="16">
        <v>1.65</v>
      </c>
      <c r="I629" s="16">
        <v>11</v>
      </c>
      <c r="J629" s="16">
        <v>587</v>
      </c>
      <c r="K629" s="16">
        <v>7.5</v>
      </c>
      <c r="L629" s="16">
        <v>86.9</v>
      </c>
      <c r="M629" s="16">
        <v>2</v>
      </c>
      <c r="N629" s="18">
        <f>IF(Risk_Calculation_Engine!U629="Low",1,IF(Risk_Calculation_Engine!U629="Medium",2,3))</f>
        <v>1</v>
      </c>
      <c r="O629" s="18" t="str">
        <f>Risk_Calculation_Engine!U629</f>
        <v>Low</v>
      </c>
    </row>
    <row r="630" spans="1:15" ht="15" customHeight="1" x14ac:dyDescent="0.25">
      <c r="A630" s="16">
        <v>626</v>
      </c>
      <c r="B630" s="16">
        <v>34.799999999999997</v>
      </c>
      <c r="C630" s="16">
        <v>2</v>
      </c>
      <c r="D630" s="16">
        <v>168.1</v>
      </c>
      <c r="E630" s="17">
        <f t="shared" si="9"/>
        <v>11.85</v>
      </c>
      <c r="F630" s="16">
        <v>1</v>
      </c>
      <c r="G630" s="16">
        <v>4</v>
      </c>
      <c r="H630" s="16">
        <v>1.3</v>
      </c>
      <c r="I630" s="16">
        <v>9</v>
      </c>
      <c r="J630" s="16">
        <v>87</v>
      </c>
      <c r="K630" s="16">
        <v>2.5</v>
      </c>
      <c r="L630" s="16">
        <v>54.6</v>
      </c>
      <c r="M630" s="16">
        <v>2</v>
      </c>
      <c r="N630" s="18">
        <f>IF(Risk_Calculation_Engine!U630="Low",1,IF(Risk_Calculation_Engine!U630="Medium",2,3))</f>
        <v>1</v>
      </c>
      <c r="O630" s="18" t="str">
        <f>Risk_Calculation_Engine!U630</f>
        <v>Low</v>
      </c>
    </row>
    <row r="631" spans="1:15" ht="15" customHeight="1" x14ac:dyDescent="0.25">
      <c r="A631" s="16">
        <v>627</v>
      </c>
      <c r="B631" s="16">
        <v>59.7</v>
      </c>
      <c r="C631" s="16">
        <v>2</v>
      </c>
      <c r="D631" s="16">
        <v>232.6</v>
      </c>
      <c r="E631" s="17">
        <f t="shared" si="9"/>
        <v>9.6999999999999993</v>
      </c>
      <c r="F631" s="16">
        <v>2</v>
      </c>
      <c r="G631" s="16">
        <v>8</v>
      </c>
      <c r="H631" s="16">
        <v>1.74</v>
      </c>
      <c r="I631" s="16">
        <v>7</v>
      </c>
      <c r="J631" s="16">
        <v>262</v>
      </c>
      <c r="K631" s="16">
        <v>4.3899999999999997</v>
      </c>
      <c r="L631" s="16">
        <v>98.5</v>
      </c>
      <c r="M631" s="16">
        <v>3</v>
      </c>
      <c r="N631" s="18">
        <f>IF(Risk_Calculation_Engine!U631="Low",1,IF(Risk_Calculation_Engine!U631="Medium",2,3))</f>
        <v>1</v>
      </c>
      <c r="O631" s="18" t="str">
        <f>Risk_Calculation_Engine!U631</f>
        <v>Low</v>
      </c>
    </row>
    <row r="632" spans="1:15" ht="15" customHeight="1" x14ac:dyDescent="0.25">
      <c r="A632" s="16">
        <v>628</v>
      </c>
      <c r="B632" s="16">
        <v>40.200000000000003</v>
      </c>
      <c r="C632" s="16">
        <v>5</v>
      </c>
      <c r="D632" s="16">
        <v>158.5</v>
      </c>
      <c r="E632" s="17">
        <f t="shared" si="9"/>
        <v>12.74</v>
      </c>
      <c r="F632" s="16">
        <v>3</v>
      </c>
      <c r="G632" s="16">
        <v>15</v>
      </c>
      <c r="H632" s="16">
        <v>1.19</v>
      </c>
      <c r="I632" s="16">
        <v>12</v>
      </c>
      <c r="J632" s="16">
        <v>790</v>
      </c>
      <c r="K632" s="16">
        <v>19.649999999999999</v>
      </c>
      <c r="L632" s="16">
        <v>87.4</v>
      </c>
      <c r="M632" s="16">
        <v>2</v>
      </c>
      <c r="N632" s="18">
        <f>IF(Risk_Calculation_Engine!U632="Low",1,IF(Risk_Calculation_Engine!U632="Medium",2,3))</f>
        <v>3</v>
      </c>
      <c r="O632" s="18" t="str">
        <f>Risk_Calculation_Engine!U632</f>
        <v>High</v>
      </c>
    </row>
    <row r="633" spans="1:15" ht="15" customHeight="1" x14ac:dyDescent="0.25">
      <c r="A633" s="16">
        <v>629</v>
      </c>
      <c r="B633" s="16">
        <v>66.7</v>
      </c>
      <c r="C633" s="16">
        <v>3</v>
      </c>
      <c r="D633" s="16">
        <v>219.9</v>
      </c>
      <c r="E633" s="17">
        <f t="shared" si="9"/>
        <v>9.77</v>
      </c>
      <c r="F633" s="16">
        <v>3</v>
      </c>
      <c r="G633" s="16">
        <v>5</v>
      </c>
      <c r="H633" s="16">
        <v>1.7</v>
      </c>
      <c r="I633" s="16">
        <v>7</v>
      </c>
      <c r="J633" s="16">
        <v>453</v>
      </c>
      <c r="K633" s="16">
        <v>6.79</v>
      </c>
      <c r="L633" s="16">
        <v>73.400000000000006</v>
      </c>
      <c r="M633" s="16">
        <v>3</v>
      </c>
      <c r="N633" s="18">
        <f>IF(Risk_Calculation_Engine!U633="Low",1,IF(Risk_Calculation_Engine!U633="Medium",2,3))</f>
        <v>1</v>
      </c>
      <c r="O633" s="18" t="str">
        <f>Risk_Calculation_Engine!U633</f>
        <v>Low</v>
      </c>
    </row>
    <row r="634" spans="1:15" ht="15" customHeight="1" x14ac:dyDescent="0.25">
      <c r="A634" s="16">
        <v>630</v>
      </c>
      <c r="B634" s="16">
        <v>41.5</v>
      </c>
      <c r="C634" s="16">
        <v>2</v>
      </c>
      <c r="D634" s="16">
        <v>162.69999999999999</v>
      </c>
      <c r="E634" s="17">
        <f t="shared" si="9"/>
        <v>18.62</v>
      </c>
      <c r="F634" s="16">
        <v>2</v>
      </c>
      <c r="G634" s="16">
        <v>2</v>
      </c>
      <c r="H634" s="16">
        <v>0.82</v>
      </c>
      <c r="I634" s="16">
        <v>6</v>
      </c>
      <c r="J634" s="16">
        <v>239</v>
      </c>
      <c r="K634" s="16">
        <v>5.76</v>
      </c>
      <c r="L634" s="16">
        <v>36.700000000000003</v>
      </c>
      <c r="M634" s="16">
        <v>1</v>
      </c>
      <c r="N634" s="18">
        <f>IF(Risk_Calculation_Engine!U634="Low",1,IF(Risk_Calculation_Engine!U634="Medium",2,3))</f>
        <v>1</v>
      </c>
      <c r="O634" s="18" t="str">
        <f>Risk_Calculation_Engine!U634</f>
        <v>Low</v>
      </c>
    </row>
    <row r="635" spans="1:15" ht="15" customHeight="1" x14ac:dyDescent="0.25">
      <c r="A635" s="16">
        <v>631</v>
      </c>
      <c r="B635" s="16">
        <v>55.9</v>
      </c>
      <c r="C635" s="16">
        <v>4</v>
      </c>
      <c r="D635" s="16">
        <v>279.89999999999998</v>
      </c>
      <c r="E635" s="17">
        <f t="shared" si="9"/>
        <v>19.32</v>
      </c>
      <c r="F635" s="16">
        <v>2</v>
      </c>
      <c r="G635" s="16">
        <v>6</v>
      </c>
      <c r="H635" s="16">
        <v>0.92</v>
      </c>
      <c r="I635" s="16">
        <v>9</v>
      </c>
      <c r="J635" s="16">
        <v>616</v>
      </c>
      <c r="K635" s="16">
        <v>11.02</v>
      </c>
      <c r="L635" s="16">
        <v>76.2</v>
      </c>
      <c r="M635" s="16">
        <v>3</v>
      </c>
      <c r="N635" s="18">
        <f>IF(Risk_Calculation_Engine!U635="Low",1,IF(Risk_Calculation_Engine!U635="Medium",2,3))</f>
        <v>1</v>
      </c>
      <c r="O635" s="18" t="str">
        <f>Risk_Calculation_Engine!U635</f>
        <v>Low</v>
      </c>
    </row>
    <row r="636" spans="1:15" ht="15" customHeight="1" x14ac:dyDescent="0.25">
      <c r="A636" s="16">
        <v>632</v>
      </c>
      <c r="B636" s="16">
        <v>101.8</v>
      </c>
      <c r="C636" s="16">
        <v>3</v>
      </c>
      <c r="D636" s="16">
        <v>501.6</v>
      </c>
      <c r="E636" s="17">
        <f t="shared" si="9"/>
        <v>19.2</v>
      </c>
      <c r="F636" s="16">
        <v>2</v>
      </c>
      <c r="G636" s="16">
        <v>7</v>
      </c>
      <c r="H636" s="16">
        <v>1.0900000000000001</v>
      </c>
      <c r="I636" s="16">
        <v>12</v>
      </c>
      <c r="J636" s="16">
        <v>837</v>
      </c>
      <c r="K636" s="16">
        <v>8.2200000000000006</v>
      </c>
      <c r="L636" s="16">
        <v>86.5</v>
      </c>
      <c r="M636" s="16">
        <v>2</v>
      </c>
      <c r="N636" s="18">
        <f>IF(Risk_Calculation_Engine!U636="Low",1,IF(Risk_Calculation_Engine!U636="Medium",2,3))</f>
        <v>1</v>
      </c>
      <c r="O636" s="18" t="str">
        <f>Risk_Calculation_Engine!U636</f>
        <v>Low</v>
      </c>
    </row>
    <row r="637" spans="1:15" ht="15" customHeight="1" x14ac:dyDescent="0.25">
      <c r="A637" s="16">
        <v>633</v>
      </c>
      <c r="B637" s="16">
        <v>97</v>
      </c>
      <c r="C637" s="16">
        <v>5</v>
      </c>
      <c r="D637" s="16">
        <v>484</v>
      </c>
      <c r="E637" s="17">
        <f t="shared" si="9"/>
        <v>21.14</v>
      </c>
      <c r="F637" s="16">
        <v>3</v>
      </c>
      <c r="G637" s="16">
        <v>2</v>
      </c>
      <c r="H637" s="16">
        <v>0.98</v>
      </c>
      <c r="I637" s="16">
        <v>14</v>
      </c>
      <c r="J637" s="16">
        <v>1499</v>
      </c>
      <c r="K637" s="16">
        <v>15.45</v>
      </c>
      <c r="L637" s="16">
        <v>52</v>
      </c>
      <c r="M637" s="16">
        <v>2</v>
      </c>
      <c r="N637" s="18">
        <f>IF(Risk_Calculation_Engine!U637="Low",1,IF(Risk_Calculation_Engine!U637="Medium",2,3))</f>
        <v>1</v>
      </c>
      <c r="O637" s="18" t="str">
        <f>Risk_Calculation_Engine!U637</f>
        <v>Low</v>
      </c>
    </row>
    <row r="638" spans="1:15" ht="15" customHeight="1" x14ac:dyDescent="0.25">
      <c r="A638" s="16">
        <v>634</v>
      </c>
      <c r="B638" s="16">
        <v>149.80000000000001</v>
      </c>
      <c r="C638" s="16">
        <v>3</v>
      </c>
      <c r="D638" s="16">
        <v>585</v>
      </c>
      <c r="E638" s="17">
        <f t="shared" si="9"/>
        <v>21.85</v>
      </c>
      <c r="F638" s="16">
        <v>3</v>
      </c>
      <c r="G638" s="16">
        <v>5</v>
      </c>
      <c r="H638" s="16">
        <v>1</v>
      </c>
      <c r="I638" s="16">
        <v>11</v>
      </c>
      <c r="J638" s="16">
        <v>501</v>
      </c>
      <c r="K638" s="16">
        <v>3.34</v>
      </c>
      <c r="L638" s="16">
        <v>98.8</v>
      </c>
      <c r="M638" s="16">
        <v>3</v>
      </c>
      <c r="N638" s="18">
        <f>IF(Risk_Calculation_Engine!U638="Low",1,IF(Risk_Calculation_Engine!U638="Medium",2,3))</f>
        <v>1</v>
      </c>
      <c r="O638" s="18" t="str">
        <f>Risk_Calculation_Engine!U638</f>
        <v>Low</v>
      </c>
    </row>
    <row r="639" spans="1:15" ht="15" customHeight="1" x14ac:dyDescent="0.25">
      <c r="A639" s="16">
        <v>635</v>
      </c>
      <c r="B639" s="16">
        <v>82.6</v>
      </c>
      <c r="C639" s="16">
        <v>2</v>
      </c>
      <c r="D639" s="16">
        <v>250.8</v>
      </c>
      <c r="E639" s="17">
        <f t="shared" si="9"/>
        <v>8.93</v>
      </c>
      <c r="F639" s="16">
        <v>3</v>
      </c>
      <c r="G639" s="16">
        <v>5</v>
      </c>
      <c r="H639" s="16">
        <v>1.93</v>
      </c>
      <c r="I639" s="16">
        <v>11</v>
      </c>
      <c r="J639" s="16">
        <v>289</v>
      </c>
      <c r="K639" s="16">
        <v>3.5</v>
      </c>
      <c r="L639" s="16">
        <v>71</v>
      </c>
      <c r="M639" s="16">
        <v>3</v>
      </c>
      <c r="N639" s="18">
        <f>IF(Risk_Calculation_Engine!U639="Low",1,IF(Risk_Calculation_Engine!U639="Medium",2,3))</f>
        <v>2</v>
      </c>
      <c r="O639" s="18" t="str">
        <f>Risk_Calculation_Engine!U639</f>
        <v>Medium</v>
      </c>
    </row>
    <row r="640" spans="1:15" ht="15" customHeight="1" x14ac:dyDescent="0.25">
      <c r="A640" s="16">
        <v>636</v>
      </c>
      <c r="B640" s="16">
        <v>62.8</v>
      </c>
      <c r="C640" s="16">
        <v>2</v>
      </c>
      <c r="D640" s="16">
        <v>220</v>
      </c>
      <c r="E640" s="17">
        <f t="shared" si="9"/>
        <v>11.95</v>
      </c>
      <c r="F640" s="16">
        <v>2</v>
      </c>
      <c r="G640" s="16">
        <v>4</v>
      </c>
      <c r="H640" s="16">
        <v>1.39</v>
      </c>
      <c r="I640" s="16">
        <v>13</v>
      </c>
      <c r="J640" s="16">
        <v>259</v>
      </c>
      <c r="K640" s="16">
        <v>4.12</v>
      </c>
      <c r="L640" s="16">
        <v>65.7</v>
      </c>
      <c r="M640" s="16">
        <v>3</v>
      </c>
      <c r="N640" s="18">
        <f>IF(Risk_Calculation_Engine!U640="Low",1,IF(Risk_Calculation_Engine!U640="Medium",2,3))</f>
        <v>1</v>
      </c>
      <c r="O640" s="18" t="str">
        <f>Risk_Calculation_Engine!U640</f>
        <v>Low</v>
      </c>
    </row>
    <row r="641" spans="1:15" ht="15" customHeight="1" x14ac:dyDescent="0.25">
      <c r="A641" s="16">
        <v>637</v>
      </c>
      <c r="B641" s="16">
        <v>149.80000000000001</v>
      </c>
      <c r="C641" s="16">
        <v>3</v>
      </c>
      <c r="D641" s="16">
        <v>1054.5</v>
      </c>
      <c r="E641" s="17">
        <f t="shared" si="9"/>
        <v>19.82</v>
      </c>
      <c r="F641" s="16">
        <v>1</v>
      </c>
      <c r="G641" s="16">
        <v>5</v>
      </c>
      <c r="H641" s="16">
        <v>1.3</v>
      </c>
      <c r="I641" s="16">
        <v>6</v>
      </c>
      <c r="J641" s="16">
        <v>1198</v>
      </c>
      <c r="K641" s="16">
        <v>8</v>
      </c>
      <c r="L641" s="16">
        <v>64.099999999999994</v>
      </c>
      <c r="M641" s="16">
        <v>2</v>
      </c>
      <c r="N641" s="18">
        <f>IF(Risk_Calculation_Engine!U641="Low",1,IF(Risk_Calculation_Engine!U641="Medium",2,3))</f>
        <v>2</v>
      </c>
      <c r="O641" s="18" t="str">
        <f>Risk_Calculation_Engine!U641</f>
        <v>Medium</v>
      </c>
    </row>
    <row r="642" spans="1:15" ht="15" customHeight="1" x14ac:dyDescent="0.25">
      <c r="A642" s="16">
        <v>638</v>
      </c>
      <c r="B642" s="16">
        <v>51.2</v>
      </c>
      <c r="C642" s="16">
        <v>3</v>
      </c>
      <c r="D642" s="16">
        <v>244.5</v>
      </c>
      <c r="E642" s="17">
        <f t="shared" si="9"/>
        <v>9.7799999999999994</v>
      </c>
      <c r="F642" s="16">
        <v>2</v>
      </c>
      <c r="G642" s="16">
        <v>7</v>
      </c>
      <c r="H642" s="16">
        <v>1.75</v>
      </c>
      <c r="I642" s="16">
        <v>6</v>
      </c>
      <c r="J642" s="16">
        <v>348</v>
      </c>
      <c r="K642" s="16">
        <v>6.8</v>
      </c>
      <c r="L642" s="16">
        <v>47</v>
      </c>
      <c r="M642" s="16">
        <v>2</v>
      </c>
      <c r="N642" s="18">
        <f>IF(Risk_Calculation_Engine!U642="Low",1,IF(Risk_Calculation_Engine!U642="Medium",2,3))</f>
        <v>2</v>
      </c>
      <c r="O642" s="18" t="str">
        <f>Risk_Calculation_Engine!U642</f>
        <v>Medium</v>
      </c>
    </row>
    <row r="643" spans="1:15" ht="15" customHeight="1" x14ac:dyDescent="0.25">
      <c r="A643" s="16">
        <v>639</v>
      </c>
      <c r="B643" s="16">
        <v>4</v>
      </c>
      <c r="C643" s="16">
        <v>4</v>
      </c>
      <c r="D643" s="16">
        <v>19</v>
      </c>
      <c r="E643" s="17">
        <f t="shared" si="9"/>
        <v>4.62</v>
      </c>
      <c r="F643" s="16">
        <v>1</v>
      </c>
      <c r="G643" s="16">
        <v>7</v>
      </c>
      <c r="H643" s="16">
        <v>1.81</v>
      </c>
      <c r="I643" s="16">
        <v>9</v>
      </c>
      <c r="J643" s="16">
        <v>38</v>
      </c>
      <c r="K643" s="16">
        <v>9.5</v>
      </c>
      <c r="L643" s="16">
        <v>58.4</v>
      </c>
      <c r="M643" s="16">
        <v>1</v>
      </c>
      <c r="N643" s="18">
        <f>IF(Risk_Calculation_Engine!U643="Low",1,IF(Risk_Calculation_Engine!U643="Medium",2,3))</f>
        <v>3</v>
      </c>
      <c r="O643" s="18" t="str">
        <f>Risk_Calculation_Engine!U643</f>
        <v>High</v>
      </c>
    </row>
    <row r="644" spans="1:15" ht="15" customHeight="1" x14ac:dyDescent="0.25">
      <c r="A644" s="16">
        <v>640</v>
      </c>
      <c r="B644" s="16">
        <v>111.6</v>
      </c>
      <c r="C644" s="16">
        <v>3</v>
      </c>
      <c r="D644" s="16">
        <v>805</v>
      </c>
      <c r="E644" s="17">
        <f t="shared" si="9"/>
        <v>19.27</v>
      </c>
      <c r="F644" s="16">
        <v>1</v>
      </c>
      <c r="G644" s="16">
        <v>5</v>
      </c>
      <c r="H644" s="16">
        <v>1.24</v>
      </c>
      <c r="I644" s="16">
        <v>11</v>
      </c>
      <c r="J644" s="16">
        <v>644</v>
      </c>
      <c r="K644" s="16">
        <v>5.77</v>
      </c>
      <c r="L644" s="16">
        <v>63.4</v>
      </c>
      <c r="M644" s="16">
        <v>2</v>
      </c>
      <c r="N644" s="18">
        <f>IF(Risk_Calculation_Engine!U644="Low",1,IF(Risk_Calculation_Engine!U644="Medium",2,3))</f>
        <v>1</v>
      </c>
      <c r="O644" s="18" t="str">
        <f>Risk_Calculation_Engine!U644</f>
        <v>Low</v>
      </c>
    </row>
    <row r="645" spans="1:15" ht="15" customHeight="1" x14ac:dyDescent="0.25">
      <c r="A645" s="16">
        <v>641</v>
      </c>
      <c r="B645" s="16">
        <v>75.2</v>
      </c>
      <c r="C645" s="16">
        <v>3</v>
      </c>
      <c r="D645" s="16">
        <v>385.6</v>
      </c>
      <c r="E645" s="17">
        <f t="shared" ref="E645:E708" si="10">ROUND(3.67*D645^0.28/H645,2)</f>
        <v>7.97</v>
      </c>
      <c r="F645" s="16">
        <v>2</v>
      </c>
      <c r="G645" s="16">
        <v>5</v>
      </c>
      <c r="H645" s="16">
        <v>2.44</v>
      </c>
      <c r="I645" s="16">
        <v>11</v>
      </c>
      <c r="J645" s="16">
        <v>675</v>
      </c>
      <c r="K645" s="16">
        <v>8.98</v>
      </c>
      <c r="L645" s="16">
        <v>70.8</v>
      </c>
      <c r="M645" s="16">
        <v>2</v>
      </c>
      <c r="N645" s="18">
        <f>IF(Risk_Calculation_Engine!U645="Low",1,IF(Risk_Calculation_Engine!U645="Medium",2,3))</f>
        <v>2</v>
      </c>
      <c r="O645" s="18" t="str">
        <f>Risk_Calculation_Engine!U645</f>
        <v>Medium</v>
      </c>
    </row>
    <row r="646" spans="1:15" ht="15" customHeight="1" x14ac:dyDescent="0.25">
      <c r="A646" s="16">
        <v>642</v>
      </c>
      <c r="B646" s="16">
        <v>60.4</v>
      </c>
      <c r="C646" s="16">
        <v>3</v>
      </c>
      <c r="D646" s="16">
        <v>281.10000000000002</v>
      </c>
      <c r="E646" s="17">
        <f t="shared" si="10"/>
        <v>12.53</v>
      </c>
      <c r="F646" s="16">
        <v>2</v>
      </c>
      <c r="G646" s="16">
        <v>6</v>
      </c>
      <c r="H646" s="16">
        <v>1.42</v>
      </c>
      <c r="I646" s="16">
        <v>4</v>
      </c>
      <c r="J646" s="16">
        <v>232</v>
      </c>
      <c r="K646" s="16">
        <v>3.84</v>
      </c>
      <c r="L646" s="16">
        <v>69.599999999999994</v>
      </c>
      <c r="M646" s="16">
        <v>1</v>
      </c>
      <c r="N646" s="18">
        <f>IF(Risk_Calculation_Engine!U646="Low",1,IF(Risk_Calculation_Engine!U646="Medium",2,3))</f>
        <v>1</v>
      </c>
      <c r="O646" s="18" t="str">
        <f>Risk_Calculation_Engine!U646</f>
        <v>Low</v>
      </c>
    </row>
    <row r="647" spans="1:15" ht="15" customHeight="1" x14ac:dyDescent="0.25">
      <c r="A647" s="16">
        <v>643</v>
      </c>
      <c r="B647" s="16">
        <v>113.8</v>
      </c>
      <c r="C647" s="16">
        <v>3</v>
      </c>
      <c r="D647" s="16">
        <v>354.9</v>
      </c>
      <c r="E647" s="17">
        <f t="shared" si="10"/>
        <v>9.4499999999999993</v>
      </c>
      <c r="F647" s="16">
        <v>3</v>
      </c>
      <c r="G647" s="16">
        <v>9</v>
      </c>
      <c r="H647" s="16">
        <v>2.0099999999999998</v>
      </c>
      <c r="I647" s="16">
        <v>13</v>
      </c>
      <c r="J647" s="16">
        <v>482</v>
      </c>
      <c r="K647" s="16">
        <v>4.24</v>
      </c>
      <c r="L647" s="16">
        <v>90.4</v>
      </c>
      <c r="M647" s="16">
        <v>1</v>
      </c>
      <c r="N647" s="18">
        <f>IF(Risk_Calculation_Engine!U647="Low",1,IF(Risk_Calculation_Engine!U647="Medium",2,3))</f>
        <v>3</v>
      </c>
      <c r="O647" s="18" t="str">
        <f>Risk_Calculation_Engine!U647</f>
        <v>High</v>
      </c>
    </row>
    <row r="648" spans="1:15" ht="15" customHeight="1" x14ac:dyDescent="0.25">
      <c r="A648" s="16">
        <v>644</v>
      </c>
      <c r="B648" s="16">
        <v>41.9</v>
      </c>
      <c r="C648" s="16">
        <v>5</v>
      </c>
      <c r="D648" s="16">
        <v>187.7</v>
      </c>
      <c r="E648" s="17">
        <f t="shared" si="10"/>
        <v>13.36</v>
      </c>
      <c r="F648" s="16">
        <v>3</v>
      </c>
      <c r="G648" s="16">
        <v>6</v>
      </c>
      <c r="H648" s="16">
        <v>1.19</v>
      </c>
      <c r="I648" s="16">
        <v>7</v>
      </c>
      <c r="J648" s="16">
        <v>849</v>
      </c>
      <c r="K648" s="16">
        <v>20.260000000000002</v>
      </c>
      <c r="L648" s="16">
        <v>78.7</v>
      </c>
      <c r="M648" s="16">
        <v>3</v>
      </c>
      <c r="N648" s="18">
        <f>IF(Risk_Calculation_Engine!U648="Low",1,IF(Risk_Calculation_Engine!U648="Medium",2,3))</f>
        <v>2</v>
      </c>
      <c r="O648" s="18" t="str">
        <f>Risk_Calculation_Engine!U648</f>
        <v>Medium</v>
      </c>
    </row>
    <row r="649" spans="1:15" ht="15" customHeight="1" x14ac:dyDescent="0.25">
      <c r="A649" s="16">
        <v>645</v>
      </c>
      <c r="B649" s="16">
        <v>4.4000000000000004</v>
      </c>
      <c r="C649" s="16">
        <v>2</v>
      </c>
      <c r="D649" s="16">
        <v>9.3000000000000007</v>
      </c>
      <c r="E649" s="17">
        <f t="shared" si="10"/>
        <v>3.98</v>
      </c>
      <c r="F649" s="16">
        <v>3</v>
      </c>
      <c r="G649" s="16">
        <v>10</v>
      </c>
      <c r="H649" s="16">
        <v>1.72</v>
      </c>
      <c r="I649" s="16">
        <v>14</v>
      </c>
      <c r="J649" s="16">
        <v>21</v>
      </c>
      <c r="K649" s="16">
        <v>4.7699999999999996</v>
      </c>
      <c r="L649" s="16">
        <v>43.2</v>
      </c>
      <c r="M649" s="16">
        <v>1</v>
      </c>
      <c r="N649" s="18">
        <f>IF(Risk_Calculation_Engine!U649="Low",1,IF(Risk_Calculation_Engine!U649="Medium",2,3))</f>
        <v>1</v>
      </c>
      <c r="O649" s="18" t="str">
        <f>Risk_Calculation_Engine!U649</f>
        <v>Low</v>
      </c>
    </row>
    <row r="650" spans="1:15" ht="15" customHeight="1" x14ac:dyDescent="0.25">
      <c r="A650" s="16">
        <v>646</v>
      </c>
      <c r="B650" s="16">
        <v>115.4</v>
      </c>
      <c r="C650" s="16">
        <v>5</v>
      </c>
      <c r="D650" s="16">
        <v>514.5</v>
      </c>
      <c r="E650" s="17">
        <f t="shared" si="10"/>
        <v>10.039999999999999</v>
      </c>
      <c r="F650" s="16">
        <v>3</v>
      </c>
      <c r="G650" s="16">
        <v>5</v>
      </c>
      <c r="H650" s="16">
        <v>2.1</v>
      </c>
      <c r="I650" s="16">
        <v>12</v>
      </c>
      <c r="J650" s="16">
        <v>1859</v>
      </c>
      <c r="K650" s="16">
        <v>16.11</v>
      </c>
      <c r="L650" s="16">
        <v>65.7</v>
      </c>
      <c r="M650" s="16">
        <v>2</v>
      </c>
      <c r="N650" s="18">
        <f>IF(Risk_Calculation_Engine!U650="Low",1,IF(Risk_Calculation_Engine!U650="Medium",2,3))</f>
        <v>3</v>
      </c>
      <c r="O650" s="18" t="str">
        <f>Risk_Calculation_Engine!U650</f>
        <v>High</v>
      </c>
    </row>
    <row r="651" spans="1:15" ht="15" customHeight="1" x14ac:dyDescent="0.25">
      <c r="A651" s="16">
        <v>647</v>
      </c>
      <c r="B651" s="16">
        <v>33.700000000000003</v>
      </c>
      <c r="C651" s="16">
        <v>3</v>
      </c>
      <c r="D651" s="16">
        <v>121.3</v>
      </c>
      <c r="E651" s="17">
        <f t="shared" si="10"/>
        <v>7.07</v>
      </c>
      <c r="F651" s="16">
        <v>2</v>
      </c>
      <c r="G651" s="16">
        <v>3</v>
      </c>
      <c r="H651" s="16">
        <v>1.99</v>
      </c>
      <c r="I651" s="16">
        <v>15</v>
      </c>
      <c r="J651" s="16">
        <v>108</v>
      </c>
      <c r="K651" s="16">
        <v>3.2</v>
      </c>
      <c r="L651" s="16">
        <v>73.400000000000006</v>
      </c>
      <c r="M651" s="16">
        <v>1</v>
      </c>
      <c r="N651" s="18">
        <f>IF(Risk_Calculation_Engine!U651="Low",1,IF(Risk_Calculation_Engine!U651="Medium",2,3))</f>
        <v>1</v>
      </c>
      <c r="O651" s="18" t="str">
        <f>Risk_Calculation_Engine!U651</f>
        <v>Low</v>
      </c>
    </row>
    <row r="652" spans="1:15" ht="15" customHeight="1" x14ac:dyDescent="0.25">
      <c r="A652" s="16">
        <v>648</v>
      </c>
      <c r="B652" s="16">
        <v>24.4</v>
      </c>
      <c r="C652" s="16">
        <v>2</v>
      </c>
      <c r="D652" s="16">
        <v>125.5</v>
      </c>
      <c r="E652" s="17">
        <f t="shared" si="10"/>
        <v>7.43</v>
      </c>
      <c r="F652" s="16">
        <v>1</v>
      </c>
      <c r="G652" s="16">
        <v>9</v>
      </c>
      <c r="H652" s="16">
        <v>1.91</v>
      </c>
      <c r="I652" s="16">
        <v>11</v>
      </c>
      <c r="J652" s="16">
        <v>100</v>
      </c>
      <c r="K652" s="16">
        <v>4.0999999999999996</v>
      </c>
      <c r="L652" s="16">
        <v>28.2</v>
      </c>
      <c r="M652" s="16">
        <v>2</v>
      </c>
      <c r="N652" s="18">
        <f>IF(Risk_Calculation_Engine!U652="Low",1,IF(Risk_Calculation_Engine!U652="Medium",2,3))</f>
        <v>2</v>
      </c>
      <c r="O652" s="18" t="str">
        <f>Risk_Calculation_Engine!U652</f>
        <v>Medium</v>
      </c>
    </row>
    <row r="653" spans="1:15" ht="15" customHeight="1" x14ac:dyDescent="0.25">
      <c r="A653" s="16">
        <v>649</v>
      </c>
      <c r="B653" s="16">
        <v>108.5</v>
      </c>
      <c r="C653" s="16">
        <v>3</v>
      </c>
      <c r="D653" s="16">
        <v>519.9</v>
      </c>
      <c r="E653" s="17">
        <f t="shared" si="10"/>
        <v>18.07</v>
      </c>
      <c r="F653" s="16">
        <v>2</v>
      </c>
      <c r="G653" s="16">
        <v>3</v>
      </c>
      <c r="H653" s="16">
        <v>1.17</v>
      </c>
      <c r="I653" s="16">
        <v>9</v>
      </c>
      <c r="J653" s="16">
        <v>419</v>
      </c>
      <c r="K653" s="16">
        <v>3.86</v>
      </c>
      <c r="L653" s="16">
        <v>61.5</v>
      </c>
      <c r="M653" s="16">
        <v>1</v>
      </c>
      <c r="N653" s="18">
        <f>IF(Risk_Calculation_Engine!U653="Low",1,IF(Risk_Calculation_Engine!U653="Medium",2,3))</f>
        <v>1</v>
      </c>
      <c r="O653" s="18" t="str">
        <f>Risk_Calculation_Engine!U653</f>
        <v>Low</v>
      </c>
    </row>
    <row r="654" spans="1:15" ht="15" customHeight="1" x14ac:dyDescent="0.25">
      <c r="A654" s="16">
        <v>650</v>
      </c>
      <c r="B654" s="16">
        <v>148</v>
      </c>
      <c r="C654" s="16">
        <v>1</v>
      </c>
      <c r="D654" s="16">
        <v>705.9</v>
      </c>
      <c r="E654" s="17">
        <f t="shared" si="10"/>
        <v>23.99</v>
      </c>
      <c r="F654" s="16">
        <v>1</v>
      </c>
      <c r="G654" s="16">
        <v>7</v>
      </c>
      <c r="H654" s="16">
        <v>0.96</v>
      </c>
      <c r="I654" s="16">
        <v>5</v>
      </c>
      <c r="J654" s="16">
        <v>165</v>
      </c>
      <c r="K654" s="16">
        <v>1.1100000000000001</v>
      </c>
      <c r="L654" s="16">
        <v>73.7</v>
      </c>
      <c r="M654" s="16">
        <v>3</v>
      </c>
      <c r="N654" s="18">
        <f>IF(Risk_Calculation_Engine!U654="Low",1,IF(Risk_Calculation_Engine!U654="Medium",2,3))</f>
        <v>1</v>
      </c>
      <c r="O654" s="18" t="str">
        <f>Risk_Calculation_Engine!U654</f>
        <v>Low</v>
      </c>
    </row>
    <row r="655" spans="1:15" ht="15" customHeight="1" x14ac:dyDescent="0.25">
      <c r="A655" s="16">
        <v>651</v>
      </c>
      <c r="B655" s="16">
        <v>45.6</v>
      </c>
      <c r="C655" s="16">
        <v>4</v>
      </c>
      <c r="D655" s="16">
        <v>304</v>
      </c>
      <c r="E655" s="17">
        <f t="shared" si="10"/>
        <v>19.559999999999999</v>
      </c>
      <c r="F655" s="16">
        <v>1</v>
      </c>
      <c r="G655" s="16">
        <v>3</v>
      </c>
      <c r="H655" s="16">
        <v>0.93</v>
      </c>
      <c r="I655" s="16">
        <v>8</v>
      </c>
      <c r="J655" s="16">
        <v>385</v>
      </c>
      <c r="K655" s="16">
        <v>8.44</v>
      </c>
      <c r="L655" s="16">
        <v>50</v>
      </c>
      <c r="M655" s="16">
        <v>1</v>
      </c>
      <c r="N655" s="18">
        <f>IF(Risk_Calculation_Engine!U655="Low",1,IF(Risk_Calculation_Engine!U655="Medium",2,3))</f>
        <v>1</v>
      </c>
      <c r="O655" s="18" t="str">
        <f>Risk_Calculation_Engine!U655</f>
        <v>Low</v>
      </c>
    </row>
    <row r="656" spans="1:15" ht="15" customHeight="1" x14ac:dyDescent="0.25">
      <c r="A656" s="16">
        <v>652</v>
      </c>
      <c r="B656" s="16">
        <v>112.3</v>
      </c>
      <c r="C656" s="16">
        <v>3</v>
      </c>
      <c r="D656" s="16">
        <v>705.3</v>
      </c>
      <c r="E656" s="17">
        <f t="shared" si="10"/>
        <v>17.989999999999998</v>
      </c>
      <c r="F656" s="16">
        <v>1</v>
      </c>
      <c r="G656" s="16">
        <v>2</v>
      </c>
      <c r="H656" s="16">
        <v>1.28</v>
      </c>
      <c r="I656" s="16">
        <v>14</v>
      </c>
      <c r="J656" s="16">
        <v>428</v>
      </c>
      <c r="K656" s="16">
        <v>3.81</v>
      </c>
      <c r="L656" s="16">
        <v>87.2</v>
      </c>
      <c r="M656" s="16">
        <v>1</v>
      </c>
      <c r="N656" s="18">
        <f>IF(Risk_Calculation_Engine!U656="Low",1,IF(Risk_Calculation_Engine!U656="Medium",2,3))</f>
        <v>1</v>
      </c>
      <c r="O656" s="18" t="str">
        <f>Risk_Calculation_Engine!U656</f>
        <v>Low</v>
      </c>
    </row>
    <row r="657" spans="1:15" ht="15" customHeight="1" x14ac:dyDescent="0.25">
      <c r="A657" s="16">
        <v>653</v>
      </c>
      <c r="B657" s="16">
        <v>84.5</v>
      </c>
      <c r="C657" s="16">
        <v>3</v>
      </c>
      <c r="D657" s="16">
        <v>285.5</v>
      </c>
      <c r="E657" s="17">
        <f t="shared" si="10"/>
        <v>14.41</v>
      </c>
      <c r="F657" s="16">
        <v>3</v>
      </c>
      <c r="G657" s="16">
        <v>9</v>
      </c>
      <c r="H657" s="16">
        <v>1.24</v>
      </c>
      <c r="I657" s="16">
        <v>7</v>
      </c>
      <c r="J657" s="16">
        <v>476</v>
      </c>
      <c r="K657" s="16">
        <v>5.63</v>
      </c>
      <c r="L657" s="16">
        <v>37.6</v>
      </c>
      <c r="M657" s="16">
        <v>1</v>
      </c>
      <c r="N657" s="18">
        <f>IF(Risk_Calculation_Engine!U657="Low",1,IF(Risk_Calculation_Engine!U657="Medium",2,3))</f>
        <v>1</v>
      </c>
      <c r="O657" s="18" t="str">
        <f>Risk_Calculation_Engine!U657</f>
        <v>Low</v>
      </c>
    </row>
    <row r="658" spans="1:15" ht="15" customHeight="1" x14ac:dyDescent="0.25">
      <c r="A658" s="16">
        <v>654</v>
      </c>
      <c r="B658" s="16">
        <v>149.80000000000001</v>
      </c>
      <c r="C658" s="16">
        <v>4</v>
      </c>
      <c r="D658" s="16">
        <v>844.6</v>
      </c>
      <c r="E658" s="17">
        <f t="shared" si="10"/>
        <v>13.31</v>
      </c>
      <c r="F658" s="16">
        <v>2</v>
      </c>
      <c r="G658" s="16">
        <v>2</v>
      </c>
      <c r="H658" s="16">
        <v>1.82</v>
      </c>
      <c r="I658" s="16">
        <v>3</v>
      </c>
      <c r="J658" s="16">
        <v>1890</v>
      </c>
      <c r="K658" s="16">
        <v>12.62</v>
      </c>
      <c r="L658" s="16">
        <v>58.4</v>
      </c>
      <c r="M658" s="16">
        <v>1</v>
      </c>
      <c r="N658" s="18">
        <f>IF(Risk_Calculation_Engine!U658="Low",1,IF(Risk_Calculation_Engine!U658="Medium",2,3))</f>
        <v>3</v>
      </c>
      <c r="O658" s="18" t="str">
        <f>Risk_Calculation_Engine!U658</f>
        <v>High</v>
      </c>
    </row>
    <row r="659" spans="1:15" ht="15" customHeight="1" x14ac:dyDescent="0.25">
      <c r="A659" s="16">
        <v>655</v>
      </c>
      <c r="B659" s="16">
        <v>82.8</v>
      </c>
      <c r="C659" s="16">
        <v>4</v>
      </c>
      <c r="D659" s="16">
        <v>291.3</v>
      </c>
      <c r="E659" s="17">
        <f t="shared" si="10"/>
        <v>11.52</v>
      </c>
      <c r="F659" s="16">
        <v>3</v>
      </c>
      <c r="G659" s="16">
        <v>1</v>
      </c>
      <c r="H659" s="16">
        <v>1.56</v>
      </c>
      <c r="I659" s="16">
        <v>6</v>
      </c>
      <c r="J659" s="16">
        <v>453</v>
      </c>
      <c r="K659" s="16">
        <v>5.47</v>
      </c>
      <c r="L659" s="16">
        <v>80.2</v>
      </c>
      <c r="M659" s="16">
        <v>2</v>
      </c>
      <c r="N659" s="18">
        <f>IF(Risk_Calculation_Engine!U659="Low",1,IF(Risk_Calculation_Engine!U659="Medium",2,3))</f>
        <v>1</v>
      </c>
      <c r="O659" s="18" t="str">
        <f>Risk_Calculation_Engine!U659</f>
        <v>Low</v>
      </c>
    </row>
    <row r="660" spans="1:15" ht="15" customHeight="1" x14ac:dyDescent="0.25">
      <c r="A660" s="16">
        <v>656</v>
      </c>
      <c r="B660" s="16">
        <v>144.19999999999999</v>
      </c>
      <c r="C660" s="16">
        <v>5</v>
      </c>
      <c r="D660" s="16">
        <v>673.5</v>
      </c>
      <c r="E660" s="17">
        <f t="shared" si="10"/>
        <v>24.18</v>
      </c>
      <c r="F660" s="16">
        <v>3</v>
      </c>
      <c r="G660" s="16">
        <v>8</v>
      </c>
      <c r="H660" s="16">
        <v>0.94</v>
      </c>
      <c r="I660" s="16">
        <v>10</v>
      </c>
      <c r="J660" s="16">
        <v>2595</v>
      </c>
      <c r="K660" s="16">
        <v>18</v>
      </c>
      <c r="L660" s="16">
        <v>60</v>
      </c>
      <c r="M660" s="16">
        <v>1</v>
      </c>
      <c r="N660" s="18">
        <f>IF(Risk_Calculation_Engine!U660="Low",1,IF(Risk_Calculation_Engine!U660="Medium",2,3))</f>
        <v>3</v>
      </c>
      <c r="O660" s="18" t="str">
        <f>Risk_Calculation_Engine!U660</f>
        <v>High</v>
      </c>
    </row>
    <row r="661" spans="1:15" ht="15" customHeight="1" x14ac:dyDescent="0.25">
      <c r="A661" s="16">
        <v>657</v>
      </c>
      <c r="B661" s="16">
        <v>37.299999999999997</v>
      </c>
      <c r="C661" s="16">
        <v>5</v>
      </c>
      <c r="D661" s="16">
        <v>137.19999999999999</v>
      </c>
      <c r="E661" s="17">
        <f t="shared" si="10"/>
        <v>6.44</v>
      </c>
      <c r="F661" s="16">
        <v>3</v>
      </c>
      <c r="G661" s="16">
        <v>6</v>
      </c>
      <c r="H661" s="16">
        <v>2.2599999999999998</v>
      </c>
      <c r="I661" s="16">
        <v>11</v>
      </c>
      <c r="J661" s="16">
        <v>669</v>
      </c>
      <c r="K661" s="16">
        <v>17.940000000000001</v>
      </c>
      <c r="L661" s="16">
        <v>59.9</v>
      </c>
      <c r="M661" s="16">
        <v>2</v>
      </c>
      <c r="N661" s="18">
        <f>IF(Risk_Calculation_Engine!U661="Low",1,IF(Risk_Calculation_Engine!U661="Medium",2,3))</f>
        <v>3</v>
      </c>
      <c r="O661" s="18" t="str">
        <f>Risk_Calculation_Engine!U661</f>
        <v>High</v>
      </c>
    </row>
    <row r="662" spans="1:15" ht="15" customHeight="1" x14ac:dyDescent="0.25">
      <c r="A662" s="16">
        <v>658</v>
      </c>
      <c r="B662" s="16">
        <v>11.4</v>
      </c>
      <c r="C662" s="16">
        <v>4</v>
      </c>
      <c r="D662" s="16">
        <v>74.099999999999994</v>
      </c>
      <c r="E662" s="17">
        <f t="shared" si="10"/>
        <v>7.29</v>
      </c>
      <c r="F662" s="16">
        <v>1</v>
      </c>
      <c r="G662" s="16">
        <v>3</v>
      </c>
      <c r="H662" s="16">
        <v>1.68</v>
      </c>
      <c r="I662" s="16">
        <v>15</v>
      </c>
      <c r="J662" s="16">
        <v>57</v>
      </c>
      <c r="K662" s="16">
        <v>5</v>
      </c>
      <c r="L662" s="16">
        <v>64.2</v>
      </c>
      <c r="M662" s="16">
        <v>2</v>
      </c>
      <c r="N662" s="18">
        <f>IF(Risk_Calculation_Engine!U662="Low",1,IF(Risk_Calculation_Engine!U662="Medium",2,3))</f>
        <v>1</v>
      </c>
      <c r="O662" s="18" t="str">
        <f>Risk_Calculation_Engine!U662</f>
        <v>Low</v>
      </c>
    </row>
    <row r="663" spans="1:15" ht="15" customHeight="1" x14ac:dyDescent="0.25">
      <c r="A663" s="16">
        <v>659</v>
      </c>
      <c r="B663" s="16">
        <v>125.1</v>
      </c>
      <c r="C663" s="16">
        <v>4</v>
      </c>
      <c r="D663" s="16">
        <v>525.20000000000005</v>
      </c>
      <c r="E663" s="17">
        <f t="shared" si="10"/>
        <v>18.600000000000001</v>
      </c>
      <c r="F663" s="16">
        <v>3</v>
      </c>
      <c r="G663" s="16">
        <v>4</v>
      </c>
      <c r="H663" s="16">
        <v>1.1399999999999999</v>
      </c>
      <c r="I663" s="16">
        <v>15</v>
      </c>
      <c r="J663" s="16">
        <v>1549</v>
      </c>
      <c r="K663" s="16">
        <v>12.38</v>
      </c>
      <c r="L663" s="16">
        <v>92.8</v>
      </c>
      <c r="M663" s="16">
        <v>1</v>
      </c>
      <c r="N663" s="18">
        <f>IF(Risk_Calculation_Engine!U663="Low",1,IF(Risk_Calculation_Engine!U663="Medium",2,3))</f>
        <v>2</v>
      </c>
      <c r="O663" s="18" t="str">
        <f>Risk_Calculation_Engine!U663</f>
        <v>Medium</v>
      </c>
    </row>
    <row r="664" spans="1:15" ht="15" customHeight="1" x14ac:dyDescent="0.25">
      <c r="A664" s="16">
        <v>660</v>
      </c>
      <c r="B664" s="16">
        <v>11</v>
      </c>
      <c r="C664" s="16">
        <v>4</v>
      </c>
      <c r="D664" s="16">
        <v>39.200000000000003</v>
      </c>
      <c r="E664" s="17">
        <f t="shared" si="10"/>
        <v>8.4700000000000006</v>
      </c>
      <c r="F664" s="16">
        <v>3</v>
      </c>
      <c r="G664" s="16">
        <v>6</v>
      </c>
      <c r="H664" s="16">
        <v>1.21</v>
      </c>
      <c r="I664" s="16">
        <v>9</v>
      </c>
      <c r="J664" s="16">
        <v>65</v>
      </c>
      <c r="K664" s="16">
        <v>5.91</v>
      </c>
      <c r="L664" s="16">
        <v>41.7</v>
      </c>
      <c r="M664" s="16">
        <v>1</v>
      </c>
      <c r="N664" s="18">
        <f>IF(Risk_Calculation_Engine!U664="Low",1,IF(Risk_Calculation_Engine!U664="Medium",2,3))</f>
        <v>1</v>
      </c>
      <c r="O664" s="18" t="str">
        <f>Risk_Calculation_Engine!U664</f>
        <v>Low</v>
      </c>
    </row>
    <row r="665" spans="1:15" ht="15" customHeight="1" x14ac:dyDescent="0.25">
      <c r="A665" s="16">
        <v>661</v>
      </c>
      <c r="B665" s="16">
        <v>107.6</v>
      </c>
      <c r="C665" s="16">
        <v>3</v>
      </c>
      <c r="D665" s="16">
        <v>369.8</v>
      </c>
      <c r="E665" s="17">
        <f t="shared" si="10"/>
        <v>7.69</v>
      </c>
      <c r="F665" s="16">
        <v>3</v>
      </c>
      <c r="G665" s="16">
        <v>6</v>
      </c>
      <c r="H665" s="16">
        <v>2.5</v>
      </c>
      <c r="I665" s="16">
        <v>10</v>
      </c>
      <c r="J665" s="16">
        <v>925</v>
      </c>
      <c r="K665" s="16">
        <v>8.6</v>
      </c>
      <c r="L665" s="16">
        <v>77</v>
      </c>
      <c r="M665" s="16">
        <v>2</v>
      </c>
      <c r="N665" s="18">
        <f>IF(Risk_Calculation_Engine!U665="Low",1,IF(Risk_Calculation_Engine!U665="Medium",2,3))</f>
        <v>2</v>
      </c>
      <c r="O665" s="18" t="str">
        <f>Risk_Calculation_Engine!U665</f>
        <v>Medium</v>
      </c>
    </row>
    <row r="666" spans="1:15" ht="15" customHeight="1" x14ac:dyDescent="0.25">
      <c r="A666" s="16">
        <v>662</v>
      </c>
      <c r="B666" s="16">
        <v>21.5</v>
      </c>
      <c r="C666" s="16">
        <v>4</v>
      </c>
      <c r="D666" s="16">
        <v>123.2</v>
      </c>
      <c r="E666" s="17">
        <f t="shared" si="10"/>
        <v>14.41</v>
      </c>
      <c r="F666" s="16">
        <v>1</v>
      </c>
      <c r="G666" s="16">
        <v>6</v>
      </c>
      <c r="H666" s="16">
        <v>0.98</v>
      </c>
      <c r="I666" s="16">
        <v>13</v>
      </c>
      <c r="J666" s="16">
        <v>245</v>
      </c>
      <c r="K666" s="16">
        <v>11.4</v>
      </c>
      <c r="L666" s="16">
        <v>32</v>
      </c>
      <c r="M666" s="16">
        <v>2</v>
      </c>
      <c r="N666" s="18">
        <f>IF(Risk_Calculation_Engine!U666="Low",1,IF(Risk_Calculation_Engine!U666="Medium",2,3))</f>
        <v>1</v>
      </c>
      <c r="O666" s="18" t="str">
        <f>Risk_Calculation_Engine!U666</f>
        <v>Low</v>
      </c>
    </row>
    <row r="667" spans="1:15" ht="15" customHeight="1" x14ac:dyDescent="0.25">
      <c r="A667" s="16">
        <v>663</v>
      </c>
      <c r="B667" s="16">
        <v>76.400000000000006</v>
      </c>
      <c r="C667" s="16">
        <v>1</v>
      </c>
      <c r="D667" s="16">
        <v>325.39999999999998</v>
      </c>
      <c r="E667" s="17">
        <f t="shared" si="10"/>
        <v>7.42</v>
      </c>
      <c r="F667" s="16">
        <v>1</v>
      </c>
      <c r="G667" s="16">
        <v>4</v>
      </c>
      <c r="H667" s="16">
        <v>2.5</v>
      </c>
      <c r="I667" s="16">
        <v>3</v>
      </c>
      <c r="J667" s="16">
        <v>120</v>
      </c>
      <c r="K667" s="16">
        <v>1.57</v>
      </c>
      <c r="L667" s="16">
        <v>45.8</v>
      </c>
      <c r="M667" s="16">
        <v>2</v>
      </c>
      <c r="N667" s="18">
        <f>IF(Risk_Calculation_Engine!U667="Low",1,IF(Risk_Calculation_Engine!U667="Medium",2,3))</f>
        <v>2</v>
      </c>
      <c r="O667" s="18" t="str">
        <f>Risk_Calculation_Engine!U667</f>
        <v>Medium</v>
      </c>
    </row>
    <row r="668" spans="1:15" ht="15" customHeight="1" x14ac:dyDescent="0.25">
      <c r="A668" s="16">
        <v>664</v>
      </c>
      <c r="B668" s="16">
        <v>149.80000000000001</v>
      </c>
      <c r="C668" s="16">
        <v>4</v>
      </c>
      <c r="D668" s="16">
        <v>585.29999999999995</v>
      </c>
      <c r="E668" s="17">
        <f t="shared" si="10"/>
        <v>15.95</v>
      </c>
      <c r="F668" s="16">
        <v>3</v>
      </c>
      <c r="G668" s="16">
        <v>5</v>
      </c>
      <c r="H668" s="16">
        <v>1.37</v>
      </c>
      <c r="I668" s="16">
        <v>10</v>
      </c>
      <c r="J668" s="16">
        <v>2135</v>
      </c>
      <c r="K668" s="16">
        <v>14.25</v>
      </c>
      <c r="L668" s="16">
        <v>81.3</v>
      </c>
      <c r="M668" s="16">
        <v>3</v>
      </c>
      <c r="N668" s="18">
        <f>IF(Risk_Calculation_Engine!U668="Low",1,IF(Risk_Calculation_Engine!U668="Medium",2,3))</f>
        <v>3</v>
      </c>
      <c r="O668" s="18" t="str">
        <f>Risk_Calculation_Engine!U668</f>
        <v>High</v>
      </c>
    </row>
    <row r="669" spans="1:15" ht="15" customHeight="1" x14ac:dyDescent="0.25">
      <c r="A669" s="16">
        <v>665</v>
      </c>
      <c r="B669" s="16">
        <v>101.5</v>
      </c>
      <c r="C669" s="16">
        <v>5</v>
      </c>
      <c r="D669" s="16">
        <v>852.9</v>
      </c>
      <c r="E669" s="17">
        <f t="shared" si="10"/>
        <v>17.22</v>
      </c>
      <c r="F669" s="16">
        <v>1</v>
      </c>
      <c r="G669" s="16">
        <v>4</v>
      </c>
      <c r="H669" s="16">
        <v>1.41</v>
      </c>
      <c r="I669" s="16">
        <v>9</v>
      </c>
      <c r="J669" s="16">
        <v>1645</v>
      </c>
      <c r="K669" s="16">
        <v>16.21</v>
      </c>
      <c r="L669" s="16">
        <v>80.2</v>
      </c>
      <c r="M669" s="16">
        <v>1</v>
      </c>
      <c r="N669" s="18">
        <f>IF(Risk_Calculation_Engine!U669="Low",1,IF(Risk_Calculation_Engine!U669="Medium",2,3))</f>
        <v>3</v>
      </c>
      <c r="O669" s="18" t="str">
        <f>Risk_Calculation_Engine!U669</f>
        <v>High</v>
      </c>
    </row>
    <row r="670" spans="1:15" ht="15" customHeight="1" x14ac:dyDescent="0.25">
      <c r="A670" s="16">
        <v>666</v>
      </c>
      <c r="B670" s="16">
        <v>51.4</v>
      </c>
      <c r="C670" s="16">
        <v>2</v>
      </c>
      <c r="D670" s="16">
        <v>211.8</v>
      </c>
      <c r="E670" s="17">
        <f t="shared" si="10"/>
        <v>9.39</v>
      </c>
      <c r="F670" s="16">
        <v>2</v>
      </c>
      <c r="G670" s="16">
        <v>7</v>
      </c>
      <c r="H670" s="16">
        <v>1.75</v>
      </c>
      <c r="I670" s="16">
        <v>13</v>
      </c>
      <c r="J670" s="16">
        <v>156</v>
      </c>
      <c r="K670" s="16">
        <v>3.04</v>
      </c>
      <c r="L670" s="16">
        <v>47.2</v>
      </c>
      <c r="M670" s="16">
        <v>2</v>
      </c>
      <c r="N670" s="18">
        <f>IF(Risk_Calculation_Engine!U670="Low",1,IF(Risk_Calculation_Engine!U670="Medium",2,3))</f>
        <v>1</v>
      </c>
      <c r="O670" s="18" t="str">
        <f>Risk_Calculation_Engine!U670</f>
        <v>Low</v>
      </c>
    </row>
    <row r="671" spans="1:15" ht="15" customHeight="1" x14ac:dyDescent="0.25">
      <c r="A671" s="16">
        <v>667</v>
      </c>
      <c r="B671" s="16">
        <v>86</v>
      </c>
      <c r="C671" s="16">
        <v>4</v>
      </c>
      <c r="D671" s="16">
        <v>408.7</v>
      </c>
      <c r="E671" s="17">
        <f t="shared" si="10"/>
        <v>22.98</v>
      </c>
      <c r="F671" s="16">
        <v>2</v>
      </c>
      <c r="G671" s="16">
        <v>6</v>
      </c>
      <c r="H671" s="16">
        <v>0.86</v>
      </c>
      <c r="I671" s="16">
        <v>13</v>
      </c>
      <c r="J671" s="16">
        <v>761</v>
      </c>
      <c r="K671" s="16">
        <v>8.85</v>
      </c>
      <c r="L671" s="16">
        <v>74.2</v>
      </c>
      <c r="M671" s="16">
        <v>2</v>
      </c>
      <c r="N671" s="18">
        <f>IF(Risk_Calculation_Engine!U671="Low",1,IF(Risk_Calculation_Engine!U671="Medium",2,3))</f>
        <v>1</v>
      </c>
      <c r="O671" s="18" t="str">
        <f>Risk_Calculation_Engine!U671</f>
        <v>Low</v>
      </c>
    </row>
    <row r="672" spans="1:15" ht="15" customHeight="1" x14ac:dyDescent="0.25">
      <c r="A672" s="16">
        <v>668</v>
      </c>
      <c r="B672" s="16">
        <v>38.5</v>
      </c>
      <c r="C672" s="16">
        <v>5</v>
      </c>
      <c r="D672" s="16">
        <v>290.10000000000002</v>
      </c>
      <c r="E672" s="17">
        <f t="shared" si="10"/>
        <v>10.69</v>
      </c>
      <c r="F672" s="16">
        <v>1</v>
      </c>
      <c r="G672" s="16">
        <v>7</v>
      </c>
      <c r="H672" s="16">
        <v>1.68</v>
      </c>
      <c r="I672" s="16">
        <v>11</v>
      </c>
      <c r="J672" s="16">
        <v>770</v>
      </c>
      <c r="K672" s="16">
        <v>20</v>
      </c>
      <c r="L672" s="16">
        <v>58.3</v>
      </c>
      <c r="M672" s="16">
        <v>1</v>
      </c>
      <c r="N672" s="18">
        <f>IF(Risk_Calculation_Engine!U672="Low",1,IF(Risk_Calculation_Engine!U672="Medium",2,3))</f>
        <v>3</v>
      </c>
      <c r="O672" s="18" t="str">
        <f>Risk_Calculation_Engine!U672</f>
        <v>High</v>
      </c>
    </row>
    <row r="673" spans="1:15" ht="15" customHeight="1" x14ac:dyDescent="0.25">
      <c r="A673" s="16">
        <v>669</v>
      </c>
      <c r="B673" s="16">
        <v>149.80000000000001</v>
      </c>
      <c r="C673" s="16">
        <v>2</v>
      </c>
      <c r="D673" s="16">
        <v>759.3</v>
      </c>
      <c r="E673" s="17">
        <f t="shared" si="10"/>
        <v>11.3</v>
      </c>
      <c r="F673" s="16">
        <v>1</v>
      </c>
      <c r="G673" s="16">
        <v>5</v>
      </c>
      <c r="H673" s="16">
        <v>2.08</v>
      </c>
      <c r="I673" s="16">
        <v>11</v>
      </c>
      <c r="J673" s="16">
        <v>733</v>
      </c>
      <c r="K673" s="16">
        <v>4.8899999999999997</v>
      </c>
      <c r="L673" s="16">
        <v>63.6</v>
      </c>
      <c r="M673" s="16">
        <v>2</v>
      </c>
      <c r="N673" s="18">
        <f>IF(Risk_Calculation_Engine!U673="Low",1,IF(Risk_Calculation_Engine!U673="Medium",2,3))</f>
        <v>3</v>
      </c>
      <c r="O673" s="18" t="str">
        <f>Risk_Calculation_Engine!U673</f>
        <v>High</v>
      </c>
    </row>
    <row r="674" spans="1:15" ht="15" customHeight="1" x14ac:dyDescent="0.25">
      <c r="A674" s="16">
        <v>670</v>
      </c>
      <c r="B674" s="16">
        <v>31.4</v>
      </c>
      <c r="C674" s="16">
        <v>3</v>
      </c>
      <c r="D674" s="16">
        <v>94.3</v>
      </c>
      <c r="E674" s="17">
        <f t="shared" si="10"/>
        <v>10.32</v>
      </c>
      <c r="F674" s="16">
        <v>3</v>
      </c>
      <c r="G674" s="16">
        <v>9</v>
      </c>
      <c r="H674" s="16">
        <v>1.27</v>
      </c>
      <c r="I674" s="16">
        <v>11</v>
      </c>
      <c r="J674" s="16">
        <v>219</v>
      </c>
      <c r="K674" s="16">
        <v>6.97</v>
      </c>
      <c r="L674" s="16">
        <v>65.7</v>
      </c>
      <c r="M674" s="16">
        <v>2</v>
      </c>
      <c r="N674" s="18">
        <f>IF(Risk_Calculation_Engine!U674="Low",1,IF(Risk_Calculation_Engine!U674="Medium",2,3))</f>
        <v>1</v>
      </c>
      <c r="O674" s="18" t="str">
        <f>Risk_Calculation_Engine!U674</f>
        <v>Low</v>
      </c>
    </row>
    <row r="675" spans="1:15" ht="15" customHeight="1" x14ac:dyDescent="0.25">
      <c r="A675" s="16">
        <v>671</v>
      </c>
      <c r="B675" s="16">
        <v>56.2</v>
      </c>
      <c r="C675" s="16">
        <v>5</v>
      </c>
      <c r="D675" s="16">
        <v>253.9</v>
      </c>
      <c r="E675" s="17">
        <f t="shared" si="10"/>
        <v>11.53</v>
      </c>
      <c r="F675" s="16">
        <v>3</v>
      </c>
      <c r="G675" s="16">
        <v>10</v>
      </c>
      <c r="H675" s="16">
        <v>1.5</v>
      </c>
      <c r="I675" s="16">
        <v>10</v>
      </c>
      <c r="J675" s="16">
        <v>1438</v>
      </c>
      <c r="K675" s="16">
        <v>25.59</v>
      </c>
      <c r="L675" s="16">
        <v>65.7</v>
      </c>
      <c r="M675" s="16">
        <v>2</v>
      </c>
      <c r="N675" s="18">
        <f>IF(Risk_Calculation_Engine!U675="Low",1,IF(Risk_Calculation_Engine!U675="Medium",2,3))</f>
        <v>3</v>
      </c>
      <c r="O675" s="18" t="str">
        <f>Risk_Calculation_Engine!U675</f>
        <v>High</v>
      </c>
    </row>
    <row r="676" spans="1:15" ht="15" customHeight="1" x14ac:dyDescent="0.25">
      <c r="A676" s="16">
        <v>672</v>
      </c>
      <c r="B676" s="16">
        <v>94.9</v>
      </c>
      <c r="C676" s="16">
        <v>5</v>
      </c>
      <c r="D676" s="16">
        <v>383.9</v>
      </c>
      <c r="E676" s="17">
        <f t="shared" si="10"/>
        <v>7.77</v>
      </c>
      <c r="F676" s="16">
        <v>3</v>
      </c>
      <c r="G676" s="16">
        <v>3</v>
      </c>
      <c r="H676" s="16">
        <v>2.5</v>
      </c>
      <c r="I676" s="16">
        <v>5</v>
      </c>
      <c r="J676" s="16">
        <v>2487</v>
      </c>
      <c r="K676" s="16">
        <v>26.21</v>
      </c>
      <c r="L676" s="16">
        <v>94.2</v>
      </c>
      <c r="M676" s="16">
        <v>2</v>
      </c>
      <c r="N676" s="18">
        <f>IF(Risk_Calculation_Engine!U676="Low",1,IF(Risk_Calculation_Engine!U676="Medium",2,3))</f>
        <v>3</v>
      </c>
      <c r="O676" s="18" t="str">
        <f>Risk_Calculation_Engine!U676</f>
        <v>High</v>
      </c>
    </row>
    <row r="677" spans="1:15" ht="15" customHeight="1" x14ac:dyDescent="0.25">
      <c r="A677" s="16">
        <v>673</v>
      </c>
      <c r="B677" s="16">
        <v>81.3</v>
      </c>
      <c r="C677" s="16">
        <v>2</v>
      </c>
      <c r="D677" s="16">
        <v>384.3</v>
      </c>
      <c r="E677" s="17">
        <f t="shared" si="10"/>
        <v>8.91</v>
      </c>
      <c r="F677" s="16">
        <v>1</v>
      </c>
      <c r="G677" s="16">
        <v>7</v>
      </c>
      <c r="H677" s="16">
        <v>2.1800000000000002</v>
      </c>
      <c r="I677" s="16">
        <v>6</v>
      </c>
      <c r="J677" s="16">
        <v>227</v>
      </c>
      <c r="K677" s="16">
        <v>2.79</v>
      </c>
      <c r="L677" s="16">
        <v>81.7</v>
      </c>
      <c r="M677" s="16">
        <v>1</v>
      </c>
      <c r="N677" s="18">
        <f>IF(Risk_Calculation_Engine!U677="Low",1,IF(Risk_Calculation_Engine!U677="Medium",2,3))</f>
        <v>3</v>
      </c>
      <c r="O677" s="18" t="str">
        <f>Risk_Calculation_Engine!U677</f>
        <v>High</v>
      </c>
    </row>
    <row r="678" spans="1:15" ht="15" customHeight="1" x14ac:dyDescent="0.25">
      <c r="A678" s="16">
        <v>674</v>
      </c>
      <c r="B678" s="16">
        <v>88.5</v>
      </c>
      <c r="C678" s="16">
        <v>3</v>
      </c>
      <c r="D678" s="16">
        <v>596</v>
      </c>
      <c r="E678" s="17">
        <f t="shared" si="10"/>
        <v>20.72</v>
      </c>
      <c r="F678" s="16">
        <v>1</v>
      </c>
      <c r="G678" s="16">
        <v>5</v>
      </c>
      <c r="H678" s="16">
        <v>1.06</v>
      </c>
      <c r="I678" s="16">
        <v>12</v>
      </c>
      <c r="J678" s="16">
        <v>750</v>
      </c>
      <c r="K678" s="16">
        <v>8.4700000000000006</v>
      </c>
      <c r="L678" s="16">
        <v>32.1</v>
      </c>
      <c r="M678" s="16">
        <v>2</v>
      </c>
      <c r="N678" s="18">
        <f>IF(Risk_Calculation_Engine!U678="Low",1,IF(Risk_Calculation_Engine!U678="Medium",2,3))</f>
        <v>1</v>
      </c>
      <c r="O678" s="18" t="str">
        <f>Risk_Calculation_Engine!U678</f>
        <v>Low</v>
      </c>
    </row>
    <row r="679" spans="1:15" ht="15" customHeight="1" x14ac:dyDescent="0.25">
      <c r="A679" s="16">
        <v>675</v>
      </c>
      <c r="B679" s="16">
        <v>39.200000000000003</v>
      </c>
      <c r="C679" s="16">
        <v>4</v>
      </c>
      <c r="D679" s="16">
        <v>189.2</v>
      </c>
      <c r="E679" s="17">
        <f t="shared" si="10"/>
        <v>12.85</v>
      </c>
      <c r="F679" s="16">
        <v>2</v>
      </c>
      <c r="G679" s="16">
        <v>3</v>
      </c>
      <c r="H679" s="16">
        <v>1.24</v>
      </c>
      <c r="I679" s="16">
        <v>11</v>
      </c>
      <c r="J679" s="16">
        <v>238</v>
      </c>
      <c r="K679" s="16">
        <v>6.07</v>
      </c>
      <c r="L679" s="16">
        <v>37</v>
      </c>
      <c r="M679" s="16">
        <v>3</v>
      </c>
      <c r="N679" s="18">
        <f>IF(Risk_Calculation_Engine!U679="Low",1,IF(Risk_Calculation_Engine!U679="Medium",2,3))</f>
        <v>1</v>
      </c>
      <c r="O679" s="18" t="str">
        <f>Risk_Calculation_Engine!U679</f>
        <v>Low</v>
      </c>
    </row>
    <row r="680" spans="1:15" ht="15" customHeight="1" x14ac:dyDescent="0.25">
      <c r="A680" s="16">
        <v>676</v>
      </c>
      <c r="B680" s="16">
        <v>49.6</v>
      </c>
      <c r="C680" s="16">
        <v>2</v>
      </c>
      <c r="D680" s="16">
        <v>179.1</v>
      </c>
      <c r="E680" s="17">
        <f t="shared" si="10"/>
        <v>11.53</v>
      </c>
      <c r="F680" s="16">
        <v>2</v>
      </c>
      <c r="G680" s="16">
        <v>5</v>
      </c>
      <c r="H680" s="16">
        <v>1.36</v>
      </c>
      <c r="I680" s="16">
        <v>6</v>
      </c>
      <c r="J680" s="16">
        <v>289</v>
      </c>
      <c r="K680" s="16">
        <v>5.83</v>
      </c>
      <c r="L680" s="16">
        <v>71.8</v>
      </c>
      <c r="M680" s="16">
        <v>2</v>
      </c>
      <c r="N680" s="18">
        <f>IF(Risk_Calculation_Engine!U680="Low",1,IF(Risk_Calculation_Engine!U680="Medium",2,3))</f>
        <v>1</v>
      </c>
      <c r="O680" s="18" t="str">
        <f>Risk_Calculation_Engine!U680</f>
        <v>Low</v>
      </c>
    </row>
    <row r="681" spans="1:15" ht="15" customHeight="1" x14ac:dyDescent="0.25">
      <c r="A681" s="16">
        <v>677</v>
      </c>
      <c r="B681" s="16">
        <v>121</v>
      </c>
      <c r="C681" s="16">
        <v>3</v>
      </c>
      <c r="D681" s="16">
        <v>830.4</v>
      </c>
      <c r="E681" s="17">
        <f t="shared" si="10"/>
        <v>10.76</v>
      </c>
      <c r="F681" s="16">
        <v>1</v>
      </c>
      <c r="G681" s="16">
        <v>5</v>
      </c>
      <c r="H681" s="16">
        <v>2.2400000000000002</v>
      </c>
      <c r="I681" s="16">
        <v>14</v>
      </c>
      <c r="J681" s="16">
        <v>551</v>
      </c>
      <c r="K681" s="16">
        <v>4.55</v>
      </c>
      <c r="L681" s="16">
        <v>66.5</v>
      </c>
      <c r="M681" s="16">
        <v>2</v>
      </c>
      <c r="N681" s="18">
        <f>IF(Risk_Calculation_Engine!U681="Low",1,IF(Risk_Calculation_Engine!U681="Medium",2,3))</f>
        <v>3</v>
      </c>
      <c r="O681" s="18" t="str">
        <f>Risk_Calculation_Engine!U681</f>
        <v>High</v>
      </c>
    </row>
    <row r="682" spans="1:15" ht="15" customHeight="1" x14ac:dyDescent="0.25">
      <c r="A682" s="16">
        <v>678</v>
      </c>
      <c r="B682" s="16">
        <v>116.7</v>
      </c>
      <c r="C682" s="16">
        <v>1</v>
      </c>
      <c r="D682" s="16">
        <v>264</v>
      </c>
      <c r="E682" s="17">
        <f t="shared" si="10"/>
        <v>16.5</v>
      </c>
      <c r="F682" s="16">
        <v>3</v>
      </c>
      <c r="G682" s="16">
        <v>8</v>
      </c>
      <c r="H682" s="16">
        <v>1.06</v>
      </c>
      <c r="I682" s="16">
        <v>15</v>
      </c>
      <c r="J682" s="16">
        <v>179</v>
      </c>
      <c r="K682" s="16">
        <v>1.53</v>
      </c>
      <c r="L682" s="16">
        <v>37.5</v>
      </c>
      <c r="M682" s="16">
        <v>2</v>
      </c>
      <c r="N682" s="18">
        <f>IF(Risk_Calculation_Engine!U682="Low",1,IF(Risk_Calculation_Engine!U682="Medium",2,3))</f>
        <v>1</v>
      </c>
      <c r="O682" s="18" t="str">
        <f>Risk_Calculation_Engine!U682</f>
        <v>Low</v>
      </c>
    </row>
    <row r="683" spans="1:15" ht="15" customHeight="1" x14ac:dyDescent="0.25">
      <c r="A683" s="16">
        <v>679</v>
      </c>
      <c r="B683" s="16">
        <v>82.8</v>
      </c>
      <c r="C683" s="16">
        <v>2</v>
      </c>
      <c r="D683" s="16">
        <v>273</v>
      </c>
      <c r="E683" s="17">
        <f t="shared" si="10"/>
        <v>8.8699999999999992</v>
      </c>
      <c r="F683" s="16">
        <v>3</v>
      </c>
      <c r="G683" s="16">
        <v>6</v>
      </c>
      <c r="H683" s="16">
        <v>1.99</v>
      </c>
      <c r="I683" s="16">
        <v>11</v>
      </c>
      <c r="J683" s="16">
        <v>305</v>
      </c>
      <c r="K683" s="16">
        <v>3.68</v>
      </c>
      <c r="L683" s="16">
        <v>70.2</v>
      </c>
      <c r="M683" s="16">
        <v>2</v>
      </c>
      <c r="N683" s="18">
        <f>IF(Risk_Calculation_Engine!U683="Low",1,IF(Risk_Calculation_Engine!U683="Medium",2,3))</f>
        <v>2</v>
      </c>
      <c r="O683" s="18" t="str">
        <f>Risk_Calculation_Engine!U683</f>
        <v>Medium</v>
      </c>
    </row>
    <row r="684" spans="1:15" ht="15" customHeight="1" x14ac:dyDescent="0.25">
      <c r="A684" s="16">
        <v>680</v>
      </c>
      <c r="B684" s="16">
        <v>149.80000000000001</v>
      </c>
      <c r="C684" s="16">
        <v>4</v>
      </c>
      <c r="D684" s="16">
        <v>920.6</v>
      </c>
      <c r="E684" s="17">
        <f t="shared" si="10"/>
        <v>12.47</v>
      </c>
      <c r="F684" s="16">
        <v>2</v>
      </c>
      <c r="G684" s="16">
        <v>7</v>
      </c>
      <c r="H684" s="16">
        <v>1.99</v>
      </c>
      <c r="I684" s="16">
        <v>5</v>
      </c>
      <c r="J684" s="16">
        <v>1021</v>
      </c>
      <c r="K684" s="16">
        <v>6.82</v>
      </c>
      <c r="L684" s="16">
        <v>72.3</v>
      </c>
      <c r="M684" s="16">
        <v>1</v>
      </c>
      <c r="N684" s="18">
        <f>IF(Risk_Calculation_Engine!U684="Low",1,IF(Risk_Calculation_Engine!U684="Medium",2,3))</f>
        <v>3</v>
      </c>
      <c r="O684" s="18" t="str">
        <f>Risk_Calculation_Engine!U684</f>
        <v>High</v>
      </c>
    </row>
    <row r="685" spans="1:15" ht="15" customHeight="1" x14ac:dyDescent="0.25">
      <c r="A685" s="16">
        <v>681</v>
      </c>
      <c r="B685" s="16">
        <v>124.4</v>
      </c>
      <c r="C685" s="16">
        <v>4</v>
      </c>
      <c r="D685" s="16">
        <v>670.2</v>
      </c>
      <c r="E685" s="17">
        <f t="shared" si="10"/>
        <v>14.74</v>
      </c>
      <c r="F685" s="16">
        <v>2</v>
      </c>
      <c r="G685" s="16">
        <v>8</v>
      </c>
      <c r="H685" s="16">
        <v>1.54</v>
      </c>
      <c r="I685" s="16">
        <v>15</v>
      </c>
      <c r="J685" s="16">
        <v>1652</v>
      </c>
      <c r="K685" s="16">
        <v>13.28</v>
      </c>
      <c r="L685" s="16">
        <v>78.5</v>
      </c>
      <c r="M685" s="16">
        <v>2</v>
      </c>
      <c r="N685" s="18">
        <f>IF(Risk_Calculation_Engine!U685="Low",1,IF(Risk_Calculation_Engine!U685="Medium",2,3))</f>
        <v>3</v>
      </c>
      <c r="O685" s="18" t="str">
        <f>Risk_Calculation_Engine!U685</f>
        <v>High</v>
      </c>
    </row>
    <row r="686" spans="1:15" ht="15" customHeight="1" x14ac:dyDescent="0.25">
      <c r="A686" s="16">
        <v>682</v>
      </c>
      <c r="B686" s="16">
        <v>114.1</v>
      </c>
      <c r="C686" s="16">
        <v>4</v>
      </c>
      <c r="D686" s="16">
        <v>624.4</v>
      </c>
      <c r="E686" s="17">
        <f t="shared" si="10"/>
        <v>9.76</v>
      </c>
      <c r="F686" s="16">
        <v>2</v>
      </c>
      <c r="G686" s="16">
        <v>7</v>
      </c>
      <c r="H686" s="16">
        <v>2.2799999999999998</v>
      </c>
      <c r="I686" s="16">
        <v>6</v>
      </c>
      <c r="J686" s="16">
        <v>713</v>
      </c>
      <c r="K686" s="16">
        <v>6.25</v>
      </c>
      <c r="L686" s="16">
        <v>52.5</v>
      </c>
      <c r="M686" s="16">
        <v>2</v>
      </c>
      <c r="N686" s="18">
        <f>IF(Risk_Calculation_Engine!U686="Low",1,IF(Risk_Calculation_Engine!U686="Medium",2,3))</f>
        <v>3</v>
      </c>
      <c r="O686" s="18" t="str">
        <f>Risk_Calculation_Engine!U686</f>
        <v>High</v>
      </c>
    </row>
    <row r="687" spans="1:15" ht="15" customHeight="1" x14ac:dyDescent="0.25">
      <c r="A687" s="16">
        <v>683</v>
      </c>
      <c r="B687" s="16">
        <v>10.7</v>
      </c>
      <c r="C687" s="16">
        <v>4</v>
      </c>
      <c r="D687" s="16">
        <v>61.9</v>
      </c>
      <c r="E687" s="17">
        <f t="shared" si="10"/>
        <v>10.59</v>
      </c>
      <c r="F687" s="16">
        <v>1</v>
      </c>
      <c r="G687" s="16">
        <v>11</v>
      </c>
      <c r="H687" s="16">
        <v>1.1000000000000001</v>
      </c>
      <c r="I687" s="16">
        <v>8</v>
      </c>
      <c r="J687" s="16">
        <v>101</v>
      </c>
      <c r="K687" s="16">
        <v>9.44</v>
      </c>
      <c r="L687" s="16">
        <v>76.7</v>
      </c>
      <c r="M687" s="16">
        <v>1</v>
      </c>
      <c r="N687" s="18">
        <f>IF(Risk_Calculation_Engine!U687="Low",1,IF(Risk_Calculation_Engine!U687="Medium",2,3))</f>
        <v>2</v>
      </c>
      <c r="O687" s="18" t="str">
        <f>Risk_Calculation_Engine!U687</f>
        <v>Medium</v>
      </c>
    </row>
    <row r="688" spans="1:15" ht="15" customHeight="1" x14ac:dyDescent="0.25">
      <c r="A688" s="16">
        <v>684</v>
      </c>
      <c r="B688" s="16">
        <v>82.1</v>
      </c>
      <c r="C688" s="16">
        <v>3</v>
      </c>
      <c r="D688" s="16">
        <v>557.20000000000005</v>
      </c>
      <c r="E688" s="17">
        <f t="shared" si="10"/>
        <v>8.66</v>
      </c>
      <c r="F688" s="16">
        <v>1</v>
      </c>
      <c r="G688" s="16">
        <v>6</v>
      </c>
      <c r="H688" s="16">
        <v>2.4900000000000002</v>
      </c>
      <c r="I688" s="16">
        <v>14</v>
      </c>
      <c r="J688" s="16">
        <v>693</v>
      </c>
      <c r="K688" s="16">
        <v>8.44</v>
      </c>
      <c r="L688" s="16">
        <v>36</v>
      </c>
      <c r="M688" s="16">
        <v>1</v>
      </c>
      <c r="N688" s="18">
        <f>IF(Risk_Calculation_Engine!U688="Low",1,IF(Risk_Calculation_Engine!U688="Medium",2,3))</f>
        <v>3</v>
      </c>
      <c r="O688" s="18" t="str">
        <f>Risk_Calculation_Engine!U688</f>
        <v>High</v>
      </c>
    </row>
    <row r="689" spans="1:15" ht="15" customHeight="1" x14ac:dyDescent="0.25">
      <c r="A689" s="16">
        <v>685</v>
      </c>
      <c r="B689" s="16">
        <v>71.099999999999994</v>
      </c>
      <c r="C689" s="16">
        <v>3</v>
      </c>
      <c r="D689" s="16">
        <v>274.89999999999998</v>
      </c>
      <c r="E689" s="17">
        <f t="shared" si="10"/>
        <v>21.57</v>
      </c>
      <c r="F689" s="16">
        <v>2</v>
      </c>
      <c r="G689" s="16">
        <v>9</v>
      </c>
      <c r="H689" s="16">
        <v>0.82</v>
      </c>
      <c r="I689" s="16">
        <v>9</v>
      </c>
      <c r="J689" s="16">
        <v>484</v>
      </c>
      <c r="K689" s="16">
        <v>6.81</v>
      </c>
      <c r="L689" s="16">
        <v>32.6</v>
      </c>
      <c r="M689" s="16">
        <v>1</v>
      </c>
      <c r="N689" s="18">
        <f>IF(Risk_Calculation_Engine!U689="Low",1,IF(Risk_Calculation_Engine!U689="Medium",2,3))</f>
        <v>1</v>
      </c>
      <c r="O689" s="18" t="str">
        <f>Risk_Calculation_Engine!U689</f>
        <v>Low</v>
      </c>
    </row>
    <row r="690" spans="1:15" ht="15" customHeight="1" x14ac:dyDescent="0.25">
      <c r="A690" s="16">
        <v>686</v>
      </c>
      <c r="B690" s="16">
        <v>149.80000000000001</v>
      </c>
      <c r="C690" s="16">
        <v>1</v>
      </c>
      <c r="D690" s="16">
        <v>557.79999999999995</v>
      </c>
      <c r="E690" s="17">
        <f t="shared" si="10"/>
        <v>20.34</v>
      </c>
      <c r="F690" s="16">
        <v>2</v>
      </c>
      <c r="G690" s="16">
        <v>8</v>
      </c>
      <c r="H690" s="16">
        <v>1.06</v>
      </c>
      <c r="I690" s="16">
        <v>6</v>
      </c>
      <c r="J690" s="16">
        <v>332</v>
      </c>
      <c r="K690" s="16">
        <v>2.2200000000000002</v>
      </c>
      <c r="L690" s="16">
        <v>60.9</v>
      </c>
      <c r="M690" s="16">
        <v>2</v>
      </c>
      <c r="N690" s="18">
        <f>IF(Risk_Calculation_Engine!U690="Low",1,IF(Risk_Calculation_Engine!U690="Medium",2,3))</f>
        <v>1</v>
      </c>
      <c r="O690" s="18" t="str">
        <f>Risk_Calculation_Engine!U690</f>
        <v>Low</v>
      </c>
    </row>
    <row r="691" spans="1:15" ht="15" customHeight="1" x14ac:dyDescent="0.25">
      <c r="A691" s="16">
        <v>687</v>
      </c>
      <c r="B691" s="16">
        <v>53.6</v>
      </c>
      <c r="C691" s="16">
        <v>2</v>
      </c>
      <c r="D691" s="16">
        <v>192.1</v>
      </c>
      <c r="E691" s="17">
        <f t="shared" si="10"/>
        <v>19.510000000000002</v>
      </c>
      <c r="F691" s="16">
        <v>2</v>
      </c>
      <c r="G691" s="16">
        <v>5</v>
      </c>
      <c r="H691" s="16">
        <v>0.82</v>
      </c>
      <c r="I691" s="16">
        <v>4</v>
      </c>
      <c r="J691" s="16">
        <v>320</v>
      </c>
      <c r="K691" s="16">
        <v>5.97</v>
      </c>
      <c r="L691" s="16">
        <v>90.8</v>
      </c>
      <c r="M691" s="16">
        <v>1</v>
      </c>
      <c r="N691" s="18">
        <f>IF(Risk_Calculation_Engine!U691="Low",1,IF(Risk_Calculation_Engine!U691="Medium",2,3))</f>
        <v>1</v>
      </c>
      <c r="O691" s="18" t="str">
        <f>Risk_Calculation_Engine!U691</f>
        <v>Low</v>
      </c>
    </row>
    <row r="692" spans="1:15" ht="15" customHeight="1" x14ac:dyDescent="0.25">
      <c r="A692" s="16">
        <v>688</v>
      </c>
      <c r="B692" s="16">
        <v>66.5</v>
      </c>
      <c r="C692" s="16">
        <v>3</v>
      </c>
      <c r="D692" s="16">
        <v>241.2</v>
      </c>
      <c r="E692" s="17">
        <f t="shared" si="10"/>
        <v>15.22</v>
      </c>
      <c r="F692" s="16">
        <v>3</v>
      </c>
      <c r="G692" s="16">
        <v>4</v>
      </c>
      <c r="H692" s="16">
        <v>1.1200000000000001</v>
      </c>
      <c r="I692" s="16">
        <v>7</v>
      </c>
      <c r="J692" s="16">
        <v>208</v>
      </c>
      <c r="K692" s="16">
        <v>3.13</v>
      </c>
      <c r="L692" s="16">
        <v>63.7</v>
      </c>
      <c r="M692" s="16">
        <v>3</v>
      </c>
      <c r="N692" s="18">
        <f>IF(Risk_Calculation_Engine!U692="Low",1,IF(Risk_Calculation_Engine!U692="Medium",2,3))</f>
        <v>1</v>
      </c>
      <c r="O692" s="18" t="str">
        <f>Risk_Calculation_Engine!U692</f>
        <v>Low</v>
      </c>
    </row>
    <row r="693" spans="1:15" ht="15" customHeight="1" x14ac:dyDescent="0.25">
      <c r="A693" s="16">
        <v>689</v>
      </c>
      <c r="B693" s="16">
        <v>21.2</v>
      </c>
      <c r="C693" s="16">
        <v>2</v>
      </c>
      <c r="D693" s="16">
        <v>115.3</v>
      </c>
      <c r="E693" s="17">
        <f t="shared" si="10"/>
        <v>6.9</v>
      </c>
      <c r="F693" s="16">
        <v>1</v>
      </c>
      <c r="G693" s="16">
        <v>8</v>
      </c>
      <c r="H693" s="16">
        <v>2.0099999999999998</v>
      </c>
      <c r="I693" s="16">
        <v>11</v>
      </c>
      <c r="J693" s="16">
        <v>70</v>
      </c>
      <c r="K693" s="16">
        <v>3.3</v>
      </c>
      <c r="L693" s="16">
        <v>89.7</v>
      </c>
      <c r="M693" s="16">
        <v>3</v>
      </c>
      <c r="N693" s="18">
        <f>IF(Risk_Calculation_Engine!U693="Low",1,IF(Risk_Calculation_Engine!U693="Medium",2,3))</f>
        <v>2</v>
      </c>
      <c r="O693" s="18" t="str">
        <f>Risk_Calculation_Engine!U693</f>
        <v>Medium</v>
      </c>
    </row>
    <row r="694" spans="1:15" ht="15" customHeight="1" x14ac:dyDescent="0.25">
      <c r="A694" s="16">
        <v>690</v>
      </c>
      <c r="B694" s="16">
        <v>25.8</v>
      </c>
      <c r="C694" s="16">
        <v>1</v>
      </c>
      <c r="D694" s="16">
        <v>97.9</v>
      </c>
      <c r="E694" s="17">
        <f t="shared" si="10"/>
        <v>7.44</v>
      </c>
      <c r="F694" s="16">
        <v>1</v>
      </c>
      <c r="G694" s="16">
        <v>4</v>
      </c>
      <c r="H694" s="16">
        <v>1.78</v>
      </c>
      <c r="I694" s="16">
        <v>12</v>
      </c>
      <c r="J694" s="16">
        <v>32</v>
      </c>
      <c r="K694" s="16">
        <v>1.24</v>
      </c>
      <c r="L694" s="16">
        <v>58.8</v>
      </c>
      <c r="M694" s="16">
        <v>3</v>
      </c>
      <c r="N694" s="18">
        <f>IF(Risk_Calculation_Engine!U694="Low",1,IF(Risk_Calculation_Engine!U694="Medium",2,3))</f>
        <v>1</v>
      </c>
      <c r="O694" s="18" t="str">
        <f>Risk_Calculation_Engine!U694</f>
        <v>Low</v>
      </c>
    </row>
    <row r="695" spans="1:15" ht="15" customHeight="1" x14ac:dyDescent="0.25">
      <c r="A695" s="16">
        <v>691</v>
      </c>
      <c r="B695" s="16">
        <v>149.80000000000001</v>
      </c>
      <c r="C695" s="16">
        <v>2</v>
      </c>
      <c r="D695" s="16">
        <v>851.3</v>
      </c>
      <c r="E695" s="17">
        <f t="shared" si="10"/>
        <v>14.53</v>
      </c>
      <c r="F695" s="16">
        <v>1</v>
      </c>
      <c r="G695" s="16">
        <v>7</v>
      </c>
      <c r="H695" s="16">
        <v>1.67</v>
      </c>
      <c r="I695" s="16">
        <v>5</v>
      </c>
      <c r="J695" s="16">
        <v>410</v>
      </c>
      <c r="K695" s="16">
        <v>2.74</v>
      </c>
      <c r="L695" s="16">
        <v>42.2</v>
      </c>
      <c r="M695" s="16">
        <v>1</v>
      </c>
      <c r="N695" s="18">
        <f>IF(Risk_Calculation_Engine!U695="Low",1,IF(Risk_Calculation_Engine!U695="Medium",2,3))</f>
        <v>3</v>
      </c>
      <c r="O695" s="18" t="str">
        <f>Risk_Calculation_Engine!U695</f>
        <v>High</v>
      </c>
    </row>
    <row r="696" spans="1:15" ht="15" customHeight="1" x14ac:dyDescent="0.25">
      <c r="A696" s="16">
        <v>692</v>
      </c>
      <c r="B696" s="16">
        <v>88.2</v>
      </c>
      <c r="C696" s="16">
        <v>4</v>
      </c>
      <c r="D696" s="16">
        <v>659.1</v>
      </c>
      <c r="E696" s="17">
        <f t="shared" si="10"/>
        <v>20.350000000000001</v>
      </c>
      <c r="F696" s="16">
        <v>1</v>
      </c>
      <c r="G696" s="16">
        <v>12</v>
      </c>
      <c r="H696" s="16">
        <v>1.1100000000000001</v>
      </c>
      <c r="I696" s="16">
        <v>5</v>
      </c>
      <c r="J696" s="16">
        <v>632</v>
      </c>
      <c r="K696" s="16">
        <v>7.17</v>
      </c>
      <c r="L696" s="16">
        <v>68.900000000000006</v>
      </c>
      <c r="M696" s="16">
        <v>2</v>
      </c>
      <c r="N696" s="18">
        <f>IF(Risk_Calculation_Engine!U696="Low",1,IF(Risk_Calculation_Engine!U696="Medium",2,3))</f>
        <v>3</v>
      </c>
      <c r="O696" s="18" t="str">
        <f>Risk_Calculation_Engine!U696</f>
        <v>High</v>
      </c>
    </row>
    <row r="697" spans="1:15" ht="15" customHeight="1" x14ac:dyDescent="0.25">
      <c r="A697" s="16">
        <v>693</v>
      </c>
      <c r="B697" s="16">
        <v>149.80000000000001</v>
      </c>
      <c r="C697" s="16">
        <v>4</v>
      </c>
      <c r="D697" s="16">
        <v>863.4</v>
      </c>
      <c r="E697" s="17">
        <f t="shared" si="10"/>
        <v>16.350000000000001</v>
      </c>
      <c r="F697" s="16">
        <v>2</v>
      </c>
      <c r="G697" s="16">
        <v>5</v>
      </c>
      <c r="H697" s="16">
        <v>1.49</v>
      </c>
      <c r="I697" s="16">
        <v>12</v>
      </c>
      <c r="J697" s="16">
        <v>1688</v>
      </c>
      <c r="K697" s="16">
        <v>11.27</v>
      </c>
      <c r="L697" s="16">
        <v>26.7</v>
      </c>
      <c r="M697" s="16">
        <v>3</v>
      </c>
      <c r="N697" s="18">
        <f>IF(Risk_Calculation_Engine!U697="Low",1,IF(Risk_Calculation_Engine!U697="Medium",2,3))</f>
        <v>3</v>
      </c>
      <c r="O697" s="18" t="str">
        <f>Risk_Calculation_Engine!U697</f>
        <v>High</v>
      </c>
    </row>
    <row r="698" spans="1:15" ht="15" customHeight="1" x14ac:dyDescent="0.25">
      <c r="A698" s="16">
        <v>694</v>
      </c>
      <c r="B698" s="16">
        <v>52.8</v>
      </c>
      <c r="C698" s="16">
        <v>5</v>
      </c>
      <c r="D698" s="16">
        <v>207.5</v>
      </c>
      <c r="E698" s="17">
        <f t="shared" si="10"/>
        <v>6.54</v>
      </c>
      <c r="F698" s="16">
        <v>3</v>
      </c>
      <c r="G698" s="16">
        <v>9</v>
      </c>
      <c r="H698" s="16">
        <v>2.5</v>
      </c>
      <c r="I698" s="16">
        <v>5</v>
      </c>
      <c r="J698" s="16">
        <v>734</v>
      </c>
      <c r="K698" s="16">
        <v>13.9</v>
      </c>
      <c r="L698" s="16">
        <v>34</v>
      </c>
      <c r="M698" s="16">
        <v>2</v>
      </c>
      <c r="N698" s="18">
        <f>IF(Risk_Calculation_Engine!U698="Low",1,IF(Risk_Calculation_Engine!U698="Medium",2,3))</f>
        <v>3</v>
      </c>
      <c r="O698" s="18" t="str">
        <f>Risk_Calculation_Engine!U698</f>
        <v>High</v>
      </c>
    </row>
    <row r="699" spans="1:15" ht="15" customHeight="1" x14ac:dyDescent="0.25">
      <c r="A699" s="16">
        <v>695</v>
      </c>
      <c r="B699" s="16">
        <v>14.1</v>
      </c>
      <c r="C699" s="16">
        <v>4</v>
      </c>
      <c r="D699" s="16">
        <v>48.4</v>
      </c>
      <c r="E699" s="17">
        <f t="shared" si="10"/>
        <v>9.6199999999999992</v>
      </c>
      <c r="F699" s="16">
        <v>3</v>
      </c>
      <c r="G699" s="16">
        <v>5</v>
      </c>
      <c r="H699" s="16">
        <v>1.1299999999999999</v>
      </c>
      <c r="I699" s="16">
        <v>3</v>
      </c>
      <c r="J699" s="16">
        <v>164</v>
      </c>
      <c r="K699" s="16">
        <v>11.63</v>
      </c>
      <c r="L699" s="16">
        <v>74.900000000000006</v>
      </c>
      <c r="M699" s="16">
        <v>1</v>
      </c>
      <c r="N699" s="18">
        <f>IF(Risk_Calculation_Engine!U699="Low",1,IF(Risk_Calculation_Engine!U699="Medium",2,3))</f>
        <v>1</v>
      </c>
      <c r="O699" s="18" t="str">
        <f>Risk_Calculation_Engine!U699</f>
        <v>Low</v>
      </c>
    </row>
    <row r="700" spans="1:15" ht="15" customHeight="1" x14ac:dyDescent="0.25">
      <c r="A700" s="16">
        <v>696</v>
      </c>
      <c r="B700" s="16">
        <v>46.5</v>
      </c>
      <c r="C700" s="16">
        <v>4</v>
      </c>
      <c r="D700" s="16">
        <v>250.6</v>
      </c>
      <c r="E700" s="17">
        <f t="shared" si="10"/>
        <v>14.99</v>
      </c>
      <c r="F700" s="16">
        <v>2</v>
      </c>
      <c r="G700" s="16">
        <v>5</v>
      </c>
      <c r="H700" s="16">
        <v>1.1499999999999999</v>
      </c>
      <c r="I700" s="16">
        <v>9</v>
      </c>
      <c r="J700" s="16">
        <v>576</v>
      </c>
      <c r="K700" s="16">
        <v>12.39</v>
      </c>
      <c r="L700" s="16">
        <v>66.099999999999994</v>
      </c>
      <c r="M700" s="16">
        <v>3</v>
      </c>
      <c r="N700" s="18">
        <f>IF(Risk_Calculation_Engine!U700="Low",1,IF(Risk_Calculation_Engine!U700="Medium",2,3))</f>
        <v>1</v>
      </c>
      <c r="O700" s="18" t="str">
        <f>Risk_Calculation_Engine!U700</f>
        <v>Low</v>
      </c>
    </row>
    <row r="701" spans="1:15" ht="15" customHeight="1" x14ac:dyDescent="0.25">
      <c r="A701" s="16">
        <v>697</v>
      </c>
      <c r="B701" s="16">
        <v>39.799999999999997</v>
      </c>
      <c r="C701" s="16">
        <v>2</v>
      </c>
      <c r="D701" s="16">
        <v>166.7</v>
      </c>
      <c r="E701" s="17">
        <f t="shared" si="10"/>
        <v>13.14</v>
      </c>
      <c r="F701" s="16">
        <v>2</v>
      </c>
      <c r="G701" s="16">
        <v>1</v>
      </c>
      <c r="H701" s="16">
        <v>1.17</v>
      </c>
      <c r="I701" s="16">
        <v>10</v>
      </c>
      <c r="J701" s="16">
        <v>144</v>
      </c>
      <c r="K701" s="16">
        <v>3.62</v>
      </c>
      <c r="L701" s="16">
        <v>46.8</v>
      </c>
      <c r="M701" s="16">
        <v>2</v>
      </c>
      <c r="N701" s="18">
        <f>IF(Risk_Calculation_Engine!U701="Low",1,IF(Risk_Calculation_Engine!U701="Medium",2,3))</f>
        <v>1</v>
      </c>
      <c r="O701" s="18" t="str">
        <f>Risk_Calculation_Engine!U701</f>
        <v>Low</v>
      </c>
    </row>
    <row r="702" spans="1:15" ht="15" customHeight="1" x14ac:dyDescent="0.25">
      <c r="A702" s="16">
        <v>698</v>
      </c>
      <c r="B702" s="16">
        <v>104.1</v>
      </c>
      <c r="C702" s="16">
        <v>4</v>
      </c>
      <c r="D702" s="16">
        <v>832.5</v>
      </c>
      <c r="E702" s="17">
        <f t="shared" si="10"/>
        <v>14.8</v>
      </c>
      <c r="F702" s="16">
        <v>1</v>
      </c>
      <c r="G702" s="16">
        <v>5</v>
      </c>
      <c r="H702" s="16">
        <v>1.63</v>
      </c>
      <c r="I702" s="16">
        <v>6</v>
      </c>
      <c r="J702" s="16">
        <v>1079</v>
      </c>
      <c r="K702" s="16">
        <v>10.37</v>
      </c>
      <c r="L702" s="16">
        <v>44</v>
      </c>
      <c r="M702" s="16">
        <v>3</v>
      </c>
      <c r="N702" s="18">
        <f>IF(Risk_Calculation_Engine!U702="Low",1,IF(Risk_Calculation_Engine!U702="Medium",2,3))</f>
        <v>3</v>
      </c>
      <c r="O702" s="18" t="str">
        <f>Risk_Calculation_Engine!U702</f>
        <v>High</v>
      </c>
    </row>
    <row r="703" spans="1:15" ht="15" customHeight="1" x14ac:dyDescent="0.25">
      <c r="A703" s="16">
        <v>699</v>
      </c>
      <c r="B703" s="16">
        <v>101.1</v>
      </c>
      <c r="C703" s="16">
        <v>1</v>
      </c>
      <c r="D703" s="16">
        <v>354.9</v>
      </c>
      <c r="E703" s="17">
        <f t="shared" si="10"/>
        <v>9.84</v>
      </c>
      <c r="F703" s="16">
        <v>2</v>
      </c>
      <c r="G703" s="16">
        <v>3</v>
      </c>
      <c r="H703" s="16">
        <v>1.93</v>
      </c>
      <c r="I703" s="16">
        <v>5</v>
      </c>
      <c r="J703" s="16">
        <v>128</v>
      </c>
      <c r="K703" s="16">
        <v>1.27</v>
      </c>
      <c r="L703" s="16">
        <v>65.400000000000006</v>
      </c>
      <c r="M703" s="16">
        <v>3</v>
      </c>
      <c r="N703" s="18">
        <f>IF(Risk_Calculation_Engine!U703="Low",1,IF(Risk_Calculation_Engine!U703="Medium",2,3))</f>
        <v>2</v>
      </c>
      <c r="O703" s="18" t="str">
        <f>Risk_Calculation_Engine!U703</f>
        <v>Medium</v>
      </c>
    </row>
    <row r="704" spans="1:15" ht="15" customHeight="1" x14ac:dyDescent="0.25">
      <c r="A704" s="16">
        <v>700</v>
      </c>
      <c r="B704" s="16">
        <v>91.6</v>
      </c>
      <c r="C704" s="16">
        <v>3</v>
      </c>
      <c r="D704" s="16">
        <v>389.2</v>
      </c>
      <c r="E704" s="17">
        <f t="shared" si="10"/>
        <v>9.15</v>
      </c>
      <c r="F704" s="16">
        <v>2</v>
      </c>
      <c r="G704" s="16">
        <v>6</v>
      </c>
      <c r="H704" s="16">
        <v>2.13</v>
      </c>
      <c r="I704" s="16">
        <v>6</v>
      </c>
      <c r="J704" s="16">
        <v>688</v>
      </c>
      <c r="K704" s="16">
        <v>7.51</v>
      </c>
      <c r="L704" s="16">
        <v>88.6</v>
      </c>
      <c r="M704" s="16">
        <v>3</v>
      </c>
      <c r="N704" s="18">
        <f>IF(Risk_Calculation_Engine!U704="Low",1,IF(Risk_Calculation_Engine!U704="Medium",2,3))</f>
        <v>2</v>
      </c>
      <c r="O704" s="18" t="str">
        <f>Risk_Calculation_Engine!U704</f>
        <v>Medium</v>
      </c>
    </row>
    <row r="705" spans="1:15" ht="15" customHeight="1" x14ac:dyDescent="0.25">
      <c r="A705" s="16">
        <v>701</v>
      </c>
      <c r="B705" s="16">
        <v>149.80000000000001</v>
      </c>
      <c r="C705" s="16">
        <v>3</v>
      </c>
      <c r="D705" s="16">
        <v>478.1</v>
      </c>
      <c r="E705" s="17">
        <f t="shared" si="10"/>
        <v>15.18</v>
      </c>
      <c r="F705" s="16">
        <v>3</v>
      </c>
      <c r="G705" s="16">
        <v>7</v>
      </c>
      <c r="H705" s="16">
        <v>1.36</v>
      </c>
      <c r="I705" s="16">
        <v>7</v>
      </c>
      <c r="J705" s="16">
        <v>826</v>
      </c>
      <c r="K705" s="16">
        <v>5.51</v>
      </c>
      <c r="L705" s="16">
        <v>60.1</v>
      </c>
      <c r="M705" s="16">
        <v>2</v>
      </c>
      <c r="N705" s="18">
        <f>IF(Risk_Calculation_Engine!U705="Low",1,IF(Risk_Calculation_Engine!U705="Medium",2,3))</f>
        <v>3</v>
      </c>
      <c r="O705" s="18" t="str">
        <f>Risk_Calculation_Engine!U705</f>
        <v>High</v>
      </c>
    </row>
    <row r="706" spans="1:15" ht="15" customHeight="1" x14ac:dyDescent="0.25">
      <c r="A706" s="16">
        <v>702</v>
      </c>
      <c r="B706" s="16">
        <v>149.80000000000001</v>
      </c>
      <c r="C706" s="16">
        <v>3</v>
      </c>
      <c r="D706" s="16">
        <v>756.1</v>
      </c>
      <c r="E706" s="17">
        <f t="shared" si="10"/>
        <v>17.920000000000002</v>
      </c>
      <c r="F706" s="16">
        <v>2</v>
      </c>
      <c r="G706" s="16">
        <v>13</v>
      </c>
      <c r="H706" s="16">
        <v>1.31</v>
      </c>
      <c r="I706" s="16">
        <v>3</v>
      </c>
      <c r="J706" s="16">
        <v>1200</v>
      </c>
      <c r="K706" s="16">
        <v>8.01</v>
      </c>
      <c r="L706" s="16">
        <v>95.1</v>
      </c>
      <c r="M706" s="16">
        <v>1</v>
      </c>
      <c r="N706" s="18">
        <f>IF(Risk_Calculation_Engine!U706="Low",1,IF(Risk_Calculation_Engine!U706="Medium",2,3))</f>
        <v>3</v>
      </c>
      <c r="O706" s="18" t="str">
        <f>Risk_Calculation_Engine!U706</f>
        <v>High</v>
      </c>
    </row>
    <row r="707" spans="1:15" ht="15" customHeight="1" x14ac:dyDescent="0.25">
      <c r="A707" s="16">
        <v>703</v>
      </c>
      <c r="B707" s="16">
        <v>27.6</v>
      </c>
      <c r="C707" s="16">
        <v>3</v>
      </c>
      <c r="D707" s="16">
        <v>160.5</v>
      </c>
      <c r="E707" s="17">
        <f t="shared" si="10"/>
        <v>12.47</v>
      </c>
      <c r="F707" s="16">
        <v>1</v>
      </c>
      <c r="G707" s="16">
        <v>5</v>
      </c>
      <c r="H707" s="16">
        <v>1.22</v>
      </c>
      <c r="I707" s="16">
        <v>3</v>
      </c>
      <c r="J707" s="16">
        <v>170</v>
      </c>
      <c r="K707" s="16">
        <v>6.16</v>
      </c>
      <c r="L707" s="16">
        <v>94.2</v>
      </c>
      <c r="M707" s="16">
        <v>2</v>
      </c>
      <c r="N707" s="18">
        <f>IF(Risk_Calculation_Engine!U707="Low",1,IF(Risk_Calculation_Engine!U707="Medium",2,3))</f>
        <v>1</v>
      </c>
      <c r="O707" s="18" t="str">
        <f>Risk_Calculation_Engine!U707</f>
        <v>Low</v>
      </c>
    </row>
    <row r="708" spans="1:15" ht="15" customHeight="1" x14ac:dyDescent="0.25">
      <c r="A708" s="16">
        <v>704</v>
      </c>
      <c r="B708" s="16">
        <v>127.4</v>
      </c>
      <c r="C708" s="16">
        <v>4</v>
      </c>
      <c r="D708" s="16">
        <v>1072.9000000000001</v>
      </c>
      <c r="E708" s="17">
        <f t="shared" si="10"/>
        <v>13.77</v>
      </c>
      <c r="F708" s="16">
        <v>1</v>
      </c>
      <c r="G708" s="16">
        <v>6</v>
      </c>
      <c r="H708" s="16">
        <v>1.88</v>
      </c>
      <c r="I708" s="16">
        <v>7</v>
      </c>
      <c r="J708" s="16">
        <v>1525</v>
      </c>
      <c r="K708" s="16">
        <v>11.97</v>
      </c>
      <c r="L708" s="16">
        <v>68</v>
      </c>
      <c r="M708" s="16">
        <v>2</v>
      </c>
      <c r="N708" s="18">
        <f>IF(Risk_Calculation_Engine!U708="Low",1,IF(Risk_Calculation_Engine!U708="Medium",2,3))</f>
        <v>3</v>
      </c>
      <c r="O708" s="18" t="str">
        <f>Risk_Calculation_Engine!U708</f>
        <v>High</v>
      </c>
    </row>
    <row r="709" spans="1:15" ht="15" customHeight="1" x14ac:dyDescent="0.25">
      <c r="A709" s="16">
        <v>705</v>
      </c>
      <c r="B709" s="16">
        <v>63</v>
      </c>
      <c r="C709" s="16">
        <v>4</v>
      </c>
      <c r="D709" s="16">
        <v>441.5</v>
      </c>
      <c r="E709" s="17">
        <f t="shared" ref="E709:E772" si="11">ROUND(3.67*D709^0.28/H709,2)</f>
        <v>23.21</v>
      </c>
      <c r="F709" s="16">
        <v>1</v>
      </c>
      <c r="G709" s="16">
        <v>2</v>
      </c>
      <c r="H709" s="16">
        <v>0.87</v>
      </c>
      <c r="I709" s="16">
        <v>3</v>
      </c>
      <c r="J709" s="16">
        <v>541</v>
      </c>
      <c r="K709" s="16">
        <v>8.59</v>
      </c>
      <c r="L709" s="16">
        <v>55</v>
      </c>
      <c r="M709" s="16">
        <v>2</v>
      </c>
      <c r="N709" s="18">
        <f>IF(Risk_Calculation_Engine!U709="Low",1,IF(Risk_Calculation_Engine!U709="Medium",2,3))</f>
        <v>1</v>
      </c>
      <c r="O709" s="18" t="str">
        <f>Risk_Calculation_Engine!U709</f>
        <v>Low</v>
      </c>
    </row>
    <row r="710" spans="1:15" ht="15" customHeight="1" x14ac:dyDescent="0.25">
      <c r="A710" s="16">
        <v>706</v>
      </c>
      <c r="B710" s="16">
        <v>51.6</v>
      </c>
      <c r="C710" s="16">
        <v>4</v>
      </c>
      <c r="D710" s="16">
        <v>177.6</v>
      </c>
      <c r="E710" s="17">
        <f t="shared" si="11"/>
        <v>10.94</v>
      </c>
      <c r="F710" s="16">
        <v>3</v>
      </c>
      <c r="G710" s="16">
        <v>7</v>
      </c>
      <c r="H710" s="16">
        <v>1.43</v>
      </c>
      <c r="I710" s="16">
        <v>7</v>
      </c>
      <c r="J710" s="16">
        <v>450</v>
      </c>
      <c r="K710" s="16">
        <v>8.7200000000000006</v>
      </c>
      <c r="L710" s="16">
        <v>58.5</v>
      </c>
      <c r="M710" s="16">
        <v>2</v>
      </c>
      <c r="N710" s="18">
        <f>IF(Risk_Calculation_Engine!U710="Low",1,IF(Risk_Calculation_Engine!U710="Medium",2,3))</f>
        <v>2</v>
      </c>
      <c r="O710" s="18" t="str">
        <f>Risk_Calculation_Engine!U710</f>
        <v>Medium</v>
      </c>
    </row>
    <row r="711" spans="1:15" ht="15" customHeight="1" x14ac:dyDescent="0.25">
      <c r="A711" s="16">
        <v>707</v>
      </c>
      <c r="B711" s="16">
        <v>149.80000000000001</v>
      </c>
      <c r="C711" s="16">
        <v>4</v>
      </c>
      <c r="D711" s="16">
        <v>1067.5999999999999</v>
      </c>
      <c r="E711" s="17">
        <f t="shared" si="11"/>
        <v>18.079999999999998</v>
      </c>
      <c r="F711" s="16">
        <v>1</v>
      </c>
      <c r="G711" s="16">
        <v>9</v>
      </c>
      <c r="H711" s="16">
        <v>1.43</v>
      </c>
      <c r="I711" s="16">
        <v>10</v>
      </c>
      <c r="J711" s="16">
        <v>1403</v>
      </c>
      <c r="K711" s="16">
        <v>9.3699999999999992</v>
      </c>
      <c r="L711" s="16">
        <v>63</v>
      </c>
      <c r="M711" s="16">
        <v>2</v>
      </c>
      <c r="N711" s="18">
        <f>IF(Risk_Calculation_Engine!U711="Low",1,IF(Risk_Calculation_Engine!U711="Medium",2,3))</f>
        <v>3</v>
      </c>
      <c r="O711" s="18" t="str">
        <f>Risk_Calculation_Engine!U711</f>
        <v>High</v>
      </c>
    </row>
    <row r="712" spans="1:15" ht="15" customHeight="1" x14ac:dyDescent="0.25">
      <c r="A712" s="16">
        <v>708</v>
      </c>
      <c r="B712" s="16">
        <v>25.9</v>
      </c>
      <c r="C712" s="16">
        <v>3</v>
      </c>
      <c r="D712" s="16">
        <v>143.30000000000001</v>
      </c>
      <c r="E712" s="17">
        <f t="shared" si="11"/>
        <v>7.33</v>
      </c>
      <c r="F712" s="16">
        <v>1</v>
      </c>
      <c r="G712" s="16">
        <v>5</v>
      </c>
      <c r="H712" s="16">
        <v>2.0099999999999998</v>
      </c>
      <c r="I712" s="16">
        <v>3</v>
      </c>
      <c r="J712" s="16">
        <v>177</v>
      </c>
      <c r="K712" s="16">
        <v>6.83</v>
      </c>
      <c r="L712" s="16">
        <v>31.2</v>
      </c>
      <c r="M712" s="16">
        <v>2</v>
      </c>
      <c r="N712" s="18">
        <f>IF(Risk_Calculation_Engine!U712="Low",1,IF(Risk_Calculation_Engine!U712="Medium",2,3))</f>
        <v>2</v>
      </c>
      <c r="O712" s="18" t="str">
        <f>Risk_Calculation_Engine!U712</f>
        <v>Medium</v>
      </c>
    </row>
    <row r="713" spans="1:15" ht="15" customHeight="1" x14ac:dyDescent="0.25">
      <c r="A713" s="16">
        <v>709</v>
      </c>
      <c r="B713" s="16">
        <v>121.3</v>
      </c>
      <c r="C713" s="16">
        <v>1</v>
      </c>
      <c r="D713" s="16">
        <v>543.20000000000005</v>
      </c>
      <c r="E713" s="17">
        <f t="shared" si="11"/>
        <v>22.77</v>
      </c>
      <c r="F713" s="16">
        <v>1</v>
      </c>
      <c r="G713" s="16">
        <v>10</v>
      </c>
      <c r="H713" s="16">
        <v>0.94</v>
      </c>
      <c r="I713" s="16">
        <v>11</v>
      </c>
      <c r="J713" s="16">
        <v>244</v>
      </c>
      <c r="K713" s="16">
        <v>2.0099999999999998</v>
      </c>
      <c r="L713" s="16">
        <v>78.8</v>
      </c>
      <c r="M713" s="16">
        <v>3</v>
      </c>
      <c r="N713" s="18">
        <f>IF(Risk_Calculation_Engine!U713="Low",1,IF(Risk_Calculation_Engine!U713="Medium",2,3))</f>
        <v>2</v>
      </c>
      <c r="O713" s="18" t="str">
        <f>Risk_Calculation_Engine!U713</f>
        <v>Medium</v>
      </c>
    </row>
    <row r="714" spans="1:15" ht="15" customHeight="1" x14ac:dyDescent="0.25">
      <c r="A714" s="16">
        <v>710</v>
      </c>
      <c r="B714" s="16">
        <v>107.8</v>
      </c>
      <c r="C714" s="16">
        <v>4</v>
      </c>
      <c r="D714" s="16">
        <v>400.4</v>
      </c>
      <c r="E714" s="17">
        <f t="shared" si="11"/>
        <v>9.4499999999999993</v>
      </c>
      <c r="F714" s="16">
        <v>3</v>
      </c>
      <c r="G714" s="16">
        <v>3</v>
      </c>
      <c r="H714" s="16">
        <v>2.08</v>
      </c>
      <c r="I714" s="16">
        <v>11</v>
      </c>
      <c r="J714" s="16">
        <v>1406</v>
      </c>
      <c r="K714" s="16">
        <v>13.04</v>
      </c>
      <c r="L714" s="16">
        <v>48.6</v>
      </c>
      <c r="M714" s="16">
        <v>3</v>
      </c>
      <c r="N714" s="18">
        <f>IF(Risk_Calculation_Engine!U714="Low",1,IF(Risk_Calculation_Engine!U714="Medium",2,3))</f>
        <v>3</v>
      </c>
      <c r="O714" s="18" t="str">
        <f>Risk_Calculation_Engine!U714</f>
        <v>High</v>
      </c>
    </row>
    <row r="715" spans="1:15" ht="15" customHeight="1" x14ac:dyDescent="0.25">
      <c r="A715" s="16">
        <v>711</v>
      </c>
      <c r="B715" s="16">
        <v>25.4</v>
      </c>
      <c r="C715" s="16">
        <v>3</v>
      </c>
      <c r="D715" s="16">
        <v>91.1</v>
      </c>
      <c r="E715" s="17">
        <f t="shared" si="11"/>
        <v>7.09</v>
      </c>
      <c r="F715" s="16">
        <v>2</v>
      </c>
      <c r="G715" s="16">
        <v>2</v>
      </c>
      <c r="H715" s="16">
        <v>1.83</v>
      </c>
      <c r="I715" s="16">
        <v>10</v>
      </c>
      <c r="J715" s="16">
        <v>85</v>
      </c>
      <c r="K715" s="16">
        <v>3.35</v>
      </c>
      <c r="L715" s="16">
        <v>76.400000000000006</v>
      </c>
      <c r="M715" s="16">
        <v>2</v>
      </c>
      <c r="N715" s="18">
        <f>IF(Risk_Calculation_Engine!U715="Low",1,IF(Risk_Calculation_Engine!U715="Medium",2,3))</f>
        <v>1</v>
      </c>
      <c r="O715" s="18" t="str">
        <f>Risk_Calculation_Engine!U715</f>
        <v>Low</v>
      </c>
    </row>
    <row r="716" spans="1:15" ht="15" customHeight="1" x14ac:dyDescent="0.25">
      <c r="A716" s="16">
        <v>712</v>
      </c>
      <c r="B716" s="16">
        <v>10.199999999999999</v>
      </c>
      <c r="C716" s="16">
        <v>3</v>
      </c>
      <c r="D716" s="16">
        <v>36.799999999999997</v>
      </c>
      <c r="E716" s="17">
        <f t="shared" si="11"/>
        <v>4.03</v>
      </c>
      <c r="F716" s="16">
        <v>2</v>
      </c>
      <c r="G716" s="16">
        <v>4</v>
      </c>
      <c r="H716" s="16">
        <v>2.5</v>
      </c>
      <c r="I716" s="16">
        <v>11</v>
      </c>
      <c r="J716" s="16">
        <v>86</v>
      </c>
      <c r="K716" s="16">
        <v>8.43</v>
      </c>
      <c r="L716" s="16">
        <v>92</v>
      </c>
      <c r="M716" s="16">
        <v>2</v>
      </c>
      <c r="N716" s="18">
        <f>IF(Risk_Calculation_Engine!U716="Low",1,IF(Risk_Calculation_Engine!U716="Medium",2,3))</f>
        <v>2</v>
      </c>
      <c r="O716" s="18" t="str">
        <f>Risk_Calculation_Engine!U716</f>
        <v>Medium</v>
      </c>
    </row>
    <row r="717" spans="1:15" ht="15" customHeight="1" x14ac:dyDescent="0.25">
      <c r="A717" s="16">
        <v>713</v>
      </c>
      <c r="B717" s="16">
        <v>57.5</v>
      </c>
      <c r="C717" s="16">
        <v>3</v>
      </c>
      <c r="D717" s="16">
        <v>241.1</v>
      </c>
      <c r="E717" s="17">
        <f t="shared" si="11"/>
        <v>6.82</v>
      </c>
      <c r="F717" s="16">
        <v>2</v>
      </c>
      <c r="G717" s="16">
        <v>8</v>
      </c>
      <c r="H717" s="16">
        <v>2.5</v>
      </c>
      <c r="I717" s="16">
        <v>13</v>
      </c>
      <c r="J717" s="16">
        <v>492</v>
      </c>
      <c r="K717" s="16">
        <v>8.56</v>
      </c>
      <c r="L717" s="16">
        <v>68.8</v>
      </c>
      <c r="M717" s="16">
        <v>2</v>
      </c>
      <c r="N717" s="18">
        <f>IF(Risk_Calculation_Engine!U717="Low",1,IF(Risk_Calculation_Engine!U717="Medium",2,3))</f>
        <v>3</v>
      </c>
      <c r="O717" s="18" t="str">
        <f>Risk_Calculation_Engine!U717</f>
        <v>High</v>
      </c>
    </row>
    <row r="718" spans="1:15" ht="15" customHeight="1" x14ac:dyDescent="0.25">
      <c r="A718" s="16">
        <v>714</v>
      </c>
      <c r="B718" s="16">
        <v>138</v>
      </c>
      <c r="C718" s="16">
        <v>5</v>
      </c>
      <c r="D718" s="16">
        <v>1387.7</v>
      </c>
      <c r="E718" s="17">
        <f t="shared" si="11"/>
        <v>11.5</v>
      </c>
      <c r="F718" s="16">
        <v>1</v>
      </c>
      <c r="G718" s="16">
        <v>3</v>
      </c>
      <c r="H718" s="16">
        <v>2.42</v>
      </c>
      <c r="I718" s="16">
        <v>3</v>
      </c>
      <c r="J718" s="16">
        <v>1848</v>
      </c>
      <c r="K718" s="16">
        <v>13.39</v>
      </c>
      <c r="L718" s="16">
        <v>45.6</v>
      </c>
      <c r="M718" s="16">
        <v>2</v>
      </c>
      <c r="N718" s="18">
        <f>IF(Risk_Calculation_Engine!U718="Low",1,IF(Risk_Calculation_Engine!U718="Medium",2,3))</f>
        <v>3</v>
      </c>
      <c r="O718" s="18" t="str">
        <f>Risk_Calculation_Engine!U718</f>
        <v>High</v>
      </c>
    </row>
    <row r="719" spans="1:15" ht="15" customHeight="1" x14ac:dyDescent="0.25">
      <c r="A719" s="16">
        <v>715</v>
      </c>
      <c r="B719" s="16">
        <v>81.8</v>
      </c>
      <c r="C719" s="16">
        <v>4</v>
      </c>
      <c r="D719" s="16">
        <v>361.9</v>
      </c>
      <c r="E719" s="17">
        <f t="shared" si="11"/>
        <v>25.13</v>
      </c>
      <c r="F719" s="16">
        <v>3</v>
      </c>
      <c r="G719" s="16">
        <v>4</v>
      </c>
      <c r="H719" s="16">
        <v>0.76</v>
      </c>
      <c r="I719" s="16">
        <v>5</v>
      </c>
      <c r="J719" s="16">
        <v>491</v>
      </c>
      <c r="K719" s="16">
        <v>6</v>
      </c>
      <c r="L719" s="16">
        <v>79.8</v>
      </c>
      <c r="M719" s="16">
        <v>1</v>
      </c>
      <c r="N719" s="18">
        <f>IF(Risk_Calculation_Engine!U719="Low",1,IF(Risk_Calculation_Engine!U719="Medium",2,3))</f>
        <v>1</v>
      </c>
      <c r="O719" s="18" t="str">
        <f>Risk_Calculation_Engine!U719</f>
        <v>Low</v>
      </c>
    </row>
    <row r="720" spans="1:15" ht="15" customHeight="1" x14ac:dyDescent="0.25">
      <c r="A720" s="16">
        <v>716</v>
      </c>
      <c r="B720" s="16">
        <v>149.80000000000001</v>
      </c>
      <c r="C720" s="16">
        <v>3</v>
      </c>
      <c r="D720" s="16">
        <v>900.2</v>
      </c>
      <c r="E720" s="17">
        <f t="shared" si="11"/>
        <v>25.42</v>
      </c>
      <c r="F720" s="16">
        <v>1</v>
      </c>
      <c r="G720" s="16">
        <v>5</v>
      </c>
      <c r="H720" s="16">
        <v>0.97</v>
      </c>
      <c r="I720" s="16">
        <v>7</v>
      </c>
      <c r="J720" s="16">
        <v>963</v>
      </c>
      <c r="K720" s="16">
        <v>6.43</v>
      </c>
      <c r="L720" s="16">
        <v>83.5</v>
      </c>
      <c r="M720" s="16">
        <v>3</v>
      </c>
      <c r="N720" s="18">
        <f>IF(Risk_Calculation_Engine!U720="Low",1,IF(Risk_Calculation_Engine!U720="Medium",2,3))</f>
        <v>1</v>
      </c>
      <c r="O720" s="18" t="str">
        <f>Risk_Calculation_Engine!U720</f>
        <v>Low</v>
      </c>
    </row>
    <row r="721" spans="1:15" ht="15" customHeight="1" x14ac:dyDescent="0.25">
      <c r="A721" s="16">
        <v>717</v>
      </c>
      <c r="B721" s="16">
        <v>77.599999999999994</v>
      </c>
      <c r="C721" s="16">
        <v>4</v>
      </c>
      <c r="D721" s="16">
        <v>607.4</v>
      </c>
      <c r="E721" s="17">
        <f t="shared" si="11"/>
        <v>9.69</v>
      </c>
      <c r="F721" s="16">
        <v>1</v>
      </c>
      <c r="G721" s="16">
        <v>10</v>
      </c>
      <c r="H721" s="16">
        <v>2.2799999999999998</v>
      </c>
      <c r="I721" s="16">
        <v>11</v>
      </c>
      <c r="J721" s="16">
        <v>438</v>
      </c>
      <c r="K721" s="16">
        <v>5.64</v>
      </c>
      <c r="L721" s="16">
        <v>63.4</v>
      </c>
      <c r="M721" s="16">
        <v>3</v>
      </c>
      <c r="N721" s="18">
        <f>IF(Risk_Calculation_Engine!U721="Low",1,IF(Risk_Calculation_Engine!U721="Medium",2,3))</f>
        <v>3</v>
      </c>
      <c r="O721" s="18" t="str">
        <f>Risk_Calculation_Engine!U721</f>
        <v>High</v>
      </c>
    </row>
    <row r="722" spans="1:15" ht="15" customHeight="1" x14ac:dyDescent="0.25">
      <c r="A722" s="16">
        <v>718</v>
      </c>
      <c r="B722" s="16">
        <v>149.80000000000001</v>
      </c>
      <c r="C722" s="16">
        <v>3</v>
      </c>
      <c r="D722" s="16">
        <v>722.5</v>
      </c>
      <c r="E722" s="17">
        <f t="shared" si="11"/>
        <v>16.440000000000001</v>
      </c>
      <c r="F722" s="16">
        <v>2</v>
      </c>
      <c r="G722" s="16">
        <v>12</v>
      </c>
      <c r="H722" s="16">
        <v>1.41</v>
      </c>
      <c r="I722" s="16">
        <v>14</v>
      </c>
      <c r="J722" s="16">
        <v>656</v>
      </c>
      <c r="K722" s="16">
        <v>4.38</v>
      </c>
      <c r="L722" s="16">
        <v>86</v>
      </c>
      <c r="M722" s="16">
        <v>2</v>
      </c>
      <c r="N722" s="18">
        <f>IF(Risk_Calculation_Engine!U722="Low",1,IF(Risk_Calculation_Engine!U722="Medium",2,3))</f>
        <v>3</v>
      </c>
      <c r="O722" s="18" t="str">
        <f>Risk_Calculation_Engine!U722</f>
        <v>High</v>
      </c>
    </row>
    <row r="723" spans="1:15" ht="15" customHeight="1" x14ac:dyDescent="0.25">
      <c r="A723" s="16">
        <v>719</v>
      </c>
      <c r="B723" s="16">
        <v>36.1</v>
      </c>
      <c r="C723" s="16">
        <v>3</v>
      </c>
      <c r="D723" s="16">
        <v>234.5</v>
      </c>
      <c r="E723" s="17">
        <f t="shared" si="11"/>
        <v>6.77</v>
      </c>
      <c r="F723" s="16">
        <v>1</v>
      </c>
      <c r="G723" s="16">
        <v>12</v>
      </c>
      <c r="H723" s="16">
        <v>2.5</v>
      </c>
      <c r="I723" s="16">
        <v>14</v>
      </c>
      <c r="J723" s="16">
        <v>218</v>
      </c>
      <c r="K723" s="16">
        <v>6.04</v>
      </c>
      <c r="L723" s="16">
        <v>89.4</v>
      </c>
      <c r="M723" s="16">
        <v>3</v>
      </c>
      <c r="N723" s="18">
        <f>IF(Risk_Calculation_Engine!U723="Low",1,IF(Risk_Calculation_Engine!U723="Medium",2,3))</f>
        <v>3</v>
      </c>
      <c r="O723" s="18" t="str">
        <f>Risk_Calculation_Engine!U723</f>
        <v>High</v>
      </c>
    </row>
    <row r="724" spans="1:15" ht="15" customHeight="1" x14ac:dyDescent="0.25">
      <c r="A724" s="16">
        <v>720</v>
      </c>
      <c r="B724" s="16">
        <v>91.3</v>
      </c>
      <c r="C724" s="16">
        <v>3</v>
      </c>
      <c r="D724" s="16">
        <v>595.6</v>
      </c>
      <c r="E724" s="17">
        <f t="shared" si="11"/>
        <v>14.08</v>
      </c>
      <c r="F724" s="16">
        <v>1</v>
      </c>
      <c r="G724" s="16">
        <v>5</v>
      </c>
      <c r="H724" s="16">
        <v>1.56</v>
      </c>
      <c r="I724" s="16">
        <v>10</v>
      </c>
      <c r="J724" s="16">
        <v>610</v>
      </c>
      <c r="K724" s="16">
        <v>6.68</v>
      </c>
      <c r="L724" s="16">
        <v>46.4</v>
      </c>
      <c r="M724" s="16">
        <v>3</v>
      </c>
      <c r="N724" s="18">
        <f>IF(Risk_Calculation_Engine!U724="Low",1,IF(Risk_Calculation_Engine!U724="Medium",2,3))</f>
        <v>2</v>
      </c>
      <c r="O724" s="18" t="str">
        <f>Risk_Calculation_Engine!U724</f>
        <v>Medium</v>
      </c>
    </row>
    <row r="725" spans="1:15" ht="15" customHeight="1" x14ac:dyDescent="0.25">
      <c r="A725" s="16">
        <v>721</v>
      </c>
      <c r="B725" s="16">
        <v>43.6</v>
      </c>
      <c r="C725" s="16">
        <v>3</v>
      </c>
      <c r="D725" s="16">
        <v>127.4</v>
      </c>
      <c r="E725" s="17">
        <f t="shared" si="11"/>
        <v>7.2</v>
      </c>
      <c r="F725" s="16">
        <v>3</v>
      </c>
      <c r="G725" s="16">
        <v>6</v>
      </c>
      <c r="H725" s="16">
        <v>1.98</v>
      </c>
      <c r="I725" s="16">
        <v>8</v>
      </c>
      <c r="J725" s="16">
        <v>182</v>
      </c>
      <c r="K725" s="16">
        <v>4.17</v>
      </c>
      <c r="L725" s="16">
        <v>30.5</v>
      </c>
      <c r="M725" s="16">
        <v>3</v>
      </c>
      <c r="N725" s="18">
        <f>IF(Risk_Calculation_Engine!U725="Low",1,IF(Risk_Calculation_Engine!U725="Medium",2,3))</f>
        <v>2</v>
      </c>
      <c r="O725" s="18" t="str">
        <f>Risk_Calculation_Engine!U725</f>
        <v>Medium</v>
      </c>
    </row>
    <row r="726" spans="1:15" ht="15" customHeight="1" x14ac:dyDescent="0.25">
      <c r="A726" s="16">
        <v>722</v>
      </c>
      <c r="B726" s="16">
        <v>56</v>
      </c>
      <c r="C726" s="16">
        <v>4</v>
      </c>
      <c r="D726" s="16">
        <v>261.8</v>
      </c>
      <c r="E726" s="17">
        <f t="shared" si="11"/>
        <v>9.1300000000000008</v>
      </c>
      <c r="F726" s="16">
        <v>2</v>
      </c>
      <c r="G726" s="16">
        <v>8</v>
      </c>
      <c r="H726" s="16">
        <v>1.91</v>
      </c>
      <c r="I726" s="16">
        <v>8</v>
      </c>
      <c r="J726" s="16">
        <v>802</v>
      </c>
      <c r="K726" s="16">
        <v>14.32</v>
      </c>
      <c r="L726" s="16">
        <v>64.3</v>
      </c>
      <c r="M726" s="16">
        <v>3</v>
      </c>
      <c r="N726" s="18">
        <f>IF(Risk_Calculation_Engine!U726="Low",1,IF(Risk_Calculation_Engine!U726="Medium",2,3))</f>
        <v>3</v>
      </c>
      <c r="O726" s="18" t="str">
        <f>Risk_Calculation_Engine!U726</f>
        <v>High</v>
      </c>
    </row>
    <row r="727" spans="1:15" ht="15" customHeight="1" x14ac:dyDescent="0.25">
      <c r="A727" s="16">
        <v>723</v>
      </c>
      <c r="B727" s="16">
        <v>66.3</v>
      </c>
      <c r="C727" s="16">
        <v>1</v>
      </c>
      <c r="D727" s="16">
        <v>337.7</v>
      </c>
      <c r="E727" s="17">
        <f t="shared" si="11"/>
        <v>12.17</v>
      </c>
      <c r="F727" s="16">
        <v>1</v>
      </c>
      <c r="G727" s="16">
        <v>5</v>
      </c>
      <c r="H727" s="16">
        <v>1.54</v>
      </c>
      <c r="I727" s="16">
        <v>3</v>
      </c>
      <c r="J727" s="16">
        <v>90</v>
      </c>
      <c r="K727" s="16">
        <v>1.36</v>
      </c>
      <c r="L727" s="16">
        <v>54.6</v>
      </c>
      <c r="M727" s="16">
        <v>2</v>
      </c>
      <c r="N727" s="18">
        <f>IF(Risk_Calculation_Engine!U727="Low",1,IF(Risk_Calculation_Engine!U727="Medium",2,3))</f>
        <v>1</v>
      </c>
      <c r="O727" s="18" t="str">
        <f>Risk_Calculation_Engine!U727</f>
        <v>Low</v>
      </c>
    </row>
    <row r="728" spans="1:15" ht="15" customHeight="1" x14ac:dyDescent="0.25">
      <c r="A728" s="16">
        <v>724</v>
      </c>
      <c r="B728" s="16">
        <v>81.599999999999994</v>
      </c>
      <c r="C728" s="16">
        <v>4</v>
      </c>
      <c r="D728" s="16">
        <v>490.6</v>
      </c>
      <c r="E728" s="17">
        <f t="shared" si="11"/>
        <v>9.0399999999999991</v>
      </c>
      <c r="F728" s="16">
        <v>2</v>
      </c>
      <c r="G728" s="16">
        <v>6</v>
      </c>
      <c r="H728" s="16">
        <v>2.2999999999999998</v>
      </c>
      <c r="I728" s="16">
        <v>9</v>
      </c>
      <c r="J728" s="16">
        <v>533</v>
      </c>
      <c r="K728" s="16">
        <v>6.53</v>
      </c>
      <c r="L728" s="16">
        <v>77.900000000000006</v>
      </c>
      <c r="M728" s="16">
        <v>3</v>
      </c>
      <c r="N728" s="18">
        <f>IF(Risk_Calculation_Engine!U728="Low",1,IF(Risk_Calculation_Engine!U728="Medium",2,3))</f>
        <v>3</v>
      </c>
      <c r="O728" s="18" t="str">
        <f>Risk_Calculation_Engine!U728</f>
        <v>High</v>
      </c>
    </row>
    <row r="729" spans="1:15" ht="15" customHeight="1" x14ac:dyDescent="0.25">
      <c r="A729" s="16">
        <v>725</v>
      </c>
      <c r="B729" s="16">
        <v>31.6</v>
      </c>
      <c r="C729" s="16">
        <v>3</v>
      </c>
      <c r="D729" s="16">
        <v>130.5</v>
      </c>
      <c r="E729" s="17">
        <f t="shared" si="11"/>
        <v>7</v>
      </c>
      <c r="F729" s="16">
        <v>2</v>
      </c>
      <c r="G729" s="16">
        <v>3</v>
      </c>
      <c r="H729" s="16">
        <v>2.0499999999999998</v>
      </c>
      <c r="I729" s="16">
        <v>9</v>
      </c>
      <c r="J729" s="16">
        <v>126</v>
      </c>
      <c r="K729" s="16">
        <v>3.99</v>
      </c>
      <c r="L729" s="16">
        <v>78.599999999999994</v>
      </c>
      <c r="M729" s="16">
        <v>3</v>
      </c>
      <c r="N729" s="18">
        <f>IF(Risk_Calculation_Engine!U729="Low",1,IF(Risk_Calculation_Engine!U729="Medium",2,3))</f>
        <v>1</v>
      </c>
      <c r="O729" s="18" t="str">
        <f>Risk_Calculation_Engine!U729</f>
        <v>Low</v>
      </c>
    </row>
    <row r="730" spans="1:15" ht="15" customHeight="1" x14ac:dyDescent="0.25">
      <c r="A730" s="16">
        <v>726</v>
      </c>
      <c r="B730" s="16">
        <v>88.1</v>
      </c>
      <c r="C730" s="16">
        <v>4</v>
      </c>
      <c r="D730" s="16">
        <v>661.5</v>
      </c>
      <c r="E730" s="17">
        <f t="shared" si="11"/>
        <v>22.62</v>
      </c>
      <c r="F730" s="16">
        <v>1</v>
      </c>
      <c r="G730" s="16">
        <v>5</v>
      </c>
      <c r="H730" s="16">
        <v>1</v>
      </c>
      <c r="I730" s="16">
        <v>5</v>
      </c>
      <c r="J730" s="16">
        <v>1259</v>
      </c>
      <c r="K730" s="16">
        <v>14.29</v>
      </c>
      <c r="L730" s="16">
        <v>48.8</v>
      </c>
      <c r="M730" s="16">
        <v>2</v>
      </c>
      <c r="N730" s="18">
        <f>IF(Risk_Calculation_Engine!U730="Low",1,IF(Risk_Calculation_Engine!U730="Medium",2,3))</f>
        <v>2</v>
      </c>
      <c r="O730" s="18" t="str">
        <f>Risk_Calculation_Engine!U730</f>
        <v>Medium</v>
      </c>
    </row>
    <row r="731" spans="1:15" ht="15" customHeight="1" x14ac:dyDescent="0.25">
      <c r="A731" s="16">
        <v>727</v>
      </c>
      <c r="B731" s="16">
        <v>63.7</v>
      </c>
      <c r="C731" s="16">
        <v>4</v>
      </c>
      <c r="D731" s="16">
        <v>460.7</v>
      </c>
      <c r="E731" s="17">
        <f t="shared" si="11"/>
        <v>8.17</v>
      </c>
      <c r="F731" s="16">
        <v>1</v>
      </c>
      <c r="G731" s="16">
        <v>6</v>
      </c>
      <c r="H731" s="16">
        <v>2.5</v>
      </c>
      <c r="I731" s="16">
        <v>12</v>
      </c>
      <c r="J731" s="16">
        <v>878</v>
      </c>
      <c r="K731" s="16">
        <v>13.78</v>
      </c>
      <c r="L731" s="16">
        <v>61.8</v>
      </c>
      <c r="M731" s="16">
        <v>1</v>
      </c>
      <c r="N731" s="18">
        <f>IF(Risk_Calculation_Engine!U731="Low",1,IF(Risk_Calculation_Engine!U731="Medium",2,3))</f>
        <v>3</v>
      </c>
      <c r="O731" s="18" t="str">
        <f>Risk_Calculation_Engine!U731</f>
        <v>High</v>
      </c>
    </row>
    <row r="732" spans="1:15" ht="15" customHeight="1" x14ac:dyDescent="0.25">
      <c r="A732" s="16">
        <v>728</v>
      </c>
      <c r="B732" s="16">
        <v>15.1</v>
      </c>
      <c r="C732" s="16">
        <v>4</v>
      </c>
      <c r="D732" s="16">
        <v>73.5</v>
      </c>
      <c r="E732" s="17">
        <f t="shared" si="11"/>
        <v>12.6</v>
      </c>
      <c r="F732" s="16">
        <v>2</v>
      </c>
      <c r="G732" s="16">
        <v>4</v>
      </c>
      <c r="H732" s="16">
        <v>0.97</v>
      </c>
      <c r="I732" s="16">
        <v>13</v>
      </c>
      <c r="J732" s="16">
        <v>80</v>
      </c>
      <c r="K732" s="16">
        <v>5.3</v>
      </c>
      <c r="L732" s="16">
        <v>71.8</v>
      </c>
      <c r="M732" s="16">
        <v>1</v>
      </c>
      <c r="N732" s="18">
        <f>IF(Risk_Calculation_Engine!U732="Low",1,IF(Risk_Calculation_Engine!U732="Medium",2,3))</f>
        <v>1</v>
      </c>
      <c r="O732" s="18" t="str">
        <f>Risk_Calculation_Engine!U732</f>
        <v>Low</v>
      </c>
    </row>
    <row r="733" spans="1:15" ht="15" customHeight="1" x14ac:dyDescent="0.25">
      <c r="A733" s="16">
        <v>729</v>
      </c>
      <c r="B733" s="16">
        <v>8.3000000000000007</v>
      </c>
      <c r="C733" s="16">
        <v>4</v>
      </c>
      <c r="D733" s="16">
        <v>35</v>
      </c>
      <c r="E733" s="17">
        <f t="shared" si="11"/>
        <v>8.64</v>
      </c>
      <c r="F733" s="16">
        <v>2</v>
      </c>
      <c r="G733" s="16">
        <v>7</v>
      </c>
      <c r="H733" s="16">
        <v>1.1499999999999999</v>
      </c>
      <c r="I733" s="16">
        <v>6</v>
      </c>
      <c r="J733" s="16">
        <v>102</v>
      </c>
      <c r="K733" s="16">
        <v>12.29</v>
      </c>
      <c r="L733" s="16">
        <v>69</v>
      </c>
      <c r="M733" s="16">
        <v>2</v>
      </c>
      <c r="N733" s="18">
        <f>IF(Risk_Calculation_Engine!U733="Low",1,IF(Risk_Calculation_Engine!U733="Medium",2,3))</f>
        <v>1</v>
      </c>
      <c r="O733" s="18" t="str">
        <f>Risk_Calculation_Engine!U733</f>
        <v>Low</v>
      </c>
    </row>
    <row r="734" spans="1:15" ht="15" customHeight="1" x14ac:dyDescent="0.25">
      <c r="A734" s="16">
        <v>730</v>
      </c>
      <c r="B734" s="16">
        <v>138.4</v>
      </c>
      <c r="C734" s="16">
        <v>5</v>
      </c>
      <c r="D734" s="16">
        <v>592.1</v>
      </c>
      <c r="E734" s="17">
        <f t="shared" si="11"/>
        <v>11.19</v>
      </c>
      <c r="F734" s="16">
        <v>3</v>
      </c>
      <c r="G734" s="16">
        <v>6</v>
      </c>
      <c r="H734" s="16">
        <v>1.96</v>
      </c>
      <c r="I734" s="16">
        <v>14</v>
      </c>
      <c r="J734" s="16">
        <v>1429</v>
      </c>
      <c r="K734" s="16">
        <v>10.33</v>
      </c>
      <c r="L734" s="16">
        <v>52.5</v>
      </c>
      <c r="M734" s="16">
        <v>3</v>
      </c>
      <c r="N734" s="18">
        <f>IF(Risk_Calculation_Engine!U734="Low",1,IF(Risk_Calculation_Engine!U734="Medium",2,3))</f>
        <v>3</v>
      </c>
      <c r="O734" s="18" t="str">
        <f>Risk_Calculation_Engine!U734</f>
        <v>High</v>
      </c>
    </row>
    <row r="735" spans="1:15" ht="15" customHeight="1" x14ac:dyDescent="0.25">
      <c r="A735" s="16">
        <v>731</v>
      </c>
      <c r="B735" s="16">
        <v>53.7</v>
      </c>
      <c r="C735" s="16">
        <v>3</v>
      </c>
      <c r="D735" s="16">
        <v>222.7</v>
      </c>
      <c r="E735" s="17">
        <f t="shared" si="11"/>
        <v>9.26</v>
      </c>
      <c r="F735" s="16">
        <v>2</v>
      </c>
      <c r="G735" s="16">
        <v>3</v>
      </c>
      <c r="H735" s="16">
        <v>1.8</v>
      </c>
      <c r="I735" s="16">
        <v>4</v>
      </c>
      <c r="J735" s="16">
        <v>185</v>
      </c>
      <c r="K735" s="16">
        <v>3.45</v>
      </c>
      <c r="L735" s="16">
        <v>44.5</v>
      </c>
      <c r="M735" s="16">
        <v>2</v>
      </c>
      <c r="N735" s="18">
        <f>IF(Risk_Calculation_Engine!U735="Low",1,IF(Risk_Calculation_Engine!U735="Medium",2,3))</f>
        <v>1</v>
      </c>
      <c r="O735" s="18" t="str">
        <f>Risk_Calculation_Engine!U735</f>
        <v>Low</v>
      </c>
    </row>
    <row r="736" spans="1:15" ht="15" customHeight="1" x14ac:dyDescent="0.25">
      <c r="A736" s="16">
        <v>732</v>
      </c>
      <c r="B736" s="16">
        <v>13.2</v>
      </c>
      <c r="C736" s="16">
        <v>4</v>
      </c>
      <c r="D736" s="16">
        <v>82.1</v>
      </c>
      <c r="E736" s="17">
        <f t="shared" si="11"/>
        <v>5.95</v>
      </c>
      <c r="F736" s="16">
        <v>1</v>
      </c>
      <c r="G736" s="16">
        <v>7</v>
      </c>
      <c r="H736" s="16">
        <v>2.12</v>
      </c>
      <c r="I736" s="16">
        <v>14</v>
      </c>
      <c r="J736" s="16">
        <v>76</v>
      </c>
      <c r="K736" s="16">
        <v>5.76</v>
      </c>
      <c r="L736" s="16">
        <v>56.3</v>
      </c>
      <c r="M736" s="16">
        <v>3</v>
      </c>
      <c r="N736" s="18">
        <f>IF(Risk_Calculation_Engine!U736="Low",1,IF(Risk_Calculation_Engine!U736="Medium",2,3))</f>
        <v>3</v>
      </c>
      <c r="O736" s="18" t="str">
        <f>Risk_Calculation_Engine!U736</f>
        <v>High</v>
      </c>
    </row>
    <row r="737" spans="1:15" ht="15" customHeight="1" x14ac:dyDescent="0.25">
      <c r="A737" s="16">
        <v>733</v>
      </c>
      <c r="B737" s="16">
        <v>149.80000000000001</v>
      </c>
      <c r="C737" s="16">
        <v>4</v>
      </c>
      <c r="D737" s="16">
        <v>812.4</v>
      </c>
      <c r="E737" s="17">
        <f t="shared" si="11"/>
        <v>17.11</v>
      </c>
      <c r="F737" s="16">
        <v>2</v>
      </c>
      <c r="G737" s="16">
        <v>9</v>
      </c>
      <c r="H737" s="16">
        <v>1.4</v>
      </c>
      <c r="I737" s="16">
        <v>12</v>
      </c>
      <c r="J737" s="16">
        <v>1992</v>
      </c>
      <c r="K737" s="16">
        <v>13.3</v>
      </c>
      <c r="L737" s="16">
        <v>38.299999999999997</v>
      </c>
      <c r="M737" s="16">
        <v>3</v>
      </c>
      <c r="N737" s="18">
        <f>IF(Risk_Calculation_Engine!U737="Low",1,IF(Risk_Calculation_Engine!U737="Medium",2,3))</f>
        <v>3</v>
      </c>
      <c r="O737" s="18" t="str">
        <f>Risk_Calculation_Engine!U737</f>
        <v>High</v>
      </c>
    </row>
    <row r="738" spans="1:15" ht="15" customHeight="1" x14ac:dyDescent="0.25">
      <c r="A738" s="16">
        <v>734</v>
      </c>
      <c r="B738" s="16">
        <v>94.9</v>
      </c>
      <c r="C738" s="16">
        <v>3</v>
      </c>
      <c r="D738" s="16">
        <v>481.3</v>
      </c>
      <c r="E738" s="17">
        <f t="shared" si="11"/>
        <v>11.12</v>
      </c>
      <c r="F738" s="16">
        <v>2</v>
      </c>
      <c r="G738" s="16">
        <v>6</v>
      </c>
      <c r="H738" s="16">
        <v>1.86</v>
      </c>
      <c r="I738" s="16">
        <v>5</v>
      </c>
      <c r="J738" s="16">
        <v>528</v>
      </c>
      <c r="K738" s="16">
        <v>5.56</v>
      </c>
      <c r="L738" s="16">
        <v>76.7</v>
      </c>
      <c r="M738" s="16">
        <v>1</v>
      </c>
      <c r="N738" s="18">
        <f>IF(Risk_Calculation_Engine!U738="Low",1,IF(Risk_Calculation_Engine!U738="Medium",2,3))</f>
        <v>2</v>
      </c>
      <c r="O738" s="18" t="str">
        <f>Risk_Calculation_Engine!U738</f>
        <v>Medium</v>
      </c>
    </row>
    <row r="739" spans="1:15" ht="15" customHeight="1" x14ac:dyDescent="0.25">
      <c r="A739" s="16">
        <v>735</v>
      </c>
      <c r="B739" s="16">
        <v>80</v>
      </c>
      <c r="C739" s="16">
        <v>3</v>
      </c>
      <c r="D739" s="16">
        <v>565.9</v>
      </c>
      <c r="E739" s="17">
        <f t="shared" si="11"/>
        <v>18.350000000000001</v>
      </c>
      <c r="F739" s="16">
        <v>1</v>
      </c>
      <c r="G739" s="16">
        <v>5</v>
      </c>
      <c r="H739" s="16">
        <v>1.18</v>
      </c>
      <c r="I739" s="16">
        <v>11</v>
      </c>
      <c r="J739" s="16">
        <v>507</v>
      </c>
      <c r="K739" s="16">
        <v>6.34</v>
      </c>
      <c r="L739" s="16">
        <v>12.7</v>
      </c>
      <c r="M739" s="16">
        <v>1</v>
      </c>
      <c r="N739" s="18">
        <f>IF(Risk_Calculation_Engine!U739="Low",1,IF(Risk_Calculation_Engine!U739="Medium",2,3))</f>
        <v>1</v>
      </c>
      <c r="O739" s="18" t="str">
        <f>Risk_Calculation_Engine!U739</f>
        <v>Low</v>
      </c>
    </row>
    <row r="740" spans="1:15" ht="15" customHeight="1" x14ac:dyDescent="0.25">
      <c r="A740" s="16">
        <v>736</v>
      </c>
      <c r="B740" s="16">
        <v>28.9</v>
      </c>
      <c r="C740" s="16">
        <v>3</v>
      </c>
      <c r="D740" s="16">
        <v>109.7</v>
      </c>
      <c r="E740" s="17">
        <f t="shared" si="11"/>
        <v>8.77</v>
      </c>
      <c r="F740" s="16">
        <v>2</v>
      </c>
      <c r="G740" s="16">
        <v>5</v>
      </c>
      <c r="H740" s="16">
        <v>1.56</v>
      </c>
      <c r="I740" s="16">
        <v>7</v>
      </c>
      <c r="J740" s="16">
        <v>92</v>
      </c>
      <c r="K740" s="16">
        <v>3.18</v>
      </c>
      <c r="L740" s="16">
        <v>85.4</v>
      </c>
      <c r="M740" s="16">
        <v>3</v>
      </c>
      <c r="N740" s="18">
        <f>IF(Risk_Calculation_Engine!U740="Low",1,IF(Risk_Calculation_Engine!U740="Medium",2,3))</f>
        <v>1</v>
      </c>
      <c r="O740" s="18" t="str">
        <f>Risk_Calculation_Engine!U740</f>
        <v>Low</v>
      </c>
    </row>
    <row r="741" spans="1:15" ht="15" customHeight="1" x14ac:dyDescent="0.25">
      <c r="A741" s="16">
        <v>737</v>
      </c>
      <c r="B741" s="16">
        <v>14.8</v>
      </c>
      <c r="C741" s="16">
        <v>3</v>
      </c>
      <c r="D741" s="16">
        <v>87.1</v>
      </c>
      <c r="E741" s="17">
        <f t="shared" si="11"/>
        <v>5.13</v>
      </c>
      <c r="F741" s="16">
        <v>1</v>
      </c>
      <c r="G741" s="16">
        <v>7</v>
      </c>
      <c r="H741" s="16">
        <v>2.5</v>
      </c>
      <c r="I741" s="16">
        <v>13</v>
      </c>
      <c r="J741" s="16">
        <v>124</v>
      </c>
      <c r="K741" s="16">
        <v>8.3800000000000008</v>
      </c>
      <c r="L741" s="16">
        <v>70.5</v>
      </c>
      <c r="M741" s="16">
        <v>2</v>
      </c>
      <c r="N741" s="18">
        <f>IF(Risk_Calculation_Engine!U741="Low",1,IF(Risk_Calculation_Engine!U741="Medium",2,3))</f>
        <v>3</v>
      </c>
      <c r="O741" s="18" t="str">
        <f>Risk_Calculation_Engine!U741</f>
        <v>High</v>
      </c>
    </row>
    <row r="742" spans="1:15" ht="15" customHeight="1" x14ac:dyDescent="0.25">
      <c r="A742" s="16">
        <v>738</v>
      </c>
      <c r="B742" s="16">
        <v>71.099999999999994</v>
      </c>
      <c r="C742" s="16">
        <v>3</v>
      </c>
      <c r="D742" s="16">
        <v>255</v>
      </c>
      <c r="E742" s="17">
        <f t="shared" si="11"/>
        <v>17.850000000000001</v>
      </c>
      <c r="F742" s="16">
        <v>3</v>
      </c>
      <c r="G742" s="16">
        <v>7</v>
      </c>
      <c r="H742" s="16">
        <v>0.97</v>
      </c>
      <c r="I742" s="16">
        <v>5</v>
      </c>
      <c r="J742" s="16">
        <v>632</v>
      </c>
      <c r="K742" s="16">
        <v>8.89</v>
      </c>
      <c r="L742" s="16">
        <v>81.900000000000006</v>
      </c>
      <c r="M742" s="16">
        <v>3</v>
      </c>
      <c r="N742" s="18">
        <f>IF(Risk_Calculation_Engine!U742="Low",1,IF(Risk_Calculation_Engine!U742="Medium",2,3))</f>
        <v>1</v>
      </c>
      <c r="O742" s="18" t="str">
        <f>Risk_Calculation_Engine!U742</f>
        <v>Low</v>
      </c>
    </row>
    <row r="743" spans="1:15" ht="15" customHeight="1" x14ac:dyDescent="0.25">
      <c r="A743" s="16">
        <v>739</v>
      </c>
      <c r="B743" s="16">
        <v>60.5</v>
      </c>
      <c r="C743" s="16">
        <v>3</v>
      </c>
      <c r="D743" s="16">
        <v>205.8</v>
      </c>
      <c r="E743" s="17">
        <f t="shared" si="11"/>
        <v>6.91</v>
      </c>
      <c r="F743" s="16">
        <v>3</v>
      </c>
      <c r="G743" s="16">
        <v>4</v>
      </c>
      <c r="H743" s="16">
        <v>2.36</v>
      </c>
      <c r="I743" s="16">
        <v>6</v>
      </c>
      <c r="J743" s="16">
        <v>267</v>
      </c>
      <c r="K743" s="16">
        <v>4.41</v>
      </c>
      <c r="L743" s="16">
        <v>94.9</v>
      </c>
      <c r="M743" s="16">
        <v>3</v>
      </c>
      <c r="N743" s="18">
        <f>IF(Risk_Calculation_Engine!U743="Low",1,IF(Risk_Calculation_Engine!U743="Medium",2,3))</f>
        <v>2</v>
      </c>
      <c r="O743" s="18" t="str">
        <f>Risk_Calculation_Engine!U743</f>
        <v>Medium</v>
      </c>
    </row>
    <row r="744" spans="1:15" ht="15" customHeight="1" x14ac:dyDescent="0.25">
      <c r="A744" s="16">
        <v>740</v>
      </c>
      <c r="B744" s="16">
        <v>21.6</v>
      </c>
      <c r="C744" s="16">
        <v>4</v>
      </c>
      <c r="D744" s="16">
        <v>89.8</v>
      </c>
      <c r="E744" s="17">
        <f t="shared" si="11"/>
        <v>8.98</v>
      </c>
      <c r="F744" s="16">
        <v>2</v>
      </c>
      <c r="G744" s="16">
        <v>9</v>
      </c>
      <c r="H744" s="16">
        <v>1.44</v>
      </c>
      <c r="I744" s="16">
        <v>6</v>
      </c>
      <c r="J744" s="16">
        <v>250</v>
      </c>
      <c r="K744" s="16">
        <v>11.57</v>
      </c>
      <c r="L744" s="16">
        <v>89.7</v>
      </c>
      <c r="M744" s="16">
        <v>2</v>
      </c>
      <c r="N744" s="18">
        <f>IF(Risk_Calculation_Engine!U744="Low",1,IF(Risk_Calculation_Engine!U744="Medium",2,3))</f>
        <v>2</v>
      </c>
      <c r="O744" s="18" t="str">
        <f>Risk_Calculation_Engine!U744</f>
        <v>Medium</v>
      </c>
    </row>
    <row r="745" spans="1:15" ht="15" customHeight="1" x14ac:dyDescent="0.25">
      <c r="A745" s="16">
        <v>741</v>
      </c>
      <c r="B745" s="16">
        <v>20.8</v>
      </c>
      <c r="C745" s="16">
        <v>2</v>
      </c>
      <c r="D745" s="16">
        <v>52.5</v>
      </c>
      <c r="E745" s="17">
        <f t="shared" si="11"/>
        <v>10.210000000000001</v>
      </c>
      <c r="F745" s="16">
        <v>3</v>
      </c>
      <c r="G745" s="16">
        <v>6</v>
      </c>
      <c r="H745" s="16">
        <v>1.0900000000000001</v>
      </c>
      <c r="I745" s="16">
        <v>5</v>
      </c>
      <c r="J745" s="16">
        <v>98</v>
      </c>
      <c r="K745" s="16">
        <v>4.71</v>
      </c>
      <c r="L745" s="16">
        <v>89.3</v>
      </c>
      <c r="M745" s="16">
        <v>2</v>
      </c>
      <c r="N745" s="18">
        <f>IF(Risk_Calculation_Engine!U745="Low",1,IF(Risk_Calculation_Engine!U745="Medium",2,3))</f>
        <v>1</v>
      </c>
      <c r="O745" s="18" t="str">
        <f>Risk_Calculation_Engine!U745</f>
        <v>Low</v>
      </c>
    </row>
    <row r="746" spans="1:15" ht="15" customHeight="1" x14ac:dyDescent="0.25">
      <c r="A746" s="16">
        <v>742</v>
      </c>
      <c r="B746" s="16">
        <v>19.7</v>
      </c>
      <c r="C746" s="16">
        <v>4</v>
      </c>
      <c r="D746" s="16">
        <v>78.400000000000006</v>
      </c>
      <c r="E746" s="17">
        <f t="shared" si="11"/>
        <v>11.21</v>
      </c>
      <c r="F746" s="16">
        <v>3</v>
      </c>
      <c r="G746" s="16">
        <v>5</v>
      </c>
      <c r="H746" s="16">
        <v>1.1100000000000001</v>
      </c>
      <c r="I746" s="16">
        <v>7</v>
      </c>
      <c r="J746" s="16">
        <v>289</v>
      </c>
      <c r="K746" s="16">
        <v>14.67</v>
      </c>
      <c r="L746" s="16">
        <v>85.9</v>
      </c>
      <c r="M746" s="16">
        <v>3</v>
      </c>
      <c r="N746" s="18">
        <f>IF(Risk_Calculation_Engine!U746="Low",1,IF(Risk_Calculation_Engine!U746="Medium",2,3))</f>
        <v>1</v>
      </c>
      <c r="O746" s="18" t="str">
        <f>Risk_Calculation_Engine!U746</f>
        <v>Low</v>
      </c>
    </row>
    <row r="747" spans="1:15" ht="15" customHeight="1" x14ac:dyDescent="0.25">
      <c r="A747" s="16">
        <v>743</v>
      </c>
      <c r="B747" s="16">
        <v>18.899999999999999</v>
      </c>
      <c r="C747" s="16">
        <v>3</v>
      </c>
      <c r="D747" s="16">
        <v>106.6</v>
      </c>
      <c r="E747" s="17">
        <f t="shared" si="11"/>
        <v>9.5500000000000007</v>
      </c>
      <c r="F747" s="16">
        <v>1</v>
      </c>
      <c r="G747" s="16">
        <v>5</v>
      </c>
      <c r="H747" s="16">
        <v>1.42</v>
      </c>
      <c r="I747" s="16">
        <v>10</v>
      </c>
      <c r="J747" s="16">
        <v>112</v>
      </c>
      <c r="K747" s="16">
        <v>5.93</v>
      </c>
      <c r="L747" s="16">
        <v>71.7</v>
      </c>
      <c r="M747" s="16">
        <v>3</v>
      </c>
      <c r="N747" s="18">
        <f>IF(Risk_Calculation_Engine!U747="Low",1,IF(Risk_Calculation_Engine!U747="Medium",2,3))</f>
        <v>1</v>
      </c>
      <c r="O747" s="18" t="str">
        <f>Risk_Calculation_Engine!U747</f>
        <v>Low</v>
      </c>
    </row>
    <row r="748" spans="1:15" ht="15" customHeight="1" x14ac:dyDescent="0.25">
      <c r="A748" s="16">
        <v>744</v>
      </c>
      <c r="B748" s="16">
        <v>35</v>
      </c>
      <c r="C748" s="16">
        <v>4</v>
      </c>
      <c r="D748" s="16">
        <v>176.5</v>
      </c>
      <c r="E748" s="17">
        <f t="shared" si="11"/>
        <v>6.48</v>
      </c>
      <c r="F748" s="16">
        <v>2</v>
      </c>
      <c r="G748" s="16">
        <v>6</v>
      </c>
      <c r="H748" s="16">
        <v>2.41</v>
      </c>
      <c r="I748" s="16">
        <v>11</v>
      </c>
      <c r="J748" s="16">
        <v>258</v>
      </c>
      <c r="K748" s="16">
        <v>7.37</v>
      </c>
      <c r="L748" s="16">
        <v>83.3</v>
      </c>
      <c r="M748" s="16">
        <v>2</v>
      </c>
      <c r="N748" s="18">
        <f>IF(Risk_Calculation_Engine!U748="Low",1,IF(Risk_Calculation_Engine!U748="Medium",2,3))</f>
        <v>2</v>
      </c>
      <c r="O748" s="18" t="str">
        <f>Risk_Calculation_Engine!U748</f>
        <v>Medium</v>
      </c>
    </row>
    <row r="749" spans="1:15" ht="15" customHeight="1" x14ac:dyDescent="0.25">
      <c r="A749" s="16">
        <v>745</v>
      </c>
      <c r="B749" s="16">
        <v>80</v>
      </c>
      <c r="C749" s="16">
        <v>2</v>
      </c>
      <c r="D749" s="16">
        <v>273</v>
      </c>
      <c r="E749" s="17">
        <f t="shared" si="11"/>
        <v>9.49</v>
      </c>
      <c r="F749" s="16">
        <v>2</v>
      </c>
      <c r="G749" s="16">
        <v>6</v>
      </c>
      <c r="H749" s="16">
        <v>1.86</v>
      </c>
      <c r="I749" s="16">
        <v>10</v>
      </c>
      <c r="J749" s="16">
        <v>275</v>
      </c>
      <c r="K749" s="16">
        <v>3.44</v>
      </c>
      <c r="L749" s="16">
        <v>39.799999999999997</v>
      </c>
      <c r="M749" s="16">
        <v>3</v>
      </c>
      <c r="N749" s="18">
        <f>IF(Risk_Calculation_Engine!U749="Low",1,IF(Risk_Calculation_Engine!U749="Medium",2,3))</f>
        <v>2</v>
      </c>
      <c r="O749" s="18" t="str">
        <f>Risk_Calculation_Engine!U749</f>
        <v>Medium</v>
      </c>
    </row>
    <row r="750" spans="1:15" ht="15" customHeight="1" x14ac:dyDescent="0.25">
      <c r="A750" s="16">
        <v>746</v>
      </c>
      <c r="B750" s="16">
        <v>90.6</v>
      </c>
      <c r="C750" s="16">
        <v>3</v>
      </c>
      <c r="D750" s="16">
        <v>541.29999999999995</v>
      </c>
      <c r="E750" s="17">
        <f t="shared" si="11"/>
        <v>22.75</v>
      </c>
      <c r="F750" s="16">
        <v>1</v>
      </c>
      <c r="G750" s="16">
        <v>5</v>
      </c>
      <c r="H750" s="16">
        <v>0.94</v>
      </c>
      <c r="I750" s="16">
        <v>5</v>
      </c>
      <c r="J750" s="16">
        <v>619</v>
      </c>
      <c r="K750" s="16">
        <v>6.83</v>
      </c>
      <c r="L750" s="16">
        <v>60.1</v>
      </c>
      <c r="M750" s="16">
        <v>2</v>
      </c>
      <c r="N750" s="18">
        <f>IF(Risk_Calculation_Engine!U750="Low",1,IF(Risk_Calculation_Engine!U750="Medium",2,3))</f>
        <v>1</v>
      </c>
      <c r="O750" s="18" t="str">
        <f>Risk_Calculation_Engine!U750</f>
        <v>Low</v>
      </c>
    </row>
    <row r="751" spans="1:15" ht="15" customHeight="1" x14ac:dyDescent="0.25">
      <c r="A751" s="16">
        <v>747</v>
      </c>
      <c r="B751" s="16">
        <v>59.4</v>
      </c>
      <c r="C751" s="16">
        <v>1</v>
      </c>
      <c r="D751" s="16">
        <v>191.1</v>
      </c>
      <c r="E751" s="17">
        <f t="shared" si="11"/>
        <v>6.92</v>
      </c>
      <c r="F751" s="16">
        <v>2</v>
      </c>
      <c r="G751" s="16">
        <v>8</v>
      </c>
      <c r="H751" s="16">
        <v>2.31</v>
      </c>
      <c r="I751" s="16">
        <v>5</v>
      </c>
      <c r="J751" s="16">
        <v>116</v>
      </c>
      <c r="K751" s="16">
        <v>1.95</v>
      </c>
      <c r="L751" s="16">
        <v>69.7</v>
      </c>
      <c r="M751" s="16">
        <v>1</v>
      </c>
      <c r="N751" s="18">
        <f>IF(Risk_Calculation_Engine!U751="Low",1,IF(Risk_Calculation_Engine!U751="Medium",2,3))</f>
        <v>2</v>
      </c>
      <c r="O751" s="18" t="str">
        <f>Risk_Calculation_Engine!U751</f>
        <v>Medium</v>
      </c>
    </row>
    <row r="752" spans="1:15" ht="15" customHeight="1" x14ac:dyDescent="0.25">
      <c r="A752" s="16">
        <v>748</v>
      </c>
      <c r="B752" s="16">
        <v>68.599999999999994</v>
      </c>
      <c r="C752" s="16">
        <v>4</v>
      </c>
      <c r="D752" s="16">
        <v>513.79999999999995</v>
      </c>
      <c r="E752" s="17">
        <f t="shared" si="11"/>
        <v>9.85</v>
      </c>
      <c r="F752" s="16">
        <v>1</v>
      </c>
      <c r="G752" s="16">
        <v>11</v>
      </c>
      <c r="H752" s="16">
        <v>2.14</v>
      </c>
      <c r="I752" s="16">
        <v>14</v>
      </c>
      <c r="J752" s="16">
        <v>397</v>
      </c>
      <c r="K752" s="16">
        <v>5.79</v>
      </c>
      <c r="L752" s="16">
        <v>80</v>
      </c>
      <c r="M752" s="16">
        <v>2</v>
      </c>
      <c r="N752" s="18">
        <f>IF(Risk_Calculation_Engine!U752="Low",1,IF(Risk_Calculation_Engine!U752="Medium",2,3))</f>
        <v>3</v>
      </c>
      <c r="O752" s="18" t="str">
        <f>Risk_Calculation_Engine!U752</f>
        <v>High</v>
      </c>
    </row>
    <row r="753" spans="1:15" ht="15" customHeight="1" x14ac:dyDescent="0.25">
      <c r="A753" s="16">
        <v>749</v>
      </c>
      <c r="B753" s="16">
        <v>93.9</v>
      </c>
      <c r="C753" s="16">
        <v>3</v>
      </c>
      <c r="D753" s="16">
        <v>360.1</v>
      </c>
      <c r="E753" s="17">
        <f t="shared" si="11"/>
        <v>23.26</v>
      </c>
      <c r="F753" s="16">
        <v>3</v>
      </c>
      <c r="G753" s="16">
        <v>4</v>
      </c>
      <c r="H753" s="16">
        <v>0.82</v>
      </c>
      <c r="I753" s="16">
        <v>6</v>
      </c>
      <c r="J753" s="16">
        <v>737</v>
      </c>
      <c r="K753" s="16">
        <v>7.85</v>
      </c>
      <c r="L753" s="16">
        <v>43.2</v>
      </c>
      <c r="M753" s="16">
        <v>3</v>
      </c>
      <c r="N753" s="18">
        <f>IF(Risk_Calculation_Engine!U753="Low",1,IF(Risk_Calculation_Engine!U753="Medium",2,3))</f>
        <v>1</v>
      </c>
      <c r="O753" s="18" t="str">
        <f>Risk_Calculation_Engine!U753</f>
        <v>Low</v>
      </c>
    </row>
    <row r="754" spans="1:15" ht="15" customHeight="1" x14ac:dyDescent="0.25">
      <c r="A754" s="16">
        <v>750</v>
      </c>
      <c r="B754" s="16">
        <v>5.6</v>
      </c>
      <c r="C754" s="16">
        <v>5</v>
      </c>
      <c r="D754" s="16">
        <v>25.9</v>
      </c>
      <c r="E754" s="17">
        <f t="shared" si="11"/>
        <v>8.5299999999999994</v>
      </c>
      <c r="F754" s="16">
        <v>2</v>
      </c>
      <c r="G754" s="16">
        <v>6</v>
      </c>
      <c r="H754" s="16">
        <v>1.07</v>
      </c>
      <c r="I754" s="16">
        <v>4</v>
      </c>
      <c r="J754" s="16">
        <v>138</v>
      </c>
      <c r="K754" s="16">
        <v>24.64</v>
      </c>
      <c r="L754" s="16">
        <v>84.3</v>
      </c>
      <c r="M754" s="16">
        <v>3</v>
      </c>
      <c r="N754" s="18">
        <f>IF(Risk_Calculation_Engine!U754="Low",1,IF(Risk_Calculation_Engine!U754="Medium",2,3))</f>
        <v>2</v>
      </c>
      <c r="O754" s="18" t="str">
        <f>Risk_Calculation_Engine!U754</f>
        <v>Medium</v>
      </c>
    </row>
    <row r="755" spans="1:15" ht="15" customHeight="1" x14ac:dyDescent="0.25">
      <c r="A755" s="16">
        <v>751</v>
      </c>
      <c r="B755" s="16">
        <v>72.900000000000006</v>
      </c>
      <c r="C755" s="16">
        <v>3</v>
      </c>
      <c r="D755" s="16">
        <v>229.5</v>
      </c>
      <c r="E755" s="17">
        <f t="shared" si="11"/>
        <v>6.73</v>
      </c>
      <c r="F755" s="16">
        <v>3</v>
      </c>
      <c r="G755" s="16">
        <v>4</v>
      </c>
      <c r="H755" s="16">
        <v>2.5</v>
      </c>
      <c r="I755" s="16">
        <v>8</v>
      </c>
      <c r="J755" s="16">
        <v>428</v>
      </c>
      <c r="K755" s="16">
        <v>5.87</v>
      </c>
      <c r="L755" s="16">
        <v>50.5</v>
      </c>
      <c r="M755" s="16">
        <v>1</v>
      </c>
      <c r="N755" s="18">
        <f>IF(Risk_Calculation_Engine!U755="Low",1,IF(Risk_Calculation_Engine!U755="Medium",2,3))</f>
        <v>2</v>
      </c>
      <c r="O755" s="18" t="str">
        <f>Risk_Calculation_Engine!U755</f>
        <v>Medium</v>
      </c>
    </row>
    <row r="756" spans="1:15" ht="15" customHeight="1" x14ac:dyDescent="0.25">
      <c r="A756" s="16">
        <v>752</v>
      </c>
      <c r="B756" s="16">
        <v>149.80000000000001</v>
      </c>
      <c r="C756" s="16">
        <v>4</v>
      </c>
      <c r="D756" s="16">
        <v>794.6</v>
      </c>
      <c r="E756" s="17">
        <f t="shared" si="11"/>
        <v>15.46</v>
      </c>
      <c r="F756" s="16">
        <v>2</v>
      </c>
      <c r="G756" s="16">
        <v>4</v>
      </c>
      <c r="H756" s="16">
        <v>1.54</v>
      </c>
      <c r="I756" s="16">
        <v>3</v>
      </c>
      <c r="J756" s="16">
        <v>1533</v>
      </c>
      <c r="K756" s="16">
        <v>10.23</v>
      </c>
      <c r="L756" s="16">
        <v>44.7</v>
      </c>
      <c r="M756" s="16">
        <v>2</v>
      </c>
      <c r="N756" s="18">
        <f>IF(Risk_Calculation_Engine!U756="Low",1,IF(Risk_Calculation_Engine!U756="Medium",2,3))</f>
        <v>3</v>
      </c>
      <c r="O756" s="18" t="str">
        <f>Risk_Calculation_Engine!U756</f>
        <v>High</v>
      </c>
    </row>
    <row r="757" spans="1:15" ht="15" customHeight="1" x14ac:dyDescent="0.25">
      <c r="A757" s="16">
        <v>753</v>
      </c>
      <c r="B757" s="16">
        <v>52.5</v>
      </c>
      <c r="C757" s="16">
        <v>3</v>
      </c>
      <c r="D757" s="16">
        <v>279.8</v>
      </c>
      <c r="E757" s="17">
        <f t="shared" si="11"/>
        <v>7.73</v>
      </c>
      <c r="F757" s="16">
        <v>1</v>
      </c>
      <c r="G757" s="16">
        <v>9</v>
      </c>
      <c r="H757" s="16">
        <v>2.2999999999999998</v>
      </c>
      <c r="I757" s="16">
        <v>7</v>
      </c>
      <c r="J757" s="16">
        <v>312</v>
      </c>
      <c r="K757" s="16">
        <v>5.94</v>
      </c>
      <c r="L757" s="16">
        <v>73.3</v>
      </c>
      <c r="M757" s="16">
        <v>2</v>
      </c>
      <c r="N757" s="18">
        <f>IF(Risk_Calculation_Engine!U757="Low",1,IF(Risk_Calculation_Engine!U757="Medium",2,3))</f>
        <v>3</v>
      </c>
      <c r="O757" s="18" t="str">
        <f>Risk_Calculation_Engine!U757</f>
        <v>High</v>
      </c>
    </row>
    <row r="758" spans="1:15" ht="15" customHeight="1" x14ac:dyDescent="0.25">
      <c r="A758" s="16">
        <v>754</v>
      </c>
      <c r="B758" s="16">
        <v>134.4</v>
      </c>
      <c r="C758" s="16">
        <v>4</v>
      </c>
      <c r="D758" s="16">
        <v>504.5</v>
      </c>
      <c r="E758" s="17">
        <f t="shared" si="11"/>
        <v>29.12</v>
      </c>
      <c r="F758" s="16">
        <v>3</v>
      </c>
      <c r="G758" s="16">
        <v>9</v>
      </c>
      <c r="H758" s="16">
        <v>0.72</v>
      </c>
      <c r="I758" s="16">
        <v>14</v>
      </c>
      <c r="J758" s="16">
        <v>1384</v>
      </c>
      <c r="K758" s="16">
        <v>10.3</v>
      </c>
      <c r="L758" s="16">
        <v>81.099999999999994</v>
      </c>
      <c r="M758" s="16">
        <v>3</v>
      </c>
      <c r="N758" s="18">
        <f>IF(Risk_Calculation_Engine!U758="Low",1,IF(Risk_Calculation_Engine!U758="Medium",2,3))</f>
        <v>2</v>
      </c>
      <c r="O758" s="18" t="str">
        <f>Risk_Calculation_Engine!U758</f>
        <v>Medium</v>
      </c>
    </row>
    <row r="759" spans="1:15" ht="15" customHeight="1" x14ac:dyDescent="0.25">
      <c r="A759" s="16">
        <v>755</v>
      </c>
      <c r="B759" s="16">
        <v>53.3</v>
      </c>
      <c r="C759" s="16">
        <v>3</v>
      </c>
      <c r="D759" s="16">
        <v>300.5</v>
      </c>
      <c r="E759" s="17">
        <f t="shared" si="11"/>
        <v>25.9</v>
      </c>
      <c r="F759" s="16">
        <v>1</v>
      </c>
      <c r="G759" s="16">
        <v>1</v>
      </c>
      <c r="H759" s="16">
        <v>0.7</v>
      </c>
      <c r="I759" s="16">
        <v>6</v>
      </c>
      <c r="J759" s="16">
        <v>193</v>
      </c>
      <c r="K759" s="16">
        <v>3.62</v>
      </c>
      <c r="L759" s="16">
        <v>66.3</v>
      </c>
      <c r="M759" s="16">
        <v>3</v>
      </c>
      <c r="N759" s="18">
        <f>IF(Risk_Calculation_Engine!U759="Low",1,IF(Risk_Calculation_Engine!U759="Medium",2,3))</f>
        <v>1</v>
      </c>
      <c r="O759" s="18" t="str">
        <f>Risk_Calculation_Engine!U759</f>
        <v>Low</v>
      </c>
    </row>
    <row r="760" spans="1:15" ht="15" customHeight="1" x14ac:dyDescent="0.25">
      <c r="A760" s="16">
        <v>756</v>
      </c>
      <c r="B760" s="16">
        <v>98.6</v>
      </c>
      <c r="C760" s="16">
        <v>3</v>
      </c>
      <c r="D760" s="16">
        <v>678.1</v>
      </c>
      <c r="E760" s="17">
        <f t="shared" si="11"/>
        <v>11.27</v>
      </c>
      <c r="F760" s="16">
        <v>1</v>
      </c>
      <c r="G760" s="16">
        <v>3</v>
      </c>
      <c r="H760" s="16">
        <v>2.02</v>
      </c>
      <c r="I760" s="16">
        <v>12</v>
      </c>
      <c r="J760" s="16">
        <v>552</v>
      </c>
      <c r="K760" s="16">
        <v>5.6</v>
      </c>
      <c r="L760" s="16">
        <v>67.099999999999994</v>
      </c>
      <c r="M760" s="16">
        <v>1</v>
      </c>
      <c r="N760" s="18">
        <f>IF(Risk_Calculation_Engine!U760="Low",1,IF(Risk_Calculation_Engine!U760="Medium",2,3))</f>
        <v>3</v>
      </c>
      <c r="O760" s="18" t="str">
        <f>Risk_Calculation_Engine!U760</f>
        <v>High</v>
      </c>
    </row>
    <row r="761" spans="1:15" ht="15" customHeight="1" x14ac:dyDescent="0.25">
      <c r="A761" s="16">
        <v>757</v>
      </c>
      <c r="B761" s="16">
        <v>78.7</v>
      </c>
      <c r="C761" s="16">
        <v>2</v>
      </c>
      <c r="D761" s="16">
        <v>303.39999999999998</v>
      </c>
      <c r="E761" s="17">
        <f t="shared" si="11"/>
        <v>14.9</v>
      </c>
      <c r="F761" s="16">
        <v>2</v>
      </c>
      <c r="G761" s="16">
        <v>3</v>
      </c>
      <c r="H761" s="16">
        <v>1.22</v>
      </c>
      <c r="I761" s="16">
        <v>9</v>
      </c>
      <c r="J761" s="16">
        <v>298</v>
      </c>
      <c r="K761" s="16">
        <v>3.79</v>
      </c>
      <c r="L761" s="16">
        <v>58.1</v>
      </c>
      <c r="M761" s="16">
        <v>3</v>
      </c>
      <c r="N761" s="18">
        <f>IF(Risk_Calculation_Engine!U761="Low",1,IF(Risk_Calculation_Engine!U761="Medium",2,3))</f>
        <v>1</v>
      </c>
      <c r="O761" s="18" t="str">
        <f>Risk_Calculation_Engine!U761</f>
        <v>Low</v>
      </c>
    </row>
    <row r="762" spans="1:15" ht="15" customHeight="1" x14ac:dyDescent="0.25">
      <c r="A762" s="16">
        <v>758</v>
      </c>
      <c r="B762" s="16">
        <v>19.3</v>
      </c>
      <c r="C762" s="16">
        <v>2</v>
      </c>
      <c r="D762" s="16">
        <v>73.5</v>
      </c>
      <c r="E762" s="17">
        <f t="shared" si="11"/>
        <v>5.91</v>
      </c>
      <c r="F762" s="16">
        <v>2</v>
      </c>
      <c r="G762" s="16">
        <v>9</v>
      </c>
      <c r="H762" s="16">
        <v>2.0699999999999998</v>
      </c>
      <c r="I762" s="16">
        <v>7</v>
      </c>
      <c r="J762" s="16">
        <v>116</v>
      </c>
      <c r="K762" s="16">
        <v>6.01</v>
      </c>
      <c r="L762" s="16">
        <v>90.5</v>
      </c>
      <c r="M762" s="16">
        <v>2</v>
      </c>
      <c r="N762" s="18">
        <f>IF(Risk_Calculation_Engine!U762="Low",1,IF(Risk_Calculation_Engine!U762="Medium",2,3))</f>
        <v>2</v>
      </c>
      <c r="O762" s="18" t="str">
        <f>Risk_Calculation_Engine!U762</f>
        <v>Medium</v>
      </c>
    </row>
    <row r="763" spans="1:15" ht="15" customHeight="1" x14ac:dyDescent="0.25">
      <c r="A763" s="16">
        <v>759</v>
      </c>
      <c r="B763" s="16">
        <v>24.6</v>
      </c>
      <c r="C763" s="16">
        <v>2</v>
      </c>
      <c r="D763" s="16">
        <v>98.4</v>
      </c>
      <c r="E763" s="17">
        <f t="shared" si="11"/>
        <v>5.72</v>
      </c>
      <c r="F763" s="16">
        <v>2</v>
      </c>
      <c r="G763" s="16">
        <v>5</v>
      </c>
      <c r="H763" s="16">
        <v>2.3199999999999998</v>
      </c>
      <c r="I763" s="16">
        <v>11</v>
      </c>
      <c r="J763" s="16">
        <v>54</v>
      </c>
      <c r="K763" s="16">
        <v>2.2000000000000002</v>
      </c>
      <c r="L763" s="16">
        <v>17.8</v>
      </c>
      <c r="M763" s="16">
        <v>3</v>
      </c>
      <c r="N763" s="18">
        <f>IF(Risk_Calculation_Engine!U763="Low",1,IF(Risk_Calculation_Engine!U763="Medium",2,3))</f>
        <v>1</v>
      </c>
      <c r="O763" s="18" t="str">
        <f>Risk_Calculation_Engine!U763</f>
        <v>Low</v>
      </c>
    </row>
    <row r="764" spans="1:15" ht="15" customHeight="1" x14ac:dyDescent="0.25">
      <c r="A764" s="16">
        <v>760</v>
      </c>
      <c r="B764" s="16">
        <v>149.80000000000001</v>
      </c>
      <c r="C764" s="16">
        <v>5</v>
      </c>
      <c r="D764" s="16">
        <v>1163</v>
      </c>
      <c r="E764" s="17">
        <f t="shared" si="11"/>
        <v>21.53</v>
      </c>
      <c r="F764" s="16">
        <v>1</v>
      </c>
      <c r="G764" s="16">
        <v>7</v>
      </c>
      <c r="H764" s="16">
        <v>1.23</v>
      </c>
      <c r="I764" s="16">
        <v>10</v>
      </c>
      <c r="J764" s="16">
        <v>2190</v>
      </c>
      <c r="K764" s="16">
        <v>14.62</v>
      </c>
      <c r="L764" s="16">
        <v>66.3</v>
      </c>
      <c r="M764" s="16">
        <v>3</v>
      </c>
      <c r="N764" s="18">
        <f>IF(Risk_Calculation_Engine!U764="Low",1,IF(Risk_Calculation_Engine!U764="Medium",2,3))</f>
        <v>3</v>
      </c>
      <c r="O764" s="18" t="str">
        <f>Risk_Calculation_Engine!U764</f>
        <v>High</v>
      </c>
    </row>
    <row r="765" spans="1:15" ht="15" customHeight="1" x14ac:dyDescent="0.25">
      <c r="A765" s="16">
        <v>761</v>
      </c>
      <c r="B765" s="16">
        <v>115</v>
      </c>
      <c r="C765" s="16">
        <v>3</v>
      </c>
      <c r="D765" s="16">
        <v>577.79999999999995</v>
      </c>
      <c r="E765" s="17">
        <f t="shared" si="11"/>
        <v>14.61</v>
      </c>
      <c r="F765" s="16">
        <v>2</v>
      </c>
      <c r="G765" s="16">
        <v>6</v>
      </c>
      <c r="H765" s="16">
        <v>1.49</v>
      </c>
      <c r="I765" s="16">
        <v>7</v>
      </c>
      <c r="J765" s="16">
        <v>687</v>
      </c>
      <c r="K765" s="16">
        <v>5.97</v>
      </c>
      <c r="L765" s="16">
        <v>69.7</v>
      </c>
      <c r="M765" s="16">
        <v>1</v>
      </c>
      <c r="N765" s="18">
        <f>IF(Risk_Calculation_Engine!U765="Low",1,IF(Risk_Calculation_Engine!U765="Medium",2,3))</f>
        <v>2</v>
      </c>
      <c r="O765" s="18" t="str">
        <f>Risk_Calculation_Engine!U765</f>
        <v>Medium</v>
      </c>
    </row>
    <row r="766" spans="1:15" ht="15" customHeight="1" x14ac:dyDescent="0.25">
      <c r="A766" s="16">
        <v>762</v>
      </c>
      <c r="B766" s="16">
        <v>56.4</v>
      </c>
      <c r="C766" s="16">
        <v>1</v>
      </c>
      <c r="D766" s="16">
        <v>217.1</v>
      </c>
      <c r="E766" s="17">
        <f t="shared" si="11"/>
        <v>12.17</v>
      </c>
      <c r="F766" s="16">
        <v>1</v>
      </c>
      <c r="G766" s="16">
        <v>6</v>
      </c>
      <c r="H766" s="16">
        <v>1.36</v>
      </c>
      <c r="I766" s="16">
        <v>5</v>
      </c>
      <c r="J766" s="16">
        <v>152</v>
      </c>
      <c r="K766" s="16">
        <v>2.7</v>
      </c>
      <c r="L766" s="16">
        <v>63.8</v>
      </c>
      <c r="M766" s="16">
        <v>3</v>
      </c>
      <c r="N766" s="18">
        <f>IF(Risk_Calculation_Engine!U766="Low",1,IF(Risk_Calculation_Engine!U766="Medium",2,3))</f>
        <v>1</v>
      </c>
      <c r="O766" s="18" t="str">
        <f>Risk_Calculation_Engine!U766</f>
        <v>Low</v>
      </c>
    </row>
    <row r="767" spans="1:15" ht="15" customHeight="1" x14ac:dyDescent="0.25">
      <c r="A767" s="16">
        <v>763</v>
      </c>
      <c r="B767" s="16">
        <v>50.3</v>
      </c>
      <c r="C767" s="16">
        <v>5</v>
      </c>
      <c r="D767" s="16">
        <v>349.7</v>
      </c>
      <c r="E767" s="17">
        <f t="shared" si="11"/>
        <v>15.51</v>
      </c>
      <c r="F767" s="16">
        <v>1</v>
      </c>
      <c r="G767" s="16">
        <v>12</v>
      </c>
      <c r="H767" s="16">
        <v>1.22</v>
      </c>
      <c r="I767" s="16">
        <v>14</v>
      </c>
      <c r="J767" s="16">
        <v>870</v>
      </c>
      <c r="K767" s="16">
        <v>17.3</v>
      </c>
      <c r="L767" s="16">
        <v>63.6</v>
      </c>
      <c r="M767" s="16">
        <v>2</v>
      </c>
      <c r="N767" s="18">
        <f>IF(Risk_Calculation_Engine!U767="Low",1,IF(Risk_Calculation_Engine!U767="Medium",2,3))</f>
        <v>3</v>
      </c>
      <c r="O767" s="18" t="str">
        <f>Risk_Calculation_Engine!U767</f>
        <v>High</v>
      </c>
    </row>
    <row r="768" spans="1:15" ht="15" customHeight="1" x14ac:dyDescent="0.25">
      <c r="A768" s="16">
        <v>764</v>
      </c>
      <c r="B768" s="16">
        <v>29.1</v>
      </c>
      <c r="C768" s="16">
        <v>1</v>
      </c>
      <c r="D768" s="16">
        <v>81.599999999999994</v>
      </c>
      <c r="E768" s="17">
        <f t="shared" si="11"/>
        <v>7.45</v>
      </c>
      <c r="F768" s="16">
        <v>2</v>
      </c>
      <c r="G768" s="16">
        <v>4</v>
      </c>
      <c r="H768" s="16">
        <v>1.69</v>
      </c>
      <c r="I768" s="16">
        <v>5</v>
      </c>
      <c r="J768" s="16">
        <v>46</v>
      </c>
      <c r="K768" s="16">
        <v>1.58</v>
      </c>
      <c r="L768" s="16">
        <v>81</v>
      </c>
      <c r="M768" s="16">
        <v>3</v>
      </c>
      <c r="N768" s="18">
        <f>IF(Risk_Calculation_Engine!U768="Low",1,IF(Risk_Calculation_Engine!U768="Medium",2,3))</f>
        <v>1</v>
      </c>
      <c r="O768" s="18" t="str">
        <f>Risk_Calculation_Engine!U768</f>
        <v>Low</v>
      </c>
    </row>
    <row r="769" spans="1:15" ht="15" customHeight="1" x14ac:dyDescent="0.25">
      <c r="A769" s="16">
        <v>765</v>
      </c>
      <c r="B769" s="16">
        <v>84</v>
      </c>
      <c r="C769" s="16">
        <v>3</v>
      </c>
      <c r="D769" s="16">
        <v>463.5</v>
      </c>
      <c r="E769" s="17">
        <f t="shared" si="11"/>
        <v>9.26</v>
      </c>
      <c r="F769" s="16">
        <v>1</v>
      </c>
      <c r="G769" s="16">
        <v>2</v>
      </c>
      <c r="H769" s="16">
        <v>2.21</v>
      </c>
      <c r="I769" s="16">
        <v>15</v>
      </c>
      <c r="J769" s="16">
        <v>522</v>
      </c>
      <c r="K769" s="16">
        <v>6.21</v>
      </c>
      <c r="L769" s="16">
        <v>71.7</v>
      </c>
      <c r="M769" s="16">
        <v>1</v>
      </c>
      <c r="N769" s="18">
        <f>IF(Risk_Calculation_Engine!U769="Low",1,IF(Risk_Calculation_Engine!U769="Medium",2,3))</f>
        <v>3</v>
      </c>
      <c r="O769" s="18" t="str">
        <f>Risk_Calculation_Engine!U769</f>
        <v>High</v>
      </c>
    </row>
    <row r="770" spans="1:15" ht="15" customHeight="1" x14ac:dyDescent="0.25">
      <c r="A770" s="16">
        <v>766</v>
      </c>
      <c r="B770" s="16">
        <v>31.6</v>
      </c>
      <c r="C770" s="16">
        <v>4</v>
      </c>
      <c r="D770" s="16">
        <v>220.4</v>
      </c>
      <c r="E770" s="17">
        <f t="shared" si="11"/>
        <v>14.46</v>
      </c>
      <c r="F770" s="16">
        <v>1</v>
      </c>
      <c r="G770" s="16">
        <v>3</v>
      </c>
      <c r="H770" s="16">
        <v>1.1499999999999999</v>
      </c>
      <c r="I770" s="16">
        <v>9</v>
      </c>
      <c r="J770" s="16">
        <v>252</v>
      </c>
      <c r="K770" s="16">
        <v>7.97</v>
      </c>
      <c r="L770" s="16">
        <v>73.900000000000006</v>
      </c>
      <c r="M770" s="16">
        <v>3</v>
      </c>
      <c r="N770" s="18">
        <f>IF(Risk_Calculation_Engine!U770="Low",1,IF(Risk_Calculation_Engine!U770="Medium",2,3))</f>
        <v>1</v>
      </c>
      <c r="O770" s="18" t="str">
        <f>Risk_Calculation_Engine!U770</f>
        <v>Low</v>
      </c>
    </row>
    <row r="771" spans="1:15" ht="15" customHeight="1" x14ac:dyDescent="0.25">
      <c r="A771" s="16">
        <v>767</v>
      </c>
      <c r="B771" s="16">
        <v>44.8</v>
      </c>
      <c r="C771" s="16">
        <v>5</v>
      </c>
      <c r="D771" s="16">
        <v>274.89999999999998</v>
      </c>
      <c r="E771" s="17">
        <f t="shared" si="11"/>
        <v>15.38</v>
      </c>
      <c r="F771" s="16">
        <v>2</v>
      </c>
      <c r="G771" s="16">
        <v>6</v>
      </c>
      <c r="H771" s="16">
        <v>1.1499999999999999</v>
      </c>
      <c r="I771" s="16">
        <v>15</v>
      </c>
      <c r="J771" s="16">
        <v>845</v>
      </c>
      <c r="K771" s="16">
        <v>18.86</v>
      </c>
      <c r="L771" s="16">
        <v>68.2</v>
      </c>
      <c r="M771" s="16">
        <v>2</v>
      </c>
      <c r="N771" s="18">
        <f>IF(Risk_Calculation_Engine!U771="Low",1,IF(Risk_Calculation_Engine!U771="Medium",2,3))</f>
        <v>2</v>
      </c>
      <c r="O771" s="18" t="str">
        <f>Risk_Calculation_Engine!U771</f>
        <v>Medium</v>
      </c>
    </row>
    <row r="772" spans="1:15" ht="15" customHeight="1" x14ac:dyDescent="0.25">
      <c r="A772" s="16">
        <v>768</v>
      </c>
      <c r="B772" s="16">
        <v>34.799999999999997</v>
      </c>
      <c r="C772" s="16">
        <v>4</v>
      </c>
      <c r="D772" s="16">
        <v>177.8</v>
      </c>
      <c r="E772" s="17">
        <f t="shared" si="11"/>
        <v>12.73</v>
      </c>
      <c r="F772" s="16">
        <v>2</v>
      </c>
      <c r="G772" s="16">
        <v>3</v>
      </c>
      <c r="H772" s="16">
        <v>1.23</v>
      </c>
      <c r="I772" s="16">
        <v>7</v>
      </c>
      <c r="J772" s="16">
        <v>414</v>
      </c>
      <c r="K772" s="16">
        <v>11.9</v>
      </c>
      <c r="L772" s="16">
        <v>46.9</v>
      </c>
      <c r="M772" s="16">
        <v>1</v>
      </c>
      <c r="N772" s="18">
        <f>IF(Risk_Calculation_Engine!U772="Low",1,IF(Risk_Calculation_Engine!U772="Medium",2,3))</f>
        <v>1</v>
      </c>
      <c r="O772" s="18" t="str">
        <f>Risk_Calculation_Engine!U772</f>
        <v>Low</v>
      </c>
    </row>
    <row r="773" spans="1:15" ht="15" customHeight="1" x14ac:dyDescent="0.25">
      <c r="A773" s="16">
        <v>769</v>
      </c>
      <c r="B773" s="16">
        <v>109.8</v>
      </c>
      <c r="C773" s="16">
        <v>3</v>
      </c>
      <c r="D773" s="16">
        <v>722.7</v>
      </c>
      <c r="E773" s="17">
        <f t="shared" ref="E773:E836" si="12">ROUND(3.67*D773^0.28/H773,2)</f>
        <v>11.83</v>
      </c>
      <c r="F773" s="16">
        <v>1</v>
      </c>
      <c r="G773" s="16">
        <v>5</v>
      </c>
      <c r="H773" s="16">
        <v>1.96</v>
      </c>
      <c r="I773" s="16">
        <v>10</v>
      </c>
      <c r="J773" s="16">
        <v>679</v>
      </c>
      <c r="K773" s="16">
        <v>6.18</v>
      </c>
      <c r="L773" s="16">
        <v>91.2</v>
      </c>
      <c r="M773" s="16">
        <v>3</v>
      </c>
      <c r="N773" s="18">
        <f>IF(Risk_Calculation_Engine!U773="Low",1,IF(Risk_Calculation_Engine!U773="Medium",2,3))</f>
        <v>3</v>
      </c>
      <c r="O773" s="18" t="str">
        <f>Risk_Calculation_Engine!U773</f>
        <v>High</v>
      </c>
    </row>
    <row r="774" spans="1:15" ht="15" customHeight="1" x14ac:dyDescent="0.25">
      <c r="A774" s="16">
        <v>770</v>
      </c>
      <c r="B774" s="16">
        <v>54.5</v>
      </c>
      <c r="C774" s="16">
        <v>5</v>
      </c>
      <c r="D774" s="16">
        <v>347.3</v>
      </c>
      <c r="E774" s="17">
        <f t="shared" si="12"/>
        <v>8.17</v>
      </c>
      <c r="F774" s="16">
        <v>2</v>
      </c>
      <c r="G774" s="16">
        <v>7</v>
      </c>
      <c r="H774" s="16">
        <v>2.31</v>
      </c>
      <c r="I774" s="16">
        <v>10</v>
      </c>
      <c r="J774" s="16">
        <v>1089</v>
      </c>
      <c r="K774" s="16">
        <v>19.98</v>
      </c>
      <c r="L774" s="16">
        <v>56.2</v>
      </c>
      <c r="M774" s="16">
        <v>2</v>
      </c>
      <c r="N774" s="18">
        <f>IF(Risk_Calculation_Engine!U774="Low",1,IF(Risk_Calculation_Engine!U774="Medium",2,3))</f>
        <v>3</v>
      </c>
      <c r="O774" s="18" t="str">
        <f>Risk_Calculation_Engine!U774</f>
        <v>High</v>
      </c>
    </row>
    <row r="775" spans="1:15" ht="15" customHeight="1" x14ac:dyDescent="0.25">
      <c r="A775" s="16">
        <v>771</v>
      </c>
      <c r="B775" s="16">
        <v>69</v>
      </c>
      <c r="C775" s="16">
        <v>1</v>
      </c>
      <c r="D775" s="16">
        <v>334.8</v>
      </c>
      <c r="E775" s="17">
        <f t="shared" si="12"/>
        <v>13.84</v>
      </c>
      <c r="F775" s="16">
        <v>1</v>
      </c>
      <c r="G775" s="16">
        <v>8</v>
      </c>
      <c r="H775" s="16">
        <v>1.35</v>
      </c>
      <c r="I775" s="16">
        <v>7</v>
      </c>
      <c r="J775" s="16">
        <v>74</v>
      </c>
      <c r="K775" s="16">
        <v>1.07</v>
      </c>
      <c r="L775" s="16">
        <v>72</v>
      </c>
      <c r="M775" s="16">
        <v>1</v>
      </c>
      <c r="N775" s="18">
        <f>IF(Risk_Calculation_Engine!U775="Low",1,IF(Risk_Calculation_Engine!U775="Medium",2,3))</f>
        <v>2</v>
      </c>
      <c r="O775" s="18" t="str">
        <f>Risk_Calculation_Engine!U775</f>
        <v>Medium</v>
      </c>
    </row>
    <row r="776" spans="1:15" ht="15" customHeight="1" x14ac:dyDescent="0.25">
      <c r="A776" s="16">
        <v>772</v>
      </c>
      <c r="B776" s="16">
        <v>19.7</v>
      </c>
      <c r="C776" s="16">
        <v>5</v>
      </c>
      <c r="D776" s="16">
        <v>86.9</v>
      </c>
      <c r="E776" s="17">
        <f t="shared" si="12"/>
        <v>16.64</v>
      </c>
      <c r="F776" s="16">
        <v>3</v>
      </c>
      <c r="G776" s="16">
        <v>6</v>
      </c>
      <c r="H776" s="16">
        <v>0.77</v>
      </c>
      <c r="I776" s="16">
        <v>5</v>
      </c>
      <c r="J776" s="16">
        <v>411</v>
      </c>
      <c r="K776" s="16">
        <v>20.86</v>
      </c>
      <c r="L776" s="16">
        <v>89.6</v>
      </c>
      <c r="M776" s="16">
        <v>3</v>
      </c>
      <c r="N776" s="18">
        <f>IF(Risk_Calculation_Engine!U776="Low",1,IF(Risk_Calculation_Engine!U776="Medium",2,3))</f>
        <v>1</v>
      </c>
      <c r="O776" s="18" t="str">
        <f>Risk_Calculation_Engine!U776</f>
        <v>Low</v>
      </c>
    </row>
    <row r="777" spans="1:15" ht="15" customHeight="1" x14ac:dyDescent="0.25">
      <c r="A777" s="16">
        <v>773</v>
      </c>
      <c r="B777" s="16">
        <v>34.6</v>
      </c>
      <c r="C777" s="16">
        <v>4</v>
      </c>
      <c r="D777" s="16">
        <v>245.6</v>
      </c>
      <c r="E777" s="17">
        <f t="shared" si="12"/>
        <v>16.8</v>
      </c>
      <c r="F777" s="16">
        <v>1</v>
      </c>
      <c r="G777" s="16">
        <v>6</v>
      </c>
      <c r="H777" s="16">
        <v>1.02</v>
      </c>
      <c r="I777" s="16">
        <v>9</v>
      </c>
      <c r="J777" s="16">
        <v>509</v>
      </c>
      <c r="K777" s="16">
        <v>14.71</v>
      </c>
      <c r="L777" s="16">
        <v>67.7</v>
      </c>
      <c r="M777" s="16">
        <v>2</v>
      </c>
      <c r="N777" s="18">
        <f>IF(Risk_Calculation_Engine!U777="Low",1,IF(Risk_Calculation_Engine!U777="Medium",2,3))</f>
        <v>2</v>
      </c>
      <c r="O777" s="18" t="str">
        <f>Risk_Calculation_Engine!U777</f>
        <v>Medium</v>
      </c>
    </row>
    <row r="778" spans="1:15" ht="15" customHeight="1" x14ac:dyDescent="0.25">
      <c r="A778" s="16">
        <v>774</v>
      </c>
      <c r="B778" s="16">
        <v>70.2</v>
      </c>
      <c r="C778" s="16">
        <v>5</v>
      </c>
      <c r="D778" s="16">
        <v>554</v>
      </c>
      <c r="E778" s="17">
        <f t="shared" si="12"/>
        <v>16.43</v>
      </c>
      <c r="F778" s="16">
        <v>1</v>
      </c>
      <c r="G778" s="16">
        <v>8</v>
      </c>
      <c r="H778" s="16">
        <v>1.31</v>
      </c>
      <c r="I778" s="16">
        <v>11</v>
      </c>
      <c r="J778" s="16">
        <v>1253</v>
      </c>
      <c r="K778" s="16">
        <v>17.850000000000001</v>
      </c>
      <c r="L778" s="16">
        <v>83.8</v>
      </c>
      <c r="M778" s="16">
        <v>2</v>
      </c>
      <c r="N778" s="18">
        <f>IF(Risk_Calculation_Engine!U778="Low",1,IF(Risk_Calculation_Engine!U778="Medium",2,3))</f>
        <v>3</v>
      </c>
      <c r="O778" s="18" t="str">
        <f>Risk_Calculation_Engine!U778</f>
        <v>High</v>
      </c>
    </row>
    <row r="779" spans="1:15" ht="15" customHeight="1" x14ac:dyDescent="0.25">
      <c r="A779" s="16">
        <v>775</v>
      </c>
      <c r="B779" s="16">
        <v>11</v>
      </c>
      <c r="C779" s="16">
        <v>3</v>
      </c>
      <c r="D779" s="16">
        <v>41.4</v>
      </c>
      <c r="E779" s="17">
        <f t="shared" si="12"/>
        <v>9.4600000000000009</v>
      </c>
      <c r="F779" s="16">
        <v>2</v>
      </c>
      <c r="G779" s="16">
        <v>7</v>
      </c>
      <c r="H779" s="16">
        <v>1.1000000000000001</v>
      </c>
      <c r="I779" s="16">
        <v>6</v>
      </c>
      <c r="J779" s="16">
        <v>86</v>
      </c>
      <c r="K779" s="16">
        <v>7.82</v>
      </c>
      <c r="L779" s="16">
        <v>68.900000000000006</v>
      </c>
      <c r="M779" s="16">
        <v>3</v>
      </c>
      <c r="N779" s="18">
        <f>IF(Risk_Calculation_Engine!U779="Low",1,IF(Risk_Calculation_Engine!U779="Medium",2,3))</f>
        <v>1</v>
      </c>
      <c r="O779" s="18" t="str">
        <f>Risk_Calculation_Engine!U779</f>
        <v>Low</v>
      </c>
    </row>
    <row r="780" spans="1:15" ht="15" customHeight="1" x14ac:dyDescent="0.25">
      <c r="A780" s="16">
        <v>776</v>
      </c>
      <c r="B780" s="16">
        <v>51.1</v>
      </c>
      <c r="C780" s="16">
        <v>2</v>
      </c>
      <c r="D780" s="16">
        <v>264.3</v>
      </c>
      <c r="E780" s="17">
        <f t="shared" si="12"/>
        <v>18.61</v>
      </c>
      <c r="F780" s="16">
        <v>1</v>
      </c>
      <c r="G780" s="16">
        <v>4</v>
      </c>
      <c r="H780" s="16">
        <v>0.94</v>
      </c>
      <c r="I780" s="16">
        <v>12</v>
      </c>
      <c r="J780" s="16">
        <v>214</v>
      </c>
      <c r="K780" s="16">
        <v>4.1900000000000004</v>
      </c>
      <c r="L780" s="16">
        <v>73.400000000000006</v>
      </c>
      <c r="M780" s="16">
        <v>2</v>
      </c>
      <c r="N780" s="18">
        <f>IF(Risk_Calculation_Engine!U780="Low",1,IF(Risk_Calculation_Engine!U780="Medium",2,3))</f>
        <v>1</v>
      </c>
      <c r="O780" s="18" t="str">
        <f>Risk_Calculation_Engine!U780</f>
        <v>Low</v>
      </c>
    </row>
    <row r="781" spans="1:15" ht="15" customHeight="1" x14ac:dyDescent="0.25">
      <c r="A781" s="16">
        <v>777</v>
      </c>
      <c r="B781" s="16">
        <v>60.9</v>
      </c>
      <c r="C781" s="16">
        <v>4</v>
      </c>
      <c r="D781" s="16">
        <v>381.5</v>
      </c>
      <c r="E781" s="17">
        <f t="shared" si="12"/>
        <v>12.35</v>
      </c>
      <c r="F781" s="16">
        <v>1</v>
      </c>
      <c r="G781" s="16">
        <v>5</v>
      </c>
      <c r="H781" s="16">
        <v>1.57</v>
      </c>
      <c r="I781" s="16">
        <v>11</v>
      </c>
      <c r="J781" s="16">
        <v>733</v>
      </c>
      <c r="K781" s="16">
        <v>12.04</v>
      </c>
      <c r="L781" s="16">
        <v>48.3</v>
      </c>
      <c r="M781" s="16">
        <v>1</v>
      </c>
      <c r="N781" s="18">
        <f>IF(Risk_Calculation_Engine!U781="Low",1,IF(Risk_Calculation_Engine!U781="Medium",2,3))</f>
        <v>2</v>
      </c>
      <c r="O781" s="18" t="str">
        <f>Risk_Calculation_Engine!U781</f>
        <v>Medium</v>
      </c>
    </row>
    <row r="782" spans="1:15" ht="15" customHeight="1" x14ac:dyDescent="0.25">
      <c r="A782" s="16">
        <v>778</v>
      </c>
      <c r="B782" s="16">
        <v>17.100000000000001</v>
      </c>
      <c r="C782" s="16">
        <v>3</v>
      </c>
      <c r="D782" s="16">
        <v>99.9</v>
      </c>
      <c r="E782" s="17">
        <f t="shared" si="12"/>
        <v>5.33</v>
      </c>
      <c r="F782" s="16">
        <v>1</v>
      </c>
      <c r="G782" s="16">
        <v>7</v>
      </c>
      <c r="H782" s="16">
        <v>2.5</v>
      </c>
      <c r="I782" s="16">
        <v>5</v>
      </c>
      <c r="J782" s="16">
        <v>83</v>
      </c>
      <c r="K782" s="16">
        <v>4.8499999999999996</v>
      </c>
      <c r="L782" s="16">
        <v>21.4</v>
      </c>
      <c r="M782" s="16">
        <v>2</v>
      </c>
      <c r="N782" s="18">
        <f>IF(Risk_Calculation_Engine!U782="Low",1,IF(Risk_Calculation_Engine!U782="Medium",2,3))</f>
        <v>2</v>
      </c>
      <c r="O782" s="18" t="str">
        <f>Risk_Calculation_Engine!U782</f>
        <v>Medium</v>
      </c>
    </row>
    <row r="783" spans="1:15" ht="15" customHeight="1" x14ac:dyDescent="0.25">
      <c r="A783" s="16">
        <v>779</v>
      </c>
      <c r="B783" s="16">
        <v>130.1</v>
      </c>
      <c r="C783" s="16">
        <v>3</v>
      </c>
      <c r="D783" s="16">
        <v>699.5</v>
      </c>
      <c r="E783" s="17">
        <f t="shared" si="12"/>
        <v>21.88</v>
      </c>
      <c r="F783" s="16">
        <v>2</v>
      </c>
      <c r="G783" s="16">
        <v>6</v>
      </c>
      <c r="H783" s="16">
        <v>1.05</v>
      </c>
      <c r="I783" s="16">
        <v>15</v>
      </c>
      <c r="J783" s="16">
        <v>1145</v>
      </c>
      <c r="K783" s="16">
        <v>8.8000000000000007</v>
      </c>
      <c r="L783" s="16">
        <v>14.3</v>
      </c>
      <c r="M783" s="16">
        <v>3</v>
      </c>
      <c r="N783" s="18">
        <f>IF(Risk_Calculation_Engine!U783="Low",1,IF(Risk_Calculation_Engine!U783="Medium",2,3))</f>
        <v>1</v>
      </c>
      <c r="O783" s="18" t="str">
        <f>Risk_Calculation_Engine!U783</f>
        <v>Low</v>
      </c>
    </row>
    <row r="784" spans="1:15" ht="15" customHeight="1" x14ac:dyDescent="0.25">
      <c r="A784" s="16">
        <v>780</v>
      </c>
      <c r="B784" s="16">
        <v>80.900000000000006</v>
      </c>
      <c r="C784" s="16">
        <v>5</v>
      </c>
      <c r="D784" s="16">
        <v>566.4</v>
      </c>
      <c r="E784" s="17">
        <f t="shared" si="12"/>
        <v>12.74</v>
      </c>
      <c r="F784" s="16">
        <v>2</v>
      </c>
      <c r="G784" s="16">
        <v>8</v>
      </c>
      <c r="H784" s="16">
        <v>1.7</v>
      </c>
      <c r="I784" s="16">
        <v>3</v>
      </c>
      <c r="J784" s="16">
        <v>1041</v>
      </c>
      <c r="K784" s="16">
        <v>12.87</v>
      </c>
      <c r="L784" s="16">
        <v>68.7</v>
      </c>
      <c r="M784" s="16">
        <v>1</v>
      </c>
      <c r="N784" s="18">
        <f>IF(Risk_Calculation_Engine!U784="Low",1,IF(Risk_Calculation_Engine!U784="Medium",2,3))</f>
        <v>3</v>
      </c>
      <c r="O784" s="18" t="str">
        <f>Risk_Calculation_Engine!U784</f>
        <v>High</v>
      </c>
    </row>
    <row r="785" spans="1:15" ht="15" customHeight="1" x14ac:dyDescent="0.25">
      <c r="A785" s="16">
        <v>781</v>
      </c>
      <c r="B785" s="16">
        <v>54.1</v>
      </c>
      <c r="C785" s="16">
        <v>4</v>
      </c>
      <c r="D785" s="16">
        <v>256.39999999999998</v>
      </c>
      <c r="E785" s="17">
        <f t="shared" si="12"/>
        <v>9.0299999999999994</v>
      </c>
      <c r="F785" s="16">
        <v>2</v>
      </c>
      <c r="G785" s="16">
        <v>7</v>
      </c>
      <c r="H785" s="16">
        <v>1.92</v>
      </c>
      <c r="I785" s="16">
        <v>11</v>
      </c>
      <c r="J785" s="16">
        <v>357</v>
      </c>
      <c r="K785" s="16">
        <v>6.6</v>
      </c>
      <c r="L785" s="16">
        <v>56.2</v>
      </c>
      <c r="M785" s="16">
        <v>2</v>
      </c>
      <c r="N785" s="18">
        <f>IF(Risk_Calculation_Engine!U785="Low",1,IF(Risk_Calculation_Engine!U785="Medium",2,3))</f>
        <v>3</v>
      </c>
      <c r="O785" s="18" t="str">
        <f>Risk_Calculation_Engine!U785</f>
        <v>High</v>
      </c>
    </row>
    <row r="786" spans="1:15" ht="15" customHeight="1" x14ac:dyDescent="0.25">
      <c r="A786" s="16">
        <v>782</v>
      </c>
      <c r="B786" s="16">
        <v>32.299999999999997</v>
      </c>
      <c r="C786" s="16">
        <v>3</v>
      </c>
      <c r="D786" s="16">
        <v>88.4</v>
      </c>
      <c r="E786" s="17">
        <f t="shared" si="12"/>
        <v>6.47</v>
      </c>
      <c r="F786" s="16">
        <v>3</v>
      </c>
      <c r="G786" s="16">
        <v>5</v>
      </c>
      <c r="H786" s="16">
        <v>1.99</v>
      </c>
      <c r="I786" s="16">
        <v>8</v>
      </c>
      <c r="J786" s="16">
        <v>106</v>
      </c>
      <c r="K786" s="16">
        <v>3.28</v>
      </c>
      <c r="L786" s="16">
        <v>42.4</v>
      </c>
      <c r="M786" s="16">
        <v>2</v>
      </c>
      <c r="N786" s="18">
        <f>IF(Risk_Calculation_Engine!U786="Low",1,IF(Risk_Calculation_Engine!U786="Medium",2,3))</f>
        <v>2</v>
      </c>
      <c r="O786" s="18" t="str">
        <f>Risk_Calculation_Engine!U786</f>
        <v>Medium</v>
      </c>
    </row>
    <row r="787" spans="1:15" ht="15" customHeight="1" x14ac:dyDescent="0.25">
      <c r="A787" s="16">
        <v>783</v>
      </c>
      <c r="B787" s="16">
        <v>10.5</v>
      </c>
      <c r="C787" s="16">
        <v>3</v>
      </c>
      <c r="D787" s="16">
        <v>34.5</v>
      </c>
      <c r="E787" s="17">
        <f t="shared" si="12"/>
        <v>6.59</v>
      </c>
      <c r="F787" s="16">
        <v>2</v>
      </c>
      <c r="G787" s="16">
        <v>1</v>
      </c>
      <c r="H787" s="16">
        <v>1.5</v>
      </c>
      <c r="I787" s="16">
        <v>11</v>
      </c>
      <c r="J787" s="16">
        <v>66</v>
      </c>
      <c r="K787" s="16">
        <v>6.29</v>
      </c>
      <c r="L787" s="16">
        <v>78.400000000000006</v>
      </c>
      <c r="M787" s="16">
        <v>1</v>
      </c>
      <c r="N787" s="18">
        <f>IF(Risk_Calculation_Engine!U787="Low",1,IF(Risk_Calculation_Engine!U787="Medium",2,3))</f>
        <v>1</v>
      </c>
      <c r="O787" s="18" t="str">
        <f>Risk_Calculation_Engine!U787</f>
        <v>Low</v>
      </c>
    </row>
    <row r="788" spans="1:15" ht="15" customHeight="1" x14ac:dyDescent="0.25">
      <c r="A788" s="16">
        <v>784</v>
      </c>
      <c r="B788" s="16">
        <v>123.1</v>
      </c>
      <c r="C788" s="16">
        <v>2</v>
      </c>
      <c r="D788" s="16">
        <v>415.9</v>
      </c>
      <c r="E788" s="17">
        <f t="shared" si="12"/>
        <v>20.69</v>
      </c>
      <c r="F788" s="16">
        <v>3</v>
      </c>
      <c r="G788" s="16">
        <v>5</v>
      </c>
      <c r="H788" s="16">
        <v>0.96</v>
      </c>
      <c r="I788" s="16">
        <v>13</v>
      </c>
      <c r="J788" s="16">
        <v>551</v>
      </c>
      <c r="K788" s="16">
        <v>4.4800000000000004</v>
      </c>
      <c r="L788" s="16">
        <v>89.2</v>
      </c>
      <c r="M788" s="16">
        <v>2</v>
      </c>
      <c r="N788" s="18">
        <f>IF(Risk_Calculation_Engine!U788="Low",1,IF(Risk_Calculation_Engine!U788="Medium",2,3))</f>
        <v>1</v>
      </c>
      <c r="O788" s="18" t="str">
        <f>Risk_Calculation_Engine!U788</f>
        <v>Low</v>
      </c>
    </row>
    <row r="789" spans="1:15" ht="15" customHeight="1" x14ac:dyDescent="0.25">
      <c r="A789" s="16">
        <v>785</v>
      </c>
      <c r="B789" s="16">
        <v>41.2</v>
      </c>
      <c r="C789" s="16">
        <v>2</v>
      </c>
      <c r="D789" s="16">
        <v>158.9</v>
      </c>
      <c r="E789" s="17">
        <f t="shared" si="12"/>
        <v>6.9</v>
      </c>
      <c r="F789" s="16">
        <v>2</v>
      </c>
      <c r="G789" s="16">
        <v>7</v>
      </c>
      <c r="H789" s="16">
        <v>2.2000000000000002</v>
      </c>
      <c r="I789" s="16">
        <v>11</v>
      </c>
      <c r="J789" s="16">
        <v>189</v>
      </c>
      <c r="K789" s="16">
        <v>4.59</v>
      </c>
      <c r="L789" s="16">
        <v>86.7</v>
      </c>
      <c r="M789" s="16">
        <v>3</v>
      </c>
      <c r="N789" s="18">
        <f>IF(Risk_Calculation_Engine!U789="Low",1,IF(Risk_Calculation_Engine!U789="Medium",2,3))</f>
        <v>2</v>
      </c>
      <c r="O789" s="18" t="str">
        <f>Risk_Calculation_Engine!U789</f>
        <v>Medium</v>
      </c>
    </row>
    <row r="790" spans="1:15" ht="15" customHeight="1" x14ac:dyDescent="0.25">
      <c r="A790" s="16">
        <v>786</v>
      </c>
      <c r="B790" s="16">
        <v>14.1</v>
      </c>
      <c r="C790" s="16">
        <v>2</v>
      </c>
      <c r="D790" s="16">
        <v>37.799999999999997</v>
      </c>
      <c r="E790" s="17">
        <f t="shared" si="12"/>
        <v>11.94</v>
      </c>
      <c r="F790" s="16">
        <v>3</v>
      </c>
      <c r="G790" s="16">
        <v>5</v>
      </c>
      <c r="H790" s="16">
        <v>0.85</v>
      </c>
      <c r="I790" s="16">
        <v>11</v>
      </c>
      <c r="J790" s="16">
        <v>38</v>
      </c>
      <c r="K790" s="16">
        <v>2.7</v>
      </c>
      <c r="L790" s="16">
        <v>63</v>
      </c>
      <c r="M790" s="16">
        <v>2</v>
      </c>
      <c r="N790" s="18">
        <f>IF(Risk_Calculation_Engine!U790="Low",1,IF(Risk_Calculation_Engine!U790="Medium",2,3))</f>
        <v>1</v>
      </c>
      <c r="O790" s="18" t="str">
        <f>Risk_Calculation_Engine!U790</f>
        <v>Low</v>
      </c>
    </row>
    <row r="791" spans="1:15" ht="15" customHeight="1" x14ac:dyDescent="0.25">
      <c r="A791" s="16">
        <v>787</v>
      </c>
      <c r="B791" s="16">
        <v>31.4</v>
      </c>
      <c r="C791" s="16">
        <v>4</v>
      </c>
      <c r="D791" s="16">
        <v>171</v>
      </c>
      <c r="E791" s="17">
        <f t="shared" si="12"/>
        <v>10.75</v>
      </c>
      <c r="F791" s="16">
        <v>2</v>
      </c>
      <c r="G791" s="16">
        <v>4</v>
      </c>
      <c r="H791" s="16">
        <v>1.44</v>
      </c>
      <c r="I791" s="16">
        <v>13</v>
      </c>
      <c r="J791" s="16">
        <v>362</v>
      </c>
      <c r="K791" s="16">
        <v>11.53</v>
      </c>
      <c r="L791" s="16">
        <v>45.9</v>
      </c>
      <c r="M791" s="16">
        <v>1</v>
      </c>
      <c r="N791" s="18">
        <f>IF(Risk_Calculation_Engine!U791="Low",1,IF(Risk_Calculation_Engine!U791="Medium",2,3))</f>
        <v>2</v>
      </c>
      <c r="O791" s="18" t="str">
        <f>Risk_Calculation_Engine!U791</f>
        <v>Medium</v>
      </c>
    </row>
    <row r="792" spans="1:15" ht="15" customHeight="1" x14ac:dyDescent="0.25">
      <c r="A792" s="16">
        <v>788</v>
      </c>
      <c r="B792" s="16">
        <v>87.6</v>
      </c>
      <c r="C792" s="16">
        <v>4</v>
      </c>
      <c r="D792" s="16">
        <v>432.6</v>
      </c>
      <c r="E792" s="17">
        <f t="shared" si="12"/>
        <v>14.55</v>
      </c>
      <c r="F792" s="16">
        <v>2</v>
      </c>
      <c r="G792" s="16">
        <v>11</v>
      </c>
      <c r="H792" s="16">
        <v>1.38</v>
      </c>
      <c r="I792" s="16">
        <v>12</v>
      </c>
      <c r="J792" s="16">
        <v>583</v>
      </c>
      <c r="K792" s="16">
        <v>6.66</v>
      </c>
      <c r="L792" s="16">
        <v>67.3</v>
      </c>
      <c r="M792" s="16">
        <v>3</v>
      </c>
      <c r="N792" s="18">
        <f>IF(Risk_Calculation_Engine!U792="Low",1,IF(Risk_Calculation_Engine!U792="Medium",2,3))</f>
        <v>3</v>
      </c>
      <c r="O792" s="18" t="str">
        <f>Risk_Calculation_Engine!U792</f>
        <v>High</v>
      </c>
    </row>
    <row r="793" spans="1:15" ht="15" customHeight="1" x14ac:dyDescent="0.25">
      <c r="A793" s="16">
        <v>789</v>
      </c>
      <c r="B793" s="16">
        <v>74.599999999999994</v>
      </c>
      <c r="C793" s="16">
        <v>3</v>
      </c>
      <c r="D793" s="16">
        <v>443.1</v>
      </c>
      <c r="E793" s="17">
        <f t="shared" si="12"/>
        <v>20.63</v>
      </c>
      <c r="F793" s="16">
        <v>1</v>
      </c>
      <c r="G793" s="16">
        <v>5</v>
      </c>
      <c r="H793" s="16">
        <v>0.98</v>
      </c>
      <c r="I793" s="16">
        <v>13</v>
      </c>
      <c r="J793" s="16">
        <v>562</v>
      </c>
      <c r="K793" s="16">
        <v>7.53</v>
      </c>
      <c r="L793" s="16">
        <v>80.7</v>
      </c>
      <c r="M793" s="16">
        <v>2</v>
      </c>
      <c r="N793" s="18">
        <f>IF(Risk_Calculation_Engine!U793="Low",1,IF(Risk_Calculation_Engine!U793="Medium",2,3))</f>
        <v>1</v>
      </c>
      <c r="O793" s="18" t="str">
        <f>Risk_Calculation_Engine!U793</f>
        <v>Low</v>
      </c>
    </row>
    <row r="794" spans="1:15" ht="15" customHeight="1" x14ac:dyDescent="0.25">
      <c r="A794" s="16">
        <v>790</v>
      </c>
      <c r="B794" s="16">
        <v>21.7</v>
      </c>
      <c r="C794" s="16">
        <v>3</v>
      </c>
      <c r="D794" s="16">
        <v>94.4</v>
      </c>
      <c r="E794" s="17">
        <f t="shared" si="12"/>
        <v>10.66</v>
      </c>
      <c r="F794" s="16">
        <v>2</v>
      </c>
      <c r="G794" s="16">
        <v>5</v>
      </c>
      <c r="H794" s="16">
        <v>1.23</v>
      </c>
      <c r="I794" s="16">
        <v>8</v>
      </c>
      <c r="J794" s="16">
        <v>101</v>
      </c>
      <c r="K794" s="16">
        <v>4.6500000000000004</v>
      </c>
      <c r="L794" s="16">
        <v>89.4</v>
      </c>
      <c r="M794" s="16">
        <v>3</v>
      </c>
      <c r="N794" s="18">
        <f>IF(Risk_Calculation_Engine!U794="Low",1,IF(Risk_Calculation_Engine!U794="Medium",2,3))</f>
        <v>1</v>
      </c>
      <c r="O794" s="18" t="str">
        <f>Risk_Calculation_Engine!U794</f>
        <v>Low</v>
      </c>
    </row>
    <row r="795" spans="1:15" ht="15" customHeight="1" x14ac:dyDescent="0.25">
      <c r="A795" s="16">
        <v>791</v>
      </c>
      <c r="B795" s="16">
        <v>139</v>
      </c>
      <c r="C795" s="16">
        <v>4</v>
      </c>
      <c r="D795" s="16">
        <v>994.4</v>
      </c>
      <c r="E795" s="17">
        <f t="shared" si="12"/>
        <v>12.93</v>
      </c>
      <c r="F795" s="16">
        <v>1</v>
      </c>
      <c r="G795" s="16">
        <v>5</v>
      </c>
      <c r="H795" s="16">
        <v>1.96</v>
      </c>
      <c r="I795" s="16">
        <v>5</v>
      </c>
      <c r="J795" s="16">
        <v>1282</v>
      </c>
      <c r="K795" s="16">
        <v>9.2200000000000006</v>
      </c>
      <c r="L795" s="16">
        <v>74.400000000000006</v>
      </c>
      <c r="M795" s="16">
        <v>3</v>
      </c>
      <c r="N795" s="18">
        <f>IF(Risk_Calculation_Engine!U795="Low",1,IF(Risk_Calculation_Engine!U795="Medium",2,3))</f>
        <v>3</v>
      </c>
      <c r="O795" s="18" t="str">
        <f>Risk_Calculation_Engine!U795</f>
        <v>High</v>
      </c>
    </row>
    <row r="796" spans="1:15" ht="15" customHeight="1" x14ac:dyDescent="0.25">
      <c r="A796" s="16">
        <v>792</v>
      </c>
      <c r="B796" s="16">
        <v>13.9</v>
      </c>
      <c r="C796" s="16">
        <v>4</v>
      </c>
      <c r="D796" s="16">
        <v>62.3</v>
      </c>
      <c r="E796" s="17">
        <f t="shared" si="12"/>
        <v>8.11</v>
      </c>
      <c r="F796" s="16">
        <v>2</v>
      </c>
      <c r="G796" s="16">
        <v>6</v>
      </c>
      <c r="H796" s="16">
        <v>1.44</v>
      </c>
      <c r="I796" s="16">
        <v>6</v>
      </c>
      <c r="J796" s="16">
        <v>121</v>
      </c>
      <c r="K796" s="16">
        <v>8.7100000000000009</v>
      </c>
      <c r="L796" s="16">
        <v>66.7</v>
      </c>
      <c r="M796" s="16">
        <v>2</v>
      </c>
      <c r="N796" s="18">
        <f>IF(Risk_Calculation_Engine!U796="Low",1,IF(Risk_Calculation_Engine!U796="Medium",2,3))</f>
        <v>1</v>
      </c>
      <c r="O796" s="18" t="str">
        <f>Risk_Calculation_Engine!U796</f>
        <v>Low</v>
      </c>
    </row>
    <row r="797" spans="1:15" ht="15" customHeight="1" x14ac:dyDescent="0.25">
      <c r="A797" s="16">
        <v>793</v>
      </c>
      <c r="B797" s="16">
        <v>149.80000000000001</v>
      </c>
      <c r="C797" s="16">
        <v>5</v>
      </c>
      <c r="D797" s="16">
        <v>1310.2</v>
      </c>
      <c r="E797" s="17">
        <f t="shared" si="12"/>
        <v>30.77</v>
      </c>
      <c r="F797" s="16">
        <v>1</v>
      </c>
      <c r="G797" s="16">
        <v>4</v>
      </c>
      <c r="H797" s="16">
        <v>0.89</v>
      </c>
      <c r="I797" s="16">
        <v>10</v>
      </c>
      <c r="J797" s="16">
        <v>2340</v>
      </c>
      <c r="K797" s="16">
        <v>15.62</v>
      </c>
      <c r="L797" s="16">
        <v>52.6</v>
      </c>
      <c r="M797" s="16">
        <v>2</v>
      </c>
      <c r="N797" s="18">
        <f>IF(Risk_Calculation_Engine!U797="Low",1,IF(Risk_Calculation_Engine!U797="Medium",2,3))</f>
        <v>3</v>
      </c>
      <c r="O797" s="18" t="str">
        <f>Risk_Calculation_Engine!U797</f>
        <v>High</v>
      </c>
    </row>
    <row r="798" spans="1:15" ht="15" customHeight="1" x14ac:dyDescent="0.25">
      <c r="A798" s="16">
        <v>794</v>
      </c>
      <c r="B798" s="16">
        <v>72.099999999999994</v>
      </c>
      <c r="C798" s="16">
        <v>3</v>
      </c>
      <c r="D798" s="16">
        <v>457.7</v>
      </c>
      <c r="E798" s="17">
        <f t="shared" si="12"/>
        <v>9.81</v>
      </c>
      <c r="F798" s="16">
        <v>1</v>
      </c>
      <c r="G798" s="16">
        <v>7</v>
      </c>
      <c r="H798" s="16">
        <v>2.08</v>
      </c>
      <c r="I798" s="16">
        <v>9</v>
      </c>
      <c r="J798" s="16">
        <v>528</v>
      </c>
      <c r="K798" s="16">
        <v>7.32</v>
      </c>
      <c r="L798" s="16">
        <v>87.7</v>
      </c>
      <c r="M798" s="16">
        <v>1</v>
      </c>
      <c r="N798" s="18">
        <f>IF(Risk_Calculation_Engine!U798="Low",1,IF(Risk_Calculation_Engine!U798="Medium",2,3))</f>
        <v>3</v>
      </c>
      <c r="O798" s="18" t="str">
        <f>Risk_Calculation_Engine!U798</f>
        <v>High</v>
      </c>
    </row>
    <row r="799" spans="1:15" ht="15" customHeight="1" x14ac:dyDescent="0.25">
      <c r="A799" s="16">
        <v>795</v>
      </c>
      <c r="B799" s="16">
        <v>44.1</v>
      </c>
      <c r="C799" s="16">
        <v>4</v>
      </c>
      <c r="D799" s="16">
        <v>190</v>
      </c>
      <c r="E799" s="17">
        <f t="shared" si="12"/>
        <v>6.38</v>
      </c>
      <c r="F799" s="16">
        <v>3</v>
      </c>
      <c r="G799" s="16">
        <v>9</v>
      </c>
      <c r="H799" s="16">
        <v>2.5</v>
      </c>
      <c r="I799" s="16">
        <v>4</v>
      </c>
      <c r="J799" s="16">
        <v>661</v>
      </c>
      <c r="K799" s="16">
        <v>14.99</v>
      </c>
      <c r="L799" s="16">
        <v>72.8</v>
      </c>
      <c r="M799" s="16">
        <v>1</v>
      </c>
      <c r="N799" s="18">
        <f>IF(Risk_Calculation_Engine!U799="Low",1,IF(Risk_Calculation_Engine!U799="Medium",2,3))</f>
        <v>3</v>
      </c>
      <c r="O799" s="18" t="str">
        <f>Risk_Calculation_Engine!U799</f>
        <v>High</v>
      </c>
    </row>
    <row r="800" spans="1:15" ht="15" customHeight="1" x14ac:dyDescent="0.25">
      <c r="A800" s="16">
        <v>796</v>
      </c>
      <c r="B800" s="16">
        <v>49.6</v>
      </c>
      <c r="C800" s="16">
        <v>3</v>
      </c>
      <c r="D800" s="16">
        <v>189.8</v>
      </c>
      <c r="E800" s="17">
        <f t="shared" si="12"/>
        <v>17.14</v>
      </c>
      <c r="F800" s="16">
        <v>2</v>
      </c>
      <c r="G800" s="16">
        <v>4</v>
      </c>
      <c r="H800" s="16">
        <v>0.93</v>
      </c>
      <c r="I800" s="16">
        <v>5</v>
      </c>
      <c r="J800" s="16">
        <v>306</v>
      </c>
      <c r="K800" s="16">
        <v>6.17</v>
      </c>
      <c r="L800" s="16">
        <v>72.2</v>
      </c>
      <c r="M800" s="16">
        <v>1</v>
      </c>
      <c r="N800" s="18">
        <f>IF(Risk_Calculation_Engine!U800="Low",1,IF(Risk_Calculation_Engine!U800="Medium",2,3))</f>
        <v>1</v>
      </c>
      <c r="O800" s="18" t="str">
        <f>Risk_Calculation_Engine!U800</f>
        <v>Low</v>
      </c>
    </row>
    <row r="801" spans="1:15" ht="15" customHeight="1" x14ac:dyDescent="0.25">
      <c r="A801" s="16">
        <v>797</v>
      </c>
      <c r="B801" s="16">
        <v>65.7</v>
      </c>
      <c r="C801" s="16">
        <v>3</v>
      </c>
      <c r="D801" s="16">
        <v>292.2</v>
      </c>
      <c r="E801" s="17">
        <f t="shared" si="12"/>
        <v>12.07</v>
      </c>
      <c r="F801" s="16">
        <v>2</v>
      </c>
      <c r="G801" s="16">
        <v>4</v>
      </c>
      <c r="H801" s="16">
        <v>1.49</v>
      </c>
      <c r="I801" s="16">
        <v>15</v>
      </c>
      <c r="J801" s="16">
        <v>355</v>
      </c>
      <c r="K801" s="16">
        <v>5.4</v>
      </c>
      <c r="L801" s="16">
        <v>71.7</v>
      </c>
      <c r="M801" s="16">
        <v>2</v>
      </c>
      <c r="N801" s="18">
        <f>IF(Risk_Calculation_Engine!U801="Low",1,IF(Risk_Calculation_Engine!U801="Medium",2,3))</f>
        <v>1</v>
      </c>
      <c r="O801" s="18" t="str">
        <f>Risk_Calculation_Engine!U801</f>
        <v>Low</v>
      </c>
    </row>
    <row r="802" spans="1:15" ht="15" customHeight="1" x14ac:dyDescent="0.25">
      <c r="A802" s="16">
        <v>798</v>
      </c>
      <c r="B802" s="16">
        <v>92.8</v>
      </c>
      <c r="C802" s="16">
        <v>5</v>
      </c>
      <c r="D802" s="16">
        <v>654.29999999999995</v>
      </c>
      <c r="E802" s="17">
        <f t="shared" si="12"/>
        <v>14.93</v>
      </c>
      <c r="F802" s="16">
        <v>2</v>
      </c>
      <c r="G802" s="16">
        <v>3</v>
      </c>
      <c r="H802" s="16">
        <v>1.51</v>
      </c>
      <c r="I802" s="16">
        <v>12</v>
      </c>
      <c r="J802" s="16">
        <v>1326</v>
      </c>
      <c r="K802" s="16">
        <v>14.29</v>
      </c>
      <c r="L802" s="16">
        <v>37.700000000000003</v>
      </c>
      <c r="M802" s="16">
        <v>2</v>
      </c>
      <c r="N802" s="18">
        <f>IF(Risk_Calculation_Engine!U802="Low",1,IF(Risk_Calculation_Engine!U802="Medium",2,3))</f>
        <v>2</v>
      </c>
      <c r="O802" s="18" t="str">
        <f>Risk_Calculation_Engine!U802</f>
        <v>Medium</v>
      </c>
    </row>
    <row r="803" spans="1:15" ht="15" customHeight="1" x14ac:dyDescent="0.25">
      <c r="A803" s="16">
        <v>799</v>
      </c>
      <c r="B803" s="16">
        <v>8.1999999999999993</v>
      </c>
      <c r="C803" s="16">
        <v>3</v>
      </c>
      <c r="D803" s="16">
        <v>28.4</v>
      </c>
      <c r="E803" s="17">
        <f t="shared" si="12"/>
        <v>10.18</v>
      </c>
      <c r="F803" s="16">
        <v>2</v>
      </c>
      <c r="G803" s="16">
        <v>10</v>
      </c>
      <c r="H803" s="16">
        <v>0.92</v>
      </c>
      <c r="I803" s="16">
        <v>12</v>
      </c>
      <c r="J803" s="16">
        <v>55</v>
      </c>
      <c r="K803" s="16">
        <v>6.71</v>
      </c>
      <c r="L803" s="16">
        <v>79.5</v>
      </c>
      <c r="M803" s="16">
        <v>3</v>
      </c>
      <c r="N803" s="18">
        <f>IF(Risk_Calculation_Engine!U803="Low",1,IF(Risk_Calculation_Engine!U803="Medium",2,3))</f>
        <v>1</v>
      </c>
      <c r="O803" s="18" t="str">
        <f>Risk_Calculation_Engine!U803</f>
        <v>Low</v>
      </c>
    </row>
    <row r="804" spans="1:15" ht="15" customHeight="1" x14ac:dyDescent="0.25">
      <c r="A804" s="16">
        <v>800</v>
      </c>
      <c r="B804" s="16">
        <v>30.5</v>
      </c>
      <c r="C804" s="16">
        <v>3</v>
      </c>
      <c r="D804" s="16">
        <v>101.2</v>
      </c>
      <c r="E804" s="17">
        <f t="shared" si="12"/>
        <v>5.35</v>
      </c>
      <c r="F804" s="16">
        <v>3</v>
      </c>
      <c r="G804" s="16">
        <v>5</v>
      </c>
      <c r="H804" s="16">
        <v>2.5</v>
      </c>
      <c r="I804" s="16">
        <v>5</v>
      </c>
      <c r="J804" s="16">
        <v>174</v>
      </c>
      <c r="K804" s="16">
        <v>5.7</v>
      </c>
      <c r="L804" s="16">
        <v>77.099999999999994</v>
      </c>
      <c r="M804" s="16">
        <v>1</v>
      </c>
      <c r="N804" s="18">
        <f>IF(Risk_Calculation_Engine!U804="Low",1,IF(Risk_Calculation_Engine!U804="Medium",2,3))</f>
        <v>2</v>
      </c>
      <c r="O804" s="18" t="str">
        <f>Risk_Calculation_Engine!U804</f>
        <v>Medium</v>
      </c>
    </row>
    <row r="805" spans="1:15" ht="15" customHeight="1" x14ac:dyDescent="0.25">
      <c r="A805" s="16">
        <v>801</v>
      </c>
      <c r="B805" s="16">
        <v>64</v>
      </c>
      <c r="C805" s="16">
        <v>3</v>
      </c>
      <c r="D805" s="16">
        <v>321.89999999999998</v>
      </c>
      <c r="E805" s="17">
        <f t="shared" si="12"/>
        <v>12.08</v>
      </c>
      <c r="F805" s="16">
        <v>2</v>
      </c>
      <c r="G805" s="16">
        <v>8</v>
      </c>
      <c r="H805" s="16">
        <v>1.53</v>
      </c>
      <c r="I805" s="16">
        <v>3</v>
      </c>
      <c r="J805" s="16">
        <v>489</v>
      </c>
      <c r="K805" s="16">
        <v>7.64</v>
      </c>
      <c r="L805" s="16">
        <v>90.6</v>
      </c>
      <c r="M805" s="16">
        <v>2</v>
      </c>
      <c r="N805" s="18">
        <f>IF(Risk_Calculation_Engine!U805="Low",1,IF(Risk_Calculation_Engine!U805="Medium",2,3))</f>
        <v>2</v>
      </c>
      <c r="O805" s="18" t="str">
        <f>Risk_Calculation_Engine!U805</f>
        <v>Medium</v>
      </c>
    </row>
    <row r="806" spans="1:15" ht="15" customHeight="1" x14ac:dyDescent="0.25">
      <c r="A806" s="16">
        <v>802</v>
      </c>
      <c r="B806" s="16">
        <v>142.80000000000001</v>
      </c>
      <c r="C806" s="16">
        <v>3</v>
      </c>
      <c r="D806" s="16">
        <v>635.9</v>
      </c>
      <c r="E806" s="17">
        <f t="shared" si="12"/>
        <v>9.99</v>
      </c>
      <c r="F806" s="16">
        <v>2</v>
      </c>
      <c r="G806" s="16">
        <v>5</v>
      </c>
      <c r="H806" s="16">
        <v>2.2400000000000002</v>
      </c>
      <c r="I806" s="16">
        <v>6</v>
      </c>
      <c r="J806" s="16">
        <v>948</v>
      </c>
      <c r="K806" s="16">
        <v>6.64</v>
      </c>
      <c r="L806" s="16">
        <v>84</v>
      </c>
      <c r="M806" s="16">
        <v>1</v>
      </c>
      <c r="N806" s="18">
        <f>IF(Risk_Calculation_Engine!U806="Low",1,IF(Risk_Calculation_Engine!U806="Medium",2,3))</f>
        <v>3</v>
      </c>
      <c r="O806" s="18" t="str">
        <f>Risk_Calculation_Engine!U806</f>
        <v>High</v>
      </c>
    </row>
    <row r="807" spans="1:15" ht="15" customHeight="1" x14ac:dyDescent="0.25">
      <c r="A807" s="16">
        <v>803</v>
      </c>
      <c r="B807" s="16">
        <v>139</v>
      </c>
      <c r="C807" s="16">
        <v>3</v>
      </c>
      <c r="D807" s="16">
        <v>585.29999999999995</v>
      </c>
      <c r="E807" s="17">
        <f t="shared" si="12"/>
        <v>12.56</v>
      </c>
      <c r="F807" s="16">
        <v>2</v>
      </c>
      <c r="G807" s="16">
        <v>4</v>
      </c>
      <c r="H807" s="16">
        <v>1.74</v>
      </c>
      <c r="I807" s="16">
        <v>14</v>
      </c>
      <c r="J807" s="16">
        <v>761</v>
      </c>
      <c r="K807" s="16">
        <v>5.47</v>
      </c>
      <c r="L807" s="16">
        <v>11.4</v>
      </c>
      <c r="M807" s="16">
        <v>1</v>
      </c>
      <c r="N807" s="18">
        <f>IF(Risk_Calculation_Engine!U807="Low",1,IF(Risk_Calculation_Engine!U807="Medium",2,3))</f>
        <v>2</v>
      </c>
      <c r="O807" s="18" t="str">
        <f>Risk_Calculation_Engine!U807</f>
        <v>Medium</v>
      </c>
    </row>
    <row r="808" spans="1:15" ht="15" customHeight="1" x14ac:dyDescent="0.25">
      <c r="A808" s="16">
        <v>804</v>
      </c>
      <c r="B808" s="16">
        <v>149.80000000000001</v>
      </c>
      <c r="C808" s="16">
        <v>4</v>
      </c>
      <c r="D808" s="16">
        <v>742.1</v>
      </c>
      <c r="E808" s="17">
        <f t="shared" si="12"/>
        <v>9.34</v>
      </c>
      <c r="F808" s="16">
        <v>2</v>
      </c>
      <c r="G808" s="16">
        <v>6</v>
      </c>
      <c r="H808" s="16">
        <v>2.5</v>
      </c>
      <c r="I808" s="16">
        <v>9</v>
      </c>
      <c r="J808" s="16">
        <v>2177</v>
      </c>
      <c r="K808" s="16">
        <v>14.53</v>
      </c>
      <c r="L808" s="16">
        <v>93</v>
      </c>
      <c r="M808" s="16">
        <v>3</v>
      </c>
      <c r="N808" s="18">
        <f>IF(Risk_Calculation_Engine!U808="Low",1,IF(Risk_Calculation_Engine!U808="Medium",2,3))</f>
        <v>3</v>
      </c>
      <c r="O808" s="18" t="str">
        <f>Risk_Calculation_Engine!U808</f>
        <v>High</v>
      </c>
    </row>
    <row r="809" spans="1:15" ht="15" customHeight="1" x14ac:dyDescent="0.25">
      <c r="A809" s="16">
        <v>805</v>
      </c>
      <c r="B809" s="16">
        <v>134.30000000000001</v>
      </c>
      <c r="C809" s="16">
        <v>3</v>
      </c>
      <c r="D809" s="16">
        <v>561.9</v>
      </c>
      <c r="E809" s="17">
        <f t="shared" si="12"/>
        <v>12.49</v>
      </c>
      <c r="F809" s="16">
        <v>2</v>
      </c>
      <c r="G809" s="16">
        <v>5</v>
      </c>
      <c r="H809" s="16">
        <v>1.73</v>
      </c>
      <c r="I809" s="16">
        <v>13</v>
      </c>
      <c r="J809" s="16">
        <v>412</v>
      </c>
      <c r="K809" s="16">
        <v>3.07</v>
      </c>
      <c r="L809" s="16">
        <v>86.7</v>
      </c>
      <c r="M809" s="16">
        <v>3</v>
      </c>
      <c r="N809" s="18">
        <f>IF(Risk_Calculation_Engine!U809="Low",1,IF(Risk_Calculation_Engine!U809="Medium",2,3))</f>
        <v>2</v>
      </c>
      <c r="O809" s="18" t="str">
        <f>Risk_Calculation_Engine!U809</f>
        <v>Medium</v>
      </c>
    </row>
    <row r="810" spans="1:15" ht="15" customHeight="1" x14ac:dyDescent="0.25">
      <c r="A810" s="16">
        <v>806</v>
      </c>
      <c r="B810" s="16">
        <v>28.3</v>
      </c>
      <c r="C810" s="16">
        <v>2</v>
      </c>
      <c r="D810" s="16">
        <v>72.2</v>
      </c>
      <c r="E810" s="17">
        <f t="shared" si="12"/>
        <v>9.5</v>
      </c>
      <c r="F810" s="16">
        <v>3</v>
      </c>
      <c r="G810" s="16">
        <v>3</v>
      </c>
      <c r="H810" s="16">
        <v>1.28</v>
      </c>
      <c r="I810" s="16">
        <v>9</v>
      </c>
      <c r="J810" s="16">
        <v>135</v>
      </c>
      <c r="K810" s="16">
        <v>4.7699999999999996</v>
      </c>
      <c r="L810" s="16">
        <v>78.5</v>
      </c>
      <c r="M810" s="16">
        <v>2</v>
      </c>
      <c r="N810" s="18">
        <f>IF(Risk_Calculation_Engine!U810="Low",1,IF(Risk_Calculation_Engine!U810="Medium",2,3))</f>
        <v>1</v>
      </c>
      <c r="O810" s="18" t="str">
        <f>Risk_Calculation_Engine!U810</f>
        <v>Low</v>
      </c>
    </row>
    <row r="811" spans="1:15" ht="15" customHeight="1" x14ac:dyDescent="0.25">
      <c r="A811" s="16">
        <v>807</v>
      </c>
      <c r="B811" s="16">
        <v>60.7</v>
      </c>
      <c r="C811" s="16">
        <v>5</v>
      </c>
      <c r="D811" s="16">
        <v>320.10000000000002</v>
      </c>
      <c r="E811" s="17">
        <f t="shared" si="12"/>
        <v>9.77</v>
      </c>
      <c r="F811" s="16">
        <v>2</v>
      </c>
      <c r="G811" s="16">
        <v>5</v>
      </c>
      <c r="H811" s="16">
        <v>1.89</v>
      </c>
      <c r="I811" s="16">
        <v>9</v>
      </c>
      <c r="J811" s="16">
        <v>995</v>
      </c>
      <c r="K811" s="16">
        <v>16.39</v>
      </c>
      <c r="L811" s="16">
        <v>67.3</v>
      </c>
      <c r="M811" s="16">
        <v>2</v>
      </c>
      <c r="N811" s="18">
        <f>IF(Risk_Calculation_Engine!U811="Low",1,IF(Risk_Calculation_Engine!U811="Medium",2,3))</f>
        <v>3</v>
      </c>
      <c r="O811" s="18" t="str">
        <f>Risk_Calculation_Engine!U811</f>
        <v>High</v>
      </c>
    </row>
    <row r="812" spans="1:15" ht="15" customHeight="1" x14ac:dyDescent="0.25">
      <c r="A812" s="16">
        <v>808</v>
      </c>
      <c r="B812" s="16">
        <v>134.9</v>
      </c>
      <c r="C812" s="16">
        <v>3</v>
      </c>
      <c r="D812" s="16">
        <v>629.20000000000005</v>
      </c>
      <c r="E812" s="17">
        <f t="shared" si="12"/>
        <v>20.09</v>
      </c>
      <c r="F812" s="16">
        <v>2</v>
      </c>
      <c r="G812" s="16">
        <v>8</v>
      </c>
      <c r="H812" s="16">
        <v>1.1100000000000001</v>
      </c>
      <c r="I812" s="16">
        <v>10</v>
      </c>
      <c r="J812" s="16">
        <v>503</v>
      </c>
      <c r="K812" s="16">
        <v>3.73</v>
      </c>
      <c r="L812" s="16">
        <v>84</v>
      </c>
      <c r="M812" s="16">
        <v>2</v>
      </c>
      <c r="N812" s="18">
        <f>IF(Risk_Calculation_Engine!U812="Low",1,IF(Risk_Calculation_Engine!U812="Medium",2,3))</f>
        <v>2</v>
      </c>
      <c r="O812" s="18" t="str">
        <f>Risk_Calculation_Engine!U812</f>
        <v>Medium</v>
      </c>
    </row>
    <row r="813" spans="1:15" ht="15" customHeight="1" x14ac:dyDescent="0.25">
      <c r="A813" s="16">
        <v>809</v>
      </c>
      <c r="B813" s="16">
        <v>125.6</v>
      </c>
      <c r="C813" s="16">
        <v>5</v>
      </c>
      <c r="D813" s="16">
        <v>863.5</v>
      </c>
      <c r="E813" s="17">
        <f t="shared" si="12"/>
        <v>12.31</v>
      </c>
      <c r="F813" s="16">
        <v>2</v>
      </c>
      <c r="G813" s="16">
        <v>5</v>
      </c>
      <c r="H813" s="16">
        <v>1.98</v>
      </c>
      <c r="I813" s="16">
        <v>15</v>
      </c>
      <c r="J813" s="16">
        <v>1340</v>
      </c>
      <c r="K813" s="16">
        <v>10.67</v>
      </c>
      <c r="L813" s="16">
        <v>75.400000000000006</v>
      </c>
      <c r="M813" s="16">
        <v>3</v>
      </c>
      <c r="N813" s="18">
        <f>IF(Risk_Calculation_Engine!U813="Low",1,IF(Risk_Calculation_Engine!U813="Medium",2,3))</f>
        <v>3</v>
      </c>
      <c r="O813" s="18" t="str">
        <f>Risk_Calculation_Engine!U813</f>
        <v>High</v>
      </c>
    </row>
    <row r="814" spans="1:15" ht="15" customHeight="1" x14ac:dyDescent="0.25">
      <c r="A814" s="16">
        <v>810</v>
      </c>
      <c r="B814" s="16">
        <v>51.8</v>
      </c>
      <c r="C814" s="16">
        <v>2</v>
      </c>
      <c r="D814" s="16">
        <v>184.7</v>
      </c>
      <c r="E814" s="17">
        <f t="shared" si="12"/>
        <v>15.07</v>
      </c>
      <c r="F814" s="16">
        <v>2</v>
      </c>
      <c r="G814" s="16">
        <v>7</v>
      </c>
      <c r="H814" s="16">
        <v>1.05</v>
      </c>
      <c r="I814" s="16">
        <v>8</v>
      </c>
      <c r="J814" s="16">
        <v>238</v>
      </c>
      <c r="K814" s="16">
        <v>4.59</v>
      </c>
      <c r="L814" s="16">
        <v>63.7</v>
      </c>
      <c r="M814" s="16">
        <v>2</v>
      </c>
      <c r="N814" s="18">
        <f>IF(Risk_Calculation_Engine!U814="Low",1,IF(Risk_Calculation_Engine!U814="Medium",2,3))</f>
        <v>1</v>
      </c>
      <c r="O814" s="18" t="str">
        <f>Risk_Calculation_Engine!U814</f>
        <v>Low</v>
      </c>
    </row>
    <row r="815" spans="1:15" ht="15" customHeight="1" x14ac:dyDescent="0.25">
      <c r="A815" s="16">
        <v>811</v>
      </c>
      <c r="B815" s="16">
        <v>90.9</v>
      </c>
      <c r="C815" s="16">
        <v>4</v>
      </c>
      <c r="D815" s="16">
        <v>364.9</v>
      </c>
      <c r="E815" s="17">
        <f t="shared" si="12"/>
        <v>13.02</v>
      </c>
      <c r="F815" s="16">
        <v>3</v>
      </c>
      <c r="G815" s="16">
        <v>7</v>
      </c>
      <c r="H815" s="16">
        <v>1.47</v>
      </c>
      <c r="I815" s="16">
        <v>10</v>
      </c>
      <c r="J815" s="16">
        <v>589</v>
      </c>
      <c r="K815" s="16">
        <v>6.48</v>
      </c>
      <c r="L815" s="16">
        <v>95.1</v>
      </c>
      <c r="M815" s="16">
        <v>3</v>
      </c>
      <c r="N815" s="18">
        <f>IF(Risk_Calculation_Engine!U815="Low",1,IF(Risk_Calculation_Engine!U815="Medium",2,3))</f>
        <v>2</v>
      </c>
      <c r="O815" s="18" t="str">
        <f>Risk_Calculation_Engine!U815</f>
        <v>Medium</v>
      </c>
    </row>
    <row r="816" spans="1:15" ht="15" customHeight="1" x14ac:dyDescent="0.25">
      <c r="A816" s="16">
        <v>812</v>
      </c>
      <c r="B816" s="16">
        <v>41</v>
      </c>
      <c r="C816" s="16">
        <v>3</v>
      </c>
      <c r="D816" s="16">
        <v>155.19999999999999</v>
      </c>
      <c r="E816" s="17">
        <f t="shared" si="12"/>
        <v>11.08</v>
      </c>
      <c r="F816" s="16">
        <v>2</v>
      </c>
      <c r="G816" s="16">
        <v>8</v>
      </c>
      <c r="H816" s="16">
        <v>1.36</v>
      </c>
      <c r="I816" s="16">
        <v>14</v>
      </c>
      <c r="J816" s="16">
        <v>334</v>
      </c>
      <c r="K816" s="16">
        <v>8.15</v>
      </c>
      <c r="L816" s="16">
        <v>88.3</v>
      </c>
      <c r="M816" s="16">
        <v>1</v>
      </c>
      <c r="N816" s="18">
        <f>IF(Risk_Calculation_Engine!U816="Low",1,IF(Risk_Calculation_Engine!U816="Medium",2,3))</f>
        <v>2</v>
      </c>
      <c r="O816" s="18" t="str">
        <f>Risk_Calculation_Engine!U816</f>
        <v>Medium</v>
      </c>
    </row>
    <row r="817" spans="1:15" ht="15" customHeight="1" x14ac:dyDescent="0.25">
      <c r="A817" s="16">
        <v>813</v>
      </c>
      <c r="B817" s="16">
        <v>12.6</v>
      </c>
      <c r="C817" s="16">
        <v>4</v>
      </c>
      <c r="D817" s="16">
        <v>59.2</v>
      </c>
      <c r="E817" s="17">
        <f t="shared" si="12"/>
        <v>6.85</v>
      </c>
      <c r="F817" s="16">
        <v>2</v>
      </c>
      <c r="G817" s="16">
        <v>6</v>
      </c>
      <c r="H817" s="16">
        <v>1.68</v>
      </c>
      <c r="I817" s="16">
        <v>7</v>
      </c>
      <c r="J817" s="16">
        <v>102</v>
      </c>
      <c r="K817" s="16">
        <v>8.1</v>
      </c>
      <c r="L817" s="16">
        <v>60.1</v>
      </c>
      <c r="M817" s="16">
        <v>2</v>
      </c>
      <c r="N817" s="18">
        <f>IF(Risk_Calculation_Engine!U817="Low",1,IF(Risk_Calculation_Engine!U817="Medium",2,3))</f>
        <v>1</v>
      </c>
      <c r="O817" s="18" t="str">
        <f>Risk_Calculation_Engine!U817</f>
        <v>Low</v>
      </c>
    </row>
    <row r="818" spans="1:15" ht="15" customHeight="1" x14ac:dyDescent="0.25">
      <c r="A818" s="16">
        <v>814</v>
      </c>
      <c r="B818" s="16">
        <v>55.7</v>
      </c>
      <c r="C818" s="16">
        <v>2</v>
      </c>
      <c r="D818" s="16">
        <v>201.3</v>
      </c>
      <c r="E818" s="17">
        <f t="shared" si="12"/>
        <v>6.48</v>
      </c>
      <c r="F818" s="16">
        <v>2</v>
      </c>
      <c r="G818" s="16">
        <v>5</v>
      </c>
      <c r="H818" s="16">
        <v>2.5</v>
      </c>
      <c r="I818" s="16">
        <v>13</v>
      </c>
      <c r="J818" s="16">
        <v>188</v>
      </c>
      <c r="K818" s="16">
        <v>3.38</v>
      </c>
      <c r="L818" s="16">
        <v>71.3</v>
      </c>
      <c r="M818" s="16">
        <v>2</v>
      </c>
      <c r="N818" s="18">
        <f>IF(Risk_Calculation_Engine!U818="Low",1,IF(Risk_Calculation_Engine!U818="Medium",2,3))</f>
        <v>2</v>
      </c>
      <c r="O818" s="18" t="str">
        <f>Risk_Calculation_Engine!U818</f>
        <v>Medium</v>
      </c>
    </row>
    <row r="819" spans="1:15" ht="15" customHeight="1" x14ac:dyDescent="0.25">
      <c r="A819" s="16">
        <v>815</v>
      </c>
      <c r="B819" s="16">
        <v>53</v>
      </c>
      <c r="C819" s="16">
        <v>5</v>
      </c>
      <c r="D819" s="16">
        <v>276.60000000000002</v>
      </c>
      <c r="E819" s="17">
        <f t="shared" si="12"/>
        <v>14.64</v>
      </c>
      <c r="F819" s="16">
        <v>2</v>
      </c>
      <c r="G819" s="16">
        <v>12</v>
      </c>
      <c r="H819" s="16">
        <v>1.21</v>
      </c>
      <c r="I819" s="16">
        <v>9</v>
      </c>
      <c r="J819" s="16">
        <v>1107</v>
      </c>
      <c r="K819" s="16">
        <v>20.89</v>
      </c>
      <c r="L819" s="16">
        <v>28.5</v>
      </c>
      <c r="M819" s="16">
        <v>1</v>
      </c>
      <c r="N819" s="18">
        <f>IF(Risk_Calculation_Engine!U819="Low",1,IF(Risk_Calculation_Engine!U819="Medium",2,3))</f>
        <v>3</v>
      </c>
      <c r="O819" s="18" t="str">
        <f>Risk_Calculation_Engine!U819</f>
        <v>High</v>
      </c>
    </row>
    <row r="820" spans="1:15" ht="15" customHeight="1" x14ac:dyDescent="0.25">
      <c r="A820" s="16">
        <v>816</v>
      </c>
      <c r="B820" s="16">
        <v>39.299999999999997</v>
      </c>
      <c r="C820" s="16">
        <v>3</v>
      </c>
      <c r="D820" s="16">
        <v>259.39999999999998</v>
      </c>
      <c r="E820" s="17">
        <f t="shared" si="12"/>
        <v>8.02</v>
      </c>
      <c r="F820" s="16">
        <v>1</v>
      </c>
      <c r="G820" s="16">
        <v>9</v>
      </c>
      <c r="H820" s="16">
        <v>2.17</v>
      </c>
      <c r="I820" s="16">
        <v>14</v>
      </c>
      <c r="J820" s="16">
        <v>170</v>
      </c>
      <c r="K820" s="16">
        <v>4.33</v>
      </c>
      <c r="L820" s="16">
        <v>57.5</v>
      </c>
      <c r="M820" s="16">
        <v>2</v>
      </c>
      <c r="N820" s="18">
        <f>IF(Risk_Calculation_Engine!U820="Low",1,IF(Risk_Calculation_Engine!U820="Medium",2,3))</f>
        <v>3</v>
      </c>
      <c r="O820" s="18" t="str">
        <f>Risk_Calculation_Engine!U820</f>
        <v>High</v>
      </c>
    </row>
    <row r="821" spans="1:15" ht="15" customHeight="1" x14ac:dyDescent="0.25">
      <c r="A821" s="16">
        <v>817</v>
      </c>
      <c r="B821" s="16">
        <v>93.1</v>
      </c>
      <c r="C821" s="16">
        <v>4</v>
      </c>
      <c r="D821" s="16">
        <v>544.70000000000005</v>
      </c>
      <c r="E821" s="17">
        <f t="shared" si="12"/>
        <v>8.57</v>
      </c>
      <c r="F821" s="16">
        <v>2</v>
      </c>
      <c r="G821" s="16">
        <v>4</v>
      </c>
      <c r="H821" s="16">
        <v>2.5</v>
      </c>
      <c r="I821" s="16">
        <v>9</v>
      </c>
      <c r="J821" s="16">
        <v>472</v>
      </c>
      <c r="K821" s="16">
        <v>5.07</v>
      </c>
      <c r="L821" s="16">
        <v>54.9</v>
      </c>
      <c r="M821" s="16">
        <v>2</v>
      </c>
      <c r="N821" s="18">
        <f>IF(Risk_Calculation_Engine!U821="Low",1,IF(Risk_Calculation_Engine!U821="Medium",2,3))</f>
        <v>3</v>
      </c>
      <c r="O821" s="18" t="str">
        <f>Risk_Calculation_Engine!U821</f>
        <v>High</v>
      </c>
    </row>
    <row r="822" spans="1:15" ht="15" customHeight="1" x14ac:dyDescent="0.25">
      <c r="A822" s="16">
        <v>818</v>
      </c>
      <c r="B822" s="16">
        <v>50.3</v>
      </c>
      <c r="C822" s="16">
        <v>3</v>
      </c>
      <c r="D822" s="16">
        <v>171.2</v>
      </c>
      <c r="E822" s="17">
        <f t="shared" si="12"/>
        <v>7.24</v>
      </c>
      <c r="F822" s="16">
        <v>3</v>
      </c>
      <c r="G822" s="16">
        <v>12</v>
      </c>
      <c r="H822" s="16">
        <v>2.14</v>
      </c>
      <c r="I822" s="16">
        <v>11</v>
      </c>
      <c r="J822" s="16">
        <v>285</v>
      </c>
      <c r="K822" s="16">
        <v>5.67</v>
      </c>
      <c r="L822" s="16">
        <v>75.400000000000006</v>
      </c>
      <c r="M822" s="16">
        <v>1</v>
      </c>
      <c r="N822" s="18">
        <f>IF(Risk_Calculation_Engine!U822="Low",1,IF(Risk_Calculation_Engine!U822="Medium",2,3))</f>
        <v>3</v>
      </c>
      <c r="O822" s="18" t="str">
        <f>Risk_Calculation_Engine!U822</f>
        <v>High</v>
      </c>
    </row>
    <row r="823" spans="1:15" ht="15" customHeight="1" x14ac:dyDescent="0.25">
      <c r="A823" s="16">
        <v>819</v>
      </c>
      <c r="B823" s="16">
        <v>83.5</v>
      </c>
      <c r="C823" s="16">
        <v>1</v>
      </c>
      <c r="D823" s="16">
        <v>297.60000000000002</v>
      </c>
      <c r="E823" s="17">
        <f t="shared" si="12"/>
        <v>10.76</v>
      </c>
      <c r="F823" s="16">
        <v>2</v>
      </c>
      <c r="G823" s="16">
        <v>6</v>
      </c>
      <c r="H823" s="16">
        <v>1.68</v>
      </c>
      <c r="I823" s="16">
        <v>7</v>
      </c>
      <c r="J823" s="16">
        <v>172</v>
      </c>
      <c r="K823" s="16">
        <v>2.06</v>
      </c>
      <c r="L823" s="16">
        <v>63.9</v>
      </c>
      <c r="M823" s="16">
        <v>3</v>
      </c>
      <c r="N823" s="18">
        <f>IF(Risk_Calculation_Engine!U823="Low",1,IF(Risk_Calculation_Engine!U823="Medium",2,3))</f>
        <v>1</v>
      </c>
      <c r="O823" s="18" t="str">
        <f>Risk_Calculation_Engine!U823</f>
        <v>Low</v>
      </c>
    </row>
    <row r="824" spans="1:15" ht="15" customHeight="1" x14ac:dyDescent="0.25">
      <c r="A824" s="16">
        <v>820</v>
      </c>
      <c r="B824" s="16">
        <v>108.3</v>
      </c>
      <c r="C824" s="16">
        <v>3</v>
      </c>
      <c r="D824" s="16">
        <v>680.6</v>
      </c>
      <c r="E824" s="17">
        <f t="shared" si="12"/>
        <v>13.9</v>
      </c>
      <c r="F824" s="16">
        <v>1</v>
      </c>
      <c r="G824" s="16">
        <v>4</v>
      </c>
      <c r="H824" s="16">
        <v>1.64</v>
      </c>
      <c r="I824" s="16">
        <v>11</v>
      </c>
      <c r="J824" s="16">
        <v>615</v>
      </c>
      <c r="K824" s="16">
        <v>5.68</v>
      </c>
      <c r="L824" s="16">
        <v>68.3</v>
      </c>
      <c r="M824" s="16">
        <v>1</v>
      </c>
      <c r="N824" s="18">
        <f>IF(Risk_Calculation_Engine!U824="Low",1,IF(Risk_Calculation_Engine!U824="Medium",2,3))</f>
        <v>2</v>
      </c>
      <c r="O824" s="18" t="str">
        <f>Risk_Calculation_Engine!U824</f>
        <v>Medium</v>
      </c>
    </row>
    <row r="825" spans="1:15" ht="15" customHeight="1" x14ac:dyDescent="0.25">
      <c r="A825" s="16">
        <v>821</v>
      </c>
      <c r="B825" s="16">
        <v>149.80000000000001</v>
      </c>
      <c r="C825" s="16">
        <v>3</v>
      </c>
      <c r="D825" s="16">
        <v>682.8</v>
      </c>
      <c r="E825" s="17">
        <f t="shared" si="12"/>
        <v>19.170000000000002</v>
      </c>
      <c r="F825" s="16">
        <v>2</v>
      </c>
      <c r="G825" s="16">
        <v>6</v>
      </c>
      <c r="H825" s="16">
        <v>1.19</v>
      </c>
      <c r="I825" s="16">
        <v>7</v>
      </c>
      <c r="J825" s="16">
        <v>861</v>
      </c>
      <c r="K825" s="16">
        <v>5.75</v>
      </c>
      <c r="L825" s="16">
        <v>78.8</v>
      </c>
      <c r="M825" s="16">
        <v>3</v>
      </c>
      <c r="N825" s="18">
        <f>IF(Risk_Calculation_Engine!U825="Low",1,IF(Risk_Calculation_Engine!U825="Medium",2,3))</f>
        <v>1</v>
      </c>
      <c r="O825" s="18" t="str">
        <f>Risk_Calculation_Engine!U825</f>
        <v>Low</v>
      </c>
    </row>
    <row r="826" spans="1:15" ht="15" customHeight="1" x14ac:dyDescent="0.25">
      <c r="A826" s="16">
        <v>822</v>
      </c>
      <c r="B826" s="16">
        <v>56.5</v>
      </c>
      <c r="C826" s="16">
        <v>3</v>
      </c>
      <c r="D826" s="16">
        <v>248.7</v>
      </c>
      <c r="E826" s="17">
        <f t="shared" si="12"/>
        <v>20.23</v>
      </c>
      <c r="F826" s="16">
        <v>2</v>
      </c>
      <c r="G826" s="16">
        <v>5</v>
      </c>
      <c r="H826" s="16">
        <v>0.85</v>
      </c>
      <c r="I826" s="16">
        <v>10</v>
      </c>
      <c r="J826" s="16">
        <v>395</v>
      </c>
      <c r="K826" s="16">
        <v>6.99</v>
      </c>
      <c r="L826" s="16">
        <v>97.5</v>
      </c>
      <c r="M826" s="16">
        <v>2</v>
      </c>
      <c r="N826" s="18">
        <f>IF(Risk_Calculation_Engine!U826="Low",1,IF(Risk_Calculation_Engine!U826="Medium",2,3))</f>
        <v>1</v>
      </c>
      <c r="O826" s="18" t="str">
        <f>Risk_Calculation_Engine!U826</f>
        <v>Low</v>
      </c>
    </row>
    <row r="827" spans="1:15" ht="15" customHeight="1" x14ac:dyDescent="0.25">
      <c r="A827" s="16">
        <v>823</v>
      </c>
      <c r="B827" s="16">
        <v>144.19999999999999</v>
      </c>
      <c r="C827" s="16">
        <v>4</v>
      </c>
      <c r="D827" s="16">
        <v>1224.8</v>
      </c>
      <c r="E827" s="17">
        <f t="shared" si="12"/>
        <v>17.34</v>
      </c>
      <c r="F827" s="16">
        <v>1</v>
      </c>
      <c r="G827" s="16">
        <v>7</v>
      </c>
      <c r="H827" s="16">
        <v>1.55</v>
      </c>
      <c r="I827" s="16">
        <v>13</v>
      </c>
      <c r="J827" s="16">
        <v>1940</v>
      </c>
      <c r="K827" s="16">
        <v>13.45</v>
      </c>
      <c r="L827" s="16">
        <v>55.2</v>
      </c>
      <c r="M827" s="16">
        <v>1</v>
      </c>
      <c r="N827" s="18">
        <f>IF(Risk_Calculation_Engine!U827="Low",1,IF(Risk_Calculation_Engine!U827="Medium",2,3))</f>
        <v>3</v>
      </c>
      <c r="O827" s="18" t="str">
        <f>Risk_Calculation_Engine!U827</f>
        <v>High</v>
      </c>
    </row>
    <row r="828" spans="1:15" ht="15" customHeight="1" x14ac:dyDescent="0.25">
      <c r="A828" s="16">
        <v>824</v>
      </c>
      <c r="B828" s="16">
        <v>73.7</v>
      </c>
      <c r="C828" s="16">
        <v>3</v>
      </c>
      <c r="D828" s="16">
        <v>379.4</v>
      </c>
      <c r="E828" s="17">
        <f t="shared" si="12"/>
        <v>7.74</v>
      </c>
      <c r="F828" s="16">
        <v>2</v>
      </c>
      <c r="G828" s="16">
        <v>5</v>
      </c>
      <c r="H828" s="16">
        <v>2.5</v>
      </c>
      <c r="I828" s="16">
        <v>8</v>
      </c>
      <c r="J828" s="16">
        <v>383</v>
      </c>
      <c r="K828" s="16">
        <v>5.2</v>
      </c>
      <c r="L828" s="16">
        <v>68.099999999999994</v>
      </c>
      <c r="M828" s="16">
        <v>1</v>
      </c>
      <c r="N828" s="18">
        <f>IF(Risk_Calculation_Engine!U828="Low",1,IF(Risk_Calculation_Engine!U828="Medium",2,3))</f>
        <v>2</v>
      </c>
      <c r="O828" s="18" t="str">
        <f>Risk_Calculation_Engine!U828</f>
        <v>Medium</v>
      </c>
    </row>
    <row r="829" spans="1:15" ht="15" customHeight="1" x14ac:dyDescent="0.25">
      <c r="A829" s="16">
        <v>825</v>
      </c>
      <c r="B829" s="16">
        <v>77.099999999999994</v>
      </c>
      <c r="C829" s="16">
        <v>2</v>
      </c>
      <c r="D829" s="16">
        <v>314.10000000000002</v>
      </c>
      <c r="E829" s="17">
        <f t="shared" si="12"/>
        <v>7.34</v>
      </c>
      <c r="F829" s="16">
        <v>2</v>
      </c>
      <c r="G829" s="16">
        <v>7</v>
      </c>
      <c r="H829" s="16">
        <v>2.5</v>
      </c>
      <c r="I829" s="16">
        <v>8</v>
      </c>
      <c r="J829" s="16">
        <v>398</v>
      </c>
      <c r="K829" s="16">
        <v>5.16</v>
      </c>
      <c r="L829" s="16">
        <v>72.599999999999994</v>
      </c>
      <c r="M829" s="16">
        <v>2</v>
      </c>
      <c r="N829" s="18">
        <f>IF(Risk_Calculation_Engine!U829="Low",1,IF(Risk_Calculation_Engine!U829="Medium",2,3))</f>
        <v>3</v>
      </c>
      <c r="O829" s="18" t="str">
        <f>Risk_Calculation_Engine!U829</f>
        <v>High</v>
      </c>
    </row>
    <row r="830" spans="1:15" ht="15" customHeight="1" x14ac:dyDescent="0.25">
      <c r="A830" s="16">
        <v>826</v>
      </c>
      <c r="B830" s="16">
        <v>57.2</v>
      </c>
      <c r="C830" s="16">
        <v>1</v>
      </c>
      <c r="D830" s="16">
        <v>132.5</v>
      </c>
      <c r="E830" s="17">
        <f t="shared" si="12"/>
        <v>16.02</v>
      </c>
      <c r="F830" s="16">
        <v>3</v>
      </c>
      <c r="G830" s="16">
        <v>4</v>
      </c>
      <c r="H830" s="16">
        <v>0.9</v>
      </c>
      <c r="I830" s="16">
        <v>7</v>
      </c>
      <c r="J830" s="16">
        <v>64</v>
      </c>
      <c r="K830" s="16">
        <v>1.1200000000000001</v>
      </c>
      <c r="L830" s="16">
        <v>78.900000000000006</v>
      </c>
      <c r="M830" s="16">
        <v>3</v>
      </c>
      <c r="N830" s="18">
        <f>IF(Risk_Calculation_Engine!U830="Low",1,IF(Risk_Calculation_Engine!U830="Medium",2,3))</f>
        <v>1</v>
      </c>
      <c r="O830" s="18" t="str">
        <f>Risk_Calculation_Engine!U830</f>
        <v>Low</v>
      </c>
    </row>
    <row r="831" spans="1:15" ht="15" customHeight="1" x14ac:dyDescent="0.25">
      <c r="A831" s="16">
        <v>827</v>
      </c>
      <c r="B831" s="16">
        <v>68.7</v>
      </c>
      <c r="C831" s="16">
        <v>2</v>
      </c>
      <c r="D831" s="16">
        <v>391.1</v>
      </c>
      <c r="E831" s="17">
        <f t="shared" si="12"/>
        <v>7.81</v>
      </c>
      <c r="F831" s="16">
        <v>1</v>
      </c>
      <c r="G831" s="16">
        <v>3</v>
      </c>
      <c r="H831" s="16">
        <v>2.5</v>
      </c>
      <c r="I831" s="16">
        <v>12</v>
      </c>
      <c r="J831" s="16">
        <v>269</v>
      </c>
      <c r="K831" s="16">
        <v>3.92</v>
      </c>
      <c r="L831" s="16">
        <v>68.599999999999994</v>
      </c>
      <c r="M831" s="16">
        <v>2</v>
      </c>
      <c r="N831" s="18">
        <f>IF(Risk_Calculation_Engine!U831="Low",1,IF(Risk_Calculation_Engine!U831="Medium",2,3))</f>
        <v>2</v>
      </c>
      <c r="O831" s="18" t="str">
        <f>Risk_Calculation_Engine!U831</f>
        <v>Medium</v>
      </c>
    </row>
    <row r="832" spans="1:15" ht="15" customHeight="1" x14ac:dyDescent="0.25">
      <c r="A832" s="16">
        <v>828</v>
      </c>
      <c r="B832" s="16">
        <v>50.7</v>
      </c>
      <c r="C832" s="16">
        <v>2</v>
      </c>
      <c r="D832" s="16">
        <v>278.3</v>
      </c>
      <c r="E832" s="17">
        <f t="shared" si="12"/>
        <v>9.1999999999999993</v>
      </c>
      <c r="F832" s="16">
        <v>1</v>
      </c>
      <c r="G832" s="16">
        <v>4</v>
      </c>
      <c r="H832" s="16">
        <v>1.93</v>
      </c>
      <c r="I832" s="16">
        <v>10</v>
      </c>
      <c r="J832" s="16">
        <v>178</v>
      </c>
      <c r="K832" s="16">
        <v>3.51</v>
      </c>
      <c r="L832" s="16">
        <v>68.099999999999994</v>
      </c>
      <c r="M832" s="16">
        <v>2</v>
      </c>
      <c r="N832" s="18">
        <f>IF(Risk_Calculation_Engine!U832="Low",1,IF(Risk_Calculation_Engine!U832="Medium",2,3))</f>
        <v>2</v>
      </c>
      <c r="O832" s="18" t="str">
        <f>Risk_Calculation_Engine!U832</f>
        <v>Medium</v>
      </c>
    </row>
    <row r="833" spans="1:15" ht="15" customHeight="1" x14ac:dyDescent="0.25">
      <c r="A833" s="16">
        <v>829</v>
      </c>
      <c r="B833" s="16">
        <v>126.8</v>
      </c>
      <c r="C833" s="16">
        <v>4</v>
      </c>
      <c r="D833" s="16">
        <v>654.29999999999995</v>
      </c>
      <c r="E833" s="17">
        <f t="shared" si="12"/>
        <v>12.25</v>
      </c>
      <c r="F833" s="16">
        <v>2</v>
      </c>
      <c r="G833" s="16">
        <v>11</v>
      </c>
      <c r="H833" s="16">
        <v>1.84</v>
      </c>
      <c r="I833" s="16">
        <v>9</v>
      </c>
      <c r="J833" s="16">
        <v>1225</v>
      </c>
      <c r="K833" s="16">
        <v>9.66</v>
      </c>
      <c r="L833" s="16">
        <v>79.3</v>
      </c>
      <c r="M833" s="16">
        <v>1</v>
      </c>
      <c r="N833" s="18">
        <f>IF(Risk_Calculation_Engine!U833="Low",1,IF(Risk_Calculation_Engine!U833="Medium",2,3))</f>
        <v>3</v>
      </c>
      <c r="O833" s="18" t="str">
        <f>Risk_Calculation_Engine!U833</f>
        <v>High</v>
      </c>
    </row>
    <row r="834" spans="1:15" ht="15" customHeight="1" x14ac:dyDescent="0.25">
      <c r="A834" s="16">
        <v>830</v>
      </c>
      <c r="B834" s="16">
        <v>31.6</v>
      </c>
      <c r="C834" s="16">
        <v>2</v>
      </c>
      <c r="D834" s="16">
        <v>153.19999999999999</v>
      </c>
      <c r="E834" s="17">
        <f t="shared" si="12"/>
        <v>6.01</v>
      </c>
      <c r="F834" s="16">
        <v>1</v>
      </c>
      <c r="G834" s="16">
        <v>7</v>
      </c>
      <c r="H834" s="16">
        <v>2.5</v>
      </c>
      <c r="I834" s="16">
        <v>3</v>
      </c>
      <c r="J834" s="16">
        <v>75</v>
      </c>
      <c r="K834" s="16">
        <v>2.37</v>
      </c>
      <c r="L834" s="16">
        <v>32.5</v>
      </c>
      <c r="M834" s="16">
        <v>3</v>
      </c>
      <c r="N834" s="18">
        <f>IF(Risk_Calculation_Engine!U834="Low",1,IF(Risk_Calculation_Engine!U834="Medium",2,3))</f>
        <v>2</v>
      </c>
      <c r="O834" s="18" t="str">
        <f>Risk_Calculation_Engine!U834</f>
        <v>Medium</v>
      </c>
    </row>
    <row r="835" spans="1:15" ht="15" customHeight="1" x14ac:dyDescent="0.25">
      <c r="A835" s="16">
        <v>831</v>
      </c>
      <c r="B835" s="16">
        <v>12.5</v>
      </c>
      <c r="C835" s="16">
        <v>5</v>
      </c>
      <c r="D835" s="16">
        <v>56.4</v>
      </c>
      <c r="E835" s="17">
        <f t="shared" si="12"/>
        <v>4.91</v>
      </c>
      <c r="F835" s="16">
        <v>2</v>
      </c>
      <c r="G835" s="16">
        <v>5</v>
      </c>
      <c r="H835" s="16">
        <v>2.31</v>
      </c>
      <c r="I835" s="16">
        <v>4</v>
      </c>
      <c r="J835" s="16">
        <v>144</v>
      </c>
      <c r="K835" s="16">
        <v>11.52</v>
      </c>
      <c r="L835" s="16">
        <v>68</v>
      </c>
      <c r="M835" s="16">
        <v>3</v>
      </c>
      <c r="N835" s="18">
        <f>IF(Risk_Calculation_Engine!U835="Low",1,IF(Risk_Calculation_Engine!U835="Medium",2,3))</f>
        <v>3</v>
      </c>
      <c r="O835" s="18" t="str">
        <f>Risk_Calculation_Engine!U835</f>
        <v>High</v>
      </c>
    </row>
    <row r="836" spans="1:15" ht="15" customHeight="1" x14ac:dyDescent="0.25">
      <c r="A836" s="16">
        <v>832</v>
      </c>
      <c r="B836" s="16">
        <v>38.1</v>
      </c>
      <c r="C836" s="16">
        <v>2</v>
      </c>
      <c r="D836" s="16">
        <v>101.8</v>
      </c>
      <c r="E836" s="17">
        <f t="shared" si="12"/>
        <v>12.88</v>
      </c>
      <c r="F836" s="16">
        <v>3</v>
      </c>
      <c r="G836" s="16">
        <v>6</v>
      </c>
      <c r="H836" s="16">
        <v>1.04</v>
      </c>
      <c r="I836" s="16">
        <v>3</v>
      </c>
      <c r="J836" s="16">
        <v>121</v>
      </c>
      <c r="K836" s="16">
        <v>3.18</v>
      </c>
      <c r="L836" s="16">
        <v>43.3</v>
      </c>
      <c r="M836" s="16">
        <v>2</v>
      </c>
      <c r="N836" s="18">
        <f>IF(Risk_Calculation_Engine!U836="Low",1,IF(Risk_Calculation_Engine!U836="Medium",2,3))</f>
        <v>1</v>
      </c>
      <c r="O836" s="18" t="str">
        <f>Risk_Calculation_Engine!U836</f>
        <v>Low</v>
      </c>
    </row>
    <row r="837" spans="1:15" ht="15" customHeight="1" x14ac:dyDescent="0.25">
      <c r="A837" s="16">
        <v>833</v>
      </c>
      <c r="B837" s="16">
        <v>34.5</v>
      </c>
      <c r="C837" s="16">
        <v>2</v>
      </c>
      <c r="D837" s="16">
        <v>185.6</v>
      </c>
      <c r="E837" s="17">
        <f t="shared" ref="E837:E900" si="13">ROUND(3.67*D837^0.28/H837,2)</f>
        <v>13.9</v>
      </c>
      <c r="F837" s="16">
        <v>1</v>
      </c>
      <c r="G837" s="16">
        <v>2</v>
      </c>
      <c r="H837" s="16">
        <v>1.1399999999999999</v>
      </c>
      <c r="I837" s="16">
        <v>14</v>
      </c>
      <c r="J837" s="16">
        <v>107</v>
      </c>
      <c r="K837" s="16">
        <v>3.1</v>
      </c>
      <c r="L837" s="16">
        <v>80.599999999999994</v>
      </c>
      <c r="M837" s="16">
        <v>3</v>
      </c>
      <c r="N837" s="18">
        <f>IF(Risk_Calculation_Engine!U837="Low",1,IF(Risk_Calculation_Engine!U837="Medium",2,3))</f>
        <v>1</v>
      </c>
      <c r="O837" s="18" t="str">
        <f>Risk_Calculation_Engine!U837</f>
        <v>Low</v>
      </c>
    </row>
    <row r="838" spans="1:15" ht="15" customHeight="1" x14ac:dyDescent="0.25">
      <c r="A838" s="16">
        <v>834</v>
      </c>
      <c r="B838" s="16">
        <v>38.1</v>
      </c>
      <c r="C838" s="16">
        <v>5</v>
      </c>
      <c r="D838" s="16">
        <v>203.9</v>
      </c>
      <c r="E838" s="17">
        <f t="shared" si="13"/>
        <v>19.600000000000001</v>
      </c>
      <c r="F838" s="16">
        <v>2</v>
      </c>
      <c r="G838" s="16">
        <v>6</v>
      </c>
      <c r="H838" s="16">
        <v>0.83</v>
      </c>
      <c r="I838" s="16">
        <v>14</v>
      </c>
      <c r="J838" s="16">
        <v>607</v>
      </c>
      <c r="K838" s="16">
        <v>15.93</v>
      </c>
      <c r="L838" s="16">
        <v>52.4</v>
      </c>
      <c r="M838" s="16">
        <v>2</v>
      </c>
      <c r="N838" s="18">
        <f>IF(Risk_Calculation_Engine!U838="Low",1,IF(Risk_Calculation_Engine!U838="Medium",2,3))</f>
        <v>1</v>
      </c>
      <c r="O838" s="18" t="str">
        <f>Risk_Calculation_Engine!U838</f>
        <v>Low</v>
      </c>
    </row>
    <row r="839" spans="1:15" ht="15" customHeight="1" x14ac:dyDescent="0.25">
      <c r="A839" s="16">
        <v>835</v>
      </c>
      <c r="B839" s="16">
        <v>54.7</v>
      </c>
      <c r="C839" s="16">
        <v>3</v>
      </c>
      <c r="D839" s="16">
        <v>186.7</v>
      </c>
      <c r="E839" s="17">
        <f t="shared" si="13"/>
        <v>8.82</v>
      </c>
      <c r="F839" s="16">
        <v>3</v>
      </c>
      <c r="G839" s="16">
        <v>9</v>
      </c>
      <c r="H839" s="16">
        <v>1.8</v>
      </c>
      <c r="I839" s="16">
        <v>3</v>
      </c>
      <c r="J839" s="16">
        <v>314</v>
      </c>
      <c r="K839" s="16">
        <v>5.74</v>
      </c>
      <c r="L839" s="16">
        <v>49.6</v>
      </c>
      <c r="M839" s="16">
        <v>2</v>
      </c>
      <c r="N839" s="18">
        <f>IF(Risk_Calculation_Engine!U839="Low",1,IF(Risk_Calculation_Engine!U839="Medium",2,3))</f>
        <v>2</v>
      </c>
      <c r="O839" s="18" t="str">
        <f>Risk_Calculation_Engine!U839</f>
        <v>Medium</v>
      </c>
    </row>
    <row r="840" spans="1:15" ht="15" customHeight="1" x14ac:dyDescent="0.25">
      <c r="A840" s="16">
        <v>836</v>
      </c>
      <c r="B840" s="16">
        <v>38.200000000000003</v>
      </c>
      <c r="C840" s="16">
        <v>3</v>
      </c>
      <c r="D840" s="16">
        <v>153.30000000000001</v>
      </c>
      <c r="E840" s="17">
        <f t="shared" si="13"/>
        <v>13.91</v>
      </c>
      <c r="F840" s="16">
        <v>2</v>
      </c>
      <c r="G840" s="16">
        <v>5</v>
      </c>
      <c r="H840" s="16">
        <v>1.08</v>
      </c>
      <c r="I840" s="16">
        <v>3</v>
      </c>
      <c r="J840" s="16">
        <v>165</v>
      </c>
      <c r="K840" s="16">
        <v>4.32</v>
      </c>
      <c r="L840" s="16">
        <v>69.7</v>
      </c>
      <c r="M840" s="16">
        <v>2</v>
      </c>
      <c r="N840" s="18">
        <f>IF(Risk_Calculation_Engine!U840="Low",1,IF(Risk_Calculation_Engine!U840="Medium",2,3))</f>
        <v>1</v>
      </c>
      <c r="O840" s="18" t="str">
        <f>Risk_Calculation_Engine!U840</f>
        <v>Low</v>
      </c>
    </row>
    <row r="841" spans="1:15" ht="15" customHeight="1" x14ac:dyDescent="0.25">
      <c r="A841" s="16">
        <v>837</v>
      </c>
      <c r="B841" s="16">
        <v>54</v>
      </c>
      <c r="C841" s="16">
        <v>5</v>
      </c>
      <c r="D841" s="16">
        <v>283.5</v>
      </c>
      <c r="E841" s="17">
        <f t="shared" si="13"/>
        <v>14.16</v>
      </c>
      <c r="F841" s="16">
        <v>2</v>
      </c>
      <c r="G841" s="16">
        <v>5</v>
      </c>
      <c r="H841" s="16">
        <v>1.26</v>
      </c>
      <c r="I841" s="16">
        <v>13</v>
      </c>
      <c r="J841" s="16">
        <v>1088</v>
      </c>
      <c r="K841" s="16">
        <v>20.149999999999999</v>
      </c>
      <c r="L841" s="16">
        <v>47.5</v>
      </c>
      <c r="M841" s="16">
        <v>1</v>
      </c>
      <c r="N841" s="18">
        <f>IF(Risk_Calculation_Engine!U841="Low",1,IF(Risk_Calculation_Engine!U841="Medium",2,3))</f>
        <v>2</v>
      </c>
      <c r="O841" s="18" t="str">
        <f>Risk_Calculation_Engine!U841</f>
        <v>Medium</v>
      </c>
    </row>
    <row r="842" spans="1:15" ht="15" customHeight="1" x14ac:dyDescent="0.25">
      <c r="A842" s="16">
        <v>838</v>
      </c>
      <c r="B842" s="16">
        <v>38.299999999999997</v>
      </c>
      <c r="C842" s="16">
        <v>5</v>
      </c>
      <c r="D842" s="16">
        <v>233</v>
      </c>
      <c r="E842" s="17">
        <f t="shared" si="13"/>
        <v>6.75</v>
      </c>
      <c r="F842" s="16">
        <v>2</v>
      </c>
      <c r="G842" s="16">
        <v>8</v>
      </c>
      <c r="H842" s="16">
        <v>2.5</v>
      </c>
      <c r="I842" s="16">
        <v>9</v>
      </c>
      <c r="J842" s="16">
        <v>604</v>
      </c>
      <c r="K842" s="16">
        <v>15.77</v>
      </c>
      <c r="L842" s="16">
        <v>45.7</v>
      </c>
      <c r="M842" s="16">
        <v>1</v>
      </c>
      <c r="N842" s="18">
        <f>IF(Risk_Calculation_Engine!U842="Low",1,IF(Risk_Calculation_Engine!U842="Medium",2,3))</f>
        <v>3</v>
      </c>
      <c r="O842" s="18" t="str">
        <f>Risk_Calculation_Engine!U842</f>
        <v>High</v>
      </c>
    </row>
    <row r="843" spans="1:15" ht="15" customHeight="1" x14ac:dyDescent="0.25">
      <c r="A843" s="16">
        <v>839</v>
      </c>
      <c r="B843" s="16">
        <v>84.9</v>
      </c>
      <c r="C843" s="16">
        <v>4</v>
      </c>
      <c r="D843" s="16">
        <v>639.79999999999995</v>
      </c>
      <c r="E843" s="17">
        <f t="shared" si="13"/>
        <v>11.73</v>
      </c>
      <c r="F843" s="16">
        <v>1</v>
      </c>
      <c r="G843" s="16">
        <v>4</v>
      </c>
      <c r="H843" s="16">
        <v>1.91</v>
      </c>
      <c r="I843" s="16">
        <v>7</v>
      </c>
      <c r="J843" s="16">
        <v>476</v>
      </c>
      <c r="K843" s="16">
        <v>5.61</v>
      </c>
      <c r="L843" s="16">
        <v>28</v>
      </c>
      <c r="M843" s="16">
        <v>3</v>
      </c>
      <c r="N843" s="18">
        <f>IF(Risk_Calculation_Engine!U843="Low",1,IF(Risk_Calculation_Engine!U843="Medium",2,3))</f>
        <v>3</v>
      </c>
      <c r="O843" s="18" t="str">
        <f>Risk_Calculation_Engine!U843</f>
        <v>High</v>
      </c>
    </row>
    <row r="844" spans="1:15" ht="15" customHeight="1" x14ac:dyDescent="0.25">
      <c r="A844" s="16">
        <v>840</v>
      </c>
      <c r="B844" s="16">
        <v>149.80000000000001</v>
      </c>
      <c r="C844" s="16">
        <v>1</v>
      </c>
      <c r="D844" s="16">
        <v>797</v>
      </c>
      <c r="E844" s="17">
        <f t="shared" si="13"/>
        <v>12.35</v>
      </c>
      <c r="F844" s="16">
        <v>1</v>
      </c>
      <c r="G844" s="16">
        <v>5</v>
      </c>
      <c r="H844" s="16">
        <v>1.93</v>
      </c>
      <c r="I844" s="16">
        <v>10</v>
      </c>
      <c r="J844" s="16">
        <v>223</v>
      </c>
      <c r="K844" s="16">
        <v>1.49</v>
      </c>
      <c r="L844" s="16">
        <v>73.2</v>
      </c>
      <c r="M844" s="16">
        <v>3</v>
      </c>
      <c r="N844" s="18">
        <f>IF(Risk_Calculation_Engine!U844="Low",1,IF(Risk_Calculation_Engine!U844="Medium",2,3))</f>
        <v>3</v>
      </c>
      <c r="O844" s="18" t="str">
        <f>Risk_Calculation_Engine!U844</f>
        <v>High</v>
      </c>
    </row>
    <row r="845" spans="1:15" ht="15" customHeight="1" x14ac:dyDescent="0.25">
      <c r="A845" s="16">
        <v>841</v>
      </c>
      <c r="B845" s="16">
        <v>72.5</v>
      </c>
      <c r="C845" s="16">
        <v>4</v>
      </c>
      <c r="D845" s="16">
        <v>403.3</v>
      </c>
      <c r="E845" s="17">
        <f t="shared" si="13"/>
        <v>7.88</v>
      </c>
      <c r="F845" s="16">
        <v>2</v>
      </c>
      <c r="G845" s="16">
        <v>3</v>
      </c>
      <c r="H845" s="16">
        <v>2.5</v>
      </c>
      <c r="I845" s="16">
        <v>6</v>
      </c>
      <c r="J845" s="16">
        <v>769</v>
      </c>
      <c r="K845" s="16">
        <v>10.61</v>
      </c>
      <c r="L845" s="16">
        <v>86.6</v>
      </c>
      <c r="M845" s="16">
        <v>2</v>
      </c>
      <c r="N845" s="18">
        <f>IF(Risk_Calculation_Engine!U845="Low",1,IF(Risk_Calculation_Engine!U845="Medium",2,3))</f>
        <v>2</v>
      </c>
      <c r="O845" s="18" t="str">
        <f>Risk_Calculation_Engine!U845</f>
        <v>Medium</v>
      </c>
    </row>
    <row r="846" spans="1:15" ht="15" customHeight="1" x14ac:dyDescent="0.25">
      <c r="A846" s="16">
        <v>842</v>
      </c>
      <c r="B846" s="16">
        <v>39.799999999999997</v>
      </c>
      <c r="C846" s="16">
        <v>5</v>
      </c>
      <c r="D846" s="16">
        <v>248.2</v>
      </c>
      <c r="E846" s="17">
        <f t="shared" si="13"/>
        <v>24.55</v>
      </c>
      <c r="F846" s="16">
        <v>2</v>
      </c>
      <c r="G846" s="16">
        <v>7</v>
      </c>
      <c r="H846" s="16">
        <v>0.7</v>
      </c>
      <c r="I846" s="16">
        <v>5</v>
      </c>
      <c r="J846" s="16">
        <v>793</v>
      </c>
      <c r="K846" s="16">
        <v>19.920000000000002</v>
      </c>
      <c r="L846" s="16">
        <v>97.8</v>
      </c>
      <c r="M846" s="16">
        <v>1</v>
      </c>
      <c r="N846" s="18">
        <f>IF(Risk_Calculation_Engine!U846="Low",1,IF(Risk_Calculation_Engine!U846="Medium",2,3))</f>
        <v>2</v>
      </c>
      <c r="O846" s="18" t="str">
        <f>Risk_Calculation_Engine!U846</f>
        <v>Medium</v>
      </c>
    </row>
    <row r="847" spans="1:15" ht="15" customHeight="1" x14ac:dyDescent="0.25">
      <c r="A847" s="16">
        <v>843</v>
      </c>
      <c r="B847" s="16">
        <v>2.9</v>
      </c>
      <c r="C847" s="16">
        <v>5</v>
      </c>
      <c r="D847" s="16">
        <v>15.6</v>
      </c>
      <c r="E847" s="17">
        <f t="shared" si="13"/>
        <v>7.2</v>
      </c>
      <c r="F847" s="16">
        <v>1</v>
      </c>
      <c r="G847" s="16">
        <v>7</v>
      </c>
      <c r="H847" s="16">
        <v>1.1000000000000001</v>
      </c>
      <c r="I847" s="16">
        <v>7</v>
      </c>
      <c r="J847" s="16">
        <v>68</v>
      </c>
      <c r="K847" s="16">
        <v>23.45</v>
      </c>
      <c r="L847" s="16">
        <v>48.1</v>
      </c>
      <c r="M847" s="16">
        <v>1</v>
      </c>
      <c r="N847" s="18">
        <f>IF(Risk_Calculation_Engine!U847="Low",1,IF(Risk_Calculation_Engine!U847="Medium",2,3))</f>
        <v>3</v>
      </c>
      <c r="O847" s="18" t="str">
        <f>Risk_Calculation_Engine!U847</f>
        <v>High</v>
      </c>
    </row>
    <row r="848" spans="1:15" ht="15" customHeight="1" x14ac:dyDescent="0.25">
      <c r="A848" s="16">
        <v>844</v>
      </c>
      <c r="B848" s="16">
        <v>149.80000000000001</v>
      </c>
      <c r="C848" s="16">
        <v>2</v>
      </c>
      <c r="D848" s="16">
        <v>895.1</v>
      </c>
      <c r="E848" s="17">
        <f t="shared" si="13"/>
        <v>18.23</v>
      </c>
      <c r="F848" s="16">
        <v>1</v>
      </c>
      <c r="G848" s="16">
        <v>5</v>
      </c>
      <c r="H848" s="16">
        <v>1.35</v>
      </c>
      <c r="I848" s="16">
        <v>14</v>
      </c>
      <c r="J848" s="16">
        <v>447</v>
      </c>
      <c r="K848" s="16">
        <v>2.98</v>
      </c>
      <c r="L848" s="16">
        <v>81.2</v>
      </c>
      <c r="M848" s="16">
        <v>2</v>
      </c>
      <c r="N848" s="18">
        <f>IF(Risk_Calculation_Engine!U848="Low",1,IF(Risk_Calculation_Engine!U848="Medium",2,3))</f>
        <v>2</v>
      </c>
      <c r="O848" s="18" t="str">
        <f>Risk_Calculation_Engine!U848</f>
        <v>Medium</v>
      </c>
    </row>
    <row r="849" spans="1:15" ht="15" customHeight="1" x14ac:dyDescent="0.25">
      <c r="A849" s="16">
        <v>845</v>
      </c>
      <c r="B849" s="16">
        <v>75.8</v>
      </c>
      <c r="C849" s="16">
        <v>3</v>
      </c>
      <c r="D849" s="16">
        <v>246.7</v>
      </c>
      <c r="E849" s="17">
        <f t="shared" si="13"/>
        <v>15.18</v>
      </c>
      <c r="F849" s="16">
        <v>3</v>
      </c>
      <c r="G849" s="16">
        <v>5</v>
      </c>
      <c r="H849" s="16">
        <v>1.1299999999999999</v>
      </c>
      <c r="I849" s="16">
        <v>12</v>
      </c>
      <c r="J849" s="16">
        <v>483</v>
      </c>
      <c r="K849" s="16">
        <v>6.37</v>
      </c>
      <c r="L849" s="16">
        <v>53.4</v>
      </c>
      <c r="M849" s="16">
        <v>2</v>
      </c>
      <c r="N849" s="18">
        <f>IF(Risk_Calculation_Engine!U849="Low",1,IF(Risk_Calculation_Engine!U849="Medium",2,3))</f>
        <v>1</v>
      </c>
      <c r="O849" s="18" t="str">
        <f>Risk_Calculation_Engine!U849</f>
        <v>Low</v>
      </c>
    </row>
    <row r="850" spans="1:15" ht="15" customHeight="1" x14ac:dyDescent="0.25">
      <c r="A850" s="16">
        <v>846</v>
      </c>
      <c r="B850" s="16">
        <v>53.6</v>
      </c>
      <c r="C850" s="16">
        <v>3</v>
      </c>
      <c r="D850" s="16">
        <v>344.9</v>
      </c>
      <c r="E850" s="17">
        <f t="shared" si="13"/>
        <v>8.4499999999999993</v>
      </c>
      <c r="F850" s="16">
        <v>1</v>
      </c>
      <c r="G850" s="16">
        <v>7</v>
      </c>
      <c r="H850" s="16">
        <v>2.23</v>
      </c>
      <c r="I850" s="16">
        <v>5</v>
      </c>
      <c r="J850" s="16">
        <v>314</v>
      </c>
      <c r="K850" s="16">
        <v>5.86</v>
      </c>
      <c r="L850" s="16">
        <v>34.200000000000003</v>
      </c>
      <c r="M850" s="16">
        <v>1</v>
      </c>
      <c r="N850" s="18">
        <f>IF(Risk_Calculation_Engine!U850="Low",1,IF(Risk_Calculation_Engine!U850="Medium",2,3))</f>
        <v>3</v>
      </c>
      <c r="O850" s="18" t="str">
        <f>Risk_Calculation_Engine!U850</f>
        <v>High</v>
      </c>
    </row>
    <row r="851" spans="1:15" ht="15" customHeight="1" x14ac:dyDescent="0.25">
      <c r="A851" s="16">
        <v>847</v>
      </c>
      <c r="B851" s="16">
        <v>3.2</v>
      </c>
      <c r="C851" s="16">
        <v>2</v>
      </c>
      <c r="D851" s="16">
        <v>9.4</v>
      </c>
      <c r="E851" s="17">
        <f t="shared" si="13"/>
        <v>4.84</v>
      </c>
      <c r="F851" s="16">
        <v>2</v>
      </c>
      <c r="G851" s="16">
        <v>6</v>
      </c>
      <c r="H851" s="16">
        <v>1.42</v>
      </c>
      <c r="I851" s="16">
        <v>10</v>
      </c>
      <c r="J851" s="16">
        <v>17</v>
      </c>
      <c r="K851" s="16">
        <v>5.31</v>
      </c>
      <c r="L851" s="16">
        <v>70.400000000000006</v>
      </c>
      <c r="M851" s="16">
        <v>1</v>
      </c>
      <c r="N851" s="18">
        <f>IF(Risk_Calculation_Engine!U851="Low",1,IF(Risk_Calculation_Engine!U851="Medium",2,3))</f>
        <v>1</v>
      </c>
      <c r="O851" s="18" t="str">
        <f>Risk_Calculation_Engine!U851</f>
        <v>Low</v>
      </c>
    </row>
    <row r="852" spans="1:15" ht="15" customHeight="1" x14ac:dyDescent="0.25">
      <c r="A852" s="16">
        <v>848</v>
      </c>
      <c r="B852" s="16">
        <v>56</v>
      </c>
      <c r="C852" s="16">
        <v>4</v>
      </c>
      <c r="D852" s="16">
        <v>249.6</v>
      </c>
      <c r="E852" s="17">
        <f t="shared" si="13"/>
        <v>17.21</v>
      </c>
      <c r="F852" s="16">
        <v>2</v>
      </c>
      <c r="G852" s="16">
        <v>6</v>
      </c>
      <c r="H852" s="16">
        <v>1</v>
      </c>
      <c r="I852" s="16">
        <v>14</v>
      </c>
      <c r="J852" s="16">
        <v>689</v>
      </c>
      <c r="K852" s="16">
        <v>12.3</v>
      </c>
      <c r="L852" s="16">
        <v>90.9</v>
      </c>
      <c r="M852" s="16">
        <v>3</v>
      </c>
      <c r="N852" s="18">
        <f>IF(Risk_Calculation_Engine!U852="Low",1,IF(Risk_Calculation_Engine!U852="Medium",2,3))</f>
        <v>1</v>
      </c>
      <c r="O852" s="18" t="str">
        <f>Risk_Calculation_Engine!U852</f>
        <v>Low</v>
      </c>
    </row>
    <row r="853" spans="1:15" ht="15" customHeight="1" x14ac:dyDescent="0.25">
      <c r="A853" s="16">
        <v>849</v>
      </c>
      <c r="B853" s="16">
        <v>68.3</v>
      </c>
      <c r="C853" s="16">
        <v>3</v>
      </c>
      <c r="D853" s="16">
        <v>309.39999999999998</v>
      </c>
      <c r="E853" s="17">
        <f t="shared" si="13"/>
        <v>10.51</v>
      </c>
      <c r="F853" s="16">
        <v>2</v>
      </c>
      <c r="G853" s="16">
        <v>4</v>
      </c>
      <c r="H853" s="16">
        <v>1.74</v>
      </c>
      <c r="I853" s="16">
        <v>15</v>
      </c>
      <c r="J853" s="16">
        <v>259</v>
      </c>
      <c r="K853" s="16">
        <v>3.79</v>
      </c>
      <c r="L853" s="16">
        <v>37.299999999999997</v>
      </c>
      <c r="M853" s="16">
        <v>1</v>
      </c>
      <c r="N853" s="18">
        <f>IF(Risk_Calculation_Engine!U853="Low",1,IF(Risk_Calculation_Engine!U853="Medium",2,3))</f>
        <v>1</v>
      </c>
      <c r="O853" s="18" t="str">
        <f>Risk_Calculation_Engine!U853</f>
        <v>Low</v>
      </c>
    </row>
    <row r="854" spans="1:15" ht="15" customHeight="1" x14ac:dyDescent="0.25">
      <c r="A854" s="16">
        <v>850</v>
      </c>
      <c r="B854" s="16">
        <v>38.4</v>
      </c>
      <c r="C854" s="16">
        <v>3</v>
      </c>
      <c r="D854" s="16">
        <v>238.8</v>
      </c>
      <c r="E854" s="17">
        <f t="shared" si="13"/>
        <v>9.14</v>
      </c>
      <c r="F854" s="16">
        <v>1</v>
      </c>
      <c r="G854" s="16">
        <v>4</v>
      </c>
      <c r="H854" s="16">
        <v>1.86</v>
      </c>
      <c r="I854" s="16">
        <v>12</v>
      </c>
      <c r="J854" s="16">
        <v>336</v>
      </c>
      <c r="K854" s="16">
        <v>8.75</v>
      </c>
      <c r="L854" s="16">
        <v>64.400000000000006</v>
      </c>
      <c r="M854" s="16">
        <v>2</v>
      </c>
      <c r="N854" s="18">
        <f>IF(Risk_Calculation_Engine!U854="Low",1,IF(Risk_Calculation_Engine!U854="Medium",2,3))</f>
        <v>2</v>
      </c>
      <c r="O854" s="18" t="str">
        <f>Risk_Calculation_Engine!U854</f>
        <v>Medium</v>
      </c>
    </row>
    <row r="855" spans="1:15" ht="15" customHeight="1" x14ac:dyDescent="0.25">
      <c r="A855" s="16">
        <v>851</v>
      </c>
      <c r="B855" s="16">
        <v>15.5</v>
      </c>
      <c r="C855" s="16">
        <v>2</v>
      </c>
      <c r="D855" s="16">
        <v>66.3</v>
      </c>
      <c r="E855" s="17">
        <f t="shared" si="13"/>
        <v>11.53</v>
      </c>
      <c r="F855" s="16">
        <v>1</v>
      </c>
      <c r="G855" s="16">
        <v>7</v>
      </c>
      <c r="H855" s="16">
        <v>1.03</v>
      </c>
      <c r="I855" s="16">
        <v>4</v>
      </c>
      <c r="J855" s="16">
        <v>53</v>
      </c>
      <c r="K855" s="16">
        <v>3.42</v>
      </c>
      <c r="L855" s="16">
        <v>55.3</v>
      </c>
      <c r="M855" s="16">
        <v>3</v>
      </c>
      <c r="N855" s="18">
        <f>IF(Risk_Calculation_Engine!U855="Low",1,IF(Risk_Calculation_Engine!U855="Medium",2,3))</f>
        <v>1</v>
      </c>
      <c r="O855" s="18" t="str">
        <f>Risk_Calculation_Engine!U855</f>
        <v>Low</v>
      </c>
    </row>
    <row r="856" spans="1:15" ht="15" customHeight="1" x14ac:dyDescent="0.25">
      <c r="A856" s="16">
        <v>852</v>
      </c>
      <c r="B856" s="16">
        <v>14.3</v>
      </c>
      <c r="C856" s="16">
        <v>3</v>
      </c>
      <c r="D856" s="16">
        <v>57.4</v>
      </c>
      <c r="E856" s="17">
        <f t="shared" si="13"/>
        <v>7.92</v>
      </c>
      <c r="F856" s="16">
        <v>2</v>
      </c>
      <c r="G856" s="16">
        <v>6</v>
      </c>
      <c r="H856" s="16">
        <v>1.44</v>
      </c>
      <c r="I856" s="16">
        <v>6</v>
      </c>
      <c r="J856" s="16">
        <v>125</v>
      </c>
      <c r="K856" s="16">
        <v>8.74</v>
      </c>
      <c r="L856" s="16">
        <v>73.900000000000006</v>
      </c>
      <c r="M856" s="16">
        <v>1</v>
      </c>
      <c r="N856" s="18">
        <f>IF(Risk_Calculation_Engine!U856="Low",1,IF(Risk_Calculation_Engine!U856="Medium",2,3))</f>
        <v>1</v>
      </c>
      <c r="O856" s="18" t="str">
        <f>Risk_Calculation_Engine!U856</f>
        <v>Low</v>
      </c>
    </row>
    <row r="857" spans="1:15" ht="15" customHeight="1" x14ac:dyDescent="0.25">
      <c r="A857" s="16">
        <v>853</v>
      </c>
      <c r="B857" s="16">
        <v>149.80000000000001</v>
      </c>
      <c r="C857" s="16">
        <v>2</v>
      </c>
      <c r="D857" s="16">
        <v>697</v>
      </c>
      <c r="E857" s="17">
        <f t="shared" si="13"/>
        <v>12.21</v>
      </c>
      <c r="F857" s="16">
        <v>2</v>
      </c>
      <c r="G857" s="16">
        <v>4</v>
      </c>
      <c r="H857" s="16">
        <v>1.88</v>
      </c>
      <c r="I857" s="16">
        <v>5</v>
      </c>
      <c r="J857" s="16">
        <v>471</v>
      </c>
      <c r="K857" s="16">
        <v>3.14</v>
      </c>
      <c r="L857" s="16">
        <v>87.4</v>
      </c>
      <c r="M857" s="16">
        <v>2</v>
      </c>
      <c r="N857" s="18">
        <f>IF(Risk_Calculation_Engine!U857="Low",1,IF(Risk_Calculation_Engine!U857="Medium",2,3))</f>
        <v>3</v>
      </c>
      <c r="O857" s="18" t="str">
        <f>Risk_Calculation_Engine!U857</f>
        <v>High</v>
      </c>
    </row>
    <row r="858" spans="1:15" ht="15" customHeight="1" x14ac:dyDescent="0.25">
      <c r="A858" s="16">
        <v>854</v>
      </c>
      <c r="B858" s="16">
        <v>66.7</v>
      </c>
      <c r="C858" s="16">
        <v>3</v>
      </c>
      <c r="D858" s="16">
        <v>355.2</v>
      </c>
      <c r="E858" s="17">
        <f t="shared" si="13"/>
        <v>7.6</v>
      </c>
      <c r="F858" s="16">
        <v>1</v>
      </c>
      <c r="G858" s="16">
        <v>8</v>
      </c>
      <c r="H858" s="16">
        <v>2.5</v>
      </c>
      <c r="I858" s="16">
        <v>4</v>
      </c>
      <c r="J858" s="16">
        <v>388</v>
      </c>
      <c r="K858" s="16">
        <v>5.82</v>
      </c>
      <c r="L858" s="16">
        <v>67</v>
      </c>
      <c r="M858" s="16">
        <v>1</v>
      </c>
      <c r="N858" s="18">
        <f>IF(Risk_Calculation_Engine!U858="Low",1,IF(Risk_Calculation_Engine!U858="Medium",2,3))</f>
        <v>3</v>
      </c>
      <c r="O858" s="18" t="str">
        <f>Risk_Calculation_Engine!U858</f>
        <v>High</v>
      </c>
    </row>
    <row r="859" spans="1:15" ht="15" customHeight="1" x14ac:dyDescent="0.25">
      <c r="A859" s="16">
        <v>855</v>
      </c>
      <c r="B859" s="16">
        <v>38.4</v>
      </c>
      <c r="C859" s="16">
        <v>2</v>
      </c>
      <c r="D859" s="16">
        <v>144.80000000000001</v>
      </c>
      <c r="E859" s="17">
        <f t="shared" si="13"/>
        <v>12.63</v>
      </c>
      <c r="F859" s="16">
        <v>2</v>
      </c>
      <c r="G859" s="16">
        <v>4</v>
      </c>
      <c r="H859" s="16">
        <v>1.17</v>
      </c>
      <c r="I859" s="16">
        <v>5</v>
      </c>
      <c r="J859" s="16">
        <v>161</v>
      </c>
      <c r="K859" s="16">
        <v>4.1900000000000004</v>
      </c>
      <c r="L859" s="16">
        <v>71.2</v>
      </c>
      <c r="M859" s="16">
        <v>2</v>
      </c>
      <c r="N859" s="18">
        <f>IF(Risk_Calculation_Engine!U859="Low",1,IF(Risk_Calculation_Engine!U859="Medium",2,3))</f>
        <v>1</v>
      </c>
      <c r="O859" s="18" t="str">
        <f>Risk_Calculation_Engine!U859</f>
        <v>Low</v>
      </c>
    </row>
    <row r="860" spans="1:15" ht="15" customHeight="1" x14ac:dyDescent="0.25">
      <c r="A860" s="16">
        <v>856</v>
      </c>
      <c r="B860" s="16">
        <v>63.5</v>
      </c>
      <c r="C860" s="16">
        <v>5</v>
      </c>
      <c r="D860" s="16">
        <v>422.9</v>
      </c>
      <c r="E860" s="17">
        <f t="shared" si="13"/>
        <v>10.130000000000001</v>
      </c>
      <c r="F860" s="16">
        <v>2</v>
      </c>
      <c r="G860" s="16">
        <v>4</v>
      </c>
      <c r="H860" s="16">
        <v>1.97</v>
      </c>
      <c r="I860" s="16">
        <v>7</v>
      </c>
      <c r="J860" s="16">
        <v>644</v>
      </c>
      <c r="K860" s="16">
        <v>10.14</v>
      </c>
      <c r="L860" s="16">
        <v>65.3</v>
      </c>
      <c r="M860" s="16">
        <v>3</v>
      </c>
      <c r="N860" s="18">
        <f>IF(Risk_Calculation_Engine!U860="Low",1,IF(Risk_Calculation_Engine!U860="Medium",2,3))</f>
        <v>3</v>
      </c>
      <c r="O860" s="18" t="str">
        <f>Risk_Calculation_Engine!U860</f>
        <v>High</v>
      </c>
    </row>
    <row r="861" spans="1:15" ht="15" customHeight="1" x14ac:dyDescent="0.25">
      <c r="A861" s="16">
        <v>857</v>
      </c>
      <c r="B861" s="16">
        <v>60</v>
      </c>
      <c r="C861" s="16">
        <v>2</v>
      </c>
      <c r="D861" s="16">
        <v>280.8</v>
      </c>
      <c r="E861" s="17">
        <f t="shared" si="13"/>
        <v>14.46</v>
      </c>
      <c r="F861" s="16">
        <v>1</v>
      </c>
      <c r="G861" s="16">
        <v>5</v>
      </c>
      <c r="H861" s="16">
        <v>1.23</v>
      </c>
      <c r="I861" s="16">
        <v>10</v>
      </c>
      <c r="J861" s="16">
        <v>292</v>
      </c>
      <c r="K861" s="16">
        <v>4.87</v>
      </c>
      <c r="L861" s="16">
        <v>80.099999999999994</v>
      </c>
      <c r="M861" s="16">
        <v>2</v>
      </c>
      <c r="N861" s="18">
        <f>IF(Risk_Calculation_Engine!U861="Low",1,IF(Risk_Calculation_Engine!U861="Medium",2,3))</f>
        <v>1</v>
      </c>
      <c r="O861" s="18" t="str">
        <f>Risk_Calculation_Engine!U861</f>
        <v>Low</v>
      </c>
    </row>
    <row r="862" spans="1:15" ht="15" customHeight="1" x14ac:dyDescent="0.25">
      <c r="A862" s="16">
        <v>858</v>
      </c>
      <c r="B862" s="16">
        <v>13.5</v>
      </c>
      <c r="C862" s="16">
        <v>3</v>
      </c>
      <c r="D862" s="16">
        <v>47.9</v>
      </c>
      <c r="E862" s="17">
        <f t="shared" si="13"/>
        <v>6.78</v>
      </c>
      <c r="F862" s="16">
        <v>2</v>
      </c>
      <c r="G862" s="16">
        <v>10</v>
      </c>
      <c r="H862" s="16">
        <v>1.6</v>
      </c>
      <c r="I862" s="16">
        <v>8</v>
      </c>
      <c r="J862" s="16">
        <v>49</v>
      </c>
      <c r="K862" s="16">
        <v>3.63</v>
      </c>
      <c r="L862" s="16">
        <v>90.2</v>
      </c>
      <c r="M862" s="16">
        <v>1</v>
      </c>
      <c r="N862" s="18">
        <f>IF(Risk_Calculation_Engine!U862="Low",1,IF(Risk_Calculation_Engine!U862="Medium",2,3))</f>
        <v>2</v>
      </c>
      <c r="O862" s="18" t="str">
        <f>Risk_Calculation_Engine!U862</f>
        <v>Medium</v>
      </c>
    </row>
    <row r="863" spans="1:15" ht="15" customHeight="1" x14ac:dyDescent="0.25">
      <c r="A863" s="16">
        <v>859</v>
      </c>
      <c r="B863" s="16">
        <v>120.8</v>
      </c>
      <c r="C863" s="16">
        <v>2</v>
      </c>
      <c r="D863" s="16">
        <v>708.7</v>
      </c>
      <c r="E863" s="17">
        <f t="shared" si="13"/>
        <v>21.75</v>
      </c>
      <c r="F863" s="16">
        <v>1</v>
      </c>
      <c r="G863" s="16">
        <v>8</v>
      </c>
      <c r="H863" s="16">
        <v>1.06</v>
      </c>
      <c r="I863" s="16">
        <v>8</v>
      </c>
      <c r="J863" s="16">
        <v>321</v>
      </c>
      <c r="K863" s="16">
        <v>2.66</v>
      </c>
      <c r="L863" s="16">
        <v>31.2</v>
      </c>
      <c r="M863" s="16">
        <v>1</v>
      </c>
      <c r="N863" s="18">
        <f>IF(Risk_Calculation_Engine!U863="Low",1,IF(Risk_Calculation_Engine!U863="Medium",2,3))</f>
        <v>2</v>
      </c>
      <c r="O863" s="18" t="str">
        <f>Risk_Calculation_Engine!U863</f>
        <v>Medium</v>
      </c>
    </row>
    <row r="864" spans="1:15" ht="15" customHeight="1" x14ac:dyDescent="0.25">
      <c r="A864" s="16">
        <v>860</v>
      </c>
      <c r="B864" s="16">
        <v>52.5</v>
      </c>
      <c r="C864" s="16">
        <v>1</v>
      </c>
      <c r="D864" s="16">
        <v>171.7</v>
      </c>
      <c r="E864" s="17">
        <f t="shared" si="13"/>
        <v>7.95</v>
      </c>
      <c r="F864" s="16">
        <v>2</v>
      </c>
      <c r="G864" s="16">
        <v>6</v>
      </c>
      <c r="H864" s="16">
        <v>1.95</v>
      </c>
      <c r="I864" s="16">
        <v>6</v>
      </c>
      <c r="J864" s="16">
        <v>83</v>
      </c>
      <c r="K864" s="16">
        <v>1.58</v>
      </c>
      <c r="L864" s="16">
        <v>34.5</v>
      </c>
      <c r="M864" s="16">
        <v>1</v>
      </c>
      <c r="N864" s="18">
        <f>IF(Risk_Calculation_Engine!U864="Low",1,IF(Risk_Calculation_Engine!U864="Medium",2,3))</f>
        <v>2</v>
      </c>
      <c r="O864" s="18" t="str">
        <f>Risk_Calculation_Engine!U864</f>
        <v>Medium</v>
      </c>
    </row>
    <row r="865" spans="1:15" ht="15" customHeight="1" x14ac:dyDescent="0.25">
      <c r="A865" s="16">
        <v>861</v>
      </c>
      <c r="B865" s="16">
        <v>67.400000000000006</v>
      </c>
      <c r="C865" s="16">
        <v>2</v>
      </c>
      <c r="D865" s="16">
        <v>391.1</v>
      </c>
      <c r="E865" s="17">
        <f t="shared" si="13"/>
        <v>8.1999999999999993</v>
      </c>
      <c r="F865" s="16">
        <v>1</v>
      </c>
      <c r="G865" s="16">
        <v>7</v>
      </c>
      <c r="H865" s="16">
        <v>2.38</v>
      </c>
      <c r="I865" s="16">
        <v>4</v>
      </c>
      <c r="J865" s="16">
        <v>394</v>
      </c>
      <c r="K865" s="16">
        <v>5.85</v>
      </c>
      <c r="L865" s="16">
        <v>56.5</v>
      </c>
      <c r="M865" s="16">
        <v>3</v>
      </c>
      <c r="N865" s="18">
        <f>IF(Risk_Calculation_Engine!U865="Low",1,IF(Risk_Calculation_Engine!U865="Medium",2,3))</f>
        <v>3</v>
      </c>
      <c r="O865" s="18" t="str">
        <f>Risk_Calculation_Engine!U865</f>
        <v>High</v>
      </c>
    </row>
    <row r="866" spans="1:15" ht="15" customHeight="1" x14ac:dyDescent="0.25">
      <c r="A866" s="16">
        <v>862</v>
      </c>
      <c r="B866" s="16">
        <v>149.80000000000001</v>
      </c>
      <c r="C866" s="16">
        <v>1</v>
      </c>
      <c r="D866" s="16">
        <v>551.1</v>
      </c>
      <c r="E866" s="17">
        <f t="shared" si="13"/>
        <v>14.62</v>
      </c>
      <c r="F866" s="16">
        <v>2</v>
      </c>
      <c r="G866" s="16">
        <v>7</v>
      </c>
      <c r="H866" s="16">
        <v>1.47</v>
      </c>
      <c r="I866" s="16">
        <v>15</v>
      </c>
      <c r="J866" s="16">
        <v>441</v>
      </c>
      <c r="K866" s="16">
        <v>2.94</v>
      </c>
      <c r="L866" s="16">
        <v>89.8</v>
      </c>
      <c r="M866" s="16">
        <v>3</v>
      </c>
      <c r="N866" s="18">
        <f>IF(Risk_Calculation_Engine!U866="Low",1,IF(Risk_Calculation_Engine!U866="Medium",2,3))</f>
        <v>2</v>
      </c>
      <c r="O866" s="18" t="str">
        <f>Risk_Calculation_Engine!U866</f>
        <v>Medium</v>
      </c>
    </row>
    <row r="867" spans="1:15" ht="15" customHeight="1" x14ac:dyDescent="0.25">
      <c r="A867" s="16">
        <v>863</v>
      </c>
      <c r="B867" s="16">
        <v>16.100000000000001</v>
      </c>
      <c r="C867" s="16">
        <v>2</v>
      </c>
      <c r="D867" s="16">
        <v>55.6</v>
      </c>
      <c r="E867" s="17">
        <f t="shared" si="13"/>
        <v>8.1300000000000008</v>
      </c>
      <c r="F867" s="16">
        <v>2</v>
      </c>
      <c r="G867" s="16">
        <v>3</v>
      </c>
      <c r="H867" s="16">
        <v>1.39</v>
      </c>
      <c r="I867" s="16">
        <v>10</v>
      </c>
      <c r="J867" s="16">
        <v>64</v>
      </c>
      <c r="K867" s="16">
        <v>3.98</v>
      </c>
      <c r="L867" s="16">
        <v>90.9</v>
      </c>
      <c r="M867" s="16">
        <v>2</v>
      </c>
      <c r="N867" s="18">
        <f>IF(Risk_Calculation_Engine!U867="Low",1,IF(Risk_Calculation_Engine!U867="Medium",2,3))</f>
        <v>1</v>
      </c>
      <c r="O867" s="18" t="str">
        <f>Risk_Calculation_Engine!U867</f>
        <v>Low</v>
      </c>
    </row>
    <row r="868" spans="1:15" ht="15" customHeight="1" x14ac:dyDescent="0.25">
      <c r="A868" s="16">
        <v>864</v>
      </c>
      <c r="B868" s="16">
        <v>30</v>
      </c>
      <c r="C868" s="16">
        <v>3</v>
      </c>
      <c r="D868" s="16">
        <v>122.1</v>
      </c>
      <c r="E868" s="17">
        <f t="shared" si="13"/>
        <v>10.52</v>
      </c>
      <c r="F868" s="16">
        <v>2</v>
      </c>
      <c r="G868" s="16">
        <v>8</v>
      </c>
      <c r="H868" s="16">
        <v>1.34</v>
      </c>
      <c r="I868" s="16">
        <v>5</v>
      </c>
      <c r="J868" s="16">
        <v>186</v>
      </c>
      <c r="K868" s="16">
        <v>6.2</v>
      </c>
      <c r="L868" s="16">
        <v>78.900000000000006</v>
      </c>
      <c r="M868" s="16">
        <v>1</v>
      </c>
      <c r="N868" s="18">
        <f>IF(Risk_Calculation_Engine!U868="Low",1,IF(Risk_Calculation_Engine!U868="Medium",2,3))</f>
        <v>2</v>
      </c>
      <c r="O868" s="18" t="str">
        <f>Risk_Calculation_Engine!U868</f>
        <v>Medium</v>
      </c>
    </row>
    <row r="869" spans="1:15" ht="15" customHeight="1" x14ac:dyDescent="0.25">
      <c r="A869" s="16">
        <v>865</v>
      </c>
      <c r="B869" s="16">
        <v>79</v>
      </c>
      <c r="C869" s="16">
        <v>4</v>
      </c>
      <c r="D869" s="16">
        <v>367.4</v>
      </c>
      <c r="E869" s="17">
        <f t="shared" si="13"/>
        <v>19.78</v>
      </c>
      <c r="F869" s="16">
        <v>2</v>
      </c>
      <c r="G869" s="16">
        <v>8</v>
      </c>
      <c r="H869" s="16">
        <v>0.97</v>
      </c>
      <c r="I869" s="16">
        <v>13</v>
      </c>
      <c r="J869" s="16">
        <v>562</v>
      </c>
      <c r="K869" s="16">
        <v>7.11</v>
      </c>
      <c r="L869" s="16">
        <v>23.8</v>
      </c>
      <c r="M869" s="16">
        <v>3</v>
      </c>
      <c r="N869" s="18">
        <f>IF(Risk_Calculation_Engine!U869="Low",1,IF(Risk_Calculation_Engine!U869="Medium",2,3))</f>
        <v>1</v>
      </c>
      <c r="O869" s="18" t="str">
        <f>Risk_Calculation_Engine!U869</f>
        <v>Low</v>
      </c>
    </row>
    <row r="870" spans="1:15" ht="15" customHeight="1" x14ac:dyDescent="0.25">
      <c r="A870" s="16">
        <v>866</v>
      </c>
      <c r="B870" s="16">
        <v>119.1</v>
      </c>
      <c r="C870" s="16">
        <v>2</v>
      </c>
      <c r="D870" s="16">
        <v>377.6</v>
      </c>
      <c r="E870" s="17">
        <f t="shared" si="13"/>
        <v>9.1199999999999992</v>
      </c>
      <c r="F870" s="16">
        <v>3</v>
      </c>
      <c r="G870" s="16">
        <v>5</v>
      </c>
      <c r="H870" s="16">
        <v>2.12</v>
      </c>
      <c r="I870" s="16">
        <v>13</v>
      </c>
      <c r="J870" s="16">
        <v>437</v>
      </c>
      <c r="K870" s="16">
        <v>3.67</v>
      </c>
      <c r="L870" s="16">
        <v>67.3</v>
      </c>
      <c r="M870" s="16">
        <v>3</v>
      </c>
      <c r="N870" s="18">
        <f>IF(Risk_Calculation_Engine!U870="Low",1,IF(Risk_Calculation_Engine!U870="Medium",2,3))</f>
        <v>2</v>
      </c>
      <c r="O870" s="18" t="str">
        <f>Risk_Calculation_Engine!U870</f>
        <v>Medium</v>
      </c>
    </row>
    <row r="871" spans="1:15" ht="15" customHeight="1" x14ac:dyDescent="0.25">
      <c r="A871" s="16">
        <v>867</v>
      </c>
      <c r="B871" s="16">
        <v>35.200000000000003</v>
      </c>
      <c r="C871" s="16">
        <v>3</v>
      </c>
      <c r="D871" s="16">
        <v>132.5</v>
      </c>
      <c r="E871" s="17">
        <f t="shared" si="13"/>
        <v>5.77</v>
      </c>
      <c r="F871" s="16">
        <v>2</v>
      </c>
      <c r="G871" s="16">
        <v>7</v>
      </c>
      <c r="H871" s="16">
        <v>2.5</v>
      </c>
      <c r="I871" s="16">
        <v>15</v>
      </c>
      <c r="J871" s="16">
        <v>314</v>
      </c>
      <c r="K871" s="16">
        <v>8.92</v>
      </c>
      <c r="L871" s="16">
        <v>74.599999999999994</v>
      </c>
      <c r="M871" s="16">
        <v>1</v>
      </c>
      <c r="N871" s="18">
        <f>IF(Risk_Calculation_Engine!U871="Low",1,IF(Risk_Calculation_Engine!U871="Medium",2,3))</f>
        <v>3</v>
      </c>
      <c r="O871" s="18" t="str">
        <f>Risk_Calculation_Engine!U871</f>
        <v>High</v>
      </c>
    </row>
    <row r="872" spans="1:15" ht="15" customHeight="1" x14ac:dyDescent="0.25">
      <c r="A872" s="16">
        <v>868</v>
      </c>
      <c r="B872" s="16">
        <v>37.1</v>
      </c>
      <c r="C872" s="16">
        <v>4</v>
      </c>
      <c r="D872" s="16">
        <v>157.4</v>
      </c>
      <c r="E872" s="17">
        <f t="shared" si="13"/>
        <v>13.16</v>
      </c>
      <c r="F872" s="16">
        <v>3</v>
      </c>
      <c r="G872" s="16">
        <v>6</v>
      </c>
      <c r="H872" s="16">
        <v>1.1499999999999999</v>
      </c>
      <c r="I872" s="16">
        <v>5</v>
      </c>
      <c r="J872" s="16">
        <v>479</v>
      </c>
      <c r="K872" s="16">
        <v>12.91</v>
      </c>
      <c r="L872" s="16">
        <v>64.7</v>
      </c>
      <c r="M872" s="16">
        <v>2</v>
      </c>
      <c r="N872" s="18">
        <f>IF(Risk_Calculation_Engine!U872="Low",1,IF(Risk_Calculation_Engine!U872="Medium",2,3))</f>
        <v>1</v>
      </c>
      <c r="O872" s="18" t="str">
        <f>Risk_Calculation_Engine!U872</f>
        <v>Low</v>
      </c>
    </row>
    <row r="873" spans="1:15" ht="15" customHeight="1" x14ac:dyDescent="0.25">
      <c r="A873" s="16">
        <v>869</v>
      </c>
      <c r="B873" s="16">
        <v>99.4</v>
      </c>
      <c r="C873" s="16">
        <v>3</v>
      </c>
      <c r="D873" s="16">
        <v>553.4</v>
      </c>
      <c r="E873" s="17">
        <f t="shared" si="13"/>
        <v>12.73</v>
      </c>
      <c r="F873" s="16">
        <v>1</v>
      </c>
      <c r="G873" s="16">
        <v>5</v>
      </c>
      <c r="H873" s="16">
        <v>1.69</v>
      </c>
      <c r="I873" s="16">
        <v>11</v>
      </c>
      <c r="J873" s="16">
        <v>714</v>
      </c>
      <c r="K873" s="16">
        <v>7.18</v>
      </c>
      <c r="L873" s="16">
        <v>85.4</v>
      </c>
      <c r="M873" s="16">
        <v>2</v>
      </c>
      <c r="N873" s="18">
        <f>IF(Risk_Calculation_Engine!U873="Low",1,IF(Risk_Calculation_Engine!U873="Medium",2,3))</f>
        <v>2</v>
      </c>
      <c r="O873" s="18" t="str">
        <f>Risk_Calculation_Engine!U873</f>
        <v>Medium</v>
      </c>
    </row>
    <row r="874" spans="1:15" ht="15" customHeight="1" x14ac:dyDescent="0.25">
      <c r="A874" s="16">
        <v>870</v>
      </c>
      <c r="B874" s="16">
        <v>149.80000000000001</v>
      </c>
      <c r="C874" s="16">
        <v>3</v>
      </c>
      <c r="D874" s="16">
        <v>634.29999999999995</v>
      </c>
      <c r="E874" s="17">
        <f t="shared" si="13"/>
        <v>11.64</v>
      </c>
      <c r="F874" s="16">
        <v>2</v>
      </c>
      <c r="G874" s="16">
        <v>5</v>
      </c>
      <c r="H874" s="16">
        <v>1.92</v>
      </c>
      <c r="I874" s="16">
        <v>15</v>
      </c>
      <c r="J874" s="16">
        <v>700</v>
      </c>
      <c r="K874" s="16">
        <v>4.67</v>
      </c>
      <c r="L874" s="16">
        <v>44.4</v>
      </c>
      <c r="M874" s="16">
        <v>2</v>
      </c>
      <c r="N874" s="18">
        <f>IF(Risk_Calculation_Engine!U874="Low",1,IF(Risk_Calculation_Engine!U874="Medium",2,3))</f>
        <v>3</v>
      </c>
      <c r="O874" s="18" t="str">
        <f>Risk_Calculation_Engine!U874</f>
        <v>High</v>
      </c>
    </row>
    <row r="875" spans="1:15" ht="15" customHeight="1" x14ac:dyDescent="0.25">
      <c r="A875" s="16">
        <v>871</v>
      </c>
      <c r="B875" s="16">
        <v>65.3</v>
      </c>
      <c r="C875" s="16">
        <v>1</v>
      </c>
      <c r="D875" s="16">
        <v>316.39999999999998</v>
      </c>
      <c r="E875" s="17">
        <f t="shared" si="13"/>
        <v>14.96</v>
      </c>
      <c r="F875" s="16">
        <v>1</v>
      </c>
      <c r="G875" s="16">
        <v>6</v>
      </c>
      <c r="H875" s="16">
        <v>1.23</v>
      </c>
      <c r="I875" s="16">
        <v>13</v>
      </c>
      <c r="J875" s="16">
        <v>165</v>
      </c>
      <c r="K875" s="16">
        <v>2.5299999999999998</v>
      </c>
      <c r="L875" s="16">
        <v>54.2</v>
      </c>
      <c r="M875" s="16">
        <v>2</v>
      </c>
      <c r="N875" s="18">
        <f>IF(Risk_Calculation_Engine!U875="Low",1,IF(Risk_Calculation_Engine!U875="Medium",2,3))</f>
        <v>1</v>
      </c>
      <c r="O875" s="18" t="str">
        <f>Risk_Calculation_Engine!U875</f>
        <v>Low</v>
      </c>
    </row>
    <row r="876" spans="1:15" ht="15" customHeight="1" x14ac:dyDescent="0.25">
      <c r="A876" s="16">
        <v>872</v>
      </c>
      <c r="B876" s="16">
        <v>29.9</v>
      </c>
      <c r="C876" s="16">
        <v>2</v>
      </c>
      <c r="D876" s="16">
        <v>94.6</v>
      </c>
      <c r="E876" s="17">
        <f t="shared" si="13"/>
        <v>5.25</v>
      </c>
      <c r="F876" s="16">
        <v>2</v>
      </c>
      <c r="G876" s="16">
        <v>5</v>
      </c>
      <c r="H876" s="16">
        <v>2.5</v>
      </c>
      <c r="I876" s="16">
        <v>5</v>
      </c>
      <c r="J876" s="16">
        <v>175</v>
      </c>
      <c r="K876" s="16">
        <v>5.85</v>
      </c>
      <c r="L876" s="16">
        <v>10.6</v>
      </c>
      <c r="M876" s="16">
        <v>1</v>
      </c>
      <c r="N876" s="18">
        <f>IF(Risk_Calculation_Engine!U876="Low",1,IF(Risk_Calculation_Engine!U876="Medium",2,3))</f>
        <v>2</v>
      </c>
      <c r="O876" s="18" t="str">
        <f>Risk_Calculation_Engine!U876</f>
        <v>Medium</v>
      </c>
    </row>
    <row r="877" spans="1:15" ht="15" customHeight="1" x14ac:dyDescent="0.25">
      <c r="A877" s="16">
        <v>873</v>
      </c>
      <c r="B877" s="16">
        <v>22</v>
      </c>
      <c r="C877" s="16">
        <v>3</v>
      </c>
      <c r="D877" s="16">
        <v>85.6</v>
      </c>
      <c r="E877" s="17">
        <f t="shared" si="13"/>
        <v>7.46</v>
      </c>
      <c r="F877" s="16">
        <v>2</v>
      </c>
      <c r="G877" s="16">
        <v>10</v>
      </c>
      <c r="H877" s="16">
        <v>1.71</v>
      </c>
      <c r="I877" s="16">
        <v>14</v>
      </c>
      <c r="J877" s="16">
        <v>196</v>
      </c>
      <c r="K877" s="16">
        <v>8.91</v>
      </c>
      <c r="L877" s="16">
        <v>33.6</v>
      </c>
      <c r="M877" s="16">
        <v>2</v>
      </c>
      <c r="N877" s="18">
        <f>IF(Risk_Calculation_Engine!U877="Low",1,IF(Risk_Calculation_Engine!U877="Medium",2,3))</f>
        <v>2</v>
      </c>
      <c r="O877" s="18" t="str">
        <f>Risk_Calculation_Engine!U877</f>
        <v>Medium</v>
      </c>
    </row>
    <row r="878" spans="1:15" ht="15" customHeight="1" x14ac:dyDescent="0.25">
      <c r="A878" s="16">
        <v>874</v>
      </c>
      <c r="B878" s="16">
        <v>54.5</v>
      </c>
      <c r="C878" s="16">
        <v>5</v>
      </c>
      <c r="D878" s="16">
        <v>270.3</v>
      </c>
      <c r="E878" s="17">
        <f t="shared" si="13"/>
        <v>19.559999999999999</v>
      </c>
      <c r="F878" s="16">
        <v>3</v>
      </c>
      <c r="G878" s="16">
        <v>9</v>
      </c>
      <c r="H878" s="16">
        <v>0.9</v>
      </c>
      <c r="I878" s="16">
        <v>8</v>
      </c>
      <c r="J878" s="16">
        <v>1079</v>
      </c>
      <c r="K878" s="16">
        <v>19.8</v>
      </c>
      <c r="L878" s="16">
        <v>70.900000000000006</v>
      </c>
      <c r="M878" s="16">
        <v>2</v>
      </c>
      <c r="N878" s="18">
        <f>IF(Risk_Calculation_Engine!U878="Low",1,IF(Risk_Calculation_Engine!U878="Medium",2,3))</f>
        <v>2</v>
      </c>
      <c r="O878" s="18" t="str">
        <f>Risk_Calculation_Engine!U878</f>
        <v>Medium</v>
      </c>
    </row>
    <row r="879" spans="1:15" ht="15" customHeight="1" x14ac:dyDescent="0.25">
      <c r="A879" s="16">
        <v>875</v>
      </c>
      <c r="B879" s="16">
        <v>115.1</v>
      </c>
      <c r="C879" s="16">
        <v>5</v>
      </c>
      <c r="D879" s="16">
        <v>791.8</v>
      </c>
      <c r="E879" s="17">
        <f t="shared" si="13"/>
        <v>9.75</v>
      </c>
      <c r="F879" s="16">
        <v>2</v>
      </c>
      <c r="G879" s="16">
        <v>6</v>
      </c>
      <c r="H879" s="16">
        <v>2.44</v>
      </c>
      <c r="I879" s="16">
        <v>9</v>
      </c>
      <c r="J879" s="16">
        <v>1369</v>
      </c>
      <c r="K879" s="16">
        <v>11.89</v>
      </c>
      <c r="L879" s="16">
        <v>86.7</v>
      </c>
      <c r="M879" s="16">
        <v>2</v>
      </c>
      <c r="N879" s="18">
        <f>IF(Risk_Calculation_Engine!U879="Low",1,IF(Risk_Calculation_Engine!U879="Medium",2,3))</f>
        <v>3</v>
      </c>
      <c r="O879" s="18" t="str">
        <f>Risk_Calculation_Engine!U879</f>
        <v>High</v>
      </c>
    </row>
    <row r="880" spans="1:15" ht="15" customHeight="1" x14ac:dyDescent="0.25">
      <c r="A880" s="16">
        <v>876</v>
      </c>
      <c r="B880" s="16">
        <v>149.80000000000001</v>
      </c>
      <c r="C880" s="16">
        <v>5</v>
      </c>
      <c r="D880" s="16">
        <v>895.8</v>
      </c>
      <c r="E880" s="17">
        <f t="shared" si="13"/>
        <v>16.52</v>
      </c>
      <c r="F880" s="16">
        <v>2</v>
      </c>
      <c r="G880" s="16">
        <v>3</v>
      </c>
      <c r="H880" s="16">
        <v>1.49</v>
      </c>
      <c r="I880" s="16">
        <v>10</v>
      </c>
      <c r="J880" s="16">
        <v>3948</v>
      </c>
      <c r="K880" s="16">
        <v>26.36</v>
      </c>
      <c r="L880" s="16">
        <v>81</v>
      </c>
      <c r="M880" s="16">
        <v>2</v>
      </c>
      <c r="N880" s="18">
        <f>IF(Risk_Calculation_Engine!U880="Low",1,IF(Risk_Calculation_Engine!U880="Medium",2,3))</f>
        <v>3</v>
      </c>
      <c r="O880" s="18" t="str">
        <f>Risk_Calculation_Engine!U880</f>
        <v>High</v>
      </c>
    </row>
    <row r="881" spans="1:15" ht="15" customHeight="1" x14ac:dyDescent="0.25">
      <c r="A881" s="16">
        <v>877</v>
      </c>
      <c r="B881" s="16">
        <v>47.1</v>
      </c>
      <c r="C881" s="16">
        <v>3</v>
      </c>
      <c r="D881" s="16">
        <v>257.8</v>
      </c>
      <c r="E881" s="17">
        <f t="shared" si="13"/>
        <v>13.26</v>
      </c>
      <c r="F881" s="16">
        <v>1</v>
      </c>
      <c r="G881" s="16">
        <v>4</v>
      </c>
      <c r="H881" s="16">
        <v>1.31</v>
      </c>
      <c r="I881" s="16">
        <v>13</v>
      </c>
      <c r="J881" s="16">
        <v>294</v>
      </c>
      <c r="K881" s="16">
        <v>6.24</v>
      </c>
      <c r="L881" s="16">
        <v>79.900000000000006</v>
      </c>
      <c r="M881" s="16">
        <v>1</v>
      </c>
      <c r="N881" s="18">
        <f>IF(Risk_Calculation_Engine!U881="Low",1,IF(Risk_Calculation_Engine!U881="Medium",2,3))</f>
        <v>2</v>
      </c>
      <c r="O881" s="18" t="str">
        <f>Risk_Calculation_Engine!U881</f>
        <v>Medium</v>
      </c>
    </row>
    <row r="882" spans="1:15" ht="15" customHeight="1" x14ac:dyDescent="0.25">
      <c r="A882" s="16">
        <v>878</v>
      </c>
      <c r="B882" s="16">
        <v>65.3</v>
      </c>
      <c r="C882" s="16">
        <v>2</v>
      </c>
      <c r="D882" s="16">
        <v>356.8</v>
      </c>
      <c r="E882" s="17">
        <f t="shared" si="13"/>
        <v>9.2799999999999994</v>
      </c>
      <c r="F882" s="16">
        <v>1</v>
      </c>
      <c r="G882" s="16">
        <v>3</v>
      </c>
      <c r="H882" s="16">
        <v>2.0499999999999998</v>
      </c>
      <c r="I882" s="16">
        <v>4</v>
      </c>
      <c r="J882" s="16">
        <v>141</v>
      </c>
      <c r="K882" s="16">
        <v>2.16</v>
      </c>
      <c r="L882" s="16">
        <v>70.3</v>
      </c>
      <c r="M882" s="16">
        <v>2</v>
      </c>
      <c r="N882" s="18">
        <f>IF(Risk_Calculation_Engine!U882="Low",1,IF(Risk_Calculation_Engine!U882="Medium",2,3))</f>
        <v>2</v>
      </c>
      <c r="O882" s="18" t="str">
        <f>Risk_Calculation_Engine!U882</f>
        <v>Medium</v>
      </c>
    </row>
    <row r="883" spans="1:15" ht="15" customHeight="1" x14ac:dyDescent="0.25">
      <c r="A883" s="16">
        <v>879</v>
      </c>
      <c r="B883" s="16">
        <v>149.80000000000001</v>
      </c>
      <c r="C883" s="16">
        <v>3</v>
      </c>
      <c r="D883" s="16">
        <v>541.4</v>
      </c>
      <c r="E883" s="17">
        <f t="shared" si="13"/>
        <v>17.239999999999998</v>
      </c>
      <c r="F883" s="16">
        <v>3</v>
      </c>
      <c r="G883" s="16">
        <v>7</v>
      </c>
      <c r="H883" s="16">
        <v>1.24</v>
      </c>
      <c r="I883" s="16">
        <v>10</v>
      </c>
      <c r="J883" s="16">
        <v>523</v>
      </c>
      <c r="K883" s="16">
        <v>3.49</v>
      </c>
      <c r="L883" s="16">
        <v>47.7</v>
      </c>
      <c r="M883" s="16">
        <v>3</v>
      </c>
      <c r="N883" s="18">
        <f>IF(Risk_Calculation_Engine!U883="Low",1,IF(Risk_Calculation_Engine!U883="Medium",2,3))</f>
        <v>2</v>
      </c>
      <c r="O883" s="18" t="str">
        <f>Risk_Calculation_Engine!U883</f>
        <v>Medium</v>
      </c>
    </row>
    <row r="884" spans="1:15" ht="15" customHeight="1" x14ac:dyDescent="0.25">
      <c r="A884" s="16">
        <v>880</v>
      </c>
      <c r="B884" s="16">
        <v>78</v>
      </c>
      <c r="C884" s="16">
        <v>3</v>
      </c>
      <c r="D884" s="16">
        <v>429.4</v>
      </c>
      <c r="E884" s="17">
        <f t="shared" si="13"/>
        <v>8.02</v>
      </c>
      <c r="F884" s="16">
        <v>1</v>
      </c>
      <c r="G884" s="16">
        <v>7</v>
      </c>
      <c r="H884" s="16">
        <v>2.5</v>
      </c>
      <c r="I884" s="16">
        <v>13</v>
      </c>
      <c r="J884" s="16">
        <v>504</v>
      </c>
      <c r="K884" s="16">
        <v>6.46</v>
      </c>
      <c r="L884" s="16">
        <v>69</v>
      </c>
      <c r="M884" s="16">
        <v>2</v>
      </c>
      <c r="N884" s="18">
        <f>IF(Risk_Calculation_Engine!U884="Low",1,IF(Risk_Calculation_Engine!U884="Medium",2,3))</f>
        <v>3</v>
      </c>
      <c r="O884" s="18" t="str">
        <f>Risk_Calculation_Engine!U884</f>
        <v>High</v>
      </c>
    </row>
    <row r="885" spans="1:15" ht="15" customHeight="1" x14ac:dyDescent="0.25">
      <c r="A885" s="16">
        <v>881</v>
      </c>
      <c r="B885" s="16">
        <v>72.900000000000006</v>
      </c>
      <c r="C885" s="16">
        <v>1</v>
      </c>
      <c r="D885" s="16">
        <v>295.10000000000002</v>
      </c>
      <c r="E885" s="17">
        <f t="shared" si="13"/>
        <v>7.3</v>
      </c>
      <c r="F885" s="16">
        <v>1</v>
      </c>
      <c r="G885" s="16">
        <v>5</v>
      </c>
      <c r="H885" s="16">
        <v>2.4700000000000002</v>
      </c>
      <c r="I885" s="16">
        <v>10</v>
      </c>
      <c r="J885" s="16">
        <v>195</v>
      </c>
      <c r="K885" s="16">
        <v>2.67</v>
      </c>
      <c r="L885" s="16">
        <v>88</v>
      </c>
      <c r="M885" s="16">
        <v>3</v>
      </c>
      <c r="N885" s="18">
        <f>IF(Risk_Calculation_Engine!U885="Low",1,IF(Risk_Calculation_Engine!U885="Medium",2,3))</f>
        <v>2</v>
      </c>
      <c r="O885" s="18" t="str">
        <f>Risk_Calculation_Engine!U885</f>
        <v>Medium</v>
      </c>
    </row>
    <row r="886" spans="1:15" ht="15" customHeight="1" x14ac:dyDescent="0.25">
      <c r="A886" s="16">
        <v>882</v>
      </c>
      <c r="B886" s="16">
        <v>149.80000000000001</v>
      </c>
      <c r="C886" s="16">
        <v>2</v>
      </c>
      <c r="D886" s="16">
        <v>515.9</v>
      </c>
      <c r="E886" s="17">
        <f t="shared" si="13"/>
        <v>8.44</v>
      </c>
      <c r="F886" s="16">
        <v>3</v>
      </c>
      <c r="G886" s="16">
        <v>8</v>
      </c>
      <c r="H886" s="16">
        <v>2.5</v>
      </c>
      <c r="I886" s="16">
        <v>6</v>
      </c>
      <c r="J886" s="16">
        <v>864</v>
      </c>
      <c r="K886" s="16">
        <v>5.77</v>
      </c>
      <c r="L886" s="16">
        <v>89.4</v>
      </c>
      <c r="M886" s="16">
        <v>3</v>
      </c>
      <c r="N886" s="18">
        <f>IF(Risk_Calculation_Engine!U886="Low",1,IF(Risk_Calculation_Engine!U886="Medium",2,3))</f>
        <v>3</v>
      </c>
      <c r="O886" s="18" t="str">
        <f>Risk_Calculation_Engine!U886</f>
        <v>High</v>
      </c>
    </row>
    <row r="887" spans="1:15" ht="15" customHeight="1" x14ac:dyDescent="0.25">
      <c r="A887" s="16">
        <v>883</v>
      </c>
      <c r="B887" s="16">
        <v>66.599999999999994</v>
      </c>
      <c r="C887" s="16">
        <v>3</v>
      </c>
      <c r="D887" s="16">
        <v>212.5</v>
      </c>
      <c r="E887" s="17">
        <f t="shared" si="13"/>
        <v>6.58</v>
      </c>
      <c r="F887" s="16">
        <v>3</v>
      </c>
      <c r="G887" s="16">
        <v>5</v>
      </c>
      <c r="H887" s="16">
        <v>2.5</v>
      </c>
      <c r="I887" s="16">
        <v>3</v>
      </c>
      <c r="J887" s="16">
        <v>577</v>
      </c>
      <c r="K887" s="16">
        <v>8.66</v>
      </c>
      <c r="L887" s="16">
        <v>68.2</v>
      </c>
      <c r="M887" s="16">
        <v>3</v>
      </c>
      <c r="N887" s="18">
        <f>IF(Risk_Calculation_Engine!U887="Low",1,IF(Risk_Calculation_Engine!U887="Medium",2,3))</f>
        <v>2</v>
      </c>
      <c r="O887" s="18" t="str">
        <f>Risk_Calculation_Engine!U887</f>
        <v>Medium</v>
      </c>
    </row>
    <row r="888" spans="1:15" ht="15" customHeight="1" x14ac:dyDescent="0.25">
      <c r="A888" s="16">
        <v>884</v>
      </c>
      <c r="B888" s="16">
        <v>23.9</v>
      </c>
      <c r="C888" s="16">
        <v>3</v>
      </c>
      <c r="D888" s="16">
        <v>105.2</v>
      </c>
      <c r="E888" s="17">
        <f t="shared" si="13"/>
        <v>7.08</v>
      </c>
      <c r="F888" s="16">
        <v>2</v>
      </c>
      <c r="G888" s="16">
        <v>2</v>
      </c>
      <c r="H888" s="16">
        <v>1.91</v>
      </c>
      <c r="I888" s="16">
        <v>10</v>
      </c>
      <c r="J888" s="16">
        <v>155</v>
      </c>
      <c r="K888" s="16">
        <v>6.49</v>
      </c>
      <c r="L888" s="16">
        <v>85.5</v>
      </c>
      <c r="M888" s="16">
        <v>2</v>
      </c>
      <c r="N888" s="18">
        <f>IF(Risk_Calculation_Engine!U888="Low",1,IF(Risk_Calculation_Engine!U888="Medium",2,3))</f>
        <v>1</v>
      </c>
      <c r="O888" s="18" t="str">
        <f>Risk_Calculation_Engine!U888</f>
        <v>Low</v>
      </c>
    </row>
    <row r="889" spans="1:15" ht="15" customHeight="1" x14ac:dyDescent="0.25">
      <c r="A889" s="16">
        <v>885</v>
      </c>
      <c r="B889" s="16">
        <v>146.19999999999999</v>
      </c>
      <c r="C889" s="16">
        <v>2</v>
      </c>
      <c r="D889" s="16">
        <v>558.29999999999995</v>
      </c>
      <c r="E889" s="17">
        <f t="shared" si="13"/>
        <v>13.91</v>
      </c>
      <c r="F889" s="16">
        <v>2</v>
      </c>
      <c r="G889" s="16">
        <v>11</v>
      </c>
      <c r="H889" s="16">
        <v>1.55</v>
      </c>
      <c r="I889" s="16">
        <v>12</v>
      </c>
      <c r="J889" s="16">
        <v>866</v>
      </c>
      <c r="K889" s="16">
        <v>5.92</v>
      </c>
      <c r="L889" s="16">
        <v>71.599999999999994</v>
      </c>
      <c r="M889" s="16">
        <v>1</v>
      </c>
      <c r="N889" s="18">
        <f>IF(Risk_Calculation_Engine!U889="Low",1,IF(Risk_Calculation_Engine!U889="Medium",2,3))</f>
        <v>3</v>
      </c>
      <c r="O889" s="18" t="str">
        <f>Risk_Calculation_Engine!U889</f>
        <v>High</v>
      </c>
    </row>
    <row r="890" spans="1:15" ht="15" customHeight="1" x14ac:dyDescent="0.25">
      <c r="A890" s="16">
        <v>886</v>
      </c>
      <c r="B890" s="16">
        <v>10.9</v>
      </c>
      <c r="C890" s="16">
        <v>4</v>
      </c>
      <c r="D890" s="16">
        <v>36.700000000000003</v>
      </c>
      <c r="E890" s="17">
        <f t="shared" si="13"/>
        <v>8.25</v>
      </c>
      <c r="F890" s="16">
        <v>3</v>
      </c>
      <c r="G890" s="16">
        <v>8</v>
      </c>
      <c r="H890" s="16">
        <v>1.22</v>
      </c>
      <c r="I890" s="16">
        <v>10</v>
      </c>
      <c r="J890" s="16">
        <v>71</v>
      </c>
      <c r="K890" s="16">
        <v>6.51</v>
      </c>
      <c r="L890" s="16">
        <v>64.099999999999994</v>
      </c>
      <c r="M890" s="16">
        <v>3</v>
      </c>
      <c r="N890" s="18">
        <f>IF(Risk_Calculation_Engine!U890="Low",1,IF(Risk_Calculation_Engine!U890="Medium",2,3))</f>
        <v>1</v>
      </c>
      <c r="O890" s="18" t="str">
        <f>Risk_Calculation_Engine!U890</f>
        <v>Low</v>
      </c>
    </row>
    <row r="891" spans="1:15" ht="15" customHeight="1" x14ac:dyDescent="0.25">
      <c r="A891" s="16">
        <v>887</v>
      </c>
      <c r="B891" s="16">
        <v>129</v>
      </c>
      <c r="C891" s="16">
        <v>3</v>
      </c>
      <c r="D891" s="16">
        <v>845.1</v>
      </c>
      <c r="E891" s="17">
        <f t="shared" si="13"/>
        <v>12.17</v>
      </c>
      <c r="F891" s="16">
        <v>1</v>
      </c>
      <c r="G891" s="16">
        <v>4</v>
      </c>
      <c r="H891" s="16">
        <v>1.99</v>
      </c>
      <c r="I891" s="16">
        <v>15</v>
      </c>
      <c r="J891" s="16">
        <v>460</v>
      </c>
      <c r="K891" s="16">
        <v>3.57</v>
      </c>
      <c r="L891" s="16">
        <v>56.8</v>
      </c>
      <c r="M891" s="16">
        <v>2</v>
      </c>
      <c r="N891" s="18">
        <f>IF(Risk_Calculation_Engine!U891="Low",1,IF(Risk_Calculation_Engine!U891="Medium",2,3))</f>
        <v>3</v>
      </c>
      <c r="O891" s="18" t="str">
        <f>Risk_Calculation_Engine!U891</f>
        <v>High</v>
      </c>
    </row>
    <row r="892" spans="1:15" ht="15" customHeight="1" x14ac:dyDescent="0.25">
      <c r="A892" s="16">
        <v>888</v>
      </c>
      <c r="B892" s="16">
        <v>61.2</v>
      </c>
      <c r="C892" s="16">
        <v>5</v>
      </c>
      <c r="D892" s="16">
        <v>344.9</v>
      </c>
      <c r="E892" s="17">
        <f t="shared" si="13"/>
        <v>7.54</v>
      </c>
      <c r="F892" s="16">
        <v>2</v>
      </c>
      <c r="G892" s="16">
        <v>8</v>
      </c>
      <c r="H892" s="16">
        <v>2.5</v>
      </c>
      <c r="I892" s="16">
        <v>10</v>
      </c>
      <c r="J892" s="16">
        <v>584</v>
      </c>
      <c r="K892" s="16">
        <v>9.5399999999999991</v>
      </c>
      <c r="L892" s="16">
        <v>73.099999999999994</v>
      </c>
      <c r="M892" s="16">
        <v>3</v>
      </c>
      <c r="N892" s="18">
        <f>IF(Risk_Calculation_Engine!U892="Low",1,IF(Risk_Calculation_Engine!U892="Medium",2,3))</f>
        <v>3</v>
      </c>
      <c r="O892" s="18" t="str">
        <f>Risk_Calculation_Engine!U892</f>
        <v>High</v>
      </c>
    </row>
    <row r="893" spans="1:15" ht="15" customHeight="1" x14ac:dyDescent="0.25">
      <c r="A893" s="16">
        <v>889</v>
      </c>
      <c r="B893" s="16">
        <v>47.5</v>
      </c>
      <c r="C893" s="16">
        <v>3</v>
      </c>
      <c r="D893" s="16">
        <v>212.1</v>
      </c>
      <c r="E893" s="17">
        <f t="shared" si="13"/>
        <v>16.96</v>
      </c>
      <c r="F893" s="16">
        <v>2</v>
      </c>
      <c r="G893" s="16">
        <v>2</v>
      </c>
      <c r="H893" s="16">
        <v>0.97</v>
      </c>
      <c r="I893" s="16">
        <v>9</v>
      </c>
      <c r="J893" s="16">
        <v>363</v>
      </c>
      <c r="K893" s="16">
        <v>7.64</v>
      </c>
      <c r="L893" s="16">
        <v>79.7</v>
      </c>
      <c r="M893" s="16">
        <v>2</v>
      </c>
      <c r="N893" s="18">
        <f>IF(Risk_Calculation_Engine!U893="Low",1,IF(Risk_Calculation_Engine!U893="Medium",2,3))</f>
        <v>1</v>
      </c>
      <c r="O893" s="18" t="str">
        <f>Risk_Calculation_Engine!U893</f>
        <v>Low</v>
      </c>
    </row>
    <row r="894" spans="1:15" ht="15" customHeight="1" x14ac:dyDescent="0.25">
      <c r="A894" s="16">
        <v>890</v>
      </c>
      <c r="B894" s="16">
        <v>46.5</v>
      </c>
      <c r="C894" s="16">
        <v>3</v>
      </c>
      <c r="D894" s="16">
        <v>133.19999999999999</v>
      </c>
      <c r="E894" s="17">
        <f t="shared" si="13"/>
        <v>8.16</v>
      </c>
      <c r="F894" s="16">
        <v>3</v>
      </c>
      <c r="G894" s="16">
        <v>5</v>
      </c>
      <c r="H894" s="16">
        <v>1.77</v>
      </c>
      <c r="I894" s="16">
        <v>3</v>
      </c>
      <c r="J894" s="16">
        <v>395</v>
      </c>
      <c r="K894" s="16">
        <v>8.49</v>
      </c>
      <c r="L894" s="16">
        <v>87.7</v>
      </c>
      <c r="M894" s="16">
        <v>2</v>
      </c>
      <c r="N894" s="18">
        <f>IF(Risk_Calculation_Engine!U894="Low",1,IF(Risk_Calculation_Engine!U894="Medium",2,3))</f>
        <v>1</v>
      </c>
      <c r="O894" s="18" t="str">
        <f>Risk_Calculation_Engine!U894</f>
        <v>Low</v>
      </c>
    </row>
    <row r="895" spans="1:15" ht="15" customHeight="1" x14ac:dyDescent="0.25">
      <c r="A895" s="16">
        <v>891</v>
      </c>
      <c r="B895" s="16">
        <v>54.4</v>
      </c>
      <c r="C895" s="16">
        <v>2</v>
      </c>
      <c r="D895" s="16">
        <v>171.8</v>
      </c>
      <c r="E895" s="17">
        <f t="shared" si="13"/>
        <v>17.23</v>
      </c>
      <c r="F895" s="16">
        <v>3</v>
      </c>
      <c r="G895" s="16">
        <v>8</v>
      </c>
      <c r="H895" s="16">
        <v>0.9</v>
      </c>
      <c r="I895" s="16">
        <v>10</v>
      </c>
      <c r="J895" s="16">
        <v>292</v>
      </c>
      <c r="K895" s="16">
        <v>5.37</v>
      </c>
      <c r="L895" s="16">
        <v>85.1</v>
      </c>
      <c r="M895" s="16">
        <v>1</v>
      </c>
      <c r="N895" s="18">
        <f>IF(Risk_Calculation_Engine!U895="Low",1,IF(Risk_Calculation_Engine!U895="Medium",2,3))</f>
        <v>1</v>
      </c>
      <c r="O895" s="18" t="str">
        <f>Risk_Calculation_Engine!U895</f>
        <v>Low</v>
      </c>
    </row>
    <row r="896" spans="1:15" ht="15" customHeight="1" x14ac:dyDescent="0.25">
      <c r="A896" s="16">
        <v>892</v>
      </c>
      <c r="B896" s="16">
        <v>41.7</v>
      </c>
      <c r="C896" s="16">
        <v>3</v>
      </c>
      <c r="D896" s="16">
        <v>191</v>
      </c>
      <c r="E896" s="17">
        <f t="shared" si="13"/>
        <v>17.95</v>
      </c>
      <c r="F896" s="16">
        <v>2</v>
      </c>
      <c r="G896" s="16">
        <v>6</v>
      </c>
      <c r="H896" s="16">
        <v>0.89</v>
      </c>
      <c r="I896" s="16">
        <v>5</v>
      </c>
      <c r="J896" s="16">
        <v>360</v>
      </c>
      <c r="K896" s="16">
        <v>8.6300000000000008</v>
      </c>
      <c r="L896" s="16">
        <v>80.8</v>
      </c>
      <c r="M896" s="16">
        <v>2</v>
      </c>
      <c r="N896" s="18">
        <f>IF(Risk_Calculation_Engine!U896="Low",1,IF(Risk_Calculation_Engine!U896="Medium",2,3))</f>
        <v>1</v>
      </c>
      <c r="O896" s="18" t="str">
        <f>Risk_Calculation_Engine!U896</f>
        <v>Low</v>
      </c>
    </row>
    <row r="897" spans="1:15" ht="15" customHeight="1" x14ac:dyDescent="0.25">
      <c r="A897" s="16">
        <v>893</v>
      </c>
      <c r="B897" s="16">
        <v>87</v>
      </c>
      <c r="C897" s="16">
        <v>2</v>
      </c>
      <c r="D897" s="16">
        <v>445.6</v>
      </c>
      <c r="E897" s="17">
        <f t="shared" si="13"/>
        <v>8.1</v>
      </c>
      <c r="F897" s="16">
        <v>1</v>
      </c>
      <c r="G897" s="16">
        <v>6</v>
      </c>
      <c r="H897" s="16">
        <v>2.5</v>
      </c>
      <c r="I897" s="16">
        <v>12</v>
      </c>
      <c r="J897" s="16">
        <v>365</v>
      </c>
      <c r="K897" s="16">
        <v>4.2</v>
      </c>
      <c r="L897" s="16">
        <v>68.599999999999994</v>
      </c>
      <c r="M897" s="16">
        <v>2</v>
      </c>
      <c r="N897" s="18">
        <f>IF(Risk_Calculation_Engine!U897="Low",1,IF(Risk_Calculation_Engine!U897="Medium",2,3))</f>
        <v>2</v>
      </c>
      <c r="O897" s="18" t="str">
        <f>Risk_Calculation_Engine!U897</f>
        <v>Medium</v>
      </c>
    </row>
    <row r="898" spans="1:15" ht="15" customHeight="1" x14ac:dyDescent="0.25">
      <c r="A898" s="16">
        <v>894</v>
      </c>
      <c r="B898" s="16">
        <v>43</v>
      </c>
      <c r="C898" s="16">
        <v>2</v>
      </c>
      <c r="D898" s="16">
        <v>164.1</v>
      </c>
      <c r="E898" s="17">
        <f t="shared" si="13"/>
        <v>6.4</v>
      </c>
      <c r="F898" s="16">
        <v>2</v>
      </c>
      <c r="G898" s="16">
        <v>3</v>
      </c>
      <c r="H898" s="16">
        <v>2.39</v>
      </c>
      <c r="I898" s="16">
        <v>5</v>
      </c>
      <c r="J898" s="16">
        <v>217</v>
      </c>
      <c r="K898" s="16">
        <v>5.05</v>
      </c>
      <c r="L898" s="16">
        <v>87.7</v>
      </c>
      <c r="M898" s="16">
        <v>3</v>
      </c>
      <c r="N898" s="18">
        <f>IF(Risk_Calculation_Engine!U898="Low",1,IF(Risk_Calculation_Engine!U898="Medium",2,3))</f>
        <v>2</v>
      </c>
      <c r="O898" s="18" t="str">
        <f>Risk_Calculation_Engine!U898</f>
        <v>Medium</v>
      </c>
    </row>
    <row r="899" spans="1:15" ht="15" customHeight="1" x14ac:dyDescent="0.25">
      <c r="A899" s="16">
        <v>895</v>
      </c>
      <c r="B899" s="16">
        <v>61.6</v>
      </c>
      <c r="C899" s="16">
        <v>4</v>
      </c>
      <c r="D899" s="16">
        <v>490.7</v>
      </c>
      <c r="E899" s="17">
        <f t="shared" si="13"/>
        <v>17.329999999999998</v>
      </c>
      <c r="F899" s="16">
        <v>1</v>
      </c>
      <c r="G899" s="16">
        <v>9</v>
      </c>
      <c r="H899" s="16">
        <v>1.2</v>
      </c>
      <c r="I899" s="16">
        <v>14</v>
      </c>
      <c r="J899" s="16">
        <v>515</v>
      </c>
      <c r="K899" s="16">
        <v>8.36</v>
      </c>
      <c r="L899" s="16">
        <v>65.599999999999994</v>
      </c>
      <c r="M899" s="16">
        <v>3</v>
      </c>
      <c r="N899" s="18">
        <f>IF(Risk_Calculation_Engine!U899="Low",1,IF(Risk_Calculation_Engine!U899="Medium",2,3))</f>
        <v>2</v>
      </c>
      <c r="O899" s="18" t="str">
        <f>Risk_Calculation_Engine!U899</f>
        <v>Medium</v>
      </c>
    </row>
    <row r="900" spans="1:15" ht="15" customHeight="1" x14ac:dyDescent="0.25">
      <c r="A900" s="16">
        <v>896</v>
      </c>
      <c r="B900" s="16">
        <v>5.9</v>
      </c>
      <c r="C900" s="16">
        <v>3</v>
      </c>
      <c r="D900" s="16">
        <v>15.1</v>
      </c>
      <c r="E900" s="17">
        <f t="shared" si="13"/>
        <v>7.69</v>
      </c>
      <c r="F900" s="16">
        <v>3</v>
      </c>
      <c r="G900" s="16">
        <v>4</v>
      </c>
      <c r="H900" s="16">
        <v>1.02</v>
      </c>
      <c r="I900" s="16">
        <v>6</v>
      </c>
      <c r="J900" s="16">
        <v>45</v>
      </c>
      <c r="K900" s="16">
        <v>7.63</v>
      </c>
      <c r="L900" s="16">
        <v>72.099999999999994</v>
      </c>
      <c r="M900" s="16">
        <v>2</v>
      </c>
      <c r="N900" s="18">
        <f>IF(Risk_Calculation_Engine!U900="Low",1,IF(Risk_Calculation_Engine!U900="Medium",2,3))</f>
        <v>1</v>
      </c>
      <c r="O900" s="18" t="str">
        <f>Risk_Calculation_Engine!U900</f>
        <v>Low</v>
      </c>
    </row>
    <row r="901" spans="1:15" ht="15" customHeight="1" x14ac:dyDescent="0.25">
      <c r="A901" s="16">
        <v>897</v>
      </c>
      <c r="B901" s="16">
        <v>61.2</v>
      </c>
      <c r="C901" s="16">
        <v>2</v>
      </c>
      <c r="D901" s="16">
        <v>310</v>
      </c>
      <c r="E901" s="17">
        <f t="shared" ref="E901:E964" si="14">ROUND(3.67*D901^0.28/H901,2)</f>
        <v>7.32</v>
      </c>
      <c r="F901" s="16">
        <v>1</v>
      </c>
      <c r="G901" s="16">
        <v>5</v>
      </c>
      <c r="H901" s="16">
        <v>2.5</v>
      </c>
      <c r="I901" s="16">
        <v>8</v>
      </c>
      <c r="J901" s="16">
        <v>307</v>
      </c>
      <c r="K901" s="16">
        <v>5.0199999999999996</v>
      </c>
      <c r="L901" s="16">
        <v>28.8</v>
      </c>
      <c r="M901" s="16">
        <v>2</v>
      </c>
      <c r="N901" s="18">
        <f>IF(Risk_Calculation_Engine!U901="Low",1,IF(Risk_Calculation_Engine!U901="Medium",2,3))</f>
        <v>2</v>
      </c>
      <c r="O901" s="18" t="str">
        <f>Risk_Calculation_Engine!U901</f>
        <v>Medium</v>
      </c>
    </row>
    <row r="902" spans="1:15" ht="15" customHeight="1" x14ac:dyDescent="0.25">
      <c r="A902" s="16">
        <v>898</v>
      </c>
      <c r="B902" s="16">
        <v>41</v>
      </c>
      <c r="C902" s="16">
        <v>5</v>
      </c>
      <c r="D902" s="16">
        <v>349.2</v>
      </c>
      <c r="E902" s="17">
        <f t="shared" si="14"/>
        <v>18.010000000000002</v>
      </c>
      <c r="F902" s="16">
        <v>1</v>
      </c>
      <c r="G902" s="16">
        <v>6</v>
      </c>
      <c r="H902" s="16">
        <v>1.05</v>
      </c>
      <c r="I902" s="16">
        <v>4</v>
      </c>
      <c r="J902" s="16">
        <v>690</v>
      </c>
      <c r="K902" s="16">
        <v>16.829999999999998</v>
      </c>
      <c r="L902" s="16">
        <v>69.2</v>
      </c>
      <c r="M902" s="16">
        <v>1</v>
      </c>
      <c r="N902" s="18">
        <f>IF(Risk_Calculation_Engine!U902="Low",1,IF(Risk_Calculation_Engine!U902="Medium",2,3))</f>
        <v>2</v>
      </c>
      <c r="O902" s="18" t="str">
        <f>Risk_Calculation_Engine!U902</f>
        <v>Medium</v>
      </c>
    </row>
    <row r="903" spans="1:15" ht="15" customHeight="1" x14ac:dyDescent="0.25">
      <c r="A903" s="16">
        <v>899</v>
      </c>
      <c r="B903" s="16">
        <v>122.3</v>
      </c>
      <c r="C903" s="16">
        <v>1</v>
      </c>
      <c r="D903" s="16">
        <v>360.9</v>
      </c>
      <c r="E903" s="17">
        <f t="shared" si="14"/>
        <v>20.309999999999999</v>
      </c>
      <c r="F903" s="16">
        <v>2</v>
      </c>
      <c r="G903" s="16">
        <v>4</v>
      </c>
      <c r="H903" s="16">
        <v>0.94</v>
      </c>
      <c r="I903" s="16">
        <v>5</v>
      </c>
      <c r="J903" s="16">
        <v>133</v>
      </c>
      <c r="K903" s="16">
        <v>1.0900000000000001</v>
      </c>
      <c r="L903" s="16">
        <v>74.599999999999994</v>
      </c>
      <c r="M903" s="16">
        <v>2</v>
      </c>
      <c r="N903" s="18">
        <f>IF(Risk_Calculation_Engine!U903="Low",1,IF(Risk_Calculation_Engine!U903="Medium",2,3))</f>
        <v>1</v>
      </c>
      <c r="O903" s="18" t="str">
        <f>Risk_Calculation_Engine!U903</f>
        <v>Low</v>
      </c>
    </row>
    <row r="904" spans="1:15" ht="15" customHeight="1" x14ac:dyDescent="0.25">
      <c r="A904" s="16">
        <v>900</v>
      </c>
      <c r="B904" s="16">
        <v>49.3</v>
      </c>
      <c r="C904" s="16">
        <v>4</v>
      </c>
      <c r="D904" s="16">
        <v>264.39999999999998</v>
      </c>
      <c r="E904" s="17">
        <f t="shared" si="14"/>
        <v>16.5</v>
      </c>
      <c r="F904" s="16">
        <v>2</v>
      </c>
      <c r="G904" s="16">
        <v>6</v>
      </c>
      <c r="H904" s="16">
        <v>1.06</v>
      </c>
      <c r="I904" s="16">
        <v>14</v>
      </c>
      <c r="J904" s="16">
        <v>378</v>
      </c>
      <c r="K904" s="16">
        <v>7.67</v>
      </c>
      <c r="L904" s="16">
        <v>66.8</v>
      </c>
      <c r="M904" s="16">
        <v>3</v>
      </c>
      <c r="N904" s="18">
        <f>IF(Risk_Calculation_Engine!U904="Low",1,IF(Risk_Calculation_Engine!U904="Medium",2,3))</f>
        <v>1</v>
      </c>
      <c r="O904" s="18" t="str">
        <f>Risk_Calculation_Engine!U904</f>
        <v>Low</v>
      </c>
    </row>
    <row r="905" spans="1:15" ht="15" customHeight="1" x14ac:dyDescent="0.25">
      <c r="A905" s="16">
        <v>901</v>
      </c>
      <c r="B905" s="16">
        <v>109.6</v>
      </c>
      <c r="C905" s="16">
        <v>3</v>
      </c>
      <c r="D905" s="16">
        <v>352.6</v>
      </c>
      <c r="E905" s="17">
        <f t="shared" si="14"/>
        <v>10.25</v>
      </c>
      <c r="F905" s="16">
        <v>3</v>
      </c>
      <c r="G905" s="16">
        <v>2</v>
      </c>
      <c r="H905" s="16">
        <v>1.85</v>
      </c>
      <c r="I905" s="16">
        <v>6</v>
      </c>
      <c r="J905" s="16">
        <v>911</v>
      </c>
      <c r="K905" s="16">
        <v>8.31</v>
      </c>
      <c r="L905" s="16">
        <v>58</v>
      </c>
      <c r="M905" s="16">
        <v>3</v>
      </c>
      <c r="N905" s="18">
        <f>IF(Risk_Calculation_Engine!U905="Low",1,IF(Risk_Calculation_Engine!U905="Medium",2,3))</f>
        <v>2</v>
      </c>
      <c r="O905" s="18" t="str">
        <f>Risk_Calculation_Engine!U905</f>
        <v>Medium</v>
      </c>
    </row>
    <row r="906" spans="1:15" ht="15" customHeight="1" x14ac:dyDescent="0.25">
      <c r="A906" s="16">
        <v>902</v>
      </c>
      <c r="B906" s="16">
        <v>100.5</v>
      </c>
      <c r="C906" s="16">
        <v>3</v>
      </c>
      <c r="D906" s="16">
        <v>678.5</v>
      </c>
      <c r="E906" s="17">
        <f t="shared" si="14"/>
        <v>9.11</v>
      </c>
      <c r="F906" s="16">
        <v>1</v>
      </c>
      <c r="G906" s="16">
        <v>7</v>
      </c>
      <c r="H906" s="16">
        <v>2.5</v>
      </c>
      <c r="I906" s="16">
        <v>9</v>
      </c>
      <c r="J906" s="16">
        <v>656</v>
      </c>
      <c r="K906" s="16">
        <v>6.53</v>
      </c>
      <c r="L906" s="16">
        <v>70.7</v>
      </c>
      <c r="M906" s="16">
        <v>2</v>
      </c>
      <c r="N906" s="18">
        <f>IF(Risk_Calculation_Engine!U906="Low",1,IF(Risk_Calculation_Engine!U906="Medium",2,3))</f>
        <v>3</v>
      </c>
      <c r="O906" s="18" t="str">
        <f>Risk_Calculation_Engine!U906</f>
        <v>High</v>
      </c>
    </row>
    <row r="907" spans="1:15" ht="15" customHeight="1" x14ac:dyDescent="0.25">
      <c r="A907" s="16">
        <v>903</v>
      </c>
      <c r="B907" s="16">
        <v>102.6</v>
      </c>
      <c r="C907" s="16">
        <v>3</v>
      </c>
      <c r="D907" s="16">
        <v>351.8</v>
      </c>
      <c r="E907" s="17">
        <f t="shared" si="14"/>
        <v>15.41</v>
      </c>
      <c r="F907" s="16">
        <v>3</v>
      </c>
      <c r="G907" s="16">
        <v>4</v>
      </c>
      <c r="H907" s="16">
        <v>1.23</v>
      </c>
      <c r="I907" s="16">
        <v>15</v>
      </c>
      <c r="J907" s="16">
        <v>557</v>
      </c>
      <c r="K907" s="16">
        <v>5.43</v>
      </c>
      <c r="L907" s="16">
        <v>77.900000000000006</v>
      </c>
      <c r="M907" s="16">
        <v>3</v>
      </c>
      <c r="N907" s="18">
        <f>IF(Risk_Calculation_Engine!U907="Low",1,IF(Risk_Calculation_Engine!U907="Medium",2,3))</f>
        <v>1</v>
      </c>
      <c r="O907" s="18" t="str">
        <f>Risk_Calculation_Engine!U907</f>
        <v>Low</v>
      </c>
    </row>
    <row r="908" spans="1:15" ht="15" customHeight="1" x14ac:dyDescent="0.25">
      <c r="A908" s="16">
        <v>904</v>
      </c>
      <c r="B908" s="16">
        <v>50.8</v>
      </c>
      <c r="C908" s="16">
        <v>2</v>
      </c>
      <c r="D908" s="16">
        <v>225.5</v>
      </c>
      <c r="E908" s="17">
        <f t="shared" si="14"/>
        <v>6.69</v>
      </c>
      <c r="F908" s="16">
        <v>1</v>
      </c>
      <c r="G908" s="16">
        <v>9</v>
      </c>
      <c r="H908" s="16">
        <v>2.5</v>
      </c>
      <c r="I908" s="16">
        <v>11</v>
      </c>
      <c r="J908" s="16">
        <v>294</v>
      </c>
      <c r="K908" s="16">
        <v>5.79</v>
      </c>
      <c r="L908" s="16">
        <v>19.399999999999999</v>
      </c>
      <c r="M908" s="16">
        <v>1</v>
      </c>
      <c r="N908" s="18">
        <f>IF(Risk_Calculation_Engine!U908="Low",1,IF(Risk_Calculation_Engine!U908="Medium",2,3))</f>
        <v>3</v>
      </c>
      <c r="O908" s="18" t="str">
        <f>Risk_Calculation_Engine!U908</f>
        <v>High</v>
      </c>
    </row>
    <row r="909" spans="1:15" ht="15" customHeight="1" x14ac:dyDescent="0.25">
      <c r="A909" s="16">
        <v>905</v>
      </c>
      <c r="B909" s="16">
        <v>64.599999999999994</v>
      </c>
      <c r="C909" s="16">
        <v>4</v>
      </c>
      <c r="D909" s="16">
        <v>513.20000000000005</v>
      </c>
      <c r="E909" s="17">
        <f t="shared" si="14"/>
        <v>12.92</v>
      </c>
      <c r="F909" s="16">
        <v>1</v>
      </c>
      <c r="G909" s="16">
        <v>9</v>
      </c>
      <c r="H909" s="16">
        <v>1.63</v>
      </c>
      <c r="I909" s="16">
        <v>3</v>
      </c>
      <c r="J909" s="16">
        <v>560</v>
      </c>
      <c r="K909" s="16">
        <v>8.67</v>
      </c>
      <c r="L909" s="16">
        <v>71.599999999999994</v>
      </c>
      <c r="M909" s="16">
        <v>3</v>
      </c>
      <c r="N909" s="18">
        <f>IF(Risk_Calculation_Engine!U909="Low",1,IF(Risk_Calculation_Engine!U909="Medium",2,3))</f>
        <v>2</v>
      </c>
      <c r="O909" s="18" t="str">
        <f>Risk_Calculation_Engine!U909</f>
        <v>Medium</v>
      </c>
    </row>
    <row r="910" spans="1:15" ht="15" customHeight="1" x14ac:dyDescent="0.25">
      <c r="A910" s="16">
        <v>906</v>
      </c>
      <c r="B910" s="16">
        <v>85.2</v>
      </c>
      <c r="C910" s="16">
        <v>2</v>
      </c>
      <c r="D910" s="16">
        <v>344.6</v>
      </c>
      <c r="E910" s="17">
        <f t="shared" si="14"/>
        <v>24.16</v>
      </c>
      <c r="F910" s="16">
        <v>2</v>
      </c>
      <c r="G910" s="16">
        <v>6</v>
      </c>
      <c r="H910" s="16">
        <v>0.78</v>
      </c>
      <c r="I910" s="16">
        <v>7</v>
      </c>
      <c r="J910" s="16">
        <v>282</v>
      </c>
      <c r="K910" s="16">
        <v>3.31</v>
      </c>
      <c r="L910" s="16">
        <v>54.3</v>
      </c>
      <c r="M910" s="16">
        <v>2</v>
      </c>
      <c r="N910" s="18">
        <f>IF(Risk_Calculation_Engine!U910="Low",1,IF(Risk_Calculation_Engine!U910="Medium",2,3))</f>
        <v>1</v>
      </c>
      <c r="O910" s="18" t="str">
        <f>Risk_Calculation_Engine!U910</f>
        <v>Low</v>
      </c>
    </row>
    <row r="911" spans="1:15" ht="15" customHeight="1" x14ac:dyDescent="0.25">
      <c r="A911" s="16">
        <v>907</v>
      </c>
      <c r="B911" s="16">
        <v>66.2</v>
      </c>
      <c r="C911" s="16">
        <v>2</v>
      </c>
      <c r="D911" s="16">
        <v>332.7</v>
      </c>
      <c r="E911" s="17">
        <f t="shared" si="14"/>
        <v>14.93</v>
      </c>
      <c r="F911" s="16">
        <v>1</v>
      </c>
      <c r="G911" s="16">
        <v>7</v>
      </c>
      <c r="H911" s="16">
        <v>1.25</v>
      </c>
      <c r="I911" s="16">
        <v>8</v>
      </c>
      <c r="J911" s="16">
        <v>336</v>
      </c>
      <c r="K911" s="16">
        <v>5.08</v>
      </c>
      <c r="L911" s="16">
        <v>82.1</v>
      </c>
      <c r="M911" s="16">
        <v>1</v>
      </c>
      <c r="N911" s="18">
        <f>IF(Risk_Calculation_Engine!U911="Low",1,IF(Risk_Calculation_Engine!U911="Medium",2,3))</f>
        <v>1</v>
      </c>
      <c r="O911" s="18" t="str">
        <f>Risk_Calculation_Engine!U911</f>
        <v>Low</v>
      </c>
    </row>
    <row r="912" spans="1:15" ht="15" customHeight="1" x14ac:dyDescent="0.25">
      <c r="A912" s="16">
        <v>908</v>
      </c>
      <c r="B912" s="16">
        <v>49.4</v>
      </c>
      <c r="C912" s="16">
        <v>3</v>
      </c>
      <c r="D912" s="16">
        <v>227.6</v>
      </c>
      <c r="E912" s="17">
        <f t="shared" si="14"/>
        <v>6.96</v>
      </c>
      <c r="F912" s="16">
        <v>2</v>
      </c>
      <c r="G912" s="16">
        <v>3</v>
      </c>
      <c r="H912" s="16">
        <v>2.41</v>
      </c>
      <c r="I912" s="16">
        <v>6</v>
      </c>
      <c r="J912" s="16">
        <v>254</v>
      </c>
      <c r="K912" s="16">
        <v>5.14</v>
      </c>
      <c r="L912" s="16">
        <v>77.400000000000006</v>
      </c>
      <c r="M912" s="16">
        <v>3</v>
      </c>
      <c r="N912" s="18">
        <f>IF(Risk_Calculation_Engine!U912="Low",1,IF(Risk_Calculation_Engine!U912="Medium",2,3))</f>
        <v>2</v>
      </c>
      <c r="O912" s="18" t="str">
        <f>Risk_Calculation_Engine!U912</f>
        <v>Medium</v>
      </c>
    </row>
    <row r="913" spans="1:15" ht="15" customHeight="1" x14ac:dyDescent="0.25">
      <c r="A913" s="16">
        <v>909</v>
      </c>
      <c r="B913" s="16">
        <v>26.2</v>
      </c>
      <c r="C913" s="16">
        <v>5</v>
      </c>
      <c r="D913" s="16">
        <v>195.6</v>
      </c>
      <c r="E913" s="17">
        <f t="shared" si="14"/>
        <v>6.84</v>
      </c>
      <c r="F913" s="16">
        <v>1</v>
      </c>
      <c r="G913" s="16">
        <v>8</v>
      </c>
      <c r="H913" s="16">
        <v>2.35</v>
      </c>
      <c r="I913" s="16">
        <v>6</v>
      </c>
      <c r="J913" s="16">
        <v>446</v>
      </c>
      <c r="K913" s="16">
        <v>17.02</v>
      </c>
      <c r="L913" s="16">
        <v>71.900000000000006</v>
      </c>
      <c r="M913" s="16">
        <v>1</v>
      </c>
      <c r="N913" s="18">
        <f>IF(Risk_Calculation_Engine!U913="Low",1,IF(Risk_Calculation_Engine!U913="Medium",2,3))</f>
        <v>3</v>
      </c>
      <c r="O913" s="18" t="str">
        <f>Risk_Calculation_Engine!U913</f>
        <v>High</v>
      </c>
    </row>
    <row r="914" spans="1:15" ht="15" customHeight="1" x14ac:dyDescent="0.25">
      <c r="A914" s="16">
        <v>910</v>
      </c>
      <c r="B914" s="16">
        <v>62.2</v>
      </c>
      <c r="C914" s="16">
        <v>4</v>
      </c>
      <c r="D914" s="16">
        <v>380.8</v>
      </c>
      <c r="E914" s="17">
        <f t="shared" si="14"/>
        <v>16.420000000000002</v>
      </c>
      <c r="F914" s="16">
        <v>1</v>
      </c>
      <c r="G914" s="16">
        <v>3</v>
      </c>
      <c r="H914" s="16">
        <v>1.18</v>
      </c>
      <c r="I914" s="16">
        <v>9</v>
      </c>
      <c r="J914" s="16">
        <v>760</v>
      </c>
      <c r="K914" s="16">
        <v>12.22</v>
      </c>
      <c r="L914" s="16">
        <v>31.2</v>
      </c>
      <c r="M914" s="16">
        <v>2</v>
      </c>
      <c r="N914" s="18">
        <f>IF(Risk_Calculation_Engine!U914="Low",1,IF(Risk_Calculation_Engine!U914="Medium",2,3))</f>
        <v>1</v>
      </c>
      <c r="O914" s="18" t="str">
        <f>Risk_Calculation_Engine!U914</f>
        <v>Low</v>
      </c>
    </row>
    <row r="915" spans="1:15" ht="15" customHeight="1" x14ac:dyDescent="0.25">
      <c r="A915" s="16">
        <v>911</v>
      </c>
      <c r="B915" s="16">
        <v>12.5</v>
      </c>
      <c r="C915" s="16">
        <v>5</v>
      </c>
      <c r="D915" s="16">
        <v>66.3</v>
      </c>
      <c r="E915" s="17">
        <f t="shared" si="14"/>
        <v>5.63</v>
      </c>
      <c r="F915" s="16">
        <v>2</v>
      </c>
      <c r="G915" s="16">
        <v>4</v>
      </c>
      <c r="H915" s="16">
        <v>2.11</v>
      </c>
      <c r="I915" s="16">
        <v>7</v>
      </c>
      <c r="J915" s="16">
        <v>209</v>
      </c>
      <c r="K915" s="16">
        <v>16.72</v>
      </c>
      <c r="L915" s="16">
        <v>82.9</v>
      </c>
      <c r="M915" s="16">
        <v>2</v>
      </c>
      <c r="N915" s="18">
        <f>IF(Risk_Calculation_Engine!U915="Low",1,IF(Risk_Calculation_Engine!U915="Medium",2,3))</f>
        <v>3</v>
      </c>
      <c r="O915" s="18" t="str">
        <f>Risk_Calculation_Engine!U915</f>
        <v>High</v>
      </c>
    </row>
    <row r="916" spans="1:15" ht="15" customHeight="1" x14ac:dyDescent="0.25">
      <c r="A916" s="16">
        <v>912</v>
      </c>
      <c r="B916" s="16">
        <v>5.2</v>
      </c>
      <c r="C916" s="16">
        <v>4</v>
      </c>
      <c r="D916" s="16">
        <v>32.9</v>
      </c>
      <c r="E916" s="17">
        <f t="shared" si="14"/>
        <v>6.6</v>
      </c>
      <c r="F916" s="16">
        <v>1</v>
      </c>
      <c r="G916" s="16">
        <v>5</v>
      </c>
      <c r="H916" s="16">
        <v>1.48</v>
      </c>
      <c r="I916" s="16">
        <v>6</v>
      </c>
      <c r="J916" s="16">
        <v>43</v>
      </c>
      <c r="K916" s="16">
        <v>8.27</v>
      </c>
      <c r="L916" s="16">
        <v>43.4</v>
      </c>
      <c r="M916" s="16">
        <v>1</v>
      </c>
      <c r="N916" s="18">
        <f>IF(Risk_Calculation_Engine!U916="Low",1,IF(Risk_Calculation_Engine!U916="Medium",2,3))</f>
        <v>2</v>
      </c>
      <c r="O916" s="18" t="str">
        <f>Risk_Calculation_Engine!U916</f>
        <v>Medium</v>
      </c>
    </row>
    <row r="917" spans="1:15" ht="15" customHeight="1" x14ac:dyDescent="0.25">
      <c r="A917" s="16">
        <v>913</v>
      </c>
      <c r="B917" s="16">
        <v>20.399999999999999</v>
      </c>
      <c r="C917" s="16">
        <v>4</v>
      </c>
      <c r="D917" s="16">
        <v>87</v>
      </c>
      <c r="E917" s="17">
        <f t="shared" si="14"/>
        <v>7.08</v>
      </c>
      <c r="F917" s="16">
        <v>2</v>
      </c>
      <c r="G917" s="16">
        <v>8</v>
      </c>
      <c r="H917" s="16">
        <v>1.81</v>
      </c>
      <c r="I917" s="16">
        <v>8</v>
      </c>
      <c r="J917" s="16">
        <v>105</v>
      </c>
      <c r="K917" s="16">
        <v>5.15</v>
      </c>
      <c r="L917" s="16">
        <v>74.400000000000006</v>
      </c>
      <c r="M917" s="16">
        <v>2</v>
      </c>
      <c r="N917" s="18">
        <f>IF(Risk_Calculation_Engine!U917="Low",1,IF(Risk_Calculation_Engine!U917="Medium",2,3))</f>
        <v>3</v>
      </c>
      <c r="O917" s="18" t="str">
        <f>Risk_Calculation_Engine!U917</f>
        <v>High</v>
      </c>
    </row>
    <row r="918" spans="1:15" ht="15" customHeight="1" x14ac:dyDescent="0.25">
      <c r="A918" s="16">
        <v>914</v>
      </c>
      <c r="B918" s="16">
        <v>101.7</v>
      </c>
      <c r="C918" s="16">
        <v>3</v>
      </c>
      <c r="D918" s="16">
        <v>526.4</v>
      </c>
      <c r="E918" s="17">
        <f t="shared" si="14"/>
        <v>8.49</v>
      </c>
      <c r="F918" s="16">
        <v>2</v>
      </c>
      <c r="G918" s="16">
        <v>7</v>
      </c>
      <c r="H918" s="16">
        <v>2.5</v>
      </c>
      <c r="I918" s="16">
        <v>7</v>
      </c>
      <c r="J918" s="16">
        <v>830</v>
      </c>
      <c r="K918" s="16">
        <v>8.16</v>
      </c>
      <c r="L918" s="16">
        <v>76.900000000000006</v>
      </c>
      <c r="M918" s="16">
        <v>2</v>
      </c>
      <c r="N918" s="18">
        <f>IF(Risk_Calculation_Engine!U918="Low",1,IF(Risk_Calculation_Engine!U918="Medium",2,3))</f>
        <v>3</v>
      </c>
      <c r="O918" s="18" t="str">
        <f>Risk_Calculation_Engine!U918</f>
        <v>High</v>
      </c>
    </row>
    <row r="919" spans="1:15" ht="15" customHeight="1" x14ac:dyDescent="0.25">
      <c r="A919" s="16">
        <v>915</v>
      </c>
      <c r="B919" s="16">
        <v>74.099999999999994</v>
      </c>
      <c r="C919" s="16">
        <v>5</v>
      </c>
      <c r="D919" s="16">
        <v>636.79999999999995</v>
      </c>
      <c r="E919" s="17">
        <f t="shared" si="14"/>
        <v>18.649999999999999</v>
      </c>
      <c r="F919" s="16">
        <v>1</v>
      </c>
      <c r="G919" s="16">
        <v>12</v>
      </c>
      <c r="H919" s="16">
        <v>1.2</v>
      </c>
      <c r="I919" s="16">
        <v>5</v>
      </c>
      <c r="J919" s="16">
        <v>1369</v>
      </c>
      <c r="K919" s="16">
        <v>18.48</v>
      </c>
      <c r="L919" s="16">
        <v>65.599999999999994</v>
      </c>
      <c r="M919" s="16">
        <v>1</v>
      </c>
      <c r="N919" s="18">
        <f>IF(Risk_Calculation_Engine!U919="Low",1,IF(Risk_Calculation_Engine!U919="Medium",2,3))</f>
        <v>3</v>
      </c>
      <c r="O919" s="18" t="str">
        <f>Risk_Calculation_Engine!U919</f>
        <v>High</v>
      </c>
    </row>
    <row r="920" spans="1:15" ht="15" customHeight="1" x14ac:dyDescent="0.25">
      <c r="A920" s="16">
        <v>916</v>
      </c>
      <c r="B920" s="16">
        <v>102.5</v>
      </c>
      <c r="C920" s="16">
        <v>3</v>
      </c>
      <c r="D920" s="16">
        <v>312.8</v>
      </c>
      <c r="E920" s="17">
        <f t="shared" si="14"/>
        <v>13.79</v>
      </c>
      <c r="F920" s="16">
        <v>3</v>
      </c>
      <c r="G920" s="16">
        <v>10</v>
      </c>
      <c r="H920" s="16">
        <v>1.33</v>
      </c>
      <c r="I920" s="16">
        <v>8</v>
      </c>
      <c r="J920" s="16">
        <v>831</v>
      </c>
      <c r="K920" s="16">
        <v>8.11</v>
      </c>
      <c r="L920" s="16">
        <v>95.1</v>
      </c>
      <c r="M920" s="16">
        <v>3</v>
      </c>
      <c r="N920" s="18">
        <f>IF(Risk_Calculation_Engine!U920="Low",1,IF(Risk_Calculation_Engine!U920="Medium",2,3))</f>
        <v>3</v>
      </c>
      <c r="O920" s="18" t="str">
        <f>Risk_Calculation_Engine!U920</f>
        <v>High</v>
      </c>
    </row>
    <row r="921" spans="1:15" ht="15" customHeight="1" x14ac:dyDescent="0.25">
      <c r="A921" s="16">
        <v>917</v>
      </c>
      <c r="B921" s="16">
        <v>32.700000000000003</v>
      </c>
      <c r="C921" s="16">
        <v>3</v>
      </c>
      <c r="D921" s="16">
        <v>199.3</v>
      </c>
      <c r="E921" s="17">
        <f t="shared" si="14"/>
        <v>6.47</v>
      </c>
      <c r="F921" s="16">
        <v>1</v>
      </c>
      <c r="G921" s="16">
        <v>6</v>
      </c>
      <c r="H921" s="16">
        <v>2.5</v>
      </c>
      <c r="I921" s="16">
        <v>15</v>
      </c>
      <c r="J921" s="16">
        <v>219</v>
      </c>
      <c r="K921" s="16">
        <v>6.7</v>
      </c>
      <c r="L921" s="16">
        <v>74.5</v>
      </c>
      <c r="M921" s="16">
        <v>1</v>
      </c>
      <c r="N921" s="18">
        <f>IF(Risk_Calculation_Engine!U921="Low",1,IF(Risk_Calculation_Engine!U921="Medium",2,3))</f>
        <v>2</v>
      </c>
      <c r="O921" s="18" t="str">
        <f>Risk_Calculation_Engine!U921</f>
        <v>Medium</v>
      </c>
    </row>
    <row r="922" spans="1:15" ht="15" customHeight="1" x14ac:dyDescent="0.25">
      <c r="A922" s="16">
        <v>918</v>
      </c>
      <c r="B922" s="16">
        <v>131.4</v>
      </c>
      <c r="C922" s="16">
        <v>4</v>
      </c>
      <c r="D922" s="16">
        <v>723.3</v>
      </c>
      <c r="E922" s="17">
        <f t="shared" si="14"/>
        <v>9.2799999999999994</v>
      </c>
      <c r="F922" s="16">
        <v>2</v>
      </c>
      <c r="G922" s="16">
        <v>6</v>
      </c>
      <c r="H922" s="16">
        <v>2.5</v>
      </c>
      <c r="I922" s="16">
        <v>9</v>
      </c>
      <c r="J922" s="16">
        <v>921</v>
      </c>
      <c r="K922" s="16">
        <v>7.01</v>
      </c>
      <c r="L922" s="16">
        <v>87</v>
      </c>
      <c r="M922" s="16">
        <v>2</v>
      </c>
      <c r="N922" s="18">
        <f>IF(Risk_Calculation_Engine!U922="Low",1,IF(Risk_Calculation_Engine!U922="Medium",2,3))</f>
        <v>3</v>
      </c>
      <c r="O922" s="18" t="str">
        <f>Risk_Calculation_Engine!U922</f>
        <v>High</v>
      </c>
    </row>
    <row r="923" spans="1:15" ht="15" customHeight="1" x14ac:dyDescent="0.25">
      <c r="A923" s="16">
        <v>919</v>
      </c>
      <c r="B923" s="16">
        <v>14.4</v>
      </c>
      <c r="C923" s="16">
        <v>3</v>
      </c>
      <c r="D923" s="16">
        <v>82.3</v>
      </c>
      <c r="E923" s="17">
        <f t="shared" si="14"/>
        <v>5.56</v>
      </c>
      <c r="F923" s="16">
        <v>1</v>
      </c>
      <c r="G923" s="16">
        <v>4</v>
      </c>
      <c r="H923" s="16">
        <v>2.27</v>
      </c>
      <c r="I923" s="16">
        <v>10</v>
      </c>
      <c r="J923" s="16">
        <v>75</v>
      </c>
      <c r="K923" s="16">
        <v>5.21</v>
      </c>
      <c r="L923" s="16">
        <v>53.3</v>
      </c>
      <c r="M923" s="16">
        <v>2</v>
      </c>
      <c r="N923" s="18">
        <f>IF(Risk_Calculation_Engine!U923="Low",1,IF(Risk_Calculation_Engine!U923="Medium",2,3))</f>
        <v>2</v>
      </c>
      <c r="O923" s="18" t="str">
        <f>Risk_Calculation_Engine!U923</f>
        <v>Medium</v>
      </c>
    </row>
    <row r="924" spans="1:15" ht="15" customHeight="1" x14ac:dyDescent="0.25">
      <c r="A924" s="16">
        <v>920</v>
      </c>
      <c r="B924" s="16">
        <v>21.3</v>
      </c>
      <c r="C924" s="16">
        <v>2</v>
      </c>
      <c r="D924" s="16">
        <v>57.6</v>
      </c>
      <c r="E924" s="17">
        <f t="shared" si="14"/>
        <v>6.45</v>
      </c>
      <c r="F924" s="16">
        <v>3</v>
      </c>
      <c r="G924" s="16">
        <v>5</v>
      </c>
      <c r="H924" s="16">
        <v>1.77</v>
      </c>
      <c r="I924" s="16">
        <v>15</v>
      </c>
      <c r="J924" s="16">
        <v>78</v>
      </c>
      <c r="K924" s="16">
        <v>3.66</v>
      </c>
      <c r="L924" s="16">
        <v>78.3</v>
      </c>
      <c r="M924" s="16">
        <v>1</v>
      </c>
      <c r="N924" s="18">
        <f>IF(Risk_Calculation_Engine!U924="Low",1,IF(Risk_Calculation_Engine!U924="Medium",2,3))</f>
        <v>1</v>
      </c>
      <c r="O924" s="18" t="str">
        <f>Risk_Calculation_Engine!U924</f>
        <v>Low</v>
      </c>
    </row>
    <row r="925" spans="1:15" ht="15" customHeight="1" x14ac:dyDescent="0.25">
      <c r="A925" s="16">
        <v>921</v>
      </c>
      <c r="B925" s="16">
        <v>129.80000000000001</v>
      </c>
      <c r="C925" s="16">
        <v>3</v>
      </c>
      <c r="D925" s="16">
        <v>528.20000000000005</v>
      </c>
      <c r="E925" s="17">
        <f t="shared" si="14"/>
        <v>9.4</v>
      </c>
      <c r="F925" s="16">
        <v>2</v>
      </c>
      <c r="G925" s="16">
        <v>5</v>
      </c>
      <c r="H925" s="16">
        <v>2.2599999999999998</v>
      </c>
      <c r="I925" s="16">
        <v>10</v>
      </c>
      <c r="J925" s="16">
        <v>965</v>
      </c>
      <c r="K925" s="16">
        <v>7.43</v>
      </c>
      <c r="L925" s="16">
        <v>36.700000000000003</v>
      </c>
      <c r="M925" s="16">
        <v>3</v>
      </c>
      <c r="N925" s="18">
        <f>IF(Risk_Calculation_Engine!U925="Low",1,IF(Risk_Calculation_Engine!U925="Medium",2,3))</f>
        <v>3</v>
      </c>
      <c r="O925" s="18" t="str">
        <f>Risk_Calculation_Engine!U925</f>
        <v>High</v>
      </c>
    </row>
    <row r="926" spans="1:15" ht="15" customHeight="1" x14ac:dyDescent="0.25">
      <c r="A926" s="16">
        <v>922</v>
      </c>
      <c r="B926" s="16">
        <v>69.900000000000006</v>
      </c>
      <c r="C926" s="16">
        <v>3</v>
      </c>
      <c r="D926" s="16">
        <v>279</v>
      </c>
      <c r="E926" s="17">
        <f t="shared" si="14"/>
        <v>14.32</v>
      </c>
      <c r="F926" s="16">
        <v>2</v>
      </c>
      <c r="G926" s="16">
        <v>4</v>
      </c>
      <c r="H926" s="16">
        <v>1.24</v>
      </c>
      <c r="I926" s="16">
        <v>5</v>
      </c>
      <c r="J926" s="16">
        <v>440</v>
      </c>
      <c r="K926" s="16">
        <v>6.29</v>
      </c>
      <c r="L926" s="16">
        <v>28.3</v>
      </c>
      <c r="M926" s="16">
        <v>2</v>
      </c>
      <c r="N926" s="18">
        <f>IF(Risk_Calculation_Engine!U926="Low",1,IF(Risk_Calculation_Engine!U926="Medium",2,3))</f>
        <v>1</v>
      </c>
      <c r="O926" s="18" t="str">
        <f>Risk_Calculation_Engine!U926</f>
        <v>Low</v>
      </c>
    </row>
    <row r="927" spans="1:15" ht="15" customHeight="1" x14ac:dyDescent="0.25">
      <c r="A927" s="16">
        <v>923</v>
      </c>
      <c r="B927" s="16">
        <v>103</v>
      </c>
      <c r="C927" s="16">
        <v>4</v>
      </c>
      <c r="D927" s="16">
        <v>402.6</v>
      </c>
      <c r="E927" s="17">
        <f t="shared" si="14"/>
        <v>12.38</v>
      </c>
      <c r="F927" s="16">
        <v>3</v>
      </c>
      <c r="G927" s="16">
        <v>2</v>
      </c>
      <c r="H927" s="16">
        <v>1.59</v>
      </c>
      <c r="I927" s="16">
        <v>8</v>
      </c>
      <c r="J927" s="16">
        <v>1171</v>
      </c>
      <c r="K927" s="16">
        <v>11.37</v>
      </c>
      <c r="L927" s="16">
        <v>72.599999999999994</v>
      </c>
      <c r="M927" s="16">
        <v>1</v>
      </c>
      <c r="N927" s="18">
        <f>IF(Risk_Calculation_Engine!U927="Low",1,IF(Risk_Calculation_Engine!U927="Medium",2,3))</f>
        <v>2</v>
      </c>
      <c r="O927" s="18" t="str">
        <f>Risk_Calculation_Engine!U927</f>
        <v>Medium</v>
      </c>
    </row>
    <row r="928" spans="1:15" ht="15" customHeight="1" x14ac:dyDescent="0.25">
      <c r="A928" s="16">
        <v>924</v>
      </c>
      <c r="B928" s="16">
        <v>74.400000000000006</v>
      </c>
      <c r="C928" s="16">
        <v>3</v>
      </c>
      <c r="D928" s="16">
        <v>334.7</v>
      </c>
      <c r="E928" s="17">
        <f t="shared" si="14"/>
        <v>21.24</v>
      </c>
      <c r="F928" s="16">
        <v>2</v>
      </c>
      <c r="G928" s="16">
        <v>12</v>
      </c>
      <c r="H928" s="16">
        <v>0.88</v>
      </c>
      <c r="I928" s="16">
        <v>9</v>
      </c>
      <c r="J928" s="16">
        <v>559</v>
      </c>
      <c r="K928" s="16">
        <v>7.51</v>
      </c>
      <c r="L928" s="16">
        <v>63.6</v>
      </c>
      <c r="M928" s="16">
        <v>2</v>
      </c>
      <c r="N928" s="18">
        <f>IF(Risk_Calculation_Engine!U928="Low",1,IF(Risk_Calculation_Engine!U928="Medium",2,3))</f>
        <v>1</v>
      </c>
      <c r="O928" s="18" t="str">
        <f>Risk_Calculation_Engine!U928</f>
        <v>Low</v>
      </c>
    </row>
    <row r="929" spans="1:15" ht="15" customHeight="1" x14ac:dyDescent="0.25">
      <c r="A929" s="16">
        <v>925</v>
      </c>
      <c r="B929" s="16">
        <v>37.200000000000003</v>
      </c>
      <c r="C929" s="16">
        <v>4</v>
      </c>
      <c r="D929" s="16">
        <v>155.19999999999999</v>
      </c>
      <c r="E929" s="17">
        <f t="shared" si="14"/>
        <v>12.06</v>
      </c>
      <c r="F929" s="16">
        <v>3</v>
      </c>
      <c r="G929" s="16">
        <v>3</v>
      </c>
      <c r="H929" s="16">
        <v>1.25</v>
      </c>
      <c r="I929" s="16">
        <v>9</v>
      </c>
      <c r="J929" s="16">
        <v>288</v>
      </c>
      <c r="K929" s="16">
        <v>7.74</v>
      </c>
      <c r="L929" s="16">
        <v>62.8</v>
      </c>
      <c r="M929" s="16">
        <v>2</v>
      </c>
      <c r="N929" s="18">
        <f>IF(Risk_Calculation_Engine!U929="Low",1,IF(Risk_Calculation_Engine!U929="Medium",2,3))</f>
        <v>1</v>
      </c>
      <c r="O929" s="18" t="str">
        <f>Risk_Calculation_Engine!U929</f>
        <v>Low</v>
      </c>
    </row>
    <row r="930" spans="1:15" ht="15" customHeight="1" x14ac:dyDescent="0.25">
      <c r="A930" s="16">
        <v>926</v>
      </c>
      <c r="B930" s="16">
        <v>18.600000000000001</v>
      </c>
      <c r="C930" s="16">
        <v>3</v>
      </c>
      <c r="D930" s="16">
        <v>80.3</v>
      </c>
      <c r="E930" s="17">
        <f t="shared" si="14"/>
        <v>6.74</v>
      </c>
      <c r="F930" s="16">
        <v>2</v>
      </c>
      <c r="G930" s="16">
        <v>6</v>
      </c>
      <c r="H930" s="16">
        <v>1.86</v>
      </c>
      <c r="I930" s="16">
        <v>4</v>
      </c>
      <c r="J930" s="16">
        <v>154</v>
      </c>
      <c r="K930" s="16">
        <v>8.2799999999999994</v>
      </c>
      <c r="L930" s="16">
        <v>57.9</v>
      </c>
      <c r="M930" s="16">
        <v>1</v>
      </c>
      <c r="N930" s="18">
        <f>IF(Risk_Calculation_Engine!U930="Low",1,IF(Risk_Calculation_Engine!U930="Medium",2,3))</f>
        <v>2</v>
      </c>
      <c r="O930" s="18" t="str">
        <f>Risk_Calculation_Engine!U930</f>
        <v>Medium</v>
      </c>
    </row>
    <row r="931" spans="1:15" ht="15" customHeight="1" x14ac:dyDescent="0.25">
      <c r="A931" s="16">
        <v>927</v>
      </c>
      <c r="B931" s="16">
        <v>7.6</v>
      </c>
      <c r="C931" s="16">
        <v>4</v>
      </c>
      <c r="D931" s="16">
        <v>26.1</v>
      </c>
      <c r="E931" s="17">
        <f t="shared" si="14"/>
        <v>5.41</v>
      </c>
      <c r="F931" s="16">
        <v>3</v>
      </c>
      <c r="G931" s="16">
        <v>3</v>
      </c>
      <c r="H931" s="16">
        <v>1.69</v>
      </c>
      <c r="I931" s="16">
        <v>4</v>
      </c>
      <c r="J931" s="16">
        <v>72</v>
      </c>
      <c r="K931" s="16">
        <v>9.4700000000000006</v>
      </c>
      <c r="L931" s="16">
        <v>39.200000000000003</v>
      </c>
      <c r="M931" s="16">
        <v>2</v>
      </c>
      <c r="N931" s="18">
        <f>IF(Risk_Calculation_Engine!U931="Low",1,IF(Risk_Calculation_Engine!U931="Medium",2,3))</f>
        <v>1</v>
      </c>
      <c r="O931" s="18" t="str">
        <f>Risk_Calculation_Engine!U931</f>
        <v>Low</v>
      </c>
    </row>
    <row r="932" spans="1:15" ht="15" customHeight="1" x14ac:dyDescent="0.25">
      <c r="A932" s="16">
        <v>928</v>
      </c>
      <c r="B932" s="16">
        <v>149.80000000000001</v>
      </c>
      <c r="C932" s="16">
        <v>2</v>
      </c>
      <c r="D932" s="16">
        <v>478.6</v>
      </c>
      <c r="E932" s="17">
        <f t="shared" si="14"/>
        <v>28.69</v>
      </c>
      <c r="F932" s="16">
        <v>3</v>
      </c>
      <c r="G932" s="16">
        <v>9</v>
      </c>
      <c r="H932" s="16">
        <v>0.72</v>
      </c>
      <c r="I932" s="16">
        <v>7</v>
      </c>
      <c r="J932" s="16">
        <v>696</v>
      </c>
      <c r="K932" s="16">
        <v>4.6500000000000004</v>
      </c>
      <c r="L932" s="16">
        <v>91.5</v>
      </c>
      <c r="M932" s="16">
        <v>2</v>
      </c>
      <c r="N932" s="18">
        <f>IF(Risk_Calculation_Engine!U932="Low",1,IF(Risk_Calculation_Engine!U932="Medium",2,3))</f>
        <v>1</v>
      </c>
      <c r="O932" s="18" t="str">
        <f>Risk_Calculation_Engine!U932</f>
        <v>Low</v>
      </c>
    </row>
    <row r="933" spans="1:15" ht="15" customHeight="1" x14ac:dyDescent="0.25">
      <c r="A933" s="16">
        <v>929</v>
      </c>
      <c r="B933" s="16">
        <v>10.4</v>
      </c>
      <c r="C933" s="16">
        <v>5</v>
      </c>
      <c r="D933" s="16">
        <v>34</v>
      </c>
      <c r="E933" s="17">
        <f t="shared" si="14"/>
        <v>6.99</v>
      </c>
      <c r="F933" s="16">
        <v>3</v>
      </c>
      <c r="G933" s="16">
        <v>3</v>
      </c>
      <c r="H933" s="16">
        <v>1.41</v>
      </c>
      <c r="I933" s="16">
        <v>14</v>
      </c>
      <c r="J933" s="16">
        <v>134</v>
      </c>
      <c r="K933" s="16">
        <v>12.88</v>
      </c>
      <c r="L933" s="16">
        <v>56.4</v>
      </c>
      <c r="M933" s="16">
        <v>2</v>
      </c>
      <c r="N933" s="18">
        <f>IF(Risk_Calculation_Engine!U933="Low",1,IF(Risk_Calculation_Engine!U933="Medium",2,3))</f>
        <v>2</v>
      </c>
      <c r="O933" s="18" t="str">
        <f>Risk_Calculation_Engine!U933</f>
        <v>Medium</v>
      </c>
    </row>
    <row r="934" spans="1:15" ht="15" customHeight="1" x14ac:dyDescent="0.25">
      <c r="A934" s="16">
        <v>930</v>
      </c>
      <c r="B934" s="16">
        <v>149.80000000000001</v>
      </c>
      <c r="C934" s="16">
        <v>3</v>
      </c>
      <c r="D934" s="16">
        <v>1068</v>
      </c>
      <c r="E934" s="17">
        <f t="shared" si="14"/>
        <v>15.39</v>
      </c>
      <c r="F934" s="16">
        <v>1</v>
      </c>
      <c r="G934" s="16">
        <v>7</v>
      </c>
      <c r="H934" s="16">
        <v>1.68</v>
      </c>
      <c r="I934" s="16">
        <v>12</v>
      </c>
      <c r="J934" s="16">
        <v>659</v>
      </c>
      <c r="K934" s="16">
        <v>4.4000000000000004</v>
      </c>
      <c r="L934" s="16">
        <v>86.3</v>
      </c>
      <c r="M934" s="16">
        <v>2</v>
      </c>
      <c r="N934" s="18">
        <f>IF(Risk_Calculation_Engine!U934="Low",1,IF(Risk_Calculation_Engine!U934="Medium",2,3))</f>
        <v>3</v>
      </c>
      <c r="O934" s="18" t="str">
        <f>Risk_Calculation_Engine!U934</f>
        <v>High</v>
      </c>
    </row>
    <row r="935" spans="1:15" ht="15" customHeight="1" x14ac:dyDescent="0.25">
      <c r="A935" s="16">
        <v>931</v>
      </c>
      <c r="B935" s="16">
        <v>66.900000000000006</v>
      </c>
      <c r="C935" s="16">
        <v>3</v>
      </c>
      <c r="D935" s="16">
        <v>196.2</v>
      </c>
      <c r="E935" s="17">
        <f t="shared" si="14"/>
        <v>9.4700000000000006</v>
      </c>
      <c r="F935" s="16">
        <v>3</v>
      </c>
      <c r="G935" s="16">
        <v>5</v>
      </c>
      <c r="H935" s="16">
        <v>1.7</v>
      </c>
      <c r="I935" s="16">
        <v>13</v>
      </c>
      <c r="J935" s="16">
        <v>496</v>
      </c>
      <c r="K935" s="16">
        <v>7.41</v>
      </c>
      <c r="L935" s="16">
        <v>95.2</v>
      </c>
      <c r="M935" s="16">
        <v>2</v>
      </c>
      <c r="N935" s="18">
        <f>IF(Risk_Calculation_Engine!U935="Low",1,IF(Risk_Calculation_Engine!U935="Medium",2,3))</f>
        <v>1</v>
      </c>
      <c r="O935" s="18" t="str">
        <f>Risk_Calculation_Engine!U935</f>
        <v>Low</v>
      </c>
    </row>
    <row r="936" spans="1:15" ht="15" customHeight="1" x14ac:dyDescent="0.25">
      <c r="A936" s="16">
        <v>932</v>
      </c>
      <c r="B936" s="16">
        <v>76.2</v>
      </c>
      <c r="C936" s="16">
        <v>3</v>
      </c>
      <c r="D936" s="16">
        <v>226.8</v>
      </c>
      <c r="E936" s="17">
        <f t="shared" si="14"/>
        <v>17.829999999999998</v>
      </c>
      <c r="F936" s="16">
        <v>3</v>
      </c>
      <c r="G936" s="16">
        <v>5</v>
      </c>
      <c r="H936" s="16">
        <v>0.94</v>
      </c>
      <c r="I936" s="16">
        <v>5</v>
      </c>
      <c r="J936" s="16">
        <v>389</v>
      </c>
      <c r="K936" s="16">
        <v>5.0999999999999996</v>
      </c>
      <c r="L936" s="16">
        <v>81</v>
      </c>
      <c r="M936" s="16">
        <v>1</v>
      </c>
      <c r="N936" s="18">
        <f>IF(Risk_Calculation_Engine!U936="Low",1,IF(Risk_Calculation_Engine!U936="Medium",2,3))</f>
        <v>1</v>
      </c>
      <c r="O936" s="18" t="str">
        <f>Risk_Calculation_Engine!U936</f>
        <v>Low</v>
      </c>
    </row>
    <row r="937" spans="1:15" ht="15" customHeight="1" x14ac:dyDescent="0.25">
      <c r="A937" s="16">
        <v>933</v>
      </c>
      <c r="B937" s="16">
        <v>72.3</v>
      </c>
      <c r="C937" s="16">
        <v>3</v>
      </c>
      <c r="D937" s="16">
        <v>302.2</v>
      </c>
      <c r="E937" s="17">
        <f t="shared" si="14"/>
        <v>8.5299999999999994</v>
      </c>
      <c r="F937" s="16">
        <v>2</v>
      </c>
      <c r="G937" s="16">
        <v>5</v>
      </c>
      <c r="H937" s="16">
        <v>2.13</v>
      </c>
      <c r="I937" s="16">
        <v>8</v>
      </c>
      <c r="J937" s="16">
        <v>597</v>
      </c>
      <c r="K937" s="16">
        <v>8.26</v>
      </c>
      <c r="L937" s="16">
        <v>77.099999999999994</v>
      </c>
      <c r="M937" s="16">
        <v>1</v>
      </c>
      <c r="N937" s="18">
        <f>IF(Risk_Calculation_Engine!U937="Low",1,IF(Risk_Calculation_Engine!U937="Medium",2,3))</f>
        <v>2</v>
      </c>
      <c r="O937" s="18" t="str">
        <f>Risk_Calculation_Engine!U937</f>
        <v>Medium</v>
      </c>
    </row>
    <row r="938" spans="1:15" ht="15" customHeight="1" x14ac:dyDescent="0.25">
      <c r="A938" s="16">
        <v>934</v>
      </c>
      <c r="B938" s="16">
        <v>93.5</v>
      </c>
      <c r="C938" s="16">
        <v>3</v>
      </c>
      <c r="D938" s="16">
        <v>667.3</v>
      </c>
      <c r="E938" s="17">
        <f t="shared" si="14"/>
        <v>9.07</v>
      </c>
      <c r="F938" s="16">
        <v>1</v>
      </c>
      <c r="G938" s="16">
        <v>5</v>
      </c>
      <c r="H938" s="16">
        <v>2.5</v>
      </c>
      <c r="I938" s="16">
        <v>10</v>
      </c>
      <c r="J938" s="16">
        <v>653</v>
      </c>
      <c r="K938" s="16">
        <v>6.98</v>
      </c>
      <c r="L938" s="16">
        <v>86.8</v>
      </c>
      <c r="M938" s="16">
        <v>2</v>
      </c>
      <c r="N938" s="18">
        <f>IF(Risk_Calculation_Engine!U938="Low",1,IF(Risk_Calculation_Engine!U938="Medium",2,3))</f>
        <v>3</v>
      </c>
      <c r="O938" s="18" t="str">
        <f>Risk_Calculation_Engine!U938</f>
        <v>High</v>
      </c>
    </row>
    <row r="939" spans="1:15" ht="15" customHeight="1" x14ac:dyDescent="0.25">
      <c r="A939" s="16">
        <v>935</v>
      </c>
      <c r="B939" s="16">
        <v>29.7</v>
      </c>
      <c r="C939" s="16">
        <v>4</v>
      </c>
      <c r="D939" s="16">
        <v>115.3</v>
      </c>
      <c r="E939" s="17">
        <f t="shared" si="14"/>
        <v>6.16</v>
      </c>
      <c r="F939" s="16">
        <v>3</v>
      </c>
      <c r="G939" s="16">
        <v>9</v>
      </c>
      <c r="H939" s="16">
        <v>2.25</v>
      </c>
      <c r="I939" s="16">
        <v>8</v>
      </c>
      <c r="J939" s="16">
        <v>346</v>
      </c>
      <c r="K939" s="16">
        <v>11.65</v>
      </c>
      <c r="L939" s="16">
        <v>89.8</v>
      </c>
      <c r="M939" s="16">
        <v>2</v>
      </c>
      <c r="N939" s="18">
        <f>IF(Risk_Calculation_Engine!U939="Low",1,IF(Risk_Calculation_Engine!U939="Medium",2,3))</f>
        <v>3</v>
      </c>
      <c r="O939" s="18" t="str">
        <f>Risk_Calculation_Engine!U939</f>
        <v>High</v>
      </c>
    </row>
    <row r="940" spans="1:15" ht="15" customHeight="1" x14ac:dyDescent="0.25">
      <c r="A940" s="16">
        <v>936</v>
      </c>
      <c r="B940" s="16">
        <v>4.0999999999999996</v>
      </c>
      <c r="C940" s="16">
        <v>5</v>
      </c>
      <c r="D940" s="16">
        <v>22.2</v>
      </c>
      <c r="E940" s="17">
        <f t="shared" si="14"/>
        <v>5.46</v>
      </c>
      <c r="F940" s="16">
        <v>1</v>
      </c>
      <c r="G940" s="16">
        <v>9</v>
      </c>
      <c r="H940" s="16">
        <v>1.6</v>
      </c>
      <c r="I940" s="16">
        <v>8</v>
      </c>
      <c r="J940" s="16">
        <v>65</v>
      </c>
      <c r="K940" s="16">
        <v>15.85</v>
      </c>
      <c r="L940" s="16">
        <v>92.6</v>
      </c>
      <c r="M940" s="16">
        <v>1</v>
      </c>
      <c r="N940" s="18">
        <f>IF(Risk_Calculation_Engine!U940="Low",1,IF(Risk_Calculation_Engine!U940="Medium",2,3))</f>
        <v>3</v>
      </c>
      <c r="O940" s="18" t="str">
        <f>Risk_Calculation_Engine!U940</f>
        <v>High</v>
      </c>
    </row>
    <row r="941" spans="1:15" ht="15" customHeight="1" x14ac:dyDescent="0.25">
      <c r="A941" s="16">
        <v>937</v>
      </c>
      <c r="B941" s="16">
        <v>36.5</v>
      </c>
      <c r="C941" s="16">
        <v>4</v>
      </c>
      <c r="D941" s="16">
        <v>202.5</v>
      </c>
      <c r="E941" s="17">
        <f t="shared" si="14"/>
        <v>6.49</v>
      </c>
      <c r="F941" s="16">
        <v>2</v>
      </c>
      <c r="G941" s="16">
        <v>5</v>
      </c>
      <c r="H941" s="16">
        <v>2.5</v>
      </c>
      <c r="I941" s="16">
        <v>7</v>
      </c>
      <c r="J941" s="16">
        <v>512</v>
      </c>
      <c r="K941" s="16">
        <v>14.03</v>
      </c>
      <c r="L941" s="16">
        <v>83.7</v>
      </c>
      <c r="M941" s="16">
        <v>1</v>
      </c>
      <c r="N941" s="18">
        <f>IF(Risk_Calculation_Engine!U941="Low",1,IF(Risk_Calculation_Engine!U941="Medium",2,3))</f>
        <v>3</v>
      </c>
      <c r="O941" s="18" t="str">
        <f>Risk_Calculation_Engine!U941</f>
        <v>High</v>
      </c>
    </row>
    <row r="942" spans="1:15" ht="15" customHeight="1" x14ac:dyDescent="0.25">
      <c r="A942" s="16">
        <v>938</v>
      </c>
      <c r="B942" s="16">
        <v>87.6</v>
      </c>
      <c r="C942" s="16">
        <v>3</v>
      </c>
      <c r="D942" s="16">
        <v>437.1</v>
      </c>
      <c r="E942" s="17">
        <f t="shared" si="14"/>
        <v>16.239999999999998</v>
      </c>
      <c r="F942" s="16">
        <v>2</v>
      </c>
      <c r="G942" s="16">
        <v>4</v>
      </c>
      <c r="H942" s="16">
        <v>1.24</v>
      </c>
      <c r="I942" s="16">
        <v>3</v>
      </c>
      <c r="J942" s="16">
        <v>759</v>
      </c>
      <c r="K942" s="16">
        <v>8.66</v>
      </c>
      <c r="L942" s="16">
        <v>93.7</v>
      </c>
      <c r="M942" s="16">
        <v>2</v>
      </c>
      <c r="N942" s="18">
        <f>IF(Risk_Calculation_Engine!U942="Low",1,IF(Risk_Calculation_Engine!U942="Medium",2,3))</f>
        <v>1</v>
      </c>
      <c r="O942" s="18" t="str">
        <f>Risk_Calculation_Engine!U942</f>
        <v>Low</v>
      </c>
    </row>
    <row r="943" spans="1:15" ht="15" customHeight="1" x14ac:dyDescent="0.25">
      <c r="A943" s="16">
        <v>939</v>
      </c>
      <c r="B943" s="16">
        <v>21.5</v>
      </c>
      <c r="C943" s="16">
        <v>3</v>
      </c>
      <c r="D943" s="16">
        <v>121.2</v>
      </c>
      <c r="E943" s="17">
        <f t="shared" si="14"/>
        <v>7</v>
      </c>
      <c r="F943" s="16">
        <v>1</v>
      </c>
      <c r="G943" s="16">
        <v>6</v>
      </c>
      <c r="H943" s="16">
        <v>2.0099999999999998</v>
      </c>
      <c r="I943" s="16">
        <v>14</v>
      </c>
      <c r="J943" s="16">
        <v>98</v>
      </c>
      <c r="K943" s="16">
        <v>4.5599999999999996</v>
      </c>
      <c r="L943" s="16">
        <v>71.900000000000006</v>
      </c>
      <c r="M943" s="16">
        <v>2</v>
      </c>
      <c r="N943" s="18">
        <f>IF(Risk_Calculation_Engine!U943="Low",1,IF(Risk_Calculation_Engine!U943="Medium",2,3))</f>
        <v>2</v>
      </c>
      <c r="O943" s="18" t="str">
        <f>Risk_Calculation_Engine!U943</f>
        <v>Medium</v>
      </c>
    </row>
    <row r="944" spans="1:15" ht="15" customHeight="1" x14ac:dyDescent="0.25">
      <c r="A944" s="16">
        <v>940</v>
      </c>
      <c r="B944" s="16">
        <v>133.69999999999999</v>
      </c>
      <c r="C944" s="16">
        <v>4</v>
      </c>
      <c r="D944" s="16">
        <v>666.4</v>
      </c>
      <c r="E944" s="17">
        <f t="shared" si="14"/>
        <v>14.91</v>
      </c>
      <c r="F944" s="16">
        <v>2</v>
      </c>
      <c r="G944" s="16">
        <v>6</v>
      </c>
      <c r="H944" s="16">
        <v>1.52</v>
      </c>
      <c r="I944" s="16">
        <v>15</v>
      </c>
      <c r="J944" s="16">
        <v>1356</v>
      </c>
      <c r="K944" s="16">
        <v>10.14</v>
      </c>
      <c r="L944" s="16">
        <v>43.5</v>
      </c>
      <c r="M944" s="16">
        <v>2</v>
      </c>
      <c r="N944" s="18">
        <f>IF(Risk_Calculation_Engine!U944="Low",1,IF(Risk_Calculation_Engine!U944="Medium",2,3))</f>
        <v>3</v>
      </c>
      <c r="O944" s="18" t="str">
        <f>Risk_Calculation_Engine!U944</f>
        <v>High</v>
      </c>
    </row>
    <row r="945" spans="1:15" ht="15" customHeight="1" x14ac:dyDescent="0.25">
      <c r="A945" s="16">
        <v>941</v>
      </c>
      <c r="B945" s="16">
        <v>55.2</v>
      </c>
      <c r="C945" s="16">
        <v>4</v>
      </c>
      <c r="D945" s="16">
        <v>367.1</v>
      </c>
      <c r="E945" s="17">
        <f t="shared" si="14"/>
        <v>7.67</v>
      </c>
      <c r="F945" s="16">
        <v>1</v>
      </c>
      <c r="G945" s="16">
        <v>4</v>
      </c>
      <c r="H945" s="16">
        <v>2.5</v>
      </c>
      <c r="I945" s="16">
        <v>4</v>
      </c>
      <c r="J945" s="16">
        <v>777</v>
      </c>
      <c r="K945" s="16">
        <v>14.08</v>
      </c>
      <c r="L945" s="16">
        <v>54.5</v>
      </c>
      <c r="M945" s="16">
        <v>2</v>
      </c>
      <c r="N945" s="18">
        <f>IF(Risk_Calculation_Engine!U945="Low",1,IF(Risk_Calculation_Engine!U945="Medium",2,3))</f>
        <v>3</v>
      </c>
      <c r="O945" s="18" t="str">
        <f>Risk_Calculation_Engine!U945</f>
        <v>High</v>
      </c>
    </row>
    <row r="946" spans="1:15" ht="15" customHeight="1" x14ac:dyDescent="0.25">
      <c r="A946" s="16">
        <v>942</v>
      </c>
      <c r="B946" s="16">
        <v>19.399999999999999</v>
      </c>
      <c r="C946" s="16">
        <v>3</v>
      </c>
      <c r="D946" s="16">
        <v>72.099999999999994</v>
      </c>
      <c r="E946" s="17">
        <f t="shared" si="14"/>
        <v>11.36</v>
      </c>
      <c r="F946" s="16">
        <v>2</v>
      </c>
      <c r="G946" s="16">
        <v>4</v>
      </c>
      <c r="H946" s="16">
        <v>1.07</v>
      </c>
      <c r="I946" s="16">
        <v>8</v>
      </c>
      <c r="J946" s="16">
        <v>70</v>
      </c>
      <c r="K946" s="16">
        <v>3.61</v>
      </c>
      <c r="L946" s="16">
        <v>86.6</v>
      </c>
      <c r="M946" s="16">
        <v>2</v>
      </c>
      <c r="N946" s="18">
        <f>IF(Risk_Calculation_Engine!U946="Low",1,IF(Risk_Calculation_Engine!U946="Medium",2,3))</f>
        <v>1</v>
      </c>
      <c r="O946" s="18" t="str">
        <f>Risk_Calculation_Engine!U946</f>
        <v>Low</v>
      </c>
    </row>
    <row r="947" spans="1:15" ht="15" customHeight="1" x14ac:dyDescent="0.25">
      <c r="A947" s="16">
        <v>943</v>
      </c>
      <c r="B947" s="16">
        <v>69.400000000000006</v>
      </c>
      <c r="C947" s="16">
        <v>5</v>
      </c>
      <c r="D947" s="16">
        <v>325.60000000000002</v>
      </c>
      <c r="E947" s="17">
        <f t="shared" si="14"/>
        <v>17.329999999999998</v>
      </c>
      <c r="F947" s="16">
        <v>3</v>
      </c>
      <c r="G947" s="16">
        <v>8</v>
      </c>
      <c r="H947" s="16">
        <v>1.07</v>
      </c>
      <c r="I947" s="16">
        <v>9</v>
      </c>
      <c r="J947" s="16">
        <v>996</v>
      </c>
      <c r="K947" s="16">
        <v>14.35</v>
      </c>
      <c r="L947" s="16">
        <v>70.599999999999994</v>
      </c>
      <c r="M947" s="16">
        <v>1</v>
      </c>
      <c r="N947" s="18">
        <f>IF(Risk_Calculation_Engine!U947="Low",1,IF(Risk_Calculation_Engine!U947="Medium",2,3))</f>
        <v>2</v>
      </c>
      <c r="O947" s="18" t="str">
        <f>Risk_Calculation_Engine!U947</f>
        <v>Medium</v>
      </c>
    </row>
    <row r="948" spans="1:15" ht="15" customHeight="1" x14ac:dyDescent="0.25">
      <c r="A948" s="16">
        <v>944</v>
      </c>
      <c r="B948" s="16">
        <v>86.5</v>
      </c>
      <c r="C948" s="16">
        <v>3</v>
      </c>
      <c r="D948" s="16">
        <v>407.7</v>
      </c>
      <c r="E948" s="17">
        <f t="shared" si="14"/>
        <v>7.9</v>
      </c>
      <c r="F948" s="16">
        <v>2</v>
      </c>
      <c r="G948" s="16">
        <v>5</v>
      </c>
      <c r="H948" s="16">
        <v>2.5</v>
      </c>
      <c r="I948" s="16">
        <v>13</v>
      </c>
      <c r="J948" s="16">
        <v>755</v>
      </c>
      <c r="K948" s="16">
        <v>8.73</v>
      </c>
      <c r="L948" s="16">
        <v>83.7</v>
      </c>
      <c r="M948" s="16">
        <v>2</v>
      </c>
      <c r="N948" s="18">
        <f>IF(Risk_Calculation_Engine!U948="Low",1,IF(Risk_Calculation_Engine!U948="Medium",2,3))</f>
        <v>2</v>
      </c>
      <c r="O948" s="18" t="str">
        <f>Risk_Calculation_Engine!U948</f>
        <v>Medium</v>
      </c>
    </row>
    <row r="949" spans="1:15" ht="15" customHeight="1" x14ac:dyDescent="0.25">
      <c r="A949" s="16">
        <v>945</v>
      </c>
      <c r="B949" s="16">
        <v>91.3</v>
      </c>
      <c r="C949" s="16">
        <v>4</v>
      </c>
      <c r="D949" s="16">
        <v>460.3</v>
      </c>
      <c r="E949" s="17">
        <f t="shared" si="14"/>
        <v>10.53</v>
      </c>
      <c r="F949" s="16">
        <v>2</v>
      </c>
      <c r="G949" s="16">
        <v>8</v>
      </c>
      <c r="H949" s="16">
        <v>1.94</v>
      </c>
      <c r="I949" s="16">
        <v>15</v>
      </c>
      <c r="J949" s="16">
        <v>899</v>
      </c>
      <c r="K949" s="16">
        <v>9.85</v>
      </c>
      <c r="L949" s="16">
        <v>15</v>
      </c>
      <c r="M949" s="16">
        <v>1</v>
      </c>
      <c r="N949" s="18">
        <f>IF(Risk_Calculation_Engine!U949="Low",1,IF(Risk_Calculation_Engine!U949="Medium",2,3))</f>
        <v>3</v>
      </c>
      <c r="O949" s="18" t="str">
        <f>Risk_Calculation_Engine!U949</f>
        <v>High</v>
      </c>
    </row>
    <row r="950" spans="1:15" ht="15" customHeight="1" x14ac:dyDescent="0.25">
      <c r="A950" s="16">
        <v>946</v>
      </c>
      <c r="B950" s="16">
        <v>129.9</v>
      </c>
      <c r="C950" s="16">
        <v>5</v>
      </c>
      <c r="D950" s="16">
        <v>1074.8</v>
      </c>
      <c r="E950" s="17">
        <f t="shared" si="14"/>
        <v>10.36</v>
      </c>
      <c r="F950" s="16">
        <v>1</v>
      </c>
      <c r="G950" s="16">
        <v>5</v>
      </c>
      <c r="H950" s="16">
        <v>2.5</v>
      </c>
      <c r="I950" s="16">
        <v>8</v>
      </c>
      <c r="J950" s="16">
        <v>3394</v>
      </c>
      <c r="K950" s="16">
        <v>26.13</v>
      </c>
      <c r="L950" s="16">
        <v>89.2</v>
      </c>
      <c r="M950" s="16">
        <v>3</v>
      </c>
      <c r="N950" s="18">
        <f>IF(Risk_Calculation_Engine!U950="Low",1,IF(Risk_Calculation_Engine!U950="Medium",2,3))</f>
        <v>3</v>
      </c>
      <c r="O950" s="18" t="str">
        <f>Risk_Calculation_Engine!U950</f>
        <v>High</v>
      </c>
    </row>
    <row r="951" spans="1:15" ht="15" customHeight="1" x14ac:dyDescent="0.25">
      <c r="A951" s="16">
        <v>947</v>
      </c>
      <c r="B951" s="16">
        <v>13.1</v>
      </c>
      <c r="C951" s="16">
        <v>4</v>
      </c>
      <c r="D951" s="16">
        <v>43.8</v>
      </c>
      <c r="E951" s="17">
        <f t="shared" si="14"/>
        <v>9.5299999999999994</v>
      </c>
      <c r="F951" s="16">
        <v>3</v>
      </c>
      <c r="G951" s="16">
        <v>4</v>
      </c>
      <c r="H951" s="16">
        <v>1.1100000000000001</v>
      </c>
      <c r="I951" s="16">
        <v>12</v>
      </c>
      <c r="J951" s="16">
        <v>115</v>
      </c>
      <c r="K951" s="16">
        <v>8.7799999999999994</v>
      </c>
      <c r="L951" s="16">
        <v>56.9</v>
      </c>
      <c r="M951" s="16">
        <v>1</v>
      </c>
      <c r="N951" s="18">
        <f>IF(Risk_Calculation_Engine!U951="Low",1,IF(Risk_Calculation_Engine!U951="Medium",2,3))</f>
        <v>1</v>
      </c>
      <c r="O951" s="18" t="str">
        <f>Risk_Calculation_Engine!U951</f>
        <v>Low</v>
      </c>
    </row>
    <row r="952" spans="1:15" ht="15" customHeight="1" x14ac:dyDescent="0.25">
      <c r="A952" s="16">
        <v>948</v>
      </c>
      <c r="B952" s="16">
        <v>130</v>
      </c>
      <c r="C952" s="16">
        <v>2</v>
      </c>
      <c r="D952" s="16">
        <v>446.6</v>
      </c>
      <c r="E952" s="17">
        <f t="shared" si="14"/>
        <v>17.170000000000002</v>
      </c>
      <c r="F952" s="16">
        <v>3</v>
      </c>
      <c r="G952" s="16">
        <v>7</v>
      </c>
      <c r="H952" s="16">
        <v>1.18</v>
      </c>
      <c r="I952" s="16">
        <v>15</v>
      </c>
      <c r="J952" s="16">
        <v>534</v>
      </c>
      <c r="K952" s="16">
        <v>4.1100000000000003</v>
      </c>
      <c r="L952" s="16">
        <v>86.6</v>
      </c>
      <c r="M952" s="16">
        <v>2</v>
      </c>
      <c r="N952" s="18">
        <f>IF(Risk_Calculation_Engine!U952="Low",1,IF(Risk_Calculation_Engine!U952="Medium",2,3))</f>
        <v>1</v>
      </c>
      <c r="O952" s="18" t="str">
        <f>Risk_Calculation_Engine!U952</f>
        <v>Low</v>
      </c>
    </row>
    <row r="953" spans="1:15" ht="15" customHeight="1" x14ac:dyDescent="0.25">
      <c r="A953" s="16">
        <v>949</v>
      </c>
      <c r="B953" s="16">
        <v>138.69999999999999</v>
      </c>
      <c r="C953" s="16">
        <v>4</v>
      </c>
      <c r="D953" s="16">
        <v>949.3</v>
      </c>
      <c r="E953" s="17">
        <f t="shared" si="14"/>
        <v>13.9</v>
      </c>
      <c r="F953" s="16">
        <v>1</v>
      </c>
      <c r="G953" s="16">
        <v>6</v>
      </c>
      <c r="H953" s="16">
        <v>1.8</v>
      </c>
      <c r="I953" s="16">
        <v>13</v>
      </c>
      <c r="J953" s="16">
        <v>1323</v>
      </c>
      <c r="K953" s="16">
        <v>9.5399999999999991</v>
      </c>
      <c r="L953" s="16">
        <v>59.3</v>
      </c>
      <c r="M953" s="16">
        <v>2</v>
      </c>
      <c r="N953" s="18">
        <f>IF(Risk_Calculation_Engine!U953="Low",1,IF(Risk_Calculation_Engine!U953="Medium",2,3))</f>
        <v>3</v>
      </c>
      <c r="O953" s="18" t="str">
        <f>Risk_Calculation_Engine!U953</f>
        <v>High</v>
      </c>
    </row>
    <row r="954" spans="1:15" ht="15" customHeight="1" x14ac:dyDescent="0.25">
      <c r="A954" s="16">
        <v>950</v>
      </c>
      <c r="B954" s="16">
        <v>18.7</v>
      </c>
      <c r="C954" s="16">
        <v>2</v>
      </c>
      <c r="D954" s="16">
        <v>68.400000000000006</v>
      </c>
      <c r="E954" s="17">
        <f t="shared" si="14"/>
        <v>13.46</v>
      </c>
      <c r="F954" s="16">
        <v>2</v>
      </c>
      <c r="G954" s="16">
        <v>3</v>
      </c>
      <c r="H954" s="16">
        <v>0.89</v>
      </c>
      <c r="I954" s="16">
        <v>6</v>
      </c>
      <c r="J954" s="16">
        <v>72</v>
      </c>
      <c r="K954" s="16">
        <v>3.85</v>
      </c>
      <c r="L954" s="16">
        <v>41.5</v>
      </c>
      <c r="M954" s="16">
        <v>2</v>
      </c>
      <c r="N954" s="18">
        <f>IF(Risk_Calculation_Engine!U954="Low",1,IF(Risk_Calculation_Engine!U954="Medium",2,3))</f>
        <v>1</v>
      </c>
      <c r="O954" s="18" t="str">
        <f>Risk_Calculation_Engine!U954</f>
        <v>Low</v>
      </c>
    </row>
    <row r="955" spans="1:15" ht="15" customHeight="1" x14ac:dyDescent="0.25">
      <c r="A955" s="16">
        <v>951</v>
      </c>
      <c r="B955" s="16">
        <v>23</v>
      </c>
      <c r="C955" s="16">
        <v>4</v>
      </c>
      <c r="D955" s="16">
        <v>124.3</v>
      </c>
      <c r="E955" s="17">
        <f t="shared" si="14"/>
        <v>8.14</v>
      </c>
      <c r="F955" s="16">
        <v>2</v>
      </c>
      <c r="G955" s="16">
        <v>6</v>
      </c>
      <c r="H955" s="16">
        <v>1.74</v>
      </c>
      <c r="I955" s="16">
        <v>13</v>
      </c>
      <c r="J955" s="16">
        <v>326</v>
      </c>
      <c r="K955" s="16">
        <v>14.17</v>
      </c>
      <c r="L955" s="16">
        <v>56.6</v>
      </c>
      <c r="M955" s="16">
        <v>3</v>
      </c>
      <c r="N955" s="18">
        <f>IF(Risk_Calculation_Engine!U955="Low",1,IF(Risk_Calculation_Engine!U955="Medium",2,3))</f>
        <v>2</v>
      </c>
      <c r="O955" s="18" t="str">
        <f>Risk_Calculation_Engine!U955</f>
        <v>Medium</v>
      </c>
    </row>
    <row r="956" spans="1:15" ht="15" customHeight="1" x14ac:dyDescent="0.25">
      <c r="A956" s="16">
        <v>952</v>
      </c>
      <c r="B956" s="16">
        <v>106.9</v>
      </c>
      <c r="C956" s="16">
        <v>3</v>
      </c>
      <c r="D956" s="16">
        <v>539</v>
      </c>
      <c r="E956" s="17">
        <f t="shared" si="14"/>
        <v>16.18</v>
      </c>
      <c r="F956" s="16">
        <v>2</v>
      </c>
      <c r="G956" s="16">
        <v>7</v>
      </c>
      <c r="H956" s="16">
        <v>1.32</v>
      </c>
      <c r="I956" s="16">
        <v>8</v>
      </c>
      <c r="J956" s="16">
        <v>766</v>
      </c>
      <c r="K956" s="16">
        <v>7.17</v>
      </c>
      <c r="L956" s="16">
        <v>58.9</v>
      </c>
      <c r="M956" s="16">
        <v>2</v>
      </c>
      <c r="N956" s="18">
        <f>IF(Risk_Calculation_Engine!U956="Low",1,IF(Risk_Calculation_Engine!U956="Medium",2,3))</f>
        <v>2</v>
      </c>
      <c r="O956" s="18" t="str">
        <f>Risk_Calculation_Engine!U956</f>
        <v>Medium</v>
      </c>
    </row>
    <row r="957" spans="1:15" ht="15" customHeight="1" x14ac:dyDescent="0.25">
      <c r="A957" s="16">
        <v>953</v>
      </c>
      <c r="B957" s="16">
        <v>43.3</v>
      </c>
      <c r="C957" s="16">
        <v>4</v>
      </c>
      <c r="D957" s="16">
        <v>213.3</v>
      </c>
      <c r="E957" s="17">
        <f t="shared" si="14"/>
        <v>10.84</v>
      </c>
      <c r="F957" s="16">
        <v>2</v>
      </c>
      <c r="G957" s="16">
        <v>5</v>
      </c>
      <c r="H957" s="16">
        <v>1.52</v>
      </c>
      <c r="I957" s="16">
        <v>3</v>
      </c>
      <c r="J957" s="16">
        <v>626</v>
      </c>
      <c r="K957" s="16">
        <v>14.46</v>
      </c>
      <c r="L957" s="16">
        <v>63.5</v>
      </c>
      <c r="M957" s="16">
        <v>1</v>
      </c>
      <c r="N957" s="18">
        <f>IF(Risk_Calculation_Engine!U957="Low",1,IF(Risk_Calculation_Engine!U957="Medium",2,3))</f>
        <v>2</v>
      </c>
      <c r="O957" s="18" t="str">
        <f>Risk_Calculation_Engine!U957</f>
        <v>Medium</v>
      </c>
    </row>
    <row r="958" spans="1:15" ht="15" customHeight="1" x14ac:dyDescent="0.25">
      <c r="A958" s="16">
        <v>954</v>
      </c>
      <c r="B958" s="16">
        <v>149.80000000000001</v>
      </c>
      <c r="C958" s="16">
        <v>5</v>
      </c>
      <c r="D958" s="16">
        <v>1041.5999999999999</v>
      </c>
      <c r="E958" s="17">
        <f t="shared" si="14"/>
        <v>12.11</v>
      </c>
      <c r="F958" s="16">
        <v>2</v>
      </c>
      <c r="G958" s="16">
        <v>3</v>
      </c>
      <c r="H958" s="16">
        <v>2.12</v>
      </c>
      <c r="I958" s="16">
        <v>12</v>
      </c>
      <c r="J958" s="16">
        <v>2237</v>
      </c>
      <c r="K958" s="16">
        <v>14.93</v>
      </c>
      <c r="L958" s="16">
        <v>54.4</v>
      </c>
      <c r="M958" s="16">
        <v>2</v>
      </c>
      <c r="N958" s="18">
        <f>IF(Risk_Calculation_Engine!U958="Low",1,IF(Risk_Calculation_Engine!U958="Medium",2,3))</f>
        <v>3</v>
      </c>
      <c r="O958" s="18" t="str">
        <f>Risk_Calculation_Engine!U958</f>
        <v>High</v>
      </c>
    </row>
    <row r="959" spans="1:15" ht="15" customHeight="1" x14ac:dyDescent="0.25">
      <c r="A959" s="16">
        <v>955</v>
      </c>
      <c r="B959" s="16">
        <v>149.80000000000001</v>
      </c>
      <c r="C959" s="16">
        <v>2</v>
      </c>
      <c r="D959" s="16">
        <v>700.7</v>
      </c>
      <c r="E959" s="17">
        <f t="shared" si="14"/>
        <v>10.59</v>
      </c>
      <c r="F959" s="16">
        <v>2</v>
      </c>
      <c r="G959" s="16">
        <v>7</v>
      </c>
      <c r="H959" s="16">
        <v>2.17</v>
      </c>
      <c r="I959" s="16">
        <v>13</v>
      </c>
      <c r="J959" s="16">
        <v>895</v>
      </c>
      <c r="K959" s="16">
        <v>5.97</v>
      </c>
      <c r="L959" s="16">
        <v>90.3</v>
      </c>
      <c r="M959" s="16">
        <v>3</v>
      </c>
      <c r="N959" s="18">
        <f>IF(Risk_Calculation_Engine!U959="Low",1,IF(Risk_Calculation_Engine!U959="Medium",2,3))</f>
        <v>3</v>
      </c>
      <c r="O959" s="18" t="str">
        <f>Risk_Calculation_Engine!U959</f>
        <v>High</v>
      </c>
    </row>
    <row r="960" spans="1:15" ht="15" customHeight="1" x14ac:dyDescent="0.25">
      <c r="A960" s="16">
        <v>956</v>
      </c>
      <c r="B960" s="16">
        <v>19.399999999999999</v>
      </c>
      <c r="C960" s="16">
        <v>3</v>
      </c>
      <c r="D960" s="16">
        <v>113.5</v>
      </c>
      <c r="E960" s="17">
        <f t="shared" si="14"/>
        <v>5.52</v>
      </c>
      <c r="F960" s="16">
        <v>1</v>
      </c>
      <c r="G960" s="16">
        <v>6</v>
      </c>
      <c r="H960" s="16">
        <v>2.5</v>
      </c>
      <c r="I960" s="16">
        <v>7</v>
      </c>
      <c r="J960" s="16">
        <v>141</v>
      </c>
      <c r="K960" s="16">
        <v>7.27</v>
      </c>
      <c r="L960" s="16">
        <v>74.7</v>
      </c>
      <c r="M960" s="16">
        <v>3</v>
      </c>
      <c r="N960" s="18">
        <f>IF(Risk_Calculation_Engine!U960="Low",1,IF(Risk_Calculation_Engine!U960="Medium",2,3))</f>
        <v>2</v>
      </c>
      <c r="O960" s="18" t="str">
        <f>Risk_Calculation_Engine!U960</f>
        <v>Medium</v>
      </c>
    </row>
    <row r="961" spans="1:15" ht="15" customHeight="1" x14ac:dyDescent="0.25">
      <c r="A961" s="16">
        <v>957</v>
      </c>
      <c r="B961" s="16">
        <v>29.2</v>
      </c>
      <c r="C961" s="16">
        <v>4</v>
      </c>
      <c r="D961" s="16">
        <v>120.2</v>
      </c>
      <c r="E961" s="17">
        <f t="shared" si="14"/>
        <v>5.61</v>
      </c>
      <c r="F961" s="16">
        <v>2</v>
      </c>
      <c r="G961" s="16">
        <v>6</v>
      </c>
      <c r="H961" s="16">
        <v>2.5</v>
      </c>
      <c r="I961" s="16">
        <v>8</v>
      </c>
      <c r="J961" s="16">
        <v>184</v>
      </c>
      <c r="K961" s="16">
        <v>6.3</v>
      </c>
      <c r="L961" s="16">
        <v>61.9</v>
      </c>
      <c r="M961" s="16">
        <v>2</v>
      </c>
      <c r="N961" s="18">
        <f>IF(Risk_Calculation_Engine!U961="Low",1,IF(Risk_Calculation_Engine!U961="Medium",2,3))</f>
        <v>2</v>
      </c>
      <c r="O961" s="18" t="str">
        <f>Risk_Calculation_Engine!U961</f>
        <v>Medium</v>
      </c>
    </row>
    <row r="962" spans="1:15" ht="15" customHeight="1" x14ac:dyDescent="0.25">
      <c r="A962" s="16">
        <v>958</v>
      </c>
      <c r="B962" s="16">
        <v>66.599999999999994</v>
      </c>
      <c r="C962" s="16">
        <v>3</v>
      </c>
      <c r="D962" s="16">
        <v>198.2</v>
      </c>
      <c r="E962" s="17">
        <f t="shared" si="14"/>
        <v>20.69</v>
      </c>
      <c r="F962" s="16">
        <v>3</v>
      </c>
      <c r="G962" s="16">
        <v>9</v>
      </c>
      <c r="H962" s="16">
        <v>0.78</v>
      </c>
      <c r="I962" s="16">
        <v>7</v>
      </c>
      <c r="J962" s="16">
        <v>365</v>
      </c>
      <c r="K962" s="16">
        <v>5.48</v>
      </c>
      <c r="L962" s="16">
        <v>36.1</v>
      </c>
      <c r="M962" s="16">
        <v>2</v>
      </c>
      <c r="N962" s="18">
        <f>IF(Risk_Calculation_Engine!U962="Low",1,IF(Risk_Calculation_Engine!U962="Medium",2,3))</f>
        <v>1</v>
      </c>
      <c r="O962" s="18" t="str">
        <f>Risk_Calculation_Engine!U962</f>
        <v>Low</v>
      </c>
    </row>
    <row r="963" spans="1:15" ht="15" customHeight="1" x14ac:dyDescent="0.25">
      <c r="A963" s="16">
        <v>959</v>
      </c>
      <c r="B963" s="16">
        <v>3.9</v>
      </c>
      <c r="C963" s="16">
        <v>2</v>
      </c>
      <c r="D963" s="16">
        <v>13.8</v>
      </c>
      <c r="E963" s="17">
        <f t="shared" si="14"/>
        <v>6.89</v>
      </c>
      <c r="F963" s="16">
        <v>1</v>
      </c>
      <c r="G963" s="16">
        <v>7</v>
      </c>
      <c r="H963" s="16">
        <v>1.1100000000000001</v>
      </c>
      <c r="I963" s="16">
        <v>4</v>
      </c>
      <c r="J963" s="16">
        <v>12</v>
      </c>
      <c r="K963" s="16">
        <v>3.08</v>
      </c>
      <c r="L963" s="16">
        <v>63.3</v>
      </c>
      <c r="M963" s="16">
        <v>1</v>
      </c>
      <c r="N963" s="18">
        <f>IF(Risk_Calculation_Engine!U963="Low",1,IF(Risk_Calculation_Engine!U963="Medium",2,3))</f>
        <v>1</v>
      </c>
      <c r="O963" s="18" t="str">
        <f>Risk_Calculation_Engine!U963</f>
        <v>Low</v>
      </c>
    </row>
    <row r="964" spans="1:15" ht="15" customHeight="1" x14ac:dyDescent="0.25">
      <c r="A964" s="16">
        <v>960</v>
      </c>
      <c r="B964" s="16">
        <v>7.9</v>
      </c>
      <c r="C964" s="16">
        <v>1</v>
      </c>
      <c r="D964" s="16">
        <v>17.899999999999999</v>
      </c>
      <c r="E964" s="17">
        <f t="shared" si="14"/>
        <v>7.22</v>
      </c>
      <c r="F964" s="16">
        <v>2</v>
      </c>
      <c r="G964" s="16">
        <v>7</v>
      </c>
      <c r="H964" s="16">
        <v>1.1399999999999999</v>
      </c>
      <c r="I964" s="16">
        <v>15</v>
      </c>
      <c r="J964" s="16">
        <v>12</v>
      </c>
      <c r="K964" s="16">
        <v>1.52</v>
      </c>
      <c r="L964" s="16">
        <v>34</v>
      </c>
      <c r="M964" s="16">
        <v>3</v>
      </c>
      <c r="N964" s="18">
        <f>IF(Risk_Calculation_Engine!U964="Low",1,IF(Risk_Calculation_Engine!U964="Medium",2,3))</f>
        <v>1</v>
      </c>
      <c r="O964" s="18" t="str">
        <f>Risk_Calculation_Engine!U964</f>
        <v>Low</v>
      </c>
    </row>
    <row r="965" spans="1:15" ht="15" customHeight="1" x14ac:dyDescent="0.25">
      <c r="A965" s="16">
        <v>961</v>
      </c>
      <c r="B965" s="16">
        <v>26</v>
      </c>
      <c r="C965" s="16">
        <v>3</v>
      </c>
      <c r="D965" s="16">
        <v>154.19999999999999</v>
      </c>
      <c r="E965" s="17">
        <f t="shared" ref="E965:E1028" si="15">ROUND(3.67*D965^0.28/H965,2)</f>
        <v>6.32</v>
      </c>
      <c r="F965" s="16">
        <v>1</v>
      </c>
      <c r="G965" s="16">
        <v>3</v>
      </c>
      <c r="H965" s="16">
        <v>2.38</v>
      </c>
      <c r="I965" s="16">
        <v>3</v>
      </c>
      <c r="J965" s="16">
        <v>223</v>
      </c>
      <c r="K965" s="16">
        <v>8.58</v>
      </c>
      <c r="L965" s="16">
        <v>29.4</v>
      </c>
      <c r="M965" s="16">
        <v>2</v>
      </c>
      <c r="N965" s="18">
        <f>IF(Risk_Calculation_Engine!U965="Low",1,IF(Risk_Calculation_Engine!U965="Medium",2,3))</f>
        <v>2</v>
      </c>
      <c r="O965" s="18" t="str">
        <f>Risk_Calculation_Engine!U965</f>
        <v>Medium</v>
      </c>
    </row>
    <row r="966" spans="1:15" ht="15" customHeight="1" x14ac:dyDescent="0.25">
      <c r="A966" s="16">
        <v>962</v>
      </c>
      <c r="B966" s="16">
        <v>149.80000000000001</v>
      </c>
      <c r="C966" s="16">
        <v>4</v>
      </c>
      <c r="D966" s="16">
        <v>591.70000000000005</v>
      </c>
      <c r="E966" s="17">
        <f t="shared" si="15"/>
        <v>8.77</v>
      </c>
      <c r="F966" s="16">
        <v>3</v>
      </c>
      <c r="G966" s="16">
        <v>4</v>
      </c>
      <c r="H966" s="16">
        <v>2.5</v>
      </c>
      <c r="I966" s="16">
        <v>10</v>
      </c>
      <c r="J966" s="16">
        <v>2187</v>
      </c>
      <c r="K966" s="16">
        <v>14.6</v>
      </c>
      <c r="L966" s="16">
        <v>93.8</v>
      </c>
      <c r="M966" s="16">
        <v>1</v>
      </c>
      <c r="N966" s="18">
        <f>IF(Risk_Calculation_Engine!U966="Low",1,IF(Risk_Calculation_Engine!U966="Medium",2,3))</f>
        <v>3</v>
      </c>
      <c r="O966" s="18" t="str">
        <f>Risk_Calculation_Engine!U966</f>
        <v>High</v>
      </c>
    </row>
    <row r="967" spans="1:15" ht="15" customHeight="1" x14ac:dyDescent="0.25">
      <c r="A967" s="16">
        <v>963</v>
      </c>
      <c r="B967" s="16">
        <v>74.900000000000006</v>
      </c>
      <c r="C967" s="16">
        <v>4</v>
      </c>
      <c r="D967" s="16">
        <v>423.1</v>
      </c>
      <c r="E967" s="17">
        <f t="shared" si="15"/>
        <v>20.36</v>
      </c>
      <c r="F967" s="16">
        <v>2</v>
      </c>
      <c r="G967" s="16">
        <v>6</v>
      </c>
      <c r="H967" s="16">
        <v>0.98</v>
      </c>
      <c r="I967" s="16">
        <v>3</v>
      </c>
      <c r="J967" s="16">
        <v>385</v>
      </c>
      <c r="K967" s="16">
        <v>5.14</v>
      </c>
      <c r="L967" s="16">
        <v>72.7</v>
      </c>
      <c r="M967" s="16">
        <v>2</v>
      </c>
      <c r="N967" s="18">
        <f>IF(Risk_Calculation_Engine!U967="Low",1,IF(Risk_Calculation_Engine!U967="Medium",2,3))</f>
        <v>1</v>
      </c>
      <c r="O967" s="18" t="str">
        <f>Risk_Calculation_Engine!U967</f>
        <v>Low</v>
      </c>
    </row>
    <row r="968" spans="1:15" ht="15" customHeight="1" x14ac:dyDescent="0.25">
      <c r="A968" s="16">
        <v>964</v>
      </c>
      <c r="B968" s="16">
        <v>34</v>
      </c>
      <c r="C968" s="16">
        <v>2</v>
      </c>
      <c r="D968" s="16">
        <v>129.9</v>
      </c>
      <c r="E968" s="17">
        <f t="shared" si="15"/>
        <v>5.95</v>
      </c>
      <c r="F968" s="16">
        <v>2</v>
      </c>
      <c r="G968" s="16">
        <v>4</v>
      </c>
      <c r="H968" s="16">
        <v>2.41</v>
      </c>
      <c r="I968" s="16">
        <v>11</v>
      </c>
      <c r="J968" s="16">
        <v>87</v>
      </c>
      <c r="K968" s="16">
        <v>2.56</v>
      </c>
      <c r="L968" s="16">
        <v>57.1</v>
      </c>
      <c r="M968" s="16">
        <v>2</v>
      </c>
      <c r="N968" s="18">
        <f>IF(Risk_Calculation_Engine!U968="Low",1,IF(Risk_Calculation_Engine!U968="Medium",2,3))</f>
        <v>2</v>
      </c>
      <c r="O968" s="18" t="str">
        <f>Risk_Calculation_Engine!U968</f>
        <v>Medium</v>
      </c>
    </row>
    <row r="969" spans="1:15" ht="15" customHeight="1" x14ac:dyDescent="0.25">
      <c r="A969" s="16">
        <v>965</v>
      </c>
      <c r="B969" s="16">
        <v>22.8</v>
      </c>
      <c r="C969" s="16">
        <v>3</v>
      </c>
      <c r="D969" s="16">
        <v>126.3</v>
      </c>
      <c r="E969" s="17">
        <f t="shared" si="15"/>
        <v>8.89</v>
      </c>
      <c r="F969" s="16">
        <v>1</v>
      </c>
      <c r="G969" s="16">
        <v>7</v>
      </c>
      <c r="H969" s="16">
        <v>1.6</v>
      </c>
      <c r="I969" s="16">
        <v>14</v>
      </c>
      <c r="J969" s="16">
        <v>106</v>
      </c>
      <c r="K969" s="16">
        <v>4.6500000000000004</v>
      </c>
      <c r="L969" s="16">
        <v>87</v>
      </c>
      <c r="M969" s="16">
        <v>1</v>
      </c>
      <c r="N969" s="18">
        <f>IF(Risk_Calculation_Engine!U969="Low",1,IF(Risk_Calculation_Engine!U969="Medium",2,3))</f>
        <v>1</v>
      </c>
      <c r="O969" s="18" t="str">
        <f>Risk_Calculation_Engine!U969</f>
        <v>Low</v>
      </c>
    </row>
    <row r="970" spans="1:15" ht="15" customHeight="1" x14ac:dyDescent="0.25">
      <c r="A970" s="16">
        <v>966</v>
      </c>
      <c r="B970" s="16">
        <v>18.399999999999999</v>
      </c>
      <c r="C970" s="16">
        <v>3</v>
      </c>
      <c r="D970" s="16">
        <v>62.8</v>
      </c>
      <c r="E970" s="17">
        <f t="shared" si="15"/>
        <v>7.8</v>
      </c>
      <c r="F970" s="16">
        <v>2</v>
      </c>
      <c r="G970" s="16">
        <v>5</v>
      </c>
      <c r="H970" s="16">
        <v>1.5</v>
      </c>
      <c r="I970" s="16">
        <v>11</v>
      </c>
      <c r="J970" s="16">
        <v>149</v>
      </c>
      <c r="K970" s="16">
        <v>8.1</v>
      </c>
      <c r="L970" s="16">
        <v>74.099999999999994</v>
      </c>
      <c r="M970" s="16">
        <v>3</v>
      </c>
      <c r="N970" s="18">
        <f>IF(Risk_Calculation_Engine!U970="Low",1,IF(Risk_Calculation_Engine!U970="Medium",2,3))</f>
        <v>1</v>
      </c>
      <c r="O970" s="18" t="str">
        <f>Risk_Calculation_Engine!U970</f>
        <v>Low</v>
      </c>
    </row>
    <row r="971" spans="1:15" ht="15" customHeight="1" x14ac:dyDescent="0.25">
      <c r="A971" s="16">
        <v>967</v>
      </c>
      <c r="B971" s="16">
        <v>36.299999999999997</v>
      </c>
      <c r="C971" s="16">
        <v>3</v>
      </c>
      <c r="D971" s="16">
        <v>107.6</v>
      </c>
      <c r="E971" s="17">
        <f t="shared" si="15"/>
        <v>10.97</v>
      </c>
      <c r="F971" s="16">
        <v>3</v>
      </c>
      <c r="G971" s="16">
        <v>1</v>
      </c>
      <c r="H971" s="16">
        <v>1.24</v>
      </c>
      <c r="I971" s="16">
        <v>10</v>
      </c>
      <c r="J971" s="16">
        <v>242</v>
      </c>
      <c r="K971" s="16">
        <v>6.67</v>
      </c>
      <c r="L971" s="16">
        <v>40.9</v>
      </c>
      <c r="M971" s="16">
        <v>2</v>
      </c>
      <c r="N971" s="18">
        <f>IF(Risk_Calculation_Engine!U971="Low",1,IF(Risk_Calculation_Engine!U971="Medium",2,3))</f>
        <v>1</v>
      </c>
      <c r="O971" s="18" t="str">
        <f>Risk_Calculation_Engine!U971</f>
        <v>Low</v>
      </c>
    </row>
    <row r="972" spans="1:15" ht="15" customHeight="1" x14ac:dyDescent="0.25">
      <c r="A972" s="16">
        <v>968</v>
      </c>
      <c r="B972" s="16">
        <v>34.4</v>
      </c>
      <c r="C972" s="16">
        <v>4</v>
      </c>
      <c r="D972" s="16">
        <v>144.6</v>
      </c>
      <c r="E972" s="17">
        <f t="shared" si="15"/>
        <v>10.4</v>
      </c>
      <c r="F972" s="16">
        <v>2</v>
      </c>
      <c r="G972" s="16">
        <v>5</v>
      </c>
      <c r="H972" s="16">
        <v>1.42</v>
      </c>
      <c r="I972" s="16">
        <v>13</v>
      </c>
      <c r="J972" s="16">
        <v>367</v>
      </c>
      <c r="K972" s="16">
        <v>10.67</v>
      </c>
      <c r="L972" s="16">
        <v>85.8</v>
      </c>
      <c r="M972" s="16">
        <v>1</v>
      </c>
      <c r="N972" s="18">
        <f>IF(Risk_Calculation_Engine!U972="Low",1,IF(Risk_Calculation_Engine!U972="Medium",2,3))</f>
        <v>2</v>
      </c>
      <c r="O972" s="18" t="str">
        <f>Risk_Calculation_Engine!U972</f>
        <v>Medium</v>
      </c>
    </row>
    <row r="973" spans="1:15" ht="15" customHeight="1" x14ac:dyDescent="0.25">
      <c r="A973" s="16">
        <v>969</v>
      </c>
      <c r="B973" s="16">
        <v>50.4</v>
      </c>
      <c r="C973" s="16">
        <v>3</v>
      </c>
      <c r="D973" s="16">
        <v>246.3</v>
      </c>
      <c r="E973" s="17">
        <f t="shared" si="15"/>
        <v>9.86</v>
      </c>
      <c r="F973" s="16">
        <v>2</v>
      </c>
      <c r="G973" s="16">
        <v>7</v>
      </c>
      <c r="H973" s="16">
        <v>1.74</v>
      </c>
      <c r="I973" s="16">
        <v>15</v>
      </c>
      <c r="J973" s="16">
        <v>332</v>
      </c>
      <c r="K973" s="16">
        <v>6.59</v>
      </c>
      <c r="L973" s="16">
        <v>35.200000000000003</v>
      </c>
      <c r="M973" s="16">
        <v>3</v>
      </c>
      <c r="N973" s="18">
        <f>IF(Risk_Calculation_Engine!U973="Low",1,IF(Risk_Calculation_Engine!U973="Medium",2,3))</f>
        <v>2</v>
      </c>
      <c r="O973" s="18" t="str">
        <f>Risk_Calculation_Engine!U973</f>
        <v>Medium</v>
      </c>
    </row>
    <row r="974" spans="1:15" ht="15" customHeight="1" x14ac:dyDescent="0.25">
      <c r="A974" s="16">
        <v>970</v>
      </c>
      <c r="B974" s="16">
        <v>89.7</v>
      </c>
      <c r="C974" s="16">
        <v>3</v>
      </c>
      <c r="D974" s="16">
        <v>389.7</v>
      </c>
      <c r="E974" s="17">
        <f t="shared" si="15"/>
        <v>15.12</v>
      </c>
      <c r="F974" s="16">
        <v>2</v>
      </c>
      <c r="G974" s="16">
        <v>5</v>
      </c>
      <c r="H974" s="16">
        <v>1.29</v>
      </c>
      <c r="I974" s="16">
        <v>14</v>
      </c>
      <c r="J974" s="16">
        <v>781</v>
      </c>
      <c r="K974" s="16">
        <v>8.7100000000000009</v>
      </c>
      <c r="L974" s="16">
        <v>50.4</v>
      </c>
      <c r="M974" s="16">
        <v>3</v>
      </c>
      <c r="N974" s="18">
        <f>IF(Risk_Calculation_Engine!U974="Low",1,IF(Risk_Calculation_Engine!U974="Medium",2,3))</f>
        <v>1</v>
      </c>
      <c r="O974" s="18" t="str">
        <f>Risk_Calculation_Engine!U974</f>
        <v>Low</v>
      </c>
    </row>
    <row r="975" spans="1:15" ht="15" customHeight="1" x14ac:dyDescent="0.25">
      <c r="A975" s="16">
        <v>971</v>
      </c>
      <c r="B975" s="16">
        <v>57.2</v>
      </c>
      <c r="C975" s="16">
        <v>5</v>
      </c>
      <c r="D975" s="16">
        <v>296.7</v>
      </c>
      <c r="E975" s="17">
        <f t="shared" si="15"/>
        <v>9.51</v>
      </c>
      <c r="F975" s="16">
        <v>2</v>
      </c>
      <c r="G975" s="16">
        <v>7</v>
      </c>
      <c r="H975" s="16">
        <v>1.9</v>
      </c>
      <c r="I975" s="16">
        <v>6</v>
      </c>
      <c r="J975" s="16">
        <v>799</v>
      </c>
      <c r="K975" s="16">
        <v>13.97</v>
      </c>
      <c r="L975" s="16">
        <v>54.3</v>
      </c>
      <c r="M975" s="16">
        <v>1</v>
      </c>
      <c r="N975" s="18">
        <f>IF(Risk_Calculation_Engine!U975="Low",1,IF(Risk_Calculation_Engine!U975="Medium",2,3))</f>
        <v>3</v>
      </c>
      <c r="O975" s="18" t="str">
        <f>Risk_Calculation_Engine!U975</f>
        <v>High</v>
      </c>
    </row>
    <row r="976" spans="1:15" ht="15" customHeight="1" x14ac:dyDescent="0.25">
      <c r="A976" s="16">
        <v>972</v>
      </c>
      <c r="B976" s="16">
        <v>111.6</v>
      </c>
      <c r="C976" s="16">
        <v>3</v>
      </c>
      <c r="D976" s="16">
        <v>447.3</v>
      </c>
      <c r="E976" s="17">
        <f t="shared" si="15"/>
        <v>13.42</v>
      </c>
      <c r="F976" s="16">
        <v>2</v>
      </c>
      <c r="G976" s="16">
        <v>10</v>
      </c>
      <c r="H976" s="16">
        <v>1.51</v>
      </c>
      <c r="I976" s="16">
        <v>10</v>
      </c>
      <c r="J976" s="16">
        <v>417</v>
      </c>
      <c r="K976" s="16">
        <v>3.74</v>
      </c>
      <c r="L976" s="16">
        <v>72.5</v>
      </c>
      <c r="M976" s="16">
        <v>2</v>
      </c>
      <c r="N976" s="18">
        <f>IF(Risk_Calculation_Engine!U976="Low",1,IF(Risk_Calculation_Engine!U976="Medium",2,3))</f>
        <v>3</v>
      </c>
      <c r="O976" s="18" t="str">
        <f>Risk_Calculation_Engine!U976</f>
        <v>High</v>
      </c>
    </row>
    <row r="977" spans="1:15" ht="15" customHeight="1" x14ac:dyDescent="0.25">
      <c r="A977" s="16">
        <v>973</v>
      </c>
      <c r="B977" s="16">
        <v>47.3</v>
      </c>
      <c r="C977" s="16">
        <v>4</v>
      </c>
      <c r="D977" s="16">
        <v>247.3</v>
      </c>
      <c r="E977" s="17">
        <f t="shared" si="15"/>
        <v>11.92</v>
      </c>
      <c r="F977" s="16">
        <v>2</v>
      </c>
      <c r="G977" s="16">
        <v>3</v>
      </c>
      <c r="H977" s="16">
        <v>1.44</v>
      </c>
      <c r="I977" s="16">
        <v>13</v>
      </c>
      <c r="J977" s="16">
        <v>524</v>
      </c>
      <c r="K977" s="16">
        <v>11.08</v>
      </c>
      <c r="L977" s="16">
        <v>64.900000000000006</v>
      </c>
      <c r="M977" s="16">
        <v>3</v>
      </c>
      <c r="N977" s="18">
        <f>IF(Risk_Calculation_Engine!U977="Low",1,IF(Risk_Calculation_Engine!U977="Medium",2,3))</f>
        <v>2</v>
      </c>
      <c r="O977" s="18" t="str">
        <f>Risk_Calculation_Engine!U977</f>
        <v>Medium</v>
      </c>
    </row>
    <row r="978" spans="1:15" ht="15" customHeight="1" x14ac:dyDescent="0.25">
      <c r="A978" s="16">
        <v>974</v>
      </c>
      <c r="B978" s="16">
        <v>149.80000000000001</v>
      </c>
      <c r="C978" s="16">
        <v>1</v>
      </c>
      <c r="D978" s="16">
        <v>752.4</v>
      </c>
      <c r="E978" s="17">
        <f t="shared" si="15"/>
        <v>11.38</v>
      </c>
      <c r="F978" s="16">
        <v>1</v>
      </c>
      <c r="G978" s="16">
        <v>3</v>
      </c>
      <c r="H978" s="16">
        <v>2.06</v>
      </c>
      <c r="I978" s="16">
        <v>6</v>
      </c>
      <c r="J978" s="16">
        <v>440</v>
      </c>
      <c r="K978" s="16">
        <v>2.94</v>
      </c>
      <c r="L978" s="16">
        <v>27.3</v>
      </c>
      <c r="M978" s="16">
        <v>2</v>
      </c>
      <c r="N978" s="18">
        <f>IF(Risk_Calculation_Engine!U978="Low",1,IF(Risk_Calculation_Engine!U978="Medium",2,3))</f>
        <v>3</v>
      </c>
      <c r="O978" s="18" t="str">
        <f>Risk_Calculation_Engine!U978</f>
        <v>High</v>
      </c>
    </row>
    <row r="979" spans="1:15" ht="15" customHeight="1" x14ac:dyDescent="0.25">
      <c r="A979" s="16">
        <v>975</v>
      </c>
      <c r="B979" s="16">
        <v>109.6</v>
      </c>
      <c r="C979" s="16">
        <v>2</v>
      </c>
      <c r="D979" s="16">
        <v>515</v>
      </c>
      <c r="E979" s="17">
        <f t="shared" si="15"/>
        <v>11.59</v>
      </c>
      <c r="F979" s="16">
        <v>2</v>
      </c>
      <c r="G979" s="16">
        <v>5</v>
      </c>
      <c r="H979" s="16">
        <v>1.82</v>
      </c>
      <c r="I979" s="16">
        <v>11</v>
      </c>
      <c r="J979" s="16">
        <v>530</v>
      </c>
      <c r="K979" s="16">
        <v>4.84</v>
      </c>
      <c r="L979" s="16">
        <v>88.1</v>
      </c>
      <c r="M979" s="16">
        <v>3</v>
      </c>
      <c r="N979" s="18">
        <f>IF(Risk_Calculation_Engine!U979="Low",1,IF(Risk_Calculation_Engine!U979="Medium",2,3))</f>
        <v>2</v>
      </c>
      <c r="O979" s="18" t="str">
        <f>Risk_Calculation_Engine!U979</f>
        <v>Medium</v>
      </c>
    </row>
    <row r="980" spans="1:15" ht="15" customHeight="1" x14ac:dyDescent="0.25">
      <c r="A980" s="16">
        <v>976</v>
      </c>
      <c r="B980" s="16">
        <v>73.3</v>
      </c>
      <c r="C980" s="16">
        <v>2</v>
      </c>
      <c r="D980" s="16">
        <v>201.8</v>
      </c>
      <c r="E980" s="17">
        <f t="shared" si="15"/>
        <v>22.22</v>
      </c>
      <c r="F980" s="16">
        <v>3</v>
      </c>
      <c r="G980" s="16">
        <v>4</v>
      </c>
      <c r="H980" s="16">
        <v>0.73</v>
      </c>
      <c r="I980" s="16">
        <v>3</v>
      </c>
      <c r="J980" s="16">
        <v>408</v>
      </c>
      <c r="K980" s="16">
        <v>5.57</v>
      </c>
      <c r="L980" s="16">
        <v>56.6</v>
      </c>
      <c r="M980" s="16">
        <v>1</v>
      </c>
      <c r="N980" s="18">
        <f>IF(Risk_Calculation_Engine!U980="Low",1,IF(Risk_Calculation_Engine!U980="Medium",2,3))</f>
        <v>1</v>
      </c>
      <c r="O980" s="18" t="str">
        <f>Risk_Calculation_Engine!U980</f>
        <v>Low</v>
      </c>
    </row>
    <row r="981" spans="1:15" ht="15" customHeight="1" x14ac:dyDescent="0.25">
      <c r="A981" s="16">
        <v>977</v>
      </c>
      <c r="B981" s="16">
        <v>89.9</v>
      </c>
      <c r="C981" s="16">
        <v>4</v>
      </c>
      <c r="D981" s="16">
        <v>313.39999999999998</v>
      </c>
      <c r="E981" s="17">
        <f t="shared" si="15"/>
        <v>9.4600000000000009</v>
      </c>
      <c r="F981" s="16">
        <v>3</v>
      </c>
      <c r="G981" s="16">
        <v>3</v>
      </c>
      <c r="H981" s="16">
        <v>1.94</v>
      </c>
      <c r="I981" s="16">
        <v>14</v>
      </c>
      <c r="J981" s="16">
        <v>1255</v>
      </c>
      <c r="K981" s="16">
        <v>13.96</v>
      </c>
      <c r="L981" s="16">
        <v>69.5</v>
      </c>
      <c r="M981" s="16">
        <v>3</v>
      </c>
      <c r="N981" s="18">
        <f>IF(Risk_Calculation_Engine!U981="Low",1,IF(Risk_Calculation_Engine!U981="Medium",2,3))</f>
        <v>3</v>
      </c>
      <c r="O981" s="18" t="str">
        <f>Risk_Calculation_Engine!U981</f>
        <v>High</v>
      </c>
    </row>
    <row r="982" spans="1:15" ht="15" customHeight="1" x14ac:dyDescent="0.25">
      <c r="A982" s="16">
        <v>978</v>
      </c>
      <c r="B982" s="16">
        <v>37.299999999999997</v>
      </c>
      <c r="C982" s="16">
        <v>4</v>
      </c>
      <c r="D982" s="16">
        <v>149.4</v>
      </c>
      <c r="E982" s="17">
        <f t="shared" si="15"/>
        <v>8.42</v>
      </c>
      <c r="F982" s="16">
        <v>3</v>
      </c>
      <c r="G982" s="16">
        <v>4</v>
      </c>
      <c r="H982" s="16">
        <v>1.77</v>
      </c>
      <c r="I982" s="16">
        <v>10</v>
      </c>
      <c r="J982" s="16">
        <v>268</v>
      </c>
      <c r="K982" s="16">
        <v>7.18</v>
      </c>
      <c r="L982" s="16">
        <v>84.6</v>
      </c>
      <c r="M982" s="16">
        <v>2</v>
      </c>
      <c r="N982" s="18">
        <f>IF(Risk_Calculation_Engine!U982="Low",1,IF(Risk_Calculation_Engine!U982="Medium",2,3))</f>
        <v>1</v>
      </c>
      <c r="O982" s="18" t="str">
        <f>Risk_Calculation_Engine!U982</f>
        <v>Low</v>
      </c>
    </row>
    <row r="983" spans="1:15" ht="15" customHeight="1" x14ac:dyDescent="0.25">
      <c r="A983" s="16">
        <v>979</v>
      </c>
      <c r="B983" s="16">
        <v>49.6</v>
      </c>
      <c r="C983" s="16">
        <v>2</v>
      </c>
      <c r="D983" s="16">
        <v>176.5</v>
      </c>
      <c r="E983" s="17">
        <f t="shared" si="15"/>
        <v>6.25</v>
      </c>
      <c r="F983" s="16">
        <v>2</v>
      </c>
      <c r="G983" s="16">
        <v>5</v>
      </c>
      <c r="H983" s="16">
        <v>2.5</v>
      </c>
      <c r="I983" s="16">
        <v>12</v>
      </c>
      <c r="J983" s="16">
        <v>235</v>
      </c>
      <c r="K983" s="16">
        <v>4.74</v>
      </c>
      <c r="L983" s="16">
        <v>74.099999999999994</v>
      </c>
      <c r="M983" s="16">
        <v>2</v>
      </c>
      <c r="N983" s="18">
        <f>IF(Risk_Calculation_Engine!U983="Low",1,IF(Risk_Calculation_Engine!U983="Medium",2,3))</f>
        <v>2</v>
      </c>
      <c r="O983" s="18" t="str">
        <f>Risk_Calculation_Engine!U983</f>
        <v>Medium</v>
      </c>
    </row>
    <row r="984" spans="1:15" ht="15" customHeight="1" x14ac:dyDescent="0.25">
      <c r="A984" s="16">
        <v>980</v>
      </c>
      <c r="B984" s="16">
        <v>48</v>
      </c>
      <c r="C984" s="16">
        <v>2</v>
      </c>
      <c r="D984" s="16">
        <v>234.9</v>
      </c>
      <c r="E984" s="17">
        <f t="shared" si="15"/>
        <v>9.4</v>
      </c>
      <c r="F984" s="16">
        <v>1</v>
      </c>
      <c r="G984" s="16">
        <v>7</v>
      </c>
      <c r="H984" s="16">
        <v>1.8</v>
      </c>
      <c r="I984" s="16">
        <v>13</v>
      </c>
      <c r="J984" s="16">
        <v>262</v>
      </c>
      <c r="K984" s="16">
        <v>5.46</v>
      </c>
      <c r="L984" s="16">
        <v>58.4</v>
      </c>
      <c r="M984" s="16">
        <v>3</v>
      </c>
      <c r="N984" s="18">
        <f>IF(Risk_Calculation_Engine!U984="Low",1,IF(Risk_Calculation_Engine!U984="Medium",2,3))</f>
        <v>3</v>
      </c>
      <c r="O984" s="18" t="str">
        <f>Risk_Calculation_Engine!U984</f>
        <v>High</v>
      </c>
    </row>
    <row r="985" spans="1:15" ht="15" customHeight="1" x14ac:dyDescent="0.25">
      <c r="A985" s="16">
        <v>981</v>
      </c>
      <c r="B985" s="16">
        <v>30.2</v>
      </c>
      <c r="C985" s="16">
        <v>3</v>
      </c>
      <c r="D985" s="16">
        <v>140.1</v>
      </c>
      <c r="E985" s="17">
        <f t="shared" si="15"/>
        <v>10.54</v>
      </c>
      <c r="F985" s="16">
        <v>2</v>
      </c>
      <c r="G985" s="16">
        <v>7</v>
      </c>
      <c r="H985" s="16">
        <v>1.39</v>
      </c>
      <c r="I985" s="16">
        <v>5</v>
      </c>
      <c r="J985" s="16">
        <v>109</v>
      </c>
      <c r="K985" s="16">
        <v>3.61</v>
      </c>
      <c r="L985" s="16">
        <v>93.8</v>
      </c>
      <c r="M985" s="16">
        <v>1</v>
      </c>
      <c r="N985" s="18">
        <f>IF(Risk_Calculation_Engine!U985="Low",1,IF(Risk_Calculation_Engine!U985="Medium",2,3))</f>
        <v>1</v>
      </c>
      <c r="O985" s="18" t="str">
        <f>Risk_Calculation_Engine!U985</f>
        <v>Low</v>
      </c>
    </row>
    <row r="986" spans="1:15" ht="15" customHeight="1" x14ac:dyDescent="0.25">
      <c r="A986" s="16">
        <v>982</v>
      </c>
      <c r="B986" s="16">
        <v>15.1</v>
      </c>
      <c r="C986" s="16">
        <v>4</v>
      </c>
      <c r="D986" s="16">
        <v>52.1</v>
      </c>
      <c r="E986" s="17">
        <f t="shared" si="15"/>
        <v>9.1</v>
      </c>
      <c r="F986" s="16">
        <v>3</v>
      </c>
      <c r="G986" s="16">
        <v>5</v>
      </c>
      <c r="H986" s="16">
        <v>1.22</v>
      </c>
      <c r="I986" s="16">
        <v>8</v>
      </c>
      <c r="J986" s="16">
        <v>174</v>
      </c>
      <c r="K986" s="16">
        <v>11.52</v>
      </c>
      <c r="L986" s="16">
        <v>43.4</v>
      </c>
      <c r="M986" s="16">
        <v>1</v>
      </c>
      <c r="N986" s="18">
        <f>IF(Risk_Calculation_Engine!U986="Low",1,IF(Risk_Calculation_Engine!U986="Medium",2,3))</f>
        <v>1</v>
      </c>
      <c r="O986" s="18" t="str">
        <f>Risk_Calculation_Engine!U986</f>
        <v>Low</v>
      </c>
    </row>
    <row r="987" spans="1:15" ht="15" customHeight="1" x14ac:dyDescent="0.25">
      <c r="A987" s="16">
        <v>983</v>
      </c>
      <c r="B987" s="16">
        <v>93.7</v>
      </c>
      <c r="C987" s="16">
        <v>4</v>
      </c>
      <c r="D987" s="16">
        <v>492.3</v>
      </c>
      <c r="E987" s="17">
        <f t="shared" si="15"/>
        <v>24.49</v>
      </c>
      <c r="F987" s="16">
        <v>2</v>
      </c>
      <c r="G987" s="16">
        <v>14</v>
      </c>
      <c r="H987" s="16">
        <v>0.85</v>
      </c>
      <c r="I987" s="16">
        <v>14</v>
      </c>
      <c r="J987" s="16">
        <v>723</v>
      </c>
      <c r="K987" s="16">
        <v>7.72</v>
      </c>
      <c r="L987" s="16">
        <v>33.700000000000003</v>
      </c>
      <c r="M987" s="16">
        <v>1</v>
      </c>
      <c r="N987" s="18">
        <f>IF(Risk_Calculation_Engine!U987="Low",1,IF(Risk_Calculation_Engine!U987="Medium",2,3))</f>
        <v>2</v>
      </c>
      <c r="O987" s="18" t="str">
        <f>Risk_Calculation_Engine!U987</f>
        <v>Medium</v>
      </c>
    </row>
    <row r="988" spans="1:15" ht="15" customHeight="1" x14ac:dyDescent="0.25">
      <c r="A988" s="16">
        <v>984</v>
      </c>
      <c r="B988" s="16">
        <v>124.9</v>
      </c>
      <c r="C988" s="16">
        <v>4</v>
      </c>
      <c r="D988" s="16">
        <v>790.3</v>
      </c>
      <c r="E988" s="17">
        <f t="shared" si="15"/>
        <v>14.95</v>
      </c>
      <c r="F988" s="16">
        <v>2</v>
      </c>
      <c r="G988" s="16">
        <v>6</v>
      </c>
      <c r="H988" s="16">
        <v>1.59</v>
      </c>
      <c r="I988" s="16">
        <v>5</v>
      </c>
      <c r="J988" s="16">
        <v>1651</v>
      </c>
      <c r="K988" s="16">
        <v>13.22</v>
      </c>
      <c r="L988" s="16">
        <v>57.5</v>
      </c>
      <c r="M988" s="16">
        <v>1</v>
      </c>
      <c r="N988" s="18">
        <f>IF(Risk_Calculation_Engine!U988="Low",1,IF(Risk_Calculation_Engine!U988="Medium",2,3))</f>
        <v>3</v>
      </c>
      <c r="O988" s="18" t="str">
        <f>Risk_Calculation_Engine!U988</f>
        <v>High</v>
      </c>
    </row>
    <row r="989" spans="1:15" ht="15" customHeight="1" x14ac:dyDescent="0.25">
      <c r="A989" s="16">
        <v>985</v>
      </c>
      <c r="B989" s="16">
        <v>83.8</v>
      </c>
      <c r="C989" s="16">
        <v>5</v>
      </c>
      <c r="D989" s="16">
        <v>477.9</v>
      </c>
      <c r="E989" s="17">
        <f t="shared" si="15"/>
        <v>18.11</v>
      </c>
      <c r="F989" s="16">
        <v>2</v>
      </c>
      <c r="G989" s="16">
        <v>7</v>
      </c>
      <c r="H989" s="16">
        <v>1.1399999999999999</v>
      </c>
      <c r="I989" s="16">
        <v>13</v>
      </c>
      <c r="J989" s="16">
        <v>1091</v>
      </c>
      <c r="K989" s="16">
        <v>13.02</v>
      </c>
      <c r="L989" s="16">
        <v>76.400000000000006</v>
      </c>
      <c r="M989" s="16">
        <v>1</v>
      </c>
      <c r="N989" s="18">
        <f>IF(Risk_Calculation_Engine!U989="Low",1,IF(Risk_Calculation_Engine!U989="Medium",2,3))</f>
        <v>3</v>
      </c>
      <c r="O989" s="18" t="str">
        <f>Risk_Calculation_Engine!U989</f>
        <v>High</v>
      </c>
    </row>
    <row r="990" spans="1:15" ht="15" customHeight="1" x14ac:dyDescent="0.25">
      <c r="A990" s="16">
        <v>986</v>
      </c>
      <c r="B990" s="16">
        <v>57.1</v>
      </c>
      <c r="C990" s="16">
        <v>3</v>
      </c>
      <c r="D990" s="16">
        <v>161.19999999999999</v>
      </c>
      <c r="E990" s="17">
        <f t="shared" si="15"/>
        <v>6.09</v>
      </c>
      <c r="F990" s="16">
        <v>3</v>
      </c>
      <c r="G990" s="16">
        <v>8</v>
      </c>
      <c r="H990" s="16">
        <v>2.5</v>
      </c>
      <c r="I990" s="16">
        <v>6</v>
      </c>
      <c r="J990" s="16">
        <v>299</v>
      </c>
      <c r="K990" s="16">
        <v>5.24</v>
      </c>
      <c r="L990" s="16">
        <v>78.7</v>
      </c>
      <c r="M990" s="16">
        <v>2</v>
      </c>
      <c r="N990" s="18">
        <f>IF(Risk_Calculation_Engine!U990="Low",1,IF(Risk_Calculation_Engine!U990="Medium",2,3))</f>
        <v>2</v>
      </c>
      <c r="O990" s="18" t="str">
        <f>Risk_Calculation_Engine!U990</f>
        <v>Medium</v>
      </c>
    </row>
    <row r="991" spans="1:15" ht="15" customHeight="1" x14ac:dyDescent="0.25">
      <c r="A991" s="16">
        <v>987</v>
      </c>
      <c r="B991" s="16">
        <v>149.80000000000001</v>
      </c>
      <c r="C991" s="16">
        <v>4</v>
      </c>
      <c r="D991" s="16">
        <v>584.70000000000005</v>
      </c>
      <c r="E991" s="17">
        <f t="shared" si="15"/>
        <v>13.49</v>
      </c>
      <c r="F991" s="16">
        <v>3</v>
      </c>
      <c r="G991" s="16">
        <v>8</v>
      </c>
      <c r="H991" s="16">
        <v>1.62</v>
      </c>
      <c r="I991" s="16">
        <v>10</v>
      </c>
      <c r="J991" s="16">
        <v>1763</v>
      </c>
      <c r="K991" s="16">
        <v>11.77</v>
      </c>
      <c r="L991" s="16">
        <v>89.5</v>
      </c>
      <c r="M991" s="16">
        <v>1</v>
      </c>
      <c r="N991" s="18">
        <f>IF(Risk_Calculation_Engine!U991="Low",1,IF(Risk_Calculation_Engine!U991="Medium",2,3))</f>
        <v>3</v>
      </c>
      <c r="O991" s="18" t="str">
        <f>Risk_Calculation_Engine!U991</f>
        <v>High</v>
      </c>
    </row>
    <row r="992" spans="1:15" ht="15" customHeight="1" x14ac:dyDescent="0.25">
      <c r="A992" s="16">
        <v>988</v>
      </c>
      <c r="B992" s="16">
        <v>33.6</v>
      </c>
      <c r="C992" s="16">
        <v>4</v>
      </c>
      <c r="D992" s="16">
        <v>106.1</v>
      </c>
      <c r="E992" s="17">
        <f t="shared" si="15"/>
        <v>13.15</v>
      </c>
      <c r="F992" s="16">
        <v>3</v>
      </c>
      <c r="G992" s="16">
        <v>6</v>
      </c>
      <c r="H992" s="16">
        <v>1.03</v>
      </c>
      <c r="I992" s="16">
        <v>9</v>
      </c>
      <c r="J992" s="16">
        <v>355</v>
      </c>
      <c r="K992" s="16">
        <v>10.57</v>
      </c>
      <c r="L992" s="16">
        <v>72.8</v>
      </c>
      <c r="M992" s="16">
        <v>1</v>
      </c>
      <c r="N992" s="18">
        <f>IF(Risk_Calculation_Engine!U992="Low",1,IF(Risk_Calculation_Engine!U992="Medium",2,3))</f>
        <v>1</v>
      </c>
      <c r="O992" s="18" t="str">
        <f>Risk_Calculation_Engine!U992</f>
        <v>Low</v>
      </c>
    </row>
    <row r="993" spans="1:15" ht="15" customHeight="1" x14ac:dyDescent="0.25">
      <c r="A993" s="16">
        <v>989</v>
      </c>
      <c r="B993" s="16">
        <v>75.3</v>
      </c>
      <c r="C993" s="16">
        <v>3</v>
      </c>
      <c r="D993" s="16">
        <v>331.6</v>
      </c>
      <c r="E993" s="17">
        <f t="shared" si="15"/>
        <v>23.59</v>
      </c>
      <c r="F993" s="16">
        <v>2</v>
      </c>
      <c r="G993" s="16">
        <v>6</v>
      </c>
      <c r="H993" s="16">
        <v>0.79</v>
      </c>
      <c r="I993" s="16">
        <v>11</v>
      </c>
      <c r="J993" s="16">
        <v>280</v>
      </c>
      <c r="K993" s="16">
        <v>3.72</v>
      </c>
      <c r="L993" s="16">
        <v>80.7</v>
      </c>
      <c r="M993" s="16">
        <v>1</v>
      </c>
      <c r="N993" s="18">
        <f>IF(Risk_Calculation_Engine!U993="Low",1,IF(Risk_Calculation_Engine!U993="Medium",2,3))</f>
        <v>1</v>
      </c>
      <c r="O993" s="18" t="str">
        <f>Risk_Calculation_Engine!U993</f>
        <v>Low</v>
      </c>
    </row>
    <row r="994" spans="1:15" ht="15" customHeight="1" x14ac:dyDescent="0.25">
      <c r="A994" s="16">
        <v>990</v>
      </c>
      <c r="B994" s="16">
        <v>138.19999999999999</v>
      </c>
      <c r="C994" s="16">
        <v>5</v>
      </c>
      <c r="D994" s="16">
        <v>1340.8</v>
      </c>
      <c r="E994" s="17">
        <f t="shared" si="15"/>
        <v>32.049999999999997</v>
      </c>
      <c r="F994" s="16">
        <v>1</v>
      </c>
      <c r="G994" s="16">
        <v>3</v>
      </c>
      <c r="H994" s="16">
        <v>0.86</v>
      </c>
      <c r="I994" s="16">
        <v>13</v>
      </c>
      <c r="J994" s="16">
        <v>1804</v>
      </c>
      <c r="K994" s="16">
        <v>13.05</v>
      </c>
      <c r="L994" s="16">
        <v>69</v>
      </c>
      <c r="M994" s="16">
        <v>3</v>
      </c>
      <c r="N994" s="18">
        <f>IF(Risk_Calculation_Engine!U994="Low",1,IF(Risk_Calculation_Engine!U994="Medium",2,3))</f>
        <v>2</v>
      </c>
      <c r="O994" s="18" t="str">
        <f>Risk_Calculation_Engine!U994</f>
        <v>Medium</v>
      </c>
    </row>
    <row r="995" spans="1:15" ht="15" customHeight="1" x14ac:dyDescent="0.25">
      <c r="A995" s="16">
        <v>991</v>
      </c>
      <c r="B995" s="16">
        <v>20.6</v>
      </c>
      <c r="C995" s="16">
        <v>2</v>
      </c>
      <c r="D995" s="16">
        <v>81.5</v>
      </c>
      <c r="E995" s="17">
        <f t="shared" si="15"/>
        <v>6.77</v>
      </c>
      <c r="F995" s="16">
        <v>2</v>
      </c>
      <c r="G995" s="16">
        <v>6</v>
      </c>
      <c r="H995" s="16">
        <v>1.86</v>
      </c>
      <c r="I995" s="16">
        <v>7</v>
      </c>
      <c r="J995" s="16">
        <v>114</v>
      </c>
      <c r="K995" s="16">
        <v>5.53</v>
      </c>
      <c r="L995" s="16">
        <v>49.9</v>
      </c>
      <c r="M995" s="16">
        <v>1</v>
      </c>
      <c r="N995" s="18">
        <f>IF(Risk_Calculation_Engine!U995="Low",1,IF(Risk_Calculation_Engine!U995="Medium",2,3))</f>
        <v>2</v>
      </c>
      <c r="O995" s="18" t="str">
        <f>Risk_Calculation_Engine!U995</f>
        <v>Medium</v>
      </c>
    </row>
    <row r="996" spans="1:15" ht="15" customHeight="1" x14ac:dyDescent="0.25">
      <c r="A996" s="16">
        <v>992</v>
      </c>
      <c r="B996" s="16">
        <v>99.2</v>
      </c>
      <c r="C996" s="16">
        <v>4</v>
      </c>
      <c r="D996" s="16">
        <v>572.9</v>
      </c>
      <c r="E996" s="17">
        <f t="shared" si="15"/>
        <v>8.69</v>
      </c>
      <c r="F996" s="16">
        <v>2</v>
      </c>
      <c r="G996" s="16">
        <v>4</v>
      </c>
      <c r="H996" s="16">
        <v>2.5</v>
      </c>
      <c r="I996" s="16">
        <v>5</v>
      </c>
      <c r="J996" s="16">
        <v>1477</v>
      </c>
      <c r="K996" s="16">
        <v>14.89</v>
      </c>
      <c r="L996" s="16">
        <v>68.7</v>
      </c>
      <c r="M996" s="16">
        <v>3</v>
      </c>
      <c r="N996" s="18">
        <f>IF(Risk_Calculation_Engine!U996="Low",1,IF(Risk_Calculation_Engine!U996="Medium",2,3))</f>
        <v>3</v>
      </c>
      <c r="O996" s="18" t="str">
        <f>Risk_Calculation_Engine!U996</f>
        <v>High</v>
      </c>
    </row>
    <row r="997" spans="1:15" ht="15" customHeight="1" x14ac:dyDescent="0.25">
      <c r="A997" s="16">
        <v>993</v>
      </c>
      <c r="B997" s="16">
        <v>149.80000000000001</v>
      </c>
      <c r="C997" s="16">
        <v>4</v>
      </c>
      <c r="D997" s="16">
        <v>717.4</v>
      </c>
      <c r="E997" s="17">
        <f t="shared" si="15"/>
        <v>11.34</v>
      </c>
      <c r="F997" s="16">
        <v>3</v>
      </c>
      <c r="G997" s="16">
        <v>13</v>
      </c>
      <c r="H997" s="16">
        <v>2.04</v>
      </c>
      <c r="I997" s="16">
        <v>8</v>
      </c>
      <c r="J997" s="16">
        <v>1789</v>
      </c>
      <c r="K997" s="16">
        <v>11.94</v>
      </c>
      <c r="L997" s="16">
        <v>19</v>
      </c>
      <c r="M997" s="16">
        <v>1</v>
      </c>
      <c r="N997" s="18">
        <f>IF(Risk_Calculation_Engine!U997="Low",1,IF(Risk_Calculation_Engine!U997="Medium",2,3))</f>
        <v>3</v>
      </c>
      <c r="O997" s="18" t="str">
        <f>Risk_Calculation_Engine!U997</f>
        <v>High</v>
      </c>
    </row>
    <row r="998" spans="1:15" ht="15" customHeight="1" x14ac:dyDescent="0.25">
      <c r="A998" s="16">
        <v>994</v>
      </c>
      <c r="B998" s="16">
        <v>61.1</v>
      </c>
      <c r="C998" s="16">
        <v>5</v>
      </c>
      <c r="D998" s="16">
        <v>353.2</v>
      </c>
      <c r="E998" s="17">
        <f t="shared" si="15"/>
        <v>12.48</v>
      </c>
      <c r="F998" s="16">
        <v>2</v>
      </c>
      <c r="G998" s="16">
        <v>4</v>
      </c>
      <c r="H998" s="16">
        <v>1.52</v>
      </c>
      <c r="I998" s="16">
        <v>10</v>
      </c>
      <c r="J998" s="16">
        <v>561</v>
      </c>
      <c r="K998" s="16">
        <v>9.18</v>
      </c>
      <c r="L998" s="16">
        <v>70.2</v>
      </c>
      <c r="M998" s="16">
        <v>1</v>
      </c>
      <c r="N998" s="18">
        <f>IF(Risk_Calculation_Engine!U998="Low",1,IF(Risk_Calculation_Engine!U998="Medium",2,3))</f>
        <v>2</v>
      </c>
      <c r="O998" s="18" t="str">
        <f>Risk_Calculation_Engine!U998</f>
        <v>Medium</v>
      </c>
    </row>
    <row r="999" spans="1:15" ht="15" customHeight="1" x14ac:dyDescent="0.25">
      <c r="A999" s="16">
        <v>995</v>
      </c>
      <c r="B999" s="16">
        <v>70.099999999999994</v>
      </c>
      <c r="C999" s="16">
        <v>3</v>
      </c>
      <c r="D999" s="16">
        <v>296.60000000000002</v>
      </c>
      <c r="E999" s="17">
        <f t="shared" si="15"/>
        <v>7.23</v>
      </c>
      <c r="F999" s="16">
        <v>2</v>
      </c>
      <c r="G999" s="16">
        <v>5</v>
      </c>
      <c r="H999" s="16">
        <v>2.5</v>
      </c>
      <c r="I999" s="16">
        <v>12</v>
      </c>
      <c r="J999" s="16">
        <v>523</v>
      </c>
      <c r="K999" s="16">
        <v>7.46</v>
      </c>
      <c r="L999" s="16">
        <v>57.7</v>
      </c>
      <c r="M999" s="16">
        <v>2</v>
      </c>
      <c r="N999" s="18">
        <f>IF(Risk_Calculation_Engine!U999="Low",1,IF(Risk_Calculation_Engine!U999="Medium",2,3))</f>
        <v>2</v>
      </c>
      <c r="O999" s="18" t="str">
        <f>Risk_Calculation_Engine!U999</f>
        <v>Medium</v>
      </c>
    </row>
    <row r="1000" spans="1:15" ht="15" customHeight="1" x14ac:dyDescent="0.25">
      <c r="A1000" s="16">
        <v>996</v>
      </c>
      <c r="B1000" s="16">
        <v>33.700000000000003</v>
      </c>
      <c r="C1000" s="16">
        <v>3</v>
      </c>
      <c r="D1000" s="16">
        <v>126.2</v>
      </c>
      <c r="E1000" s="17">
        <f t="shared" si="15"/>
        <v>6.35</v>
      </c>
      <c r="F1000" s="16">
        <v>2</v>
      </c>
      <c r="G1000" s="16">
        <v>7</v>
      </c>
      <c r="H1000" s="16">
        <v>2.2400000000000002</v>
      </c>
      <c r="I1000" s="16">
        <v>12</v>
      </c>
      <c r="J1000" s="16">
        <v>231</v>
      </c>
      <c r="K1000" s="16">
        <v>6.85</v>
      </c>
      <c r="L1000" s="16">
        <v>39.799999999999997</v>
      </c>
      <c r="M1000" s="16">
        <v>2</v>
      </c>
      <c r="N1000" s="18">
        <f>IF(Risk_Calculation_Engine!U1000="Low",1,IF(Risk_Calculation_Engine!U1000="Medium",2,3))</f>
        <v>3</v>
      </c>
      <c r="O1000" s="18" t="str">
        <f>Risk_Calculation_Engine!U1000</f>
        <v>High</v>
      </c>
    </row>
    <row r="1001" spans="1:15" ht="15" customHeight="1" x14ac:dyDescent="0.25">
      <c r="A1001" s="16">
        <v>997</v>
      </c>
      <c r="B1001" s="16">
        <v>89.2</v>
      </c>
      <c r="C1001" s="16">
        <v>4</v>
      </c>
      <c r="D1001" s="16">
        <v>480.9</v>
      </c>
      <c r="E1001" s="17">
        <f t="shared" si="15"/>
        <v>11.43</v>
      </c>
      <c r="F1001" s="16">
        <v>2</v>
      </c>
      <c r="G1001" s="16">
        <v>6</v>
      </c>
      <c r="H1001" s="16">
        <v>1.81</v>
      </c>
      <c r="I1001" s="16">
        <v>7</v>
      </c>
      <c r="J1001" s="16">
        <v>813</v>
      </c>
      <c r="K1001" s="16">
        <v>9.11</v>
      </c>
      <c r="L1001" s="16">
        <v>73.7</v>
      </c>
      <c r="M1001" s="16">
        <v>2</v>
      </c>
      <c r="N1001" s="18">
        <f>IF(Risk_Calculation_Engine!U1001="Low",1,IF(Risk_Calculation_Engine!U1001="Medium",2,3))</f>
        <v>3</v>
      </c>
      <c r="O1001" s="18" t="str">
        <f>Risk_Calculation_Engine!U1001</f>
        <v>High</v>
      </c>
    </row>
    <row r="1002" spans="1:15" ht="15" customHeight="1" x14ac:dyDescent="0.25">
      <c r="A1002" s="16">
        <v>998</v>
      </c>
      <c r="B1002" s="16">
        <v>29.5</v>
      </c>
      <c r="C1002" s="16">
        <v>4</v>
      </c>
      <c r="D1002" s="16">
        <v>135</v>
      </c>
      <c r="E1002" s="17">
        <f t="shared" si="15"/>
        <v>10.58</v>
      </c>
      <c r="F1002" s="16">
        <v>2</v>
      </c>
      <c r="G1002" s="16">
        <v>6</v>
      </c>
      <c r="H1002" s="16">
        <v>1.37</v>
      </c>
      <c r="I1002" s="16">
        <v>15</v>
      </c>
      <c r="J1002" s="16">
        <v>215</v>
      </c>
      <c r="K1002" s="16">
        <v>7.29</v>
      </c>
      <c r="L1002" s="16">
        <v>44.8</v>
      </c>
      <c r="M1002" s="16">
        <v>3</v>
      </c>
      <c r="N1002" s="18">
        <f>IF(Risk_Calculation_Engine!U1002="Low",1,IF(Risk_Calculation_Engine!U1002="Medium",2,3))</f>
        <v>1</v>
      </c>
      <c r="O1002" s="18" t="str">
        <f>Risk_Calculation_Engine!U1002</f>
        <v>Low</v>
      </c>
    </row>
    <row r="1003" spans="1:15" ht="15" customHeight="1" x14ac:dyDescent="0.25">
      <c r="A1003" s="16">
        <v>999</v>
      </c>
      <c r="B1003" s="16">
        <v>58.1</v>
      </c>
      <c r="C1003" s="16">
        <v>3</v>
      </c>
      <c r="D1003" s="16">
        <v>309.60000000000002</v>
      </c>
      <c r="E1003" s="17">
        <f t="shared" si="15"/>
        <v>7.31</v>
      </c>
      <c r="F1003" s="16">
        <v>1</v>
      </c>
      <c r="G1003" s="16">
        <v>7</v>
      </c>
      <c r="H1003" s="16">
        <v>2.5</v>
      </c>
      <c r="I1003" s="16">
        <v>4</v>
      </c>
      <c r="J1003" s="16">
        <v>232</v>
      </c>
      <c r="K1003" s="16">
        <v>3.99</v>
      </c>
      <c r="L1003" s="16">
        <v>80</v>
      </c>
      <c r="M1003" s="16">
        <v>2</v>
      </c>
      <c r="N1003" s="18">
        <f>IF(Risk_Calculation_Engine!U1003="Low",1,IF(Risk_Calculation_Engine!U1003="Medium",2,3))</f>
        <v>3</v>
      </c>
      <c r="O1003" s="18" t="str">
        <f>Risk_Calculation_Engine!U1003</f>
        <v>High</v>
      </c>
    </row>
    <row r="1004" spans="1:15" ht="15" customHeight="1" x14ac:dyDescent="0.25">
      <c r="A1004" s="16">
        <v>1000</v>
      </c>
      <c r="B1004" s="16">
        <v>13</v>
      </c>
      <c r="C1004" s="16">
        <v>4</v>
      </c>
      <c r="D1004" s="16">
        <v>48.8</v>
      </c>
      <c r="E1004" s="17">
        <f t="shared" si="15"/>
        <v>7.68</v>
      </c>
      <c r="F1004" s="16">
        <v>3</v>
      </c>
      <c r="G1004" s="16">
        <v>9</v>
      </c>
      <c r="H1004" s="16">
        <v>1.42</v>
      </c>
      <c r="I1004" s="16">
        <v>4</v>
      </c>
      <c r="J1004" s="16">
        <v>76</v>
      </c>
      <c r="K1004" s="16">
        <v>5.85</v>
      </c>
      <c r="L1004" s="16">
        <v>78</v>
      </c>
      <c r="M1004" s="16">
        <v>1</v>
      </c>
      <c r="N1004" s="18">
        <f>IF(Risk_Calculation_Engine!U1004="Low",1,IF(Risk_Calculation_Engine!U1004="Medium",2,3))</f>
        <v>2</v>
      </c>
      <c r="O1004" s="18" t="str">
        <f>Risk_Calculation_Engine!U1004</f>
        <v>Medium</v>
      </c>
    </row>
    <row r="1005" spans="1:15" ht="15" customHeight="1" x14ac:dyDescent="0.25">
      <c r="A1005" s="16">
        <v>1001</v>
      </c>
      <c r="B1005" s="16">
        <v>1.4</v>
      </c>
      <c r="C1005" s="16">
        <v>3</v>
      </c>
      <c r="D1005" s="16">
        <v>3.8</v>
      </c>
      <c r="E1005" s="17">
        <f t="shared" si="15"/>
        <v>4.68</v>
      </c>
      <c r="F1005" s="16">
        <v>2</v>
      </c>
      <c r="G1005" s="16">
        <v>5</v>
      </c>
      <c r="H1005" s="16">
        <v>1.1399999999999999</v>
      </c>
      <c r="I1005" s="16">
        <v>3</v>
      </c>
      <c r="J1005" s="16">
        <v>10</v>
      </c>
      <c r="K1005" s="16">
        <v>7.14</v>
      </c>
      <c r="L1005" s="16">
        <v>46.6</v>
      </c>
      <c r="M1005" s="16">
        <v>3</v>
      </c>
      <c r="N1005" s="18">
        <f>IF(Risk_Calculation_Engine!U1005="Low",1,IF(Risk_Calculation_Engine!U1005="Medium",2,3))</f>
        <v>1</v>
      </c>
      <c r="O1005" s="18" t="str">
        <f>Risk_Calculation_Engine!U1005</f>
        <v>Low</v>
      </c>
    </row>
    <row r="1006" spans="1:15" ht="15" customHeight="1" x14ac:dyDescent="0.25">
      <c r="A1006" s="16">
        <v>1002</v>
      </c>
      <c r="B1006" s="16">
        <v>40.299999999999997</v>
      </c>
      <c r="C1006" s="16">
        <v>4</v>
      </c>
      <c r="D1006" s="16">
        <v>215</v>
      </c>
      <c r="E1006" s="17">
        <f t="shared" si="15"/>
        <v>10.65</v>
      </c>
      <c r="F1006" s="16">
        <v>2</v>
      </c>
      <c r="G1006" s="16">
        <v>11</v>
      </c>
      <c r="H1006" s="16">
        <v>1.55</v>
      </c>
      <c r="I1006" s="16">
        <v>15</v>
      </c>
      <c r="J1006" s="16">
        <v>337</v>
      </c>
      <c r="K1006" s="16">
        <v>8.36</v>
      </c>
      <c r="L1006" s="16">
        <v>90.3</v>
      </c>
      <c r="M1006" s="16">
        <v>1</v>
      </c>
      <c r="N1006" s="18">
        <f>IF(Risk_Calculation_Engine!U1006="Low",1,IF(Risk_Calculation_Engine!U1006="Medium",2,3))</f>
        <v>3</v>
      </c>
      <c r="O1006" s="18" t="str">
        <f>Risk_Calculation_Engine!U1006</f>
        <v>High</v>
      </c>
    </row>
    <row r="1007" spans="1:15" ht="15" customHeight="1" x14ac:dyDescent="0.25">
      <c r="A1007" s="16">
        <v>1003</v>
      </c>
      <c r="B1007" s="16">
        <v>39.799999999999997</v>
      </c>
      <c r="C1007" s="16">
        <v>5</v>
      </c>
      <c r="D1007" s="16">
        <v>270</v>
      </c>
      <c r="E1007" s="17">
        <f t="shared" si="15"/>
        <v>10.47</v>
      </c>
      <c r="F1007" s="16">
        <v>1</v>
      </c>
      <c r="G1007" s="16">
        <v>6</v>
      </c>
      <c r="H1007" s="16">
        <v>1.68</v>
      </c>
      <c r="I1007" s="16">
        <v>5</v>
      </c>
      <c r="J1007" s="16">
        <v>729</v>
      </c>
      <c r="K1007" s="16">
        <v>18.32</v>
      </c>
      <c r="L1007" s="16">
        <v>65.3</v>
      </c>
      <c r="M1007" s="16">
        <v>3</v>
      </c>
      <c r="N1007" s="18">
        <f>IF(Risk_Calculation_Engine!U1007="Low",1,IF(Risk_Calculation_Engine!U1007="Medium",2,3))</f>
        <v>3</v>
      </c>
      <c r="O1007" s="18" t="str">
        <f>Risk_Calculation_Engine!U1007</f>
        <v>High</v>
      </c>
    </row>
    <row r="1008" spans="1:15" ht="15" customHeight="1" x14ac:dyDescent="0.25">
      <c r="A1008" s="16">
        <v>1004</v>
      </c>
      <c r="B1008" s="16">
        <v>43.5</v>
      </c>
      <c r="C1008" s="16">
        <v>3</v>
      </c>
      <c r="D1008" s="16">
        <v>188</v>
      </c>
      <c r="E1008" s="17">
        <f t="shared" si="15"/>
        <v>6.82</v>
      </c>
      <c r="F1008" s="16">
        <v>2</v>
      </c>
      <c r="G1008" s="16">
        <v>6</v>
      </c>
      <c r="H1008" s="16">
        <v>2.33</v>
      </c>
      <c r="I1008" s="16">
        <v>10</v>
      </c>
      <c r="J1008" s="16">
        <v>268</v>
      </c>
      <c r="K1008" s="16">
        <v>6.16</v>
      </c>
      <c r="L1008" s="16">
        <v>37.299999999999997</v>
      </c>
      <c r="M1008" s="16">
        <v>2</v>
      </c>
      <c r="N1008" s="18">
        <f>IF(Risk_Calculation_Engine!U1008="Low",1,IF(Risk_Calculation_Engine!U1008="Medium",2,3))</f>
        <v>2</v>
      </c>
      <c r="O1008" s="18" t="str">
        <f>Risk_Calculation_Engine!U1008</f>
        <v>Medium</v>
      </c>
    </row>
    <row r="1009" spans="1:15" ht="15" customHeight="1" x14ac:dyDescent="0.25">
      <c r="A1009" s="16">
        <v>1005</v>
      </c>
      <c r="B1009" s="16">
        <v>107.2</v>
      </c>
      <c r="C1009" s="16">
        <v>3</v>
      </c>
      <c r="D1009" s="16">
        <v>529.4</v>
      </c>
      <c r="E1009" s="17">
        <f t="shared" si="15"/>
        <v>18.8</v>
      </c>
      <c r="F1009" s="16">
        <v>2</v>
      </c>
      <c r="G1009" s="16">
        <v>3</v>
      </c>
      <c r="H1009" s="16">
        <v>1.1299999999999999</v>
      </c>
      <c r="I1009" s="16">
        <v>13</v>
      </c>
      <c r="J1009" s="16">
        <v>712</v>
      </c>
      <c r="K1009" s="16">
        <v>6.64</v>
      </c>
      <c r="L1009" s="16">
        <v>86.3</v>
      </c>
      <c r="M1009" s="16">
        <v>1</v>
      </c>
      <c r="N1009" s="18">
        <f>IF(Risk_Calculation_Engine!U1009="Low",1,IF(Risk_Calculation_Engine!U1009="Medium",2,3))</f>
        <v>1</v>
      </c>
      <c r="O1009" s="18" t="str">
        <f>Risk_Calculation_Engine!U1009</f>
        <v>Low</v>
      </c>
    </row>
    <row r="1010" spans="1:15" ht="15" customHeight="1" x14ac:dyDescent="0.25">
      <c r="A1010" s="16">
        <v>1006</v>
      </c>
      <c r="B1010" s="16">
        <v>127.5</v>
      </c>
      <c r="C1010" s="16">
        <v>5</v>
      </c>
      <c r="D1010" s="16">
        <v>561.5</v>
      </c>
      <c r="E1010" s="17">
        <f t="shared" si="15"/>
        <v>17.850000000000001</v>
      </c>
      <c r="F1010" s="16">
        <v>3</v>
      </c>
      <c r="G1010" s="16">
        <v>5</v>
      </c>
      <c r="H1010" s="16">
        <v>1.21</v>
      </c>
      <c r="I1010" s="16">
        <v>12</v>
      </c>
      <c r="J1010" s="16">
        <v>2512</v>
      </c>
      <c r="K1010" s="16">
        <v>19.7</v>
      </c>
      <c r="L1010" s="16">
        <v>85.8</v>
      </c>
      <c r="M1010" s="16">
        <v>2</v>
      </c>
      <c r="N1010" s="18">
        <f>IF(Risk_Calculation_Engine!U1010="Low",1,IF(Risk_Calculation_Engine!U1010="Medium",2,3))</f>
        <v>3</v>
      </c>
      <c r="O1010" s="18" t="str">
        <f>Risk_Calculation_Engine!U1010</f>
        <v>High</v>
      </c>
    </row>
    <row r="1011" spans="1:15" ht="15" customHeight="1" x14ac:dyDescent="0.25">
      <c r="A1011" s="16">
        <v>1007</v>
      </c>
      <c r="B1011" s="16">
        <v>77.8</v>
      </c>
      <c r="C1011" s="16">
        <v>4</v>
      </c>
      <c r="D1011" s="16">
        <v>494</v>
      </c>
      <c r="E1011" s="17">
        <f t="shared" si="15"/>
        <v>16.940000000000001</v>
      </c>
      <c r="F1011" s="16">
        <v>1</v>
      </c>
      <c r="G1011" s="16">
        <v>9</v>
      </c>
      <c r="H1011" s="16">
        <v>1.23</v>
      </c>
      <c r="I1011" s="16">
        <v>15</v>
      </c>
      <c r="J1011" s="16">
        <v>793</v>
      </c>
      <c r="K1011" s="16">
        <v>10.19</v>
      </c>
      <c r="L1011" s="16">
        <v>84.4</v>
      </c>
      <c r="M1011" s="16">
        <v>2</v>
      </c>
      <c r="N1011" s="18">
        <f>IF(Risk_Calculation_Engine!U1011="Low",1,IF(Risk_Calculation_Engine!U1011="Medium",2,3))</f>
        <v>2</v>
      </c>
      <c r="O1011" s="18" t="str">
        <f>Risk_Calculation_Engine!U1011</f>
        <v>Medium</v>
      </c>
    </row>
    <row r="1012" spans="1:15" ht="15" customHeight="1" x14ac:dyDescent="0.25">
      <c r="A1012" s="16">
        <v>1008</v>
      </c>
      <c r="B1012" s="16">
        <v>101.6</v>
      </c>
      <c r="C1012" s="16">
        <v>5</v>
      </c>
      <c r="D1012" s="16">
        <v>488.6</v>
      </c>
      <c r="E1012" s="17">
        <f t="shared" si="15"/>
        <v>13.76</v>
      </c>
      <c r="F1012" s="16">
        <v>3</v>
      </c>
      <c r="G1012" s="16">
        <v>12</v>
      </c>
      <c r="H1012" s="16">
        <v>1.51</v>
      </c>
      <c r="I1012" s="16">
        <v>3</v>
      </c>
      <c r="J1012" s="16">
        <v>1198</v>
      </c>
      <c r="K1012" s="16">
        <v>11.79</v>
      </c>
      <c r="L1012" s="16">
        <v>82.8</v>
      </c>
      <c r="M1012" s="16">
        <v>2</v>
      </c>
      <c r="N1012" s="18">
        <f>IF(Risk_Calculation_Engine!U1012="Low",1,IF(Risk_Calculation_Engine!U1012="Medium",2,3))</f>
        <v>3</v>
      </c>
      <c r="O1012" s="18" t="str">
        <f>Risk_Calculation_Engine!U1012</f>
        <v>High</v>
      </c>
    </row>
    <row r="1013" spans="1:15" ht="15" customHeight="1" x14ac:dyDescent="0.25">
      <c r="A1013" s="16">
        <v>1009</v>
      </c>
      <c r="B1013" s="16">
        <v>30.4</v>
      </c>
      <c r="C1013" s="16">
        <v>3</v>
      </c>
      <c r="D1013" s="16">
        <v>129.6</v>
      </c>
      <c r="E1013" s="17">
        <f t="shared" si="15"/>
        <v>13.78</v>
      </c>
      <c r="F1013" s="16">
        <v>2</v>
      </c>
      <c r="G1013" s="16">
        <v>4</v>
      </c>
      <c r="H1013" s="16">
        <v>1.04</v>
      </c>
      <c r="I1013" s="16">
        <v>8</v>
      </c>
      <c r="J1013" s="16">
        <v>96</v>
      </c>
      <c r="K1013" s="16">
        <v>3.16</v>
      </c>
      <c r="L1013" s="16">
        <v>76.7</v>
      </c>
      <c r="M1013" s="16">
        <v>3</v>
      </c>
      <c r="N1013" s="18">
        <f>IF(Risk_Calculation_Engine!U1013="Low",1,IF(Risk_Calculation_Engine!U1013="Medium",2,3))</f>
        <v>1</v>
      </c>
      <c r="O1013" s="18" t="str">
        <f>Risk_Calculation_Engine!U1013</f>
        <v>Low</v>
      </c>
    </row>
    <row r="1014" spans="1:15" ht="15" customHeight="1" x14ac:dyDescent="0.25">
      <c r="A1014" s="16">
        <v>1010</v>
      </c>
      <c r="B1014" s="16">
        <v>23.6</v>
      </c>
      <c r="C1014" s="16">
        <v>5</v>
      </c>
      <c r="D1014" s="16">
        <v>164.7</v>
      </c>
      <c r="E1014" s="17">
        <f t="shared" si="15"/>
        <v>6.13</v>
      </c>
      <c r="F1014" s="16">
        <v>1</v>
      </c>
      <c r="G1014" s="16">
        <v>10</v>
      </c>
      <c r="H1014" s="16">
        <v>2.5</v>
      </c>
      <c r="I1014" s="16">
        <v>9</v>
      </c>
      <c r="J1014" s="16">
        <v>457</v>
      </c>
      <c r="K1014" s="16">
        <v>19.36</v>
      </c>
      <c r="L1014" s="16">
        <v>82.8</v>
      </c>
      <c r="M1014" s="16">
        <v>2</v>
      </c>
      <c r="N1014" s="18">
        <f>IF(Risk_Calculation_Engine!U1014="Low",1,IF(Risk_Calculation_Engine!U1014="Medium",2,3))</f>
        <v>3</v>
      </c>
      <c r="O1014" s="18" t="str">
        <f>Risk_Calculation_Engine!U1014</f>
        <v>High</v>
      </c>
    </row>
    <row r="1015" spans="1:15" ht="15" customHeight="1" x14ac:dyDescent="0.25">
      <c r="A1015" s="16">
        <v>1011</v>
      </c>
      <c r="B1015" s="16">
        <v>90.6</v>
      </c>
      <c r="C1015" s="16">
        <v>2</v>
      </c>
      <c r="D1015" s="16">
        <v>479.2</v>
      </c>
      <c r="E1015" s="17">
        <f t="shared" si="15"/>
        <v>23.75</v>
      </c>
      <c r="F1015" s="16">
        <v>1</v>
      </c>
      <c r="G1015" s="16">
        <v>9</v>
      </c>
      <c r="H1015" s="16">
        <v>0.87</v>
      </c>
      <c r="I1015" s="16">
        <v>12</v>
      </c>
      <c r="J1015" s="16">
        <v>335</v>
      </c>
      <c r="K1015" s="16">
        <v>3.7</v>
      </c>
      <c r="L1015" s="16">
        <v>61.1</v>
      </c>
      <c r="M1015" s="16">
        <v>3</v>
      </c>
      <c r="N1015" s="18">
        <f>IF(Risk_Calculation_Engine!U1015="Low",1,IF(Risk_Calculation_Engine!U1015="Medium",2,3))</f>
        <v>1</v>
      </c>
      <c r="O1015" s="18" t="str">
        <f>Risk_Calculation_Engine!U1015</f>
        <v>Low</v>
      </c>
    </row>
    <row r="1016" spans="1:15" ht="15" customHeight="1" x14ac:dyDescent="0.25">
      <c r="A1016" s="16">
        <v>1012</v>
      </c>
      <c r="B1016" s="16">
        <v>20.3</v>
      </c>
      <c r="C1016" s="16">
        <v>3</v>
      </c>
      <c r="D1016" s="16">
        <v>95.3</v>
      </c>
      <c r="E1016" s="17">
        <f t="shared" si="15"/>
        <v>5.26</v>
      </c>
      <c r="F1016" s="16">
        <v>1</v>
      </c>
      <c r="G1016" s="16">
        <v>5</v>
      </c>
      <c r="H1016" s="16">
        <v>2.5</v>
      </c>
      <c r="I1016" s="16">
        <v>11</v>
      </c>
      <c r="J1016" s="16">
        <v>111</v>
      </c>
      <c r="K1016" s="16">
        <v>5.47</v>
      </c>
      <c r="L1016" s="16">
        <v>83.4</v>
      </c>
      <c r="M1016" s="16">
        <v>1</v>
      </c>
      <c r="N1016" s="18">
        <f>IF(Risk_Calculation_Engine!U1016="Low",1,IF(Risk_Calculation_Engine!U1016="Medium",2,3))</f>
        <v>2</v>
      </c>
      <c r="O1016" s="18" t="str">
        <f>Risk_Calculation_Engine!U1016</f>
        <v>Medium</v>
      </c>
    </row>
    <row r="1017" spans="1:15" ht="15" customHeight="1" x14ac:dyDescent="0.25">
      <c r="A1017" s="16">
        <v>1013</v>
      </c>
      <c r="B1017" s="16">
        <v>17.899999999999999</v>
      </c>
      <c r="C1017" s="16">
        <v>3</v>
      </c>
      <c r="D1017" s="16">
        <v>49.3</v>
      </c>
      <c r="E1017" s="17">
        <f t="shared" si="15"/>
        <v>4.92</v>
      </c>
      <c r="F1017" s="16">
        <v>3</v>
      </c>
      <c r="G1017" s="16">
        <v>8</v>
      </c>
      <c r="H1017" s="16">
        <v>2.2200000000000002</v>
      </c>
      <c r="I1017" s="16">
        <v>10</v>
      </c>
      <c r="J1017" s="16">
        <v>100</v>
      </c>
      <c r="K1017" s="16">
        <v>5.59</v>
      </c>
      <c r="L1017" s="16">
        <v>84.8</v>
      </c>
      <c r="M1017" s="16">
        <v>1</v>
      </c>
      <c r="N1017" s="18">
        <f>IF(Risk_Calculation_Engine!U1017="Low",1,IF(Risk_Calculation_Engine!U1017="Medium",2,3))</f>
        <v>2</v>
      </c>
      <c r="O1017" s="18" t="str">
        <f>Risk_Calculation_Engine!U1017</f>
        <v>Medium</v>
      </c>
    </row>
    <row r="1018" spans="1:15" ht="15" customHeight="1" x14ac:dyDescent="0.25">
      <c r="A1018" s="16">
        <v>1014</v>
      </c>
      <c r="B1018" s="16">
        <v>149.80000000000001</v>
      </c>
      <c r="C1018" s="16">
        <v>4</v>
      </c>
      <c r="D1018" s="16">
        <v>1297.3</v>
      </c>
      <c r="E1018" s="17">
        <f t="shared" si="15"/>
        <v>24.6</v>
      </c>
      <c r="F1018" s="16">
        <v>1</v>
      </c>
      <c r="G1018" s="16">
        <v>7</v>
      </c>
      <c r="H1018" s="16">
        <v>1.1100000000000001</v>
      </c>
      <c r="I1018" s="16">
        <v>6</v>
      </c>
      <c r="J1018" s="16">
        <v>919</v>
      </c>
      <c r="K1018" s="16">
        <v>6.13</v>
      </c>
      <c r="L1018" s="16">
        <v>51</v>
      </c>
      <c r="M1018" s="16">
        <v>2</v>
      </c>
      <c r="N1018" s="18">
        <f>IF(Risk_Calculation_Engine!U1018="Low",1,IF(Risk_Calculation_Engine!U1018="Medium",2,3))</f>
        <v>3</v>
      </c>
      <c r="O1018" s="18" t="str">
        <f>Risk_Calculation_Engine!U1018</f>
        <v>High</v>
      </c>
    </row>
    <row r="1019" spans="1:15" ht="15" customHeight="1" x14ac:dyDescent="0.25">
      <c r="A1019" s="16">
        <v>1015</v>
      </c>
      <c r="B1019" s="16">
        <v>64.400000000000006</v>
      </c>
      <c r="C1019" s="16">
        <v>5</v>
      </c>
      <c r="D1019" s="16">
        <v>346.8</v>
      </c>
      <c r="E1019" s="17">
        <f t="shared" si="15"/>
        <v>12.93</v>
      </c>
      <c r="F1019" s="16">
        <v>2</v>
      </c>
      <c r="G1019" s="16">
        <v>1</v>
      </c>
      <c r="H1019" s="16">
        <v>1.46</v>
      </c>
      <c r="I1019" s="16">
        <v>4</v>
      </c>
      <c r="J1019" s="16">
        <v>787</v>
      </c>
      <c r="K1019" s="16">
        <v>12.22</v>
      </c>
      <c r="L1019" s="16">
        <v>85.8</v>
      </c>
      <c r="M1019" s="16">
        <v>3</v>
      </c>
      <c r="N1019" s="18">
        <f>IF(Risk_Calculation_Engine!U1019="Low",1,IF(Risk_Calculation_Engine!U1019="Medium",2,3))</f>
        <v>2</v>
      </c>
      <c r="O1019" s="18" t="str">
        <f>Risk_Calculation_Engine!U1019</f>
        <v>Medium</v>
      </c>
    </row>
    <row r="1020" spans="1:15" ht="15" customHeight="1" x14ac:dyDescent="0.25">
      <c r="A1020" s="16">
        <v>1016</v>
      </c>
      <c r="B1020" s="16">
        <v>39.799999999999997</v>
      </c>
      <c r="C1020" s="16">
        <v>4</v>
      </c>
      <c r="D1020" s="16">
        <v>196</v>
      </c>
      <c r="E1020" s="17">
        <f t="shared" si="15"/>
        <v>13.75</v>
      </c>
      <c r="F1020" s="16">
        <v>2</v>
      </c>
      <c r="G1020" s="16">
        <v>5</v>
      </c>
      <c r="H1020" s="16">
        <v>1.17</v>
      </c>
      <c r="I1020" s="16">
        <v>8</v>
      </c>
      <c r="J1020" s="16">
        <v>463</v>
      </c>
      <c r="K1020" s="16">
        <v>11.63</v>
      </c>
      <c r="L1020" s="16">
        <v>65.5</v>
      </c>
      <c r="M1020" s="16">
        <v>2</v>
      </c>
      <c r="N1020" s="18">
        <f>IF(Risk_Calculation_Engine!U1020="Low",1,IF(Risk_Calculation_Engine!U1020="Medium",2,3))</f>
        <v>1</v>
      </c>
      <c r="O1020" s="18" t="str">
        <f>Risk_Calculation_Engine!U1020</f>
        <v>Low</v>
      </c>
    </row>
    <row r="1021" spans="1:15" ht="15" customHeight="1" x14ac:dyDescent="0.25">
      <c r="A1021" s="16">
        <v>1017</v>
      </c>
      <c r="B1021" s="16">
        <v>35.700000000000003</v>
      </c>
      <c r="C1021" s="16">
        <v>4</v>
      </c>
      <c r="D1021" s="16">
        <v>138.30000000000001</v>
      </c>
      <c r="E1021" s="17">
        <f t="shared" si="15"/>
        <v>6.51</v>
      </c>
      <c r="F1021" s="16">
        <v>3</v>
      </c>
      <c r="G1021" s="16">
        <v>6</v>
      </c>
      <c r="H1021" s="16">
        <v>2.2400000000000002</v>
      </c>
      <c r="I1021" s="16">
        <v>6</v>
      </c>
      <c r="J1021" s="16">
        <v>362</v>
      </c>
      <c r="K1021" s="16">
        <v>10.14</v>
      </c>
      <c r="L1021" s="16">
        <v>84.3</v>
      </c>
      <c r="M1021" s="16">
        <v>3</v>
      </c>
      <c r="N1021" s="18">
        <f>IF(Risk_Calculation_Engine!U1021="Low",1,IF(Risk_Calculation_Engine!U1021="Medium",2,3))</f>
        <v>3</v>
      </c>
      <c r="O1021" s="18" t="str">
        <f>Risk_Calculation_Engine!U1021</f>
        <v>High</v>
      </c>
    </row>
    <row r="1022" spans="1:15" ht="15" customHeight="1" x14ac:dyDescent="0.25">
      <c r="A1022" s="16">
        <v>1018</v>
      </c>
      <c r="B1022" s="16">
        <v>13.4</v>
      </c>
      <c r="C1022" s="16">
        <v>3</v>
      </c>
      <c r="D1022" s="16">
        <v>55.7</v>
      </c>
      <c r="E1022" s="17">
        <f t="shared" si="15"/>
        <v>4.5199999999999996</v>
      </c>
      <c r="F1022" s="16">
        <v>2</v>
      </c>
      <c r="G1022" s="16">
        <v>13</v>
      </c>
      <c r="H1022" s="16">
        <v>2.5</v>
      </c>
      <c r="I1022" s="16">
        <v>10</v>
      </c>
      <c r="J1022" s="16">
        <v>89</v>
      </c>
      <c r="K1022" s="16">
        <v>6.64</v>
      </c>
      <c r="L1022" s="16">
        <v>28.8</v>
      </c>
      <c r="M1022" s="16">
        <v>2</v>
      </c>
      <c r="N1022" s="18">
        <f>IF(Risk_Calculation_Engine!U1022="Low",1,IF(Risk_Calculation_Engine!U1022="Medium",2,3))</f>
        <v>3</v>
      </c>
      <c r="O1022" s="18" t="str">
        <f>Risk_Calculation_Engine!U1022</f>
        <v>High</v>
      </c>
    </row>
    <row r="1023" spans="1:15" ht="15" customHeight="1" x14ac:dyDescent="0.25">
      <c r="A1023" s="16">
        <v>1019</v>
      </c>
      <c r="B1023" s="16">
        <v>76.5</v>
      </c>
      <c r="C1023" s="16">
        <v>3</v>
      </c>
      <c r="D1023" s="16">
        <v>227</v>
      </c>
      <c r="E1023" s="17">
        <f t="shared" si="15"/>
        <v>6.71</v>
      </c>
      <c r="F1023" s="16">
        <v>3</v>
      </c>
      <c r="G1023" s="16">
        <v>9</v>
      </c>
      <c r="H1023" s="16">
        <v>2.5</v>
      </c>
      <c r="I1023" s="16">
        <v>13</v>
      </c>
      <c r="J1023" s="16">
        <v>289</v>
      </c>
      <c r="K1023" s="16">
        <v>3.78</v>
      </c>
      <c r="L1023" s="16">
        <v>79.099999999999994</v>
      </c>
      <c r="M1023" s="16">
        <v>3</v>
      </c>
      <c r="N1023" s="18">
        <f>IF(Risk_Calculation_Engine!U1023="Low",1,IF(Risk_Calculation_Engine!U1023="Medium",2,3))</f>
        <v>3</v>
      </c>
      <c r="O1023" s="18" t="str">
        <f>Risk_Calculation_Engine!U1023</f>
        <v>High</v>
      </c>
    </row>
    <row r="1024" spans="1:15" ht="15" customHeight="1" x14ac:dyDescent="0.25">
      <c r="A1024" s="16">
        <v>1020</v>
      </c>
      <c r="B1024" s="16">
        <v>47.2</v>
      </c>
      <c r="C1024" s="16">
        <v>3</v>
      </c>
      <c r="D1024" s="16">
        <v>286.89999999999998</v>
      </c>
      <c r="E1024" s="17">
        <f t="shared" si="15"/>
        <v>9.0399999999999991</v>
      </c>
      <c r="F1024" s="16">
        <v>1</v>
      </c>
      <c r="G1024" s="16">
        <v>9</v>
      </c>
      <c r="H1024" s="16">
        <v>1.98</v>
      </c>
      <c r="I1024" s="16">
        <v>10</v>
      </c>
      <c r="J1024" s="16">
        <v>372</v>
      </c>
      <c r="K1024" s="16">
        <v>7.88</v>
      </c>
      <c r="L1024" s="16">
        <v>42.4</v>
      </c>
      <c r="M1024" s="16">
        <v>3</v>
      </c>
      <c r="N1024" s="18">
        <f>IF(Risk_Calculation_Engine!U1024="Low",1,IF(Risk_Calculation_Engine!U1024="Medium",2,3))</f>
        <v>3</v>
      </c>
      <c r="O1024" s="18" t="str">
        <f>Risk_Calculation_Engine!U1024</f>
        <v>High</v>
      </c>
    </row>
    <row r="1025" spans="1:15" ht="15" customHeight="1" x14ac:dyDescent="0.25">
      <c r="A1025" s="16">
        <v>1021</v>
      </c>
      <c r="B1025" s="16">
        <v>124.8</v>
      </c>
      <c r="C1025" s="16">
        <v>1</v>
      </c>
      <c r="D1025" s="16">
        <v>337</v>
      </c>
      <c r="E1025" s="17">
        <f t="shared" si="15"/>
        <v>21.52</v>
      </c>
      <c r="F1025" s="16">
        <v>3</v>
      </c>
      <c r="G1025" s="16">
        <v>10</v>
      </c>
      <c r="H1025" s="16">
        <v>0.87</v>
      </c>
      <c r="I1025" s="16">
        <v>10</v>
      </c>
      <c r="J1025" s="16">
        <v>218</v>
      </c>
      <c r="K1025" s="16">
        <v>1.75</v>
      </c>
      <c r="L1025" s="16">
        <v>72.7</v>
      </c>
      <c r="M1025" s="16">
        <v>2</v>
      </c>
      <c r="N1025" s="18">
        <f>IF(Risk_Calculation_Engine!U1025="Low",1,IF(Risk_Calculation_Engine!U1025="Medium",2,3))</f>
        <v>2</v>
      </c>
      <c r="O1025" s="18" t="str">
        <f>Risk_Calculation_Engine!U1025</f>
        <v>Medium</v>
      </c>
    </row>
    <row r="1026" spans="1:15" ht="15" customHeight="1" x14ac:dyDescent="0.25">
      <c r="A1026" s="16">
        <v>1022</v>
      </c>
      <c r="B1026" s="16">
        <v>92.7</v>
      </c>
      <c r="C1026" s="16">
        <v>3</v>
      </c>
      <c r="D1026" s="16">
        <v>533.4</v>
      </c>
      <c r="E1026" s="17">
        <f t="shared" si="15"/>
        <v>19.72</v>
      </c>
      <c r="F1026" s="16">
        <v>1</v>
      </c>
      <c r="G1026" s="16">
        <v>6</v>
      </c>
      <c r="H1026" s="16">
        <v>1.08</v>
      </c>
      <c r="I1026" s="16">
        <v>3</v>
      </c>
      <c r="J1026" s="16">
        <v>619</v>
      </c>
      <c r="K1026" s="16">
        <v>6.68</v>
      </c>
      <c r="L1026" s="16">
        <v>55.1</v>
      </c>
      <c r="M1026" s="16">
        <v>2</v>
      </c>
      <c r="N1026" s="18">
        <f>IF(Risk_Calculation_Engine!U1026="Low",1,IF(Risk_Calculation_Engine!U1026="Medium",2,3))</f>
        <v>1</v>
      </c>
      <c r="O1026" s="18" t="str">
        <f>Risk_Calculation_Engine!U1026</f>
        <v>Low</v>
      </c>
    </row>
    <row r="1027" spans="1:15" ht="15" customHeight="1" x14ac:dyDescent="0.25">
      <c r="A1027" s="16">
        <v>1023</v>
      </c>
      <c r="B1027" s="16">
        <v>45.8</v>
      </c>
      <c r="C1027" s="16">
        <v>5</v>
      </c>
      <c r="D1027" s="16">
        <v>311</v>
      </c>
      <c r="E1027" s="17">
        <f t="shared" si="15"/>
        <v>9.49</v>
      </c>
      <c r="F1027" s="16">
        <v>1</v>
      </c>
      <c r="G1027" s="16">
        <v>3</v>
      </c>
      <c r="H1027" s="16">
        <v>1.93</v>
      </c>
      <c r="I1027" s="16">
        <v>11</v>
      </c>
      <c r="J1027" s="16">
        <v>796</v>
      </c>
      <c r="K1027" s="16">
        <v>17.38</v>
      </c>
      <c r="L1027" s="16">
        <v>75.400000000000006</v>
      </c>
      <c r="M1027" s="16">
        <v>2</v>
      </c>
      <c r="N1027" s="18">
        <f>IF(Risk_Calculation_Engine!U1027="Low",1,IF(Risk_Calculation_Engine!U1027="Medium",2,3))</f>
        <v>3</v>
      </c>
      <c r="O1027" s="18" t="str">
        <f>Risk_Calculation_Engine!U1027</f>
        <v>High</v>
      </c>
    </row>
    <row r="1028" spans="1:15" ht="15" customHeight="1" x14ac:dyDescent="0.25">
      <c r="A1028" s="16">
        <v>1024</v>
      </c>
      <c r="B1028" s="16">
        <v>5.8</v>
      </c>
      <c r="C1028" s="16">
        <v>4</v>
      </c>
      <c r="D1028" s="16">
        <v>19.600000000000001</v>
      </c>
      <c r="E1028" s="17">
        <f t="shared" si="15"/>
        <v>5.67</v>
      </c>
      <c r="F1028" s="16">
        <v>3</v>
      </c>
      <c r="G1028" s="16">
        <v>11</v>
      </c>
      <c r="H1028" s="16">
        <v>1.49</v>
      </c>
      <c r="I1028" s="16">
        <v>8</v>
      </c>
      <c r="J1028" s="16">
        <v>56</v>
      </c>
      <c r="K1028" s="16">
        <v>9.66</v>
      </c>
      <c r="L1028" s="16">
        <v>83.9</v>
      </c>
      <c r="M1028" s="16">
        <v>3</v>
      </c>
      <c r="N1028" s="18">
        <f>IF(Risk_Calculation_Engine!U1028="Low",1,IF(Risk_Calculation_Engine!U1028="Medium",2,3))</f>
        <v>2</v>
      </c>
      <c r="O1028" s="18" t="str">
        <f>Risk_Calculation_Engine!U1028</f>
        <v>Medium</v>
      </c>
    </row>
    <row r="1029" spans="1:15" ht="15" customHeight="1" x14ac:dyDescent="0.25">
      <c r="A1029" s="16">
        <v>1025</v>
      </c>
      <c r="B1029" s="16">
        <v>64.5</v>
      </c>
      <c r="C1029" s="16">
        <v>4</v>
      </c>
      <c r="D1029" s="16">
        <v>452.3</v>
      </c>
      <c r="E1029" s="17">
        <f t="shared" ref="E1029:E1092" si="16">ROUND(3.67*D1029^0.28/H1029,2)</f>
        <v>9.1999999999999993</v>
      </c>
      <c r="F1029" s="16">
        <v>1</v>
      </c>
      <c r="G1029" s="16">
        <v>6</v>
      </c>
      <c r="H1029" s="16">
        <v>2.21</v>
      </c>
      <c r="I1029" s="16">
        <v>4</v>
      </c>
      <c r="J1029" s="16">
        <v>825</v>
      </c>
      <c r="K1029" s="16">
        <v>12.79</v>
      </c>
      <c r="L1029" s="16">
        <v>77.099999999999994</v>
      </c>
      <c r="M1029" s="16">
        <v>2</v>
      </c>
      <c r="N1029" s="18">
        <f>IF(Risk_Calculation_Engine!U1029="Low",1,IF(Risk_Calculation_Engine!U1029="Medium",2,3))</f>
        <v>3</v>
      </c>
      <c r="O1029" s="18" t="str">
        <f>Risk_Calculation_Engine!U1029</f>
        <v>High</v>
      </c>
    </row>
    <row r="1030" spans="1:15" ht="15" customHeight="1" x14ac:dyDescent="0.25">
      <c r="A1030" s="16">
        <v>1026</v>
      </c>
      <c r="B1030" s="16">
        <v>59.9</v>
      </c>
      <c r="C1030" s="16">
        <v>3</v>
      </c>
      <c r="D1030" s="16">
        <v>315.10000000000002</v>
      </c>
      <c r="E1030" s="17">
        <f t="shared" si="16"/>
        <v>10.039999999999999</v>
      </c>
      <c r="F1030" s="16">
        <v>1</v>
      </c>
      <c r="G1030" s="16">
        <v>5</v>
      </c>
      <c r="H1030" s="16">
        <v>1.83</v>
      </c>
      <c r="I1030" s="16">
        <v>5</v>
      </c>
      <c r="J1030" s="16">
        <v>219</v>
      </c>
      <c r="K1030" s="16">
        <v>3.66</v>
      </c>
      <c r="L1030" s="16">
        <v>72.8</v>
      </c>
      <c r="M1030" s="16">
        <v>2</v>
      </c>
      <c r="N1030" s="18">
        <f>IF(Risk_Calculation_Engine!U1030="Low",1,IF(Risk_Calculation_Engine!U1030="Medium",2,3))</f>
        <v>2</v>
      </c>
      <c r="O1030" s="18" t="str">
        <f>Risk_Calculation_Engine!U1030</f>
        <v>Medium</v>
      </c>
    </row>
    <row r="1031" spans="1:15" ht="15" customHeight="1" x14ac:dyDescent="0.25">
      <c r="A1031" s="16">
        <v>1027</v>
      </c>
      <c r="B1031" s="16">
        <v>4.0999999999999996</v>
      </c>
      <c r="C1031" s="16">
        <v>3</v>
      </c>
      <c r="D1031" s="16">
        <v>14.2</v>
      </c>
      <c r="E1031" s="17">
        <f t="shared" si="16"/>
        <v>6.95</v>
      </c>
      <c r="F1031" s="16">
        <v>2</v>
      </c>
      <c r="G1031" s="16">
        <v>1</v>
      </c>
      <c r="H1031" s="16">
        <v>1.1100000000000001</v>
      </c>
      <c r="I1031" s="16">
        <v>13</v>
      </c>
      <c r="J1031" s="16">
        <v>14</v>
      </c>
      <c r="K1031" s="16">
        <v>3.41</v>
      </c>
      <c r="L1031" s="16">
        <v>57.1</v>
      </c>
      <c r="M1031" s="16">
        <v>3</v>
      </c>
      <c r="N1031" s="18">
        <f>IF(Risk_Calculation_Engine!U1031="Low",1,IF(Risk_Calculation_Engine!U1031="Medium",2,3))</f>
        <v>1</v>
      </c>
      <c r="O1031" s="18" t="str">
        <f>Risk_Calculation_Engine!U1031</f>
        <v>Low</v>
      </c>
    </row>
    <row r="1032" spans="1:15" ht="15" customHeight="1" x14ac:dyDescent="0.25">
      <c r="A1032" s="16">
        <v>1028</v>
      </c>
      <c r="B1032" s="16">
        <v>84.7</v>
      </c>
      <c r="C1032" s="16">
        <v>1</v>
      </c>
      <c r="D1032" s="16">
        <v>272.89999999999998</v>
      </c>
      <c r="E1032" s="17">
        <f t="shared" si="16"/>
        <v>12.7</v>
      </c>
      <c r="F1032" s="16">
        <v>2</v>
      </c>
      <c r="G1032" s="16">
        <v>6</v>
      </c>
      <c r="H1032" s="16">
        <v>1.39</v>
      </c>
      <c r="I1032" s="16">
        <v>14</v>
      </c>
      <c r="J1032" s="16">
        <v>102</v>
      </c>
      <c r="K1032" s="16">
        <v>1.2</v>
      </c>
      <c r="L1032" s="16">
        <v>87.1</v>
      </c>
      <c r="M1032" s="16">
        <v>2</v>
      </c>
      <c r="N1032" s="18">
        <f>IF(Risk_Calculation_Engine!U1032="Low",1,IF(Risk_Calculation_Engine!U1032="Medium",2,3))</f>
        <v>1</v>
      </c>
      <c r="O1032" s="18" t="str">
        <f>Risk_Calculation_Engine!U1032</f>
        <v>Low</v>
      </c>
    </row>
    <row r="1033" spans="1:15" ht="15" customHeight="1" x14ac:dyDescent="0.25">
      <c r="A1033" s="16">
        <v>1029</v>
      </c>
      <c r="B1033" s="16">
        <v>19.600000000000001</v>
      </c>
      <c r="C1033" s="16">
        <v>3</v>
      </c>
      <c r="D1033" s="16">
        <v>92.8</v>
      </c>
      <c r="E1033" s="17">
        <f t="shared" si="16"/>
        <v>5.77</v>
      </c>
      <c r="F1033" s="16">
        <v>1</v>
      </c>
      <c r="G1033" s="16">
        <v>6</v>
      </c>
      <c r="H1033" s="16">
        <v>2.2599999999999998</v>
      </c>
      <c r="I1033" s="16">
        <v>9</v>
      </c>
      <c r="J1033" s="16">
        <v>176</v>
      </c>
      <c r="K1033" s="16">
        <v>8.98</v>
      </c>
      <c r="L1033" s="16">
        <v>46.3</v>
      </c>
      <c r="M1033" s="16">
        <v>2</v>
      </c>
      <c r="N1033" s="18">
        <f>IF(Risk_Calculation_Engine!U1033="Low",1,IF(Risk_Calculation_Engine!U1033="Medium",2,3))</f>
        <v>2</v>
      </c>
      <c r="O1033" s="18" t="str">
        <f>Risk_Calculation_Engine!U1033</f>
        <v>Medium</v>
      </c>
    </row>
    <row r="1034" spans="1:15" ht="15" customHeight="1" x14ac:dyDescent="0.25">
      <c r="A1034" s="16">
        <v>1030</v>
      </c>
      <c r="B1034" s="16">
        <v>129.6</v>
      </c>
      <c r="C1034" s="16">
        <v>3</v>
      </c>
      <c r="D1034" s="16">
        <v>580.20000000000005</v>
      </c>
      <c r="E1034" s="17">
        <f t="shared" si="16"/>
        <v>11.66</v>
      </c>
      <c r="F1034" s="16">
        <v>2</v>
      </c>
      <c r="G1034" s="16">
        <v>10</v>
      </c>
      <c r="H1034" s="16">
        <v>1.87</v>
      </c>
      <c r="I1034" s="16">
        <v>15</v>
      </c>
      <c r="J1034" s="16">
        <v>1110</v>
      </c>
      <c r="K1034" s="16">
        <v>8.56</v>
      </c>
      <c r="L1034" s="16">
        <v>79.400000000000006</v>
      </c>
      <c r="M1034" s="16">
        <v>2</v>
      </c>
      <c r="N1034" s="18">
        <f>IF(Risk_Calculation_Engine!U1034="Low",1,IF(Risk_Calculation_Engine!U1034="Medium",2,3))</f>
        <v>3</v>
      </c>
      <c r="O1034" s="18" t="str">
        <f>Risk_Calculation_Engine!U1034</f>
        <v>High</v>
      </c>
    </row>
    <row r="1035" spans="1:15" ht="15" customHeight="1" x14ac:dyDescent="0.25">
      <c r="A1035" s="16">
        <v>1031</v>
      </c>
      <c r="B1035" s="16">
        <v>56.9</v>
      </c>
      <c r="C1035" s="16">
        <v>3</v>
      </c>
      <c r="D1035" s="16">
        <v>177.7</v>
      </c>
      <c r="E1035" s="17">
        <f t="shared" si="16"/>
        <v>7.05</v>
      </c>
      <c r="F1035" s="16">
        <v>3</v>
      </c>
      <c r="G1035" s="16">
        <v>4</v>
      </c>
      <c r="H1035" s="16">
        <v>2.2200000000000002</v>
      </c>
      <c r="I1035" s="16">
        <v>5</v>
      </c>
      <c r="J1035" s="16">
        <v>410</v>
      </c>
      <c r="K1035" s="16">
        <v>7.21</v>
      </c>
      <c r="L1035" s="16">
        <v>64.7</v>
      </c>
      <c r="M1035" s="16">
        <v>2</v>
      </c>
      <c r="N1035" s="18">
        <f>IF(Risk_Calculation_Engine!U1035="Low",1,IF(Risk_Calculation_Engine!U1035="Medium",2,3))</f>
        <v>2</v>
      </c>
      <c r="O1035" s="18" t="str">
        <f>Risk_Calculation_Engine!U1035</f>
        <v>Medium</v>
      </c>
    </row>
    <row r="1036" spans="1:15" ht="15" customHeight="1" x14ac:dyDescent="0.25">
      <c r="A1036" s="16">
        <v>1032</v>
      </c>
      <c r="B1036" s="16">
        <v>34.799999999999997</v>
      </c>
      <c r="C1036" s="16">
        <v>1</v>
      </c>
      <c r="D1036" s="16">
        <v>81.5</v>
      </c>
      <c r="E1036" s="17">
        <f t="shared" si="16"/>
        <v>13.25</v>
      </c>
      <c r="F1036" s="16">
        <v>3</v>
      </c>
      <c r="G1036" s="16">
        <v>8</v>
      </c>
      <c r="H1036" s="16">
        <v>0.95</v>
      </c>
      <c r="I1036" s="16">
        <v>6</v>
      </c>
      <c r="J1036" s="16">
        <v>66</v>
      </c>
      <c r="K1036" s="16">
        <v>1.9</v>
      </c>
      <c r="L1036" s="16">
        <v>40.299999999999997</v>
      </c>
      <c r="M1036" s="16">
        <v>2</v>
      </c>
      <c r="N1036" s="18">
        <f>IF(Risk_Calculation_Engine!U1036="Low",1,IF(Risk_Calculation_Engine!U1036="Medium",2,3))</f>
        <v>1</v>
      </c>
      <c r="O1036" s="18" t="str">
        <f>Risk_Calculation_Engine!U1036</f>
        <v>Low</v>
      </c>
    </row>
    <row r="1037" spans="1:15" ht="15" customHeight="1" x14ac:dyDescent="0.25">
      <c r="A1037" s="16">
        <v>1033</v>
      </c>
      <c r="B1037" s="16">
        <v>72.099999999999994</v>
      </c>
      <c r="C1037" s="16">
        <v>4</v>
      </c>
      <c r="D1037" s="16">
        <v>505.5</v>
      </c>
      <c r="E1037" s="17">
        <f t="shared" si="16"/>
        <v>18.399999999999999</v>
      </c>
      <c r="F1037" s="16">
        <v>1</v>
      </c>
      <c r="G1037" s="16">
        <v>12</v>
      </c>
      <c r="H1037" s="16">
        <v>1.1399999999999999</v>
      </c>
      <c r="I1037" s="16">
        <v>15</v>
      </c>
      <c r="J1037" s="16">
        <v>422</v>
      </c>
      <c r="K1037" s="16">
        <v>5.85</v>
      </c>
      <c r="L1037" s="16">
        <v>55.7</v>
      </c>
      <c r="M1037" s="16">
        <v>1</v>
      </c>
      <c r="N1037" s="18">
        <f>IF(Risk_Calculation_Engine!U1037="Low",1,IF(Risk_Calculation_Engine!U1037="Medium",2,3))</f>
        <v>2</v>
      </c>
      <c r="O1037" s="18" t="str">
        <f>Risk_Calculation_Engine!U1037</f>
        <v>Medium</v>
      </c>
    </row>
    <row r="1038" spans="1:15" ht="15" customHeight="1" x14ac:dyDescent="0.25">
      <c r="A1038" s="16">
        <v>1034</v>
      </c>
      <c r="B1038" s="16">
        <v>68.599999999999994</v>
      </c>
      <c r="C1038" s="16">
        <v>3</v>
      </c>
      <c r="D1038" s="16">
        <v>271.5</v>
      </c>
      <c r="E1038" s="17">
        <f t="shared" si="16"/>
        <v>7.05</v>
      </c>
      <c r="F1038" s="16">
        <v>2</v>
      </c>
      <c r="G1038" s="16">
        <v>10</v>
      </c>
      <c r="H1038" s="16">
        <v>2.5</v>
      </c>
      <c r="I1038" s="16">
        <v>5</v>
      </c>
      <c r="J1038" s="16">
        <v>544</v>
      </c>
      <c r="K1038" s="16">
        <v>7.93</v>
      </c>
      <c r="L1038" s="16">
        <v>75</v>
      </c>
      <c r="M1038" s="16">
        <v>3</v>
      </c>
      <c r="N1038" s="18">
        <f>IF(Risk_Calculation_Engine!U1038="Low",1,IF(Risk_Calculation_Engine!U1038="Medium",2,3))</f>
        <v>3</v>
      </c>
      <c r="O1038" s="18" t="str">
        <f>Risk_Calculation_Engine!U1038</f>
        <v>High</v>
      </c>
    </row>
    <row r="1039" spans="1:15" ht="15" customHeight="1" x14ac:dyDescent="0.25">
      <c r="A1039" s="16">
        <v>1035</v>
      </c>
      <c r="B1039" s="16">
        <v>66.5</v>
      </c>
      <c r="C1039" s="16">
        <v>3</v>
      </c>
      <c r="D1039" s="16">
        <v>231.5</v>
      </c>
      <c r="E1039" s="17">
        <f t="shared" si="16"/>
        <v>17.38</v>
      </c>
      <c r="F1039" s="16">
        <v>3</v>
      </c>
      <c r="G1039" s="16">
        <v>9</v>
      </c>
      <c r="H1039" s="16">
        <v>0.97</v>
      </c>
      <c r="I1039" s="16">
        <v>11</v>
      </c>
      <c r="J1039" s="16">
        <v>275</v>
      </c>
      <c r="K1039" s="16">
        <v>4.1399999999999997</v>
      </c>
      <c r="L1039" s="16">
        <v>48.8</v>
      </c>
      <c r="M1039" s="16">
        <v>2</v>
      </c>
      <c r="N1039" s="18">
        <f>IF(Risk_Calculation_Engine!U1039="Low",1,IF(Risk_Calculation_Engine!U1039="Medium",2,3))</f>
        <v>1</v>
      </c>
      <c r="O1039" s="18" t="str">
        <f>Risk_Calculation_Engine!U1039</f>
        <v>Low</v>
      </c>
    </row>
    <row r="1040" spans="1:15" ht="15" customHeight="1" x14ac:dyDescent="0.25">
      <c r="A1040" s="16">
        <v>1036</v>
      </c>
      <c r="B1040" s="16">
        <v>117.4</v>
      </c>
      <c r="C1040" s="16">
        <v>3</v>
      </c>
      <c r="D1040" s="16">
        <v>812.9</v>
      </c>
      <c r="E1040" s="17">
        <f t="shared" si="16"/>
        <v>11.09</v>
      </c>
      <c r="F1040" s="16">
        <v>1</v>
      </c>
      <c r="G1040" s="16">
        <v>8</v>
      </c>
      <c r="H1040" s="16">
        <v>2.16</v>
      </c>
      <c r="I1040" s="16">
        <v>5</v>
      </c>
      <c r="J1040" s="16">
        <v>544</v>
      </c>
      <c r="K1040" s="16">
        <v>4.63</v>
      </c>
      <c r="L1040" s="16">
        <v>75.900000000000006</v>
      </c>
      <c r="M1040" s="16">
        <v>3</v>
      </c>
      <c r="N1040" s="18">
        <f>IF(Risk_Calculation_Engine!U1040="Low",1,IF(Risk_Calculation_Engine!U1040="Medium",2,3))</f>
        <v>3</v>
      </c>
      <c r="O1040" s="18" t="str">
        <f>Risk_Calculation_Engine!U1040</f>
        <v>High</v>
      </c>
    </row>
    <row r="1041" spans="1:15" ht="15" customHeight="1" x14ac:dyDescent="0.25">
      <c r="A1041" s="16">
        <v>1037</v>
      </c>
      <c r="B1041" s="16">
        <v>75.599999999999994</v>
      </c>
      <c r="C1041" s="16">
        <v>3</v>
      </c>
      <c r="D1041" s="16">
        <v>469.8</v>
      </c>
      <c r="E1041" s="17">
        <f t="shared" si="16"/>
        <v>22.1</v>
      </c>
      <c r="F1041" s="16">
        <v>1</v>
      </c>
      <c r="G1041" s="16">
        <v>8</v>
      </c>
      <c r="H1041" s="16">
        <v>0.93</v>
      </c>
      <c r="I1041" s="16">
        <v>7</v>
      </c>
      <c r="J1041" s="16">
        <v>608</v>
      </c>
      <c r="K1041" s="16">
        <v>8.0399999999999991</v>
      </c>
      <c r="L1041" s="16">
        <v>66.099999999999994</v>
      </c>
      <c r="M1041" s="16">
        <v>2</v>
      </c>
      <c r="N1041" s="18">
        <f>IF(Risk_Calculation_Engine!U1041="Low",1,IF(Risk_Calculation_Engine!U1041="Medium",2,3))</f>
        <v>1</v>
      </c>
      <c r="O1041" s="18" t="str">
        <f>Risk_Calculation_Engine!U1041</f>
        <v>Low</v>
      </c>
    </row>
    <row r="1042" spans="1:15" ht="15" customHeight="1" x14ac:dyDescent="0.25">
      <c r="A1042" s="16">
        <v>1038</v>
      </c>
      <c r="B1042" s="16">
        <v>32</v>
      </c>
      <c r="C1042" s="16">
        <v>3</v>
      </c>
      <c r="D1042" s="16">
        <v>158.19999999999999</v>
      </c>
      <c r="E1042" s="17">
        <f t="shared" si="16"/>
        <v>9.07</v>
      </c>
      <c r="F1042" s="16">
        <v>1</v>
      </c>
      <c r="G1042" s="16">
        <v>6</v>
      </c>
      <c r="H1042" s="16">
        <v>1.67</v>
      </c>
      <c r="I1042" s="16">
        <v>9</v>
      </c>
      <c r="J1042" s="16">
        <v>145</v>
      </c>
      <c r="K1042" s="16">
        <v>4.53</v>
      </c>
      <c r="L1042" s="16">
        <v>30.1</v>
      </c>
      <c r="M1042" s="16">
        <v>3</v>
      </c>
      <c r="N1042" s="18">
        <f>IF(Risk_Calculation_Engine!U1042="Low",1,IF(Risk_Calculation_Engine!U1042="Medium",2,3))</f>
        <v>1</v>
      </c>
      <c r="O1042" s="18" t="str">
        <f>Risk_Calculation_Engine!U1042</f>
        <v>Low</v>
      </c>
    </row>
    <row r="1043" spans="1:15" ht="15" customHeight="1" x14ac:dyDescent="0.25">
      <c r="A1043" s="16">
        <v>1039</v>
      </c>
      <c r="B1043" s="16">
        <v>48.4</v>
      </c>
      <c r="C1043" s="16">
        <v>3</v>
      </c>
      <c r="D1043" s="16">
        <v>184.8</v>
      </c>
      <c r="E1043" s="17">
        <f t="shared" si="16"/>
        <v>12.08</v>
      </c>
      <c r="F1043" s="16">
        <v>2</v>
      </c>
      <c r="G1043" s="16">
        <v>8</v>
      </c>
      <c r="H1043" s="16">
        <v>1.31</v>
      </c>
      <c r="I1043" s="16">
        <v>7</v>
      </c>
      <c r="J1043" s="16">
        <v>390</v>
      </c>
      <c r="K1043" s="16">
        <v>8.06</v>
      </c>
      <c r="L1043" s="16">
        <v>96.6</v>
      </c>
      <c r="M1043" s="16">
        <v>2</v>
      </c>
      <c r="N1043" s="18">
        <f>IF(Risk_Calculation_Engine!U1043="Low",1,IF(Risk_Calculation_Engine!U1043="Medium",2,3))</f>
        <v>2</v>
      </c>
      <c r="O1043" s="18" t="str">
        <f>Risk_Calculation_Engine!U1043</f>
        <v>Medium</v>
      </c>
    </row>
    <row r="1044" spans="1:15" ht="15" customHeight="1" x14ac:dyDescent="0.25">
      <c r="A1044" s="16">
        <v>1040</v>
      </c>
      <c r="B1044" s="16">
        <v>149.80000000000001</v>
      </c>
      <c r="C1044" s="16">
        <v>4</v>
      </c>
      <c r="D1044" s="16">
        <v>1318.9</v>
      </c>
      <c r="E1044" s="17">
        <f t="shared" si="16"/>
        <v>24.72</v>
      </c>
      <c r="F1044" s="16">
        <v>1</v>
      </c>
      <c r="G1044" s="16">
        <v>10</v>
      </c>
      <c r="H1044" s="16">
        <v>1.1100000000000001</v>
      </c>
      <c r="I1044" s="16">
        <v>14</v>
      </c>
      <c r="J1044" s="16">
        <v>1926</v>
      </c>
      <c r="K1044" s="16">
        <v>12.86</v>
      </c>
      <c r="L1044" s="16">
        <v>72.3</v>
      </c>
      <c r="M1044" s="16">
        <v>2</v>
      </c>
      <c r="N1044" s="18">
        <f>IF(Risk_Calculation_Engine!U1044="Low",1,IF(Risk_Calculation_Engine!U1044="Medium",2,3))</f>
        <v>3</v>
      </c>
      <c r="O1044" s="18" t="str">
        <f>Risk_Calculation_Engine!U1044</f>
        <v>High</v>
      </c>
    </row>
    <row r="1045" spans="1:15" ht="15" customHeight="1" x14ac:dyDescent="0.25">
      <c r="A1045" s="16">
        <v>1041</v>
      </c>
      <c r="B1045" s="16">
        <v>29.3</v>
      </c>
      <c r="C1045" s="16">
        <v>1</v>
      </c>
      <c r="D1045" s="16">
        <v>79.900000000000006</v>
      </c>
      <c r="E1045" s="17">
        <f t="shared" si="16"/>
        <v>7.28</v>
      </c>
      <c r="F1045" s="16">
        <v>2</v>
      </c>
      <c r="G1045" s="16">
        <v>6</v>
      </c>
      <c r="H1045" s="16">
        <v>1.72</v>
      </c>
      <c r="I1045" s="16">
        <v>15</v>
      </c>
      <c r="J1045" s="16">
        <v>78</v>
      </c>
      <c r="K1045" s="16">
        <v>2.66</v>
      </c>
      <c r="L1045" s="16">
        <v>51.2</v>
      </c>
      <c r="M1045" s="16">
        <v>3</v>
      </c>
      <c r="N1045" s="18">
        <f>IF(Risk_Calculation_Engine!U1045="Low",1,IF(Risk_Calculation_Engine!U1045="Medium",2,3))</f>
        <v>1</v>
      </c>
      <c r="O1045" s="18" t="str">
        <f>Risk_Calculation_Engine!U1045</f>
        <v>Low</v>
      </c>
    </row>
    <row r="1046" spans="1:15" ht="15" customHeight="1" x14ac:dyDescent="0.25">
      <c r="A1046" s="16">
        <v>1042</v>
      </c>
      <c r="B1046" s="16">
        <v>83.7</v>
      </c>
      <c r="C1046" s="16">
        <v>5</v>
      </c>
      <c r="D1046" s="16">
        <v>361.8</v>
      </c>
      <c r="E1046" s="17">
        <f t="shared" si="16"/>
        <v>7.64</v>
      </c>
      <c r="F1046" s="16">
        <v>3</v>
      </c>
      <c r="G1046" s="16">
        <v>6</v>
      </c>
      <c r="H1046" s="16">
        <v>2.5</v>
      </c>
      <c r="I1046" s="16">
        <v>9</v>
      </c>
      <c r="J1046" s="16">
        <v>1769</v>
      </c>
      <c r="K1046" s="16">
        <v>21.14</v>
      </c>
      <c r="L1046" s="16">
        <v>67.900000000000006</v>
      </c>
      <c r="M1046" s="16">
        <v>2</v>
      </c>
      <c r="N1046" s="18">
        <f>IF(Risk_Calculation_Engine!U1046="Low",1,IF(Risk_Calculation_Engine!U1046="Medium",2,3))</f>
        <v>3</v>
      </c>
      <c r="O1046" s="18" t="str">
        <f>Risk_Calculation_Engine!U1046</f>
        <v>High</v>
      </c>
    </row>
    <row r="1047" spans="1:15" ht="15" customHeight="1" x14ac:dyDescent="0.25">
      <c r="A1047" s="16">
        <v>1043</v>
      </c>
      <c r="B1047" s="16">
        <v>120.5</v>
      </c>
      <c r="C1047" s="16">
        <v>1</v>
      </c>
      <c r="D1047" s="16">
        <v>603.6</v>
      </c>
      <c r="E1047" s="17">
        <f t="shared" si="16"/>
        <v>18.37</v>
      </c>
      <c r="F1047" s="16">
        <v>1</v>
      </c>
      <c r="G1047" s="16">
        <v>6</v>
      </c>
      <c r="H1047" s="16">
        <v>1.2</v>
      </c>
      <c r="I1047" s="16">
        <v>9</v>
      </c>
      <c r="J1047" s="16">
        <v>205</v>
      </c>
      <c r="K1047" s="16">
        <v>1.7</v>
      </c>
      <c r="L1047" s="16">
        <v>42.3</v>
      </c>
      <c r="M1047" s="16">
        <v>3</v>
      </c>
      <c r="N1047" s="18">
        <f>IF(Risk_Calculation_Engine!U1047="Low",1,IF(Risk_Calculation_Engine!U1047="Medium",2,3))</f>
        <v>1</v>
      </c>
      <c r="O1047" s="18" t="str">
        <f>Risk_Calculation_Engine!U1047</f>
        <v>Low</v>
      </c>
    </row>
    <row r="1048" spans="1:15" ht="15" customHeight="1" x14ac:dyDescent="0.25">
      <c r="A1048" s="16">
        <v>1044</v>
      </c>
      <c r="B1048" s="16">
        <v>90</v>
      </c>
      <c r="C1048" s="16">
        <v>3</v>
      </c>
      <c r="D1048" s="16">
        <v>451.3</v>
      </c>
      <c r="E1048" s="17">
        <f t="shared" si="16"/>
        <v>26.74</v>
      </c>
      <c r="F1048" s="16">
        <v>2</v>
      </c>
      <c r="G1048" s="16">
        <v>7</v>
      </c>
      <c r="H1048" s="16">
        <v>0.76</v>
      </c>
      <c r="I1048" s="16">
        <v>3</v>
      </c>
      <c r="J1048" s="16">
        <v>623</v>
      </c>
      <c r="K1048" s="16">
        <v>6.92</v>
      </c>
      <c r="L1048" s="16">
        <v>31.7</v>
      </c>
      <c r="M1048" s="16">
        <v>2</v>
      </c>
      <c r="N1048" s="18">
        <f>IF(Risk_Calculation_Engine!U1048="Low",1,IF(Risk_Calculation_Engine!U1048="Medium",2,3))</f>
        <v>1</v>
      </c>
      <c r="O1048" s="18" t="str">
        <f>Risk_Calculation_Engine!U1048</f>
        <v>Low</v>
      </c>
    </row>
    <row r="1049" spans="1:15" ht="15" customHeight="1" x14ac:dyDescent="0.25">
      <c r="A1049" s="16">
        <v>1045</v>
      </c>
      <c r="B1049" s="16">
        <v>64.8</v>
      </c>
      <c r="C1049" s="16">
        <v>2</v>
      </c>
      <c r="D1049" s="16">
        <v>386.7</v>
      </c>
      <c r="E1049" s="17">
        <f t="shared" si="16"/>
        <v>12.89</v>
      </c>
      <c r="F1049" s="16">
        <v>1</v>
      </c>
      <c r="G1049" s="16">
        <v>4</v>
      </c>
      <c r="H1049" s="16">
        <v>1.51</v>
      </c>
      <c r="I1049" s="16">
        <v>6</v>
      </c>
      <c r="J1049" s="16">
        <v>345</v>
      </c>
      <c r="K1049" s="16">
        <v>5.32</v>
      </c>
      <c r="L1049" s="16">
        <v>59.6</v>
      </c>
      <c r="M1049" s="16">
        <v>1</v>
      </c>
      <c r="N1049" s="18">
        <f>IF(Risk_Calculation_Engine!U1049="Low",1,IF(Risk_Calculation_Engine!U1049="Medium",2,3))</f>
        <v>1</v>
      </c>
      <c r="O1049" s="18" t="str">
        <f>Risk_Calculation_Engine!U1049</f>
        <v>Low</v>
      </c>
    </row>
    <row r="1050" spans="1:15" ht="15" customHeight="1" x14ac:dyDescent="0.25">
      <c r="A1050" s="16">
        <v>1046</v>
      </c>
      <c r="B1050" s="16">
        <v>73.2</v>
      </c>
      <c r="C1050" s="16">
        <v>3</v>
      </c>
      <c r="D1050" s="16">
        <v>438.2</v>
      </c>
      <c r="E1050" s="17">
        <f t="shared" si="16"/>
        <v>18.32</v>
      </c>
      <c r="F1050" s="16">
        <v>1</v>
      </c>
      <c r="G1050" s="16">
        <v>3</v>
      </c>
      <c r="H1050" s="16">
        <v>1.1000000000000001</v>
      </c>
      <c r="I1050" s="16">
        <v>3</v>
      </c>
      <c r="J1050" s="16">
        <v>549</v>
      </c>
      <c r="K1050" s="16">
        <v>7.5</v>
      </c>
      <c r="L1050" s="16">
        <v>62.4</v>
      </c>
      <c r="M1050" s="16">
        <v>2</v>
      </c>
      <c r="N1050" s="18">
        <f>IF(Risk_Calculation_Engine!U1050="Low",1,IF(Risk_Calculation_Engine!U1050="Medium",2,3))</f>
        <v>1</v>
      </c>
      <c r="O1050" s="18" t="str">
        <f>Risk_Calculation_Engine!U1050</f>
        <v>Low</v>
      </c>
    </row>
    <row r="1051" spans="1:15" ht="15" customHeight="1" x14ac:dyDescent="0.25">
      <c r="A1051" s="16">
        <v>1047</v>
      </c>
      <c r="B1051" s="16">
        <v>94.4</v>
      </c>
      <c r="C1051" s="16">
        <v>3</v>
      </c>
      <c r="D1051" s="16">
        <v>375.4</v>
      </c>
      <c r="E1051" s="17">
        <f t="shared" si="16"/>
        <v>8.4600000000000009</v>
      </c>
      <c r="F1051" s="16">
        <v>3</v>
      </c>
      <c r="G1051" s="16">
        <v>4</v>
      </c>
      <c r="H1051" s="16">
        <v>2.2799999999999998</v>
      </c>
      <c r="I1051" s="16">
        <v>14</v>
      </c>
      <c r="J1051" s="16">
        <v>771</v>
      </c>
      <c r="K1051" s="16">
        <v>8.17</v>
      </c>
      <c r="L1051" s="16">
        <v>62.6</v>
      </c>
      <c r="M1051" s="16">
        <v>3</v>
      </c>
      <c r="N1051" s="18">
        <f>IF(Risk_Calculation_Engine!U1051="Low",1,IF(Risk_Calculation_Engine!U1051="Medium",2,3))</f>
        <v>2</v>
      </c>
      <c r="O1051" s="18" t="str">
        <f>Risk_Calculation_Engine!U1051</f>
        <v>Medium</v>
      </c>
    </row>
    <row r="1052" spans="1:15" ht="15" customHeight="1" x14ac:dyDescent="0.25">
      <c r="A1052" s="16">
        <v>1048</v>
      </c>
      <c r="B1052" s="16">
        <v>28.9</v>
      </c>
      <c r="C1052" s="16">
        <v>5</v>
      </c>
      <c r="D1052" s="16">
        <v>140.4</v>
      </c>
      <c r="E1052" s="17">
        <f t="shared" si="16"/>
        <v>11.19</v>
      </c>
      <c r="F1052" s="16">
        <v>2</v>
      </c>
      <c r="G1052" s="16">
        <v>4</v>
      </c>
      <c r="H1052" s="16">
        <v>1.31</v>
      </c>
      <c r="I1052" s="16">
        <v>5</v>
      </c>
      <c r="J1052" s="16">
        <v>772</v>
      </c>
      <c r="K1052" s="16">
        <v>26.71</v>
      </c>
      <c r="L1052" s="16">
        <v>84.1</v>
      </c>
      <c r="M1052" s="16">
        <v>2</v>
      </c>
      <c r="N1052" s="18">
        <f>IF(Risk_Calculation_Engine!U1052="Low",1,IF(Risk_Calculation_Engine!U1052="Medium",2,3))</f>
        <v>3</v>
      </c>
      <c r="O1052" s="18" t="str">
        <f>Risk_Calculation_Engine!U1052</f>
        <v>High</v>
      </c>
    </row>
    <row r="1053" spans="1:15" ht="15" customHeight="1" x14ac:dyDescent="0.25">
      <c r="A1053" s="16">
        <v>1049</v>
      </c>
      <c r="B1053" s="16">
        <v>60.2</v>
      </c>
      <c r="C1053" s="16">
        <v>3</v>
      </c>
      <c r="D1053" s="16">
        <v>219</v>
      </c>
      <c r="E1053" s="17">
        <f t="shared" si="16"/>
        <v>13.6</v>
      </c>
      <c r="F1053" s="16">
        <v>3</v>
      </c>
      <c r="G1053" s="16">
        <v>2</v>
      </c>
      <c r="H1053" s="16">
        <v>1.22</v>
      </c>
      <c r="I1053" s="16">
        <v>7</v>
      </c>
      <c r="J1053" s="16">
        <v>430</v>
      </c>
      <c r="K1053" s="16">
        <v>7.14</v>
      </c>
      <c r="L1053" s="16">
        <v>36.4</v>
      </c>
      <c r="M1053" s="16">
        <v>3</v>
      </c>
      <c r="N1053" s="18">
        <f>IF(Risk_Calculation_Engine!U1053="Low",1,IF(Risk_Calculation_Engine!U1053="Medium",2,3))</f>
        <v>1</v>
      </c>
      <c r="O1053" s="18" t="str">
        <f>Risk_Calculation_Engine!U1053</f>
        <v>Low</v>
      </c>
    </row>
    <row r="1054" spans="1:15" ht="15" customHeight="1" x14ac:dyDescent="0.25">
      <c r="A1054" s="16">
        <v>1050</v>
      </c>
      <c r="B1054" s="16">
        <v>149.80000000000001</v>
      </c>
      <c r="C1054" s="16">
        <v>4</v>
      </c>
      <c r="D1054" s="16">
        <v>792.2</v>
      </c>
      <c r="E1054" s="17">
        <f t="shared" si="16"/>
        <v>17.36</v>
      </c>
      <c r="F1054" s="16">
        <v>2</v>
      </c>
      <c r="G1054" s="16">
        <v>6</v>
      </c>
      <c r="H1054" s="16">
        <v>1.37</v>
      </c>
      <c r="I1054" s="16">
        <v>13</v>
      </c>
      <c r="J1054" s="16">
        <v>2139</v>
      </c>
      <c r="K1054" s="16">
        <v>14.28</v>
      </c>
      <c r="L1054" s="16">
        <v>76.3</v>
      </c>
      <c r="M1054" s="16">
        <v>1</v>
      </c>
      <c r="N1054" s="18">
        <f>IF(Risk_Calculation_Engine!U1054="Low",1,IF(Risk_Calculation_Engine!U1054="Medium",2,3))</f>
        <v>3</v>
      </c>
      <c r="O1054" s="18" t="str">
        <f>Risk_Calculation_Engine!U1054</f>
        <v>High</v>
      </c>
    </row>
    <row r="1055" spans="1:15" ht="15" customHeight="1" x14ac:dyDescent="0.25">
      <c r="A1055" s="16">
        <v>1051</v>
      </c>
      <c r="B1055" s="16">
        <v>85.7</v>
      </c>
      <c r="C1055" s="16">
        <v>3</v>
      </c>
      <c r="D1055" s="16">
        <v>608.70000000000005</v>
      </c>
      <c r="E1055" s="17">
        <f t="shared" si="16"/>
        <v>8.84</v>
      </c>
      <c r="F1055" s="16">
        <v>1</v>
      </c>
      <c r="G1055" s="16">
        <v>13</v>
      </c>
      <c r="H1055" s="16">
        <v>2.5</v>
      </c>
      <c r="I1055" s="16">
        <v>12</v>
      </c>
      <c r="J1055" s="16">
        <v>397</v>
      </c>
      <c r="K1055" s="16">
        <v>4.63</v>
      </c>
      <c r="L1055" s="16">
        <v>96.6</v>
      </c>
      <c r="M1055" s="16">
        <v>2</v>
      </c>
      <c r="N1055" s="18">
        <f>IF(Risk_Calculation_Engine!U1055="Low",1,IF(Risk_Calculation_Engine!U1055="Medium",2,3))</f>
        <v>3</v>
      </c>
      <c r="O1055" s="18" t="str">
        <f>Risk_Calculation_Engine!U1055</f>
        <v>High</v>
      </c>
    </row>
    <row r="1056" spans="1:15" ht="15" customHeight="1" x14ac:dyDescent="0.25">
      <c r="A1056" s="16">
        <v>1052</v>
      </c>
      <c r="B1056" s="16">
        <v>66.7</v>
      </c>
      <c r="C1056" s="16">
        <v>1</v>
      </c>
      <c r="D1056" s="16">
        <v>242</v>
      </c>
      <c r="E1056" s="17">
        <f t="shared" si="16"/>
        <v>8.94</v>
      </c>
      <c r="F1056" s="16">
        <v>2</v>
      </c>
      <c r="G1056" s="16">
        <v>7</v>
      </c>
      <c r="H1056" s="16">
        <v>1.91</v>
      </c>
      <c r="I1056" s="16">
        <v>11</v>
      </c>
      <c r="J1056" s="16">
        <v>197</v>
      </c>
      <c r="K1056" s="16">
        <v>2.95</v>
      </c>
      <c r="L1056" s="16">
        <v>40.799999999999997</v>
      </c>
      <c r="M1056" s="16">
        <v>3</v>
      </c>
      <c r="N1056" s="18">
        <f>IF(Risk_Calculation_Engine!U1056="Low",1,IF(Risk_Calculation_Engine!U1056="Medium",2,3))</f>
        <v>2</v>
      </c>
      <c r="O1056" s="18" t="str">
        <f>Risk_Calculation_Engine!U1056</f>
        <v>Medium</v>
      </c>
    </row>
    <row r="1057" spans="1:15" ht="15" customHeight="1" x14ac:dyDescent="0.25">
      <c r="A1057" s="16">
        <v>1053</v>
      </c>
      <c r="B1057" s="16">
        <v>44.3</v>
      </c>
      <c r="C1057" s="16">
        <v>3</v>
      </c>
      <c r="D1057" s="16">
        <v>280.89999999999998</v>
      </c>
      <c r="E1057" s="17">
        <f t="shared" si="16"/>
        <v>16.95</v>
      </c>
      <c r="F1057" s="16">
        <v>1</v>
      </c>
      <c r="G1057" s="16">
        <v>6</v>
      </c>
      <c r="H1057" s="16">
        <v>1.05</v>
      </c>
      <c r="I1057" s="16">
        <v>3</v>
      </c>
      <c r="J1057" s="16">
        <v>375</v>
      </c>
      <c r="K1057" s="16">
        <v>8.4700000000000006</v>
      </c>
      <c r="L1057" s="16">
        <v>73.2</v>
      </c>
      <c r="M1057" s="16">
        <v>3</v>
      </c>
      <c r="N1057" s="18">
        <f>IF(Risk_Calculation_Engine!U1057="Low",1,IF(Risk_Calculation_Engine!U1057="Medium",2,3))</f>
        <v>1</v>
      </c>
      <c r="O1057" s="18" t="str">
        <f>Risk_Calculation_Engine!U1057</f>
        <v>Low</v>
      </c>
    </row>
    <row r="1058" spans="1:15" ht="15" customHeight="1" x14ac:dyDescent="0.25">
      <c r="A1058" s="16">
        <v>1054</v>
      </c>
      <c r="B1058" s="16">
        <v>29.2</v>
      </c>
      <c r="C1058" s="16">
        <v>3</v>
      </c>
      <c r="D1058" s="16">
        <v>92.8</v>
      </c>
      <c r="E1058" s="17">
        <f t="shared" si="16"/>
        <v>13.74</v>
      </c>
      <c r="F1058" s="16">
        <v>3</v>
      </c>
      <c r="G1058" s="16">
        <v>5</v>
      </c>
      <c r="H1058" s="16">
        <v>0.95</v>
      </c>
      <c r="I1058" s="16">
        <v>10</v>
      </c>
      <c r="J1058" s="16">
        <v>95</v>
      </c>
      <c r="K1058" s="16">
        <v>3.25</v>
      </c>
      <c r="L1058" s="16">
        <v>50.1</v>
      </c>
      <c r="M1058" s="16">
        <v>2</v>
      </c>
      <c r="N1058" s="18">
        <f>IF(Risk_Calculation_Engine!U1058="Low",1,IF(Risk_Calculation_Engine!U1058="Medium",2,3))</f>
        <v>1</v>
      </c>
      <c r="O1058" s="18" t="str">
        <f>Risk_Calculation_Engine!U1058</f>
        <v>Low</v>
      </c>
    </row>
    <row r="1059" spans="1:15" ht="15" customHeight="1" x14ac:dyDescent="0.25">
      <c r="A1059" s="16">
        <v>1055</v>
      </c>
      <c r="B1059" s="16">
        <v>75.099999999999994</v>
      </c>
      <c r="C1059" s="16">
        <v>3</v>
      </c>
      <c r="D1059" s="16">
        <v>310.89999999999998</v>
      </c>
      <c r="E1059" s="17">
        <f t="shared" si="16"/>
        <v>7.32</v>
      </c>
      <c r="F1059" s="16">
        <v>2</v>
      </c>
      <c r="G1059" s="16">
        <v>10</v>
      </c>
      <c r="H1059" s="16">
        <v>2.5</v>
      </c>
      <c r="I1059" s="16">
        <v>10</v>
      </c>
      <c r="J1059" s="16">
        <v>491</v>
      </c>
      <c r="K1059" s="16">
        <v>6.54</v>
      </c>
      <c r="L1059" s="16">
        <v>66.900000000000006</v>
      </c>
      <c r="M1059" s="16">
        <v>1</v>
      </c>
      <c r="N1059" s="18">
        <f>IF(Risk_Calculation_Engine!U1059="Low",1,IF(Risk_Calculation_Engine!U1059="Medium",2,3))</f>
        <v>3</v>
      </c>
      <c r="O1059" s="18" t="str">
        <f>Risk_Calculation_Engine!U1059</f>
        <v>High</v>
      </c>
    </row>
    <row r="1060" spans="1:15" ht="15" customHeight="1" x14ac:dyDescent="0.25">
      <c r="A1060" s="16">
        <v>1056</v>
      </c>
      <c r="B1060" s="16">
        <v>79.3</v>
      </c>
      <c r="C1060" s="16">
        <v>5</v>
      </c>
      <c r="D1060" s="16">
        <v>478.3</v>
      </c>
      <c r="E1060" s="17">
        <f t="shared" si="16"/>
        <v>17.07</v>
      </c>
      <c r="F1060" s="16">
        <v>2</v>
      </c>
      <c r="G1060" s="16">
        <v>3</v>
      </c>
      <c r="H1060" s="16">
        <v>1.21</v>
      </c>
      <c r="I1060" s="16">
        <v>7</v>
      </c>
      <c r="J1060" s="16">
        <v>1432</v>
      </c>
      <c r="K1060" s="16">
        <v>18.059999999999999</v>
      </c>
      <c r="L1060" s="16">
        <v>35.799999999999997</v>
      </c>
      <c r="M1060" s="16">
        <v>1</v>
      </c>
      <c r="N1060" s="18">
        <f>IF(Risk_Calculation_Engine!U1060="Low",1,IF(Risk_Calculation_Engine!U1060="Medium",2,3))</f>
        <v>2</v>
      </c>
      <c r="O1060" s="18" t="str">
        <f>Risk_Calculation_Engine!U1060</f>
        <v>Medium</v>
      </c>
    </row>
    <row r="1061" spans="1:15" ht="15" customHeight="1" x14ac:dyDescent="0.25">
      <c r="A1061" s="16">
        <v>1057</v>
      </c>
      <c r="B1061" s="16">
        <v>56.9</v>
      </c>
      <c r="C1061" s="16">
        <v>4</v>
      </c>
      <c r="D1061" s="16">
        <v>252.3</v>
      </c>
      <c r="E1061" s="17">
        <f t="shared" si="16"/>
        <v>6.91</v>
      </c>
      <c r="F1061" s="16">
        <v>2</v>
      </c>
      <c r="G1061" s="16">
        <v>9</v>
      </c>
      <c r="H1061" s="16">
        <v>2.5</v>
      </c>
      <c r="I1061" s="16">
        <v>12</v>
      </c>
      <c r="J1061" s="16">
        <v>749</v>
      </c>
      <c r="K1061" s="16">
        <v>13.16</v>
      </c>
      <c r="L1061" s="16">
        <v>80.8</v>
      </c>
      <c r="M1061" s="16">
        <v>1</v>
      </c>
      <c r="N1061" s="18">
        <f>IF(Risk_Calculation_Engine!U1061="Low",1,IF(Risk_Calculation_Engine!U1061="Medium",2,3))</f>
        <v>3</v>
      </c>
      <c r="O1061" s="18" t="str">
        <f>Risk_Calculation_Engine!U1061</f>
        <v>High</v>
      </c>
    </row>
    <row r="1062" spans="1:15" ht="15" customHeight="1" x14ac:dyDescent="0.25">
      <c r="A1062" s="16">
        <v>1058</v>
      </c>
      <c r="B1062" s="16">
        <v>149.80000000000001</v>
      </c>
      <c r="C1062" s="16">
        <v>5</v>
      </c>
      <c r="D1062" s="16">
        <v>1035.0999999999999</v>
      </c>
      <c r="E1062" s="17">
        <f t="shared" si="16"/>
        <v>17.32</v>
      </c>
      <c r="F1062" s="16">
        <v>2</v>
      </c>
      <c r="G1062" s="16">
        <v>6</v>
      </c>
      <c r="H1062" s="16">
        <v>1.48</v>
      </c>
      <c r="I1062" s="16">
        <v>15</v>
      </c>
      <c r="J1062" s="16">
        <v>1689</v>
      </c>
      <c r="K1062" s="16">
        <v>11.28</v>
      </c>
      <c r="L1062" s="16">
        <v>76.8</v>
      </c>
      <c r="M1062" s="16">
        <v>3</v>
      </c>
      <c r="N1062" s="18">
        <f>IF(Risk_Calculation_Engine!U1062="Low",1,IF(Risk_Calculation_Engine!U1062="Medium",2,3))</f>
        <v>3</v>
      </c>
      <c r="O1062" s="18" t="str">
        <f>Risk_Calculation_Engine!U1062</f>
        <v>High</v>
      </c>
    </row>
    <row r="1063" spans="1:15" ht="15" customHeight="1" x14ac:dyDescent="0.25">
      <c r="A1063" s="16">
        <v>1059</v>
      </c>
      <c r="B1063" s="16">
        <v>31.8</v>
      </c>
      <c r="C1063" s="16">
        <v>3</v>
      </c>
      <c r="D1063" s="16">
        <v>87.4</v>
      </c>
      <c r="E1063" s="17">
        <f t="shared" si="16"/>
        <v>11.16</v>
      </c>
      <c r="F1063" s="16">
        <v>3</v>
      </c>
      <c r="G1063" s="16">
        <v>2</v>
      </c>
      <c r="H1063" s="16">
        <v>1.1499999999999999</v>
      </c>
      <c r="I1063" s="16">
        <v>6</v>
      </c>
      <c r="J1063" s="16">
        <v>196</v>
      </c>
      <c r="K1063" s="16">
        <v>6.16</v>
      </c>
      <c r="L1063" s="16">
        <v>70.900000000000006</v>
      </c>
      <c r="M1063" s="16">
        <v>2</v>
      </c>
      <c r="N1063" s="18">
        <f>IF(Risk_Calculation_Engine!U1063="Low",1,IF(Risk_Calculation_Engine!U1063="Medium",2,3))</f>
        <v>1</v>
      </c>
      <c r="O1063" s="18" t="str">
        <f>Risk_Calculation_Engine!U1063</f>
        <v>Low</v>
      </c>
    </row>
    <row r="1064" spans="1:15" ht="15" customHeight="1" x14ac:dyDescent="0.25">
      <c r="A1064" s="16">
        <v>1060</v>
      </c>
      <c r="B1064" s="16">
        <v>25</v>
      </c>
      <c r="C1064" s="16">
        <v>4</v>
      </c>
      <c r="D1064" s="16">
        <v>150.6</v>
      </c>
      <c r="E1064" s="17">
        <f t="shared" si="16"/>
        <v>12.66</v>
      </c>
      <c r="F1064" s="16">
        <v>1</v>
      </c>
      <c r="G1064" s="16">
        <v>4</v>
      </c>
      <c r="H1064" s="16">
        <v>1.18</v>
      </c>
      <c r="I1064" s="16">
        <v>7</v>
      </c>
      <c r="J1064" s="16">
        <v>250</v>
      </c>
      <c r="K1064" s="16">
        <v>10</v>
      </c>
      <c r="L1064" s="16">
        <v>64.400000000000006</v>
      </c>
      <c r="M1064" s="16">
        <v>1</v>
      </c>
      <c r="N1064" s="18">
        <f>IF(Risk_Calculation_Engine!U1064="Low",1,IF(Risk_Calculation_Engine!U1064="Medium",2,3))</f>
        <v>2</v>
      </c>
      <c r="O1064" s="18" t="str">
        <f>Risk_Calculation_Engine!U1064</f>
        <v>Medium</v>
      </c>
    </row>
    <row r="1065" spans="1:15" ht="15" customHeight="1" x14ac:dyDescent="0.25">
      <c r="A1065" s="16">
        <v>1061</v>
      </c>
      <c r="B1065" s="16">
        <v>44.9</v>
      </c>
      <c r="C1065" s="16">
        <v>4</v>
      </c>
      <c r="D1065" s="16">
        <v>285.60000000000002</v>
      </c>
      <c r="E1065" s="17">
        <f t="shared" si="16"/>
        <v>11.84</v>
      </c>
      <c r="F1065" s="16">
        <v>1</v>
      </c>
      <c r="G1065" s="16">
        <v>6</v>
      </c>
      <c r="H1065" s="16">
        <v>1.51</v>
      </c>
      <c r="I1065" s="16">
        <v>7</v>
      </c>
      <c r="J1065" s="16">
        <v>402</v>
      </c>
      <c r="K1065" s="16">
        <v>8.9499999999999993</v>
      </c>
      <c r="L1065" s="16">
        <v>69.400000000000006</v>
      </c>
      <c r="M1065" s="16">
        <v>3</v>
      </c>
      <c r="N1065" s="18">
        <f>IF(Risk_Calculation_Engine!U1065="Low",1,IF(Risk_Calculation_Engine!U1065="Medium",2,3))</f>
        <v>2</v>
      </c>
      <c r="O1065" s="18" t="str">
        <f>Risk_Calculation_Engine!U1065</f>
        <v>Medium</v>
      </c>
    </row>
    <row r="1066" spans="1:15" ht="15" customHeight="1" x14ac:dyDescent="0.25">
      <c r="A1066" s="16">
        <v>1062</v>
      </c>
      <c r="B1066" s="16">
        <v>58.4</v>
      </c>
      <c r="C1066" s="16">
        <v>4</v>
      </c>
      <c r="D1066" s="16">
        <v>448.6</v>
      </c>
      <c r="E1066" s="17">
        <f t="shared" si="16"/>
        <v>27.05</v>
      </c>
      <c r="F1066" s="16">
        <v>1</v>
      </c>
      <c r="G1066" s="16">
        <v>4</v>
      </c>
      <c r="H1066" s="16">
        <v>0.75</v>
      </c>
      <c r="I1066" s="16">
        <v>13</v>
      </c>
      <c r="J1066" s="16">
        <v>871</v>
      </c>
      <c r="K1066" s="16">
        <v>14.91</v>
      </c>
      <c r="L1066" s="16">
        <v>83.5</v>
      </c>
      <c r="M1066" s="16">
        <v>3</v>
      </c>
      <c r="N1066" s="18">
        <f>IF(Risk_Calculation_Engine!U1066="Low",1,IF(Risk_Calculation_Engine!U1066="Medium",2,3))</f>
        <v>1</v>
      </c>
      <c r="O1066" s="18" t="str">
        <f>Risk_Calculation_Engine!U1066</f>
        <v>Low</v>
      </c>
    </row>
    <row r="1067" spans="1:15" ht="15" customHeight="1" x14ac:dyDescent="0.25">
      <c r="A1067" s="16">
        <v>1063</v>
      </c>
      <c r="B1067" s="16">
        <v>27.8</v>
      </c>
      <c r="C1067" s="16">
        <v>5</v>
      </c>
      <c r="D1067" s="16">
        <v>148.19999999999999</v>
      </c>
      <c r="E1067" s="17">
        <f t="shared" si="16"/>
        <v>12.82</v>
      </c>
      <c r="F1067" s="16">
        <v>2</v>
      </c>
      <c r="G1067" s="16">
        <v>7</v>
      </c>
      <c r="H1067" s="16">
        <v>1.1599999999999999</v>
      </c>
      <c r="I1067" s="16">
        <v>4</v>
      </c>
      <c r="J1067" s="16">
        <v>520</v>
      </c>
      <c r="K1067" s="16">
        <v>18.71</v>
      </c>
      <c r="L1067" s="16">
        <v>90.8</v>
      </c>
      <c r="M1067" s="16">
        <v>2</v>
      </c>
      <c r="N1067" s="18">
        <f>IF(Risk_Calculation_Engine!U1067="Low",1,IF(Risk_Calculation_Engine!U1067="Medium",2,3))</f>
        <v>3</v>
      </c>
      <c r="O1067" s="18" t="str">
        <f>Risk_Calculation_Engine!U1067</f>
        <v>High</v>
      </c>
    </row>
    <row r="1068" spans="1:15" ht="15" customHeight="1" x14ac:dyDescent="0.25">
      <c r="A1068" s="16">
        <v>1064</v>
      </c>
      <c r="B1068" s="16">
        <v>73.7</v>
      </c>
      <c r="C1068" s="16">
        <v>4</v>
      </c>
      <c r="D1068" s="16">
        <v>393.8</v>
      </c>
      <c r="E1068" s="17">
        <f t="shared" si="16"/>
        <v>7.82</v>
      </c>
      <c r="F1068" s="16">
        <v>2</v>
      </c>
      <c r="G1068" s="16">
        <v>5</v>
      </c>
      <c r="H1068" s="16">
        <v>2.5</v>
      </c>
      <c r="I1068" s="16">
        <v>14</v>
      </c>
      <c r="J1068" s="16">
        <v>673</v>
      </c>
      <c r="K1068" s="16">
        <v>9.1300000000000008</v>
      </c>
      <c r="L1068" s="16">
        <v>60.3</v>
      </c>
      <c r="M1068" s="16">
        <v>3</v>
      </c>
      <c r="N1068" s="18">
        <f>IF(Risk_Calculation_Engine!U1068="Low",1,IF(Risk_Calculation_Engine!U1068="Medium",2,3))</f>
        <v>2</v>
      </c>
      <c r="O1068" s="18" t="str">
        <f>Risk_Calculation_Engine!U1068</f>
        <v>Medium</v>
      </c>
    </row>
    <row r="1069" spans="1:15" ht="15" customHeight="1" x14ac:dyDescent="0.25">
      <c r="A1069" s="16">
        <v>1065</v>
      </c>
      <c r="B1069" s="16">
        <v>80.099999999999994</v>
      </c>
      <c r="C1069" s="16">
        <v>5</v>
      </c>
      <c r="D1069" s="16">
        <v>610.9</v>
      </c>
      <c r="E1069" s="17">
        <f t="shared" si="16"/>
        <v>8.85</v>
      </c>
      <c r="F1069" s="16">
        <v>1</v>
      </c>
      <c r="G1069" s="16">
        <v>9</v>
      </c>
      <c r="H1069" s="16">
        <v>2.5</v>
      </c>
      <c r="I1069" s="16">
        <v>13</v>
      </c>
      <c r="J1069" s="16">
        <v>1956</v>
      </c>
      <c r="K1069" s="16">
        <v>24.42</v>
      </c>
      <c r="L1069" s="16">
        <v>38.299999999999997</v>
      </c>
      <c r="M1069" s="16">
        <v>2</v>
      </c>
      <c r="N1069" s="18">
        <f>IF(Risk_Calculation_Engine!U1069="Low",1,IF(Risk_Calculation_Engine!U1069="Medium",2,3))</f>
        <v>3</v>
      </c>
      <c r="O1069" s="18" t="str">
        <f>Risk_Calculation_Engine!U1069</f>
        <v>High</v>
      </c>
    </row>
    <row r="1070" spans="1:15" ht="15" customHeight="1" x14ac:dyDescent="0.25">
      <c r="A1070" s="16">
        <v>1066</v>
      </c>
      <c r="B1070" s="16">
        <v>102.9</v>
      </c>
      <c r="C1070" s="16">
        <v>4</v>
      </c>
      <c r="D1070" s="16">
        <v>534.6</v>
      </c>
      <c r="E1070" s="17">
        <f t="shared" si="16"/>
        <v>17.61</v>
      </c>
      <c r="F1070" s="16">
        <v>2</v>
      </c>
      <c r="G1070" s="16">
        <v>8</v>
      </c>
      <c r="H1070" s="16">
        <v>1.21</v>
      </c>
      <c r="I1070" s="16">
        <v>9</v>
      </c>
      <c r="J1070" s="16">
        <v>658</v>
      </c>
      <c r="K1070" s="16">
        <v>6.39</v>
      </c>
      <c r="L1070" s="16">
        <v>50.8</v>
      </c>
      <c r="M1070" s="16">
        <v>1</v>
      </c>
      <c r="N1070" s="18">
        <f>IF(Risk_Calculation_Engine!U1070="Low",1,IF(Risk_Calculation_Engine!U1070="Medium",2,3))</f>
        <v>2</v>
      </c>
      <c r="O1070" s="18" t="str">
        <f>Risk_Calculation_Engine!U1070</f>
        <v>Medium</v>
      </c>
    </row>
    <row r="1071" spans="1:15" ht="15" customHeight="1" x14ac:dyDescent="0.25">
      <c r="A1071" s="16">
        <v>1067</v>
      </c>
      <c r="B1071" s="16">
        <v>38.700000000000003</v>
      </c>
      <c r="C1071" s="16">
        <v>2</v>
      </c>
      <c r="D1071" s="16">
        <v>143.19999999999999</v>
      </c>
      <c r="E1071" s="17">
        <f t="shared" si="16"/>
        <v>6.98</v>
      </c>
      <c r="F1071" s="16">
        <v>2</v>
      </c>
      <c r="G1071" s="16">
        <v>4</v>
      </c>
      <c r="H1071" s="16">
        <v>2.11</v>
      </c>
      <c r="I1071" s="16">
        <v>10</v>
      </c>
      <c r="J1071" s="16">
        <v>122</v>
      </c>
      <c r="K1071" s="16">
        <v>3.15</v>
      </c>
      <c r="L1071" s="16">
        <v>43.7</v>
      </c>
      <c r="M1071" s="16">
        <v>3</v>
      </c>
      <c r="N1071" s="18">
        <f>IF(Risk_Calculation_Engine!U1071="Low",1,IF(Risk_Calculation_Engine!U1071="Medium",2,3))</f>
        <v>2</v>
      </c>
      <c r="O1071" s="18" t="str">
        <f>Risk_Calculation_Engine!U1071</f>
        <v>Medium</v>
      </c>
    </row>
    <row r="1072" spans="1:15" ht="15" customHeight="1" x14ac:dyDescent="0.25">
      <c r="A1072" s="16">
        <v>1068</v>
      </c>
      <c r="B1072" s="16">
        <v>149.80000000000001</v>
      </c>
      <c r="C1072" s="16">
        <v>4</v>
      </c>
      <c r="D1072" s="16">
        <v>1056.9000000000001</v>
      </c>
      <c r="E1072" s="17">
        <f t="shared" si="16"/>
        <v>13.64</v>
      </c>
      <c r="F1072" s="16">
        <v>1</v>
      </c>
      <c r="G1072" s="16">
        <v>6</v>
      </c>
      <c r="H1072" s="16">
        <v>1.89</v>
      </c>
      <c r="I1072" s="16">
        <v>14</v>
      </c>
      <c r="J1072" s="16">
        <v>1167</v>
      </c>
      <c r="K1072" s="16">
        <v>7.79</v>
      </c>
      <c r="L1072" s="16">
        <v>83</v>
      </c>
      <c r="M1072" s="16">
        <v>1</v>
      </c>
      <c r="N1072" s="18">
        <f>IF(Risk_Calculation_Engine!U1072="Low",1,IF(Risk_Calculation_Engine!U1072="Medium",2,3))</f>
        <v>3</v>
      </c>
      <c r="O1072" s="18" t="str">
        <f>Risk_Calculation_Engine!U1072</f>
        <v>High</v>
      </c>
    </row>
    <row r="1073" spans="1:15" ht="15" customHeight="1" x14ac:dyDescent="0.25">
      <c r="A1073" s="16">
        <v>1069</v>
      </c>
      <c r="B1073" s="16">
        <v>97.8</v>
      </c>
      <c r="C1073" s="16">
        <v>3</v>
      </c>
      <c r="D1073" s="16">
        <v>359.5</v>
      </c>
      <c r="E1073" s="17">
        <f t="shared" si="16"/>
        <v>19.07</v>
      </c>
      <c r="F1073" s="16">
        <v>3</v>
      </c>
      <c r="G1073" s="16">
        <v>4</v>
      </c>
      <c r="H1073" s="16">
        <v>1</v>
      </c>
      <c r="I1073" s="16">
        <v>13</v>
      </c>
      <c r="J1073" s="16">
        <v>841</v>
      </c>
      <c r="K1073" s="16">
        <v>8.6</v>
      </c>
      <c r="L1073" s="16">
        <v>91.8</v>
      </c>
      <c r="M1073" s="16">
        <v>3</v>
      </c>
      <c r="N1073" s="18">
        <f>IF(Risk_Calculation_Engine!U1073="Low",1,IF(Risk_Calculation_Engine!U1073="Medium",2,3))</f>
        <v>1</v>
      </c>
      <c r="O1073" s="18" t="str">
        <f>Risk_Calculation_Engine!U1073</f>
        <v>Low</v>
      </c>
    </row>
    <row r="1074" spans="1:15" ht="15" customHeight="1" x14ac:dyDescent="0.25">
      <c r="A1074" s="16">
        <v>1070</v>
      </c>
      <c r="B1074" s="16">
        <v>31.2</v>
      </c>
      <c r="C1074" s="16">
        <v>5</v>
      </c>
      <c r="D1074" s="16">
        <v>170.8</v>
      </c>
      <c r="E1074" s="17">
        <f t="shared" si="16"/>
        <v>7.3</v>
      </c>
      <c r="F1074" s="16">
        <v>2</v>
      </c>
      <c r="G1074" s="16">
        <v>10</v>
      </c>
      <c r="H1074" s="16">
        <v>2.12</v>
      </c>
      <c r="I1074" s="16">
        <v>6</v>
      </c>
      <c r="J1074" s="16">
        <v>775</v>
      </c>
      <c r="K1074" s="16">
        <v>24.84</v>
      </c>
      <c r="L1074" s="16">
        <v>35.9</v>
      </c>
      <c r="M1074" s="16">
        <v>2</v>
      </c>
      <c r="N1074" s="18">
        <f>IF(Risk_Calculation_Engine!U1074="Low",1,IF(Risk_Calculation_Engine!U1074="Medium",2,3))</f>
        <v>3</v>
      </c>
      <c r="O1074" s="18" t="str">
        <f>Risk_Calculation_Engine!U1074</f>
        <v>High</v>
      </c>
    </row>
    <row r="1075" spans="1:15" ht="15" customHeight="1" x14ac:dyDescent="0.25">
      <c r="A1075" s="16">
        <v>1071</v>
      </c>
      <c r="B1075" s="16">
        <v>27.7</v>
      </c>
      <c r="C1075" s="16">
        <v>4</v>
      </c>
      <c r="D1075" s="16">
        <v>152.1</v>
      </c>
      <c r="E1075" s="17">
        <f t="shared" si="16"/>
        <v>11.02</v>
      </c>
      <c r="F1075" s="16">
        <v>2</v>
      </c>
      <c r="G1075" s="16">
        <v>5</v>
      </c>
      <c r="H1075" s="16">
        <v>1.36</v>
      </c>
      <c r="I1075" s="16">
        <v>3</v>
      </c>
      <c r="J1075" s="16">
        <v>307</v>
      </c>
      <c r="K1075" s="16">
        <v>11.08</v>
      </c>
      <c r="L1075" s="16">
        <v>60.9</v>
      </c>
      <c r="M1075" s="16">
        <v>3</v>
      </c>
      <c r="N1075" s="18">
        <f>IF(Risk_Calculation_Engine!U1075="Low",1,IF(Risk_Calculation_Engine!U1075="Medium",2,3))</f>
        <v>2</v>
      </c>
      <c r="O1075" s="18" t="str">
        <f>Risk_Calculation_Engine!U1075</f>
        <v>Medium</v>
      </c>
    </row>
    <row r="1076" spans="1:15" ht="15" customHeight="1" x14ac:dyDescent="0.25">
      <c r="A1076" s="16">
        <v>1072</v>
      </c>
      <c r="B1076" s="16">
        <v>47.6</v>
      </c>
      <c r="C1076" s="16">
        <v>2</v>
      </c>
      <c r="D1076" s="16">
        <v>165.5</v>
      </c>
      <c r="E1076" s="17">
        <f t="shared" si="16"/>
        <v>9.36</v>
      </c>
      <c r="F1076" s="16">
        <v>2</v>
      </c>
      <c r="G1076" s="16">
        <v>7</v>
      </c>
      <c r="H1076" s="16">
        <v>1.64</v>
      </c>
      <c r="I1076" s="16">
        <v>11</v>
      </c>
      <c r="J1076" s="16">
        <v>156</v>
      </c>
      <c r="K1076" s="16">
        <v>3.28</v>
      </c>
      <c r="L1076" s="16">
        <v>32.5</v>
      </c>
      <c r="M1076" s="16">
        <v>1</v>
      </c>
      <c r="N1076" s="18">
        <f>IF(Risk_Calculation_Engine!U1076="Low",1,IF(Risk_Calculation_Engine!U1076="Medium",2,3))</f>
        <v>1</v>
      </c>
      <c r="O1076" s="18" t="str">
        <f>Risk_Calculation_Engine!U1076</f>
        <v>Low</v>
      </c>
    </row>
    <row r="1077" spans="1:15" ht="15" customHeight="1" x14ac:dyDescent="0.25">
      <c r="A1077" s="16">
        <v>1073</v>
      </c>
      <c r="B1077" s="16">
        <v>80.3</v>
      </c>
      <c r="C1077" s="16">
        <v>2</v>
      </c>
      <c r="D1077" s="16">
        <v>308.5</v>
      </c>
      <c r="E1077" s="17">
        <f t="shared" si="16"/>
        <v>7.87</v>
      </c>
      <c r="F1077" s="16">
        <v>2</v>
      </c>
      <c r="G1077" s="16">
        <v>4</v>
      </c>
      <c r="H1077" s="16">
        <v>2.3199999999999998</v>
      </c>
      <c r="I1077" s="16">
        <v>4</v>
      </c>
      <c r="J1077" s="16">
        <v>311</v>
      </c>
      <c r="K1077" s="16">
        <v>3.87</v>
      </c>
      <c r="L1077" s="16">
        <v>93.6</v>
      </c>
      <c r="M1077" s="16">
        <v>2</v>
      </c>
      <c r="N1077" s="18">
        <f>IF(Risk_Calculation_Engine!U1077="Low",1,IF(Risk_Calculation_Engine!U1077="Medium",2,3))</f>
        <v>2</v>
      </c>
      <c r="O1077" s="18" t="str">
        <f>Risk_Calculation_Engine!U1077</f>
        <v>Medium</v>
      </c>
    </row>
    <row r="1078" spans="1:15" ht="15" customHeight="1" x14ac:dyDescent="0.25">
      <c r="A1078" s="16">
        <v>1074</v>
      </c>
      <c r="B1078" s="16">
        <v>89.4</v>
      </c>
      <c r="C1078" s="16">
        <v>1</v>
      </c>
      <c r="D1078" s="16">
        <v>253.6</v>
      </c>
      <c r="E1078" s="17">
        <f t="shared" si="16"/>
        <v>12.44</v>
      </c>
      <c r="F1078" s="16">
        <v>3</v>
      </c>
      <c r="G1078" s="16">
        <v>6</v>
      </c>
      <c r="H1078" s="16">
        <v>1.39</v>
      </c>
      <c r="I1078" s="16">
        <v>4</v>
      </c>
      <c r="J1078" s="16">
        <v>192</v>
      </c>
      <c r="K1078" s="16">
        <v>2.15</v>
      </c>
      <c r="L1078" s="16">
        <v>33.299999999999997</v>
      </c>
      <c r="M1078" s="16">
        <v>3</v>
      </c>
      <c r="N1078" s="18">
        <f>IF(Risk_Calculation_Engine!U1078="Low",1,IF(Risk_Calculation_Engine!U1078="Medium",2,3))</f>
        <v>1</v>
      </c>
      <c r="O1078" s="18" t="str">
        <f>Risk_Calculation_Engine!U1078</f>
        <v>Low</v>
      </c>
    </row>
    <row r="1079" spans="1:15" ht="15" customHeight="1" x14ac:dyDescent="0.25">
      <c r="A1079" s="16">
        <v>1075</v>
      </c>
      <c r="B1079" s="16">
        <v>97.6</v>
      </c>
      <c r="C1079" s="16">
        <v>3</v>
      </c>
      <c r="D1079" s="16">
        <v>506.2</v>
      </c>
      <c r="E1079" s="17">
        <f t="shared" si="16"/>
        <v>15.1</v>
      </c>
      <c r="F1079" s="16">
        <v>2</v>
      </c>
      <c r="G1079" s="16">
        <v>5</v>
      </c>
      <c r="H1079" s="16">
        <v>1.39</v>
      </c>
      <c r="I1079" s="16">
        <v>15</v>
      </c>
      <c r="J1079" s="16">
        <v>609</v>
      </c>
      <c r="K1079" s="16">
        <v>6.24</v>
      </c>
      <c r="L1079" s="16">
        <v>83.2</v>
      </c>
      <c r="M1079" s="16">
        <v>3</v>
      </c>
      <c r="N1079" s="18">
        <f>IF(Risk_Calculation_Engine!U1079="Low",1,IF(Risk_Calculation_Engine!U1079="Medium",2,3))</f>
        <v>2</v>
      </c>
      <c r="O1079" s="18" t="str">
        <f>Risk_Calculation_Engine!U1079</f>
        <v>Medium</v>
      </c>
    </row>
    <row r="1080" spans="1:15" ht="15" customHeight="1" x14ac:dyDescent="0.25">
      <c r="A1080" s="16">
        <v>1076</v>
      </c>
      <c r="B1080" s="16">
        <v>149.80000000000001</v>
      </c>
      <c r="C1080" s="16">
        <v>2</v>
      </c>
      <c r="D1080" s="16">
        <v>629.29999999999995</v>
      </c>
      <c r="E1080" s="17">
        <f t="shared" si="16"/>
        <v>11.04</v>
      </c>
      <c r="F1080" s="16">
        <v>2</v>
      </c>
      <c r="G1080" s="16">
        <v>9</v>
      </c>
      <c r="H1080" s="16">
        <v>2.02</v>
      </c>
      <c r="I1080" s="16">
        <v>9</v>
      </c>
      <c r="J1080" s="16">
        <v>453</v>
      </c>
      <c r="K1080" s="16">
        <v>3.02</v>
      </c>
      <c r="L1080" s="16">
        <v>77.8</v>
      </c>
      <c r="M1080" s="16">
        <v>3</v>
      </c>
      <c r="N1080" s="18">
        <f>IF(Risk_Calculation_Engine!U1080="Low",1,IF(Risk_Calculation_Engine!U1080="Medium",2,3))</f>
        <v>3</v>
      </c>
      <c r="O1080" s="18" t="str">
        <f>Risk_Calculation_Engine!U1080</f>
        <v>High</v>
      </c>
    </row>
    <row r="1081" spans="1:15" ht="15" customHeight="1" x14ac:dyDescent="0.25">
      <c r="A1081" s="16">
        <v>1077</v>
      </c>
      <c r="B1081" s="16">
        <v>8.6999999999999993</v>
      </c>
      <c r="C1081" s="16">
        <v>4</v>
      </c>
      <c r="D1081" s="16">
        <v>24.7</v>
      </c>
      <c r="E1081" s="17">
        <f t="shared" si="16"/>
        <v>3.6</v>
      </c>
      <c r="F1081" s="16">
        <v>3</v>
      </c>
      <c r="G1081" s="16">
        <v>5</v>
      </c>
      <c r="H1081" s="16">
        <v>2.5</v>
      </c>
      <c r="I1081" s="16">
        <v>11</v>
      </c>
      <c r="J1081" s="16">
        <v>55</v>
      </c>
      <c r="K1081" s="16">
        <v>6.32</v>
      </c>
      <c r="L1081" s="16">
        <v>26.5</v>
      </c>
      <c r="M1081" s="16">
        <v>1</v>
      </c>
      <c r="N1081" s="18">
        <f>IF(Risk_Calculation_Engine!U1081="Low",1,IF(Risk_Calculation_Engine!U1081="Medium",2,3))</f>
        <v>2</v>
      </c>
      <c r="O1081" s="18" t="str">
        <f>Risk_Calculation_Engine!U1081</f>
        <v>Medium</v>
      </c>
    </row>
    <row r="1082" spans="1:15" ht="15" customHeight="1" x14ac:dyDescent="0.25">
      <c r="A1082" s="16">
        <v>1078</v>
      </c>
      <c r="B1082" s="16">
        <v>55.6</v>
      </c>
      <c r="C1082" s="16">
        <v>4</v>
      </c>
      <c r="D1082" s="16">
        <v>208</v>
      </c>
      <c r="E1082" s="17">
        <f t="shared" si="16"/>
        <v>8.3000000000000007</v>
      </c>
      <c r="F1082" s="16">
        <v>3</v>
      </c>
      <c r="G1082" s="16">
        <v>7</v>
      </c>
      <c r="H1082" s="16">
        <v>1.97</v>
      </c>
      <c r="I1082" s="16">
        <v>5</v>
      </c>
      <c r="J1082" s="16">
        <v>783</v>
      </c>
      <c r="K1082" s="16">
        <v>14.08</v>
      </c>
      <c r="L1082" s="16">
        <v>45.3</v>
      </c>
      <c r="M1082" s="16">
        <v>2</v>
      </c>
      <c r="N1082" s="18">
        <f>IF(Risk_Calculation_Engine!U1082="Low",1,IF(Risk_Calculation_Engine!U1082="Medium",2,3))</f>
        <v>3</v>
      </c>
      <c r="O1082" s="18" t="str">
        <f>Risk_Calculation_Engine!U1082</f>
        <v>High</v>
      </c>
    </row>
    <row r="1083" spans="1:15" ht="15" customHeight="1" x14ac:dyDescent="0.25">
      <c r="A1083" s="16">
        <v>1079</v>
      </c>
      <c r="B1083" s="16">
        <v>149.80000000000001</v>
      </c>
      <c r="C1083" s="16">
        <v>4</v>
      </c>
      <c r="D1083" s="16">
        <v>652.70000000000005</v>
      </c>
      <c r="E1083" s="17">
        <f t="shared" si="16"/>
        <v>15.98</v>
      </c>
      <c r="F1083" s="16">
        <v>3</v>
      </c>
      <c r="G1083" s="16">
        <v>3</v>
      </c>
      <c r="H1083" s="16">
        <v>1.41</v>
      </c>
      <c r="I1083" s="16">
        <v>4</v>
      </c>
      <c r="J1083" s="16">
        <v>1709</v>
      </c>
      <c r="K1083" s="16">
        <v>11.41</v>
      </c>
      <c r="L1083" s="16">
        <v>58.6</v>
      </c>
      <c r="M1083" s="16">
        <v>2</v>
      </c>
      <c r="N1083" s="18">
        <f>IF(Risk_Calculation_Engine!U1083="Low",1,IF(Risk_Calculation_Engine!U1083="Medium",2,3))</f>
        <v>2</v>
      </c>
      <c r="O1083" s="18" t="str">
        <f>Risk_Calculation_Engine!U1083</f>
        <v>Medium</v>
      </c>
    </row>
    <row r="1084" spans="1:15" ht="15" customHeight="1" x14ac:dyDescent="0.25">
      <c r="A1084" s="16">
        <v>1080</v>
      </c>
      <c r="B1084" s="16">
        <v>106.4</v>
      </c>
      <c r="C1084" s="16">
        <v>3</v>
      </c>
      <c r="D1084" s="16">
        <v>632.4</v>
      </c>
      <c r="E1084" s="17">
        <f t="shared" si="16"/>
        <v>8.93</v>
      </c>
      <c r="F1084" s="16">
        <v>1</v>
      </c>
      <c r="G1084" s="16">
        <v>2</v>
      </c>
      <c r="H1084" s="16">
        <v>2.5</v>
      </c>
      <c r="I1084" s="16">
        <v>3</v>
      </c>
      <c r="J1084" s="16">
        <v>412</v>
      </c>
      <c r="K1084" s="16">
        <v>3.87</v>
      </c>
      <c r="L1084" s="16">
        <v>61</v>
      </c>
      <c r="M1084" s="16">
        <v>2</v>
      </c>
      <c r="N1084" s="18">
        <f>IF(Risk_Calculation_Engine!U1084="Low",1,IF(Risk_Calculation_Engine!U1084="Medium",2,3))</f>
        <v>2</v>
      </c>
      <c r="O1084" s="18" t="str">
        <f>Risk_Calculation_Engine!U1084</f>
        <v>Medium</v>
      </c>
    </row>
    <row r="1085" spans="1:15" ht="15" customHeight="1" x14ac:dyDescent="0.25">
      <c r="A1085" s="16">
        <v>1081</v>
      </c>
      <c r="B1085" s="16">
        <v>23.5</v>
      </c>
      <c r="C1085" s="16">
        <v>3</v>
      </c>
      <c r="D1085" s="16">
        <v>117.6</v>
      </c>
      <c r="E1085" s="17">
        <f t="shared" si="16"/>
        <v>7.5</v>
      </c>
      <c r="F1085" s="16">
        <v>1</v>
      </c>
      <c r="G1085" s="16">
        <v>8</v>
      </c>
      <c r="H1085" s="16">
        <v>1.86</v>
      </c>
      <c r="I1085" s="16">
        <v>7</v>
      </c>
      <c r="J1085" s="16">
        <v>210</v>
      </c>
      <c r="K1085" s="16">
        <v>8.94</v>
      </c>
      <c r="L1085" s="16">
        <v>74.900000000000006</v>
      </c>
      <c r="M1085" s="16">
        <v>2</v>
      </c>
      <c r="N1085" s="18">
        <f>IF(Risk_Calculation_Engine!U1085="Low",1,IF(Risk_Calculation_Engine!U1085="Medium",2,3))</f>
        <v>3</v>
      </c>
      <c r="O1085" s="18" t="str">
        <f>Risk_Calculation_Engine!U1085</f>
        <v>High</v>
      </c>
    </row>
    <row r="1086" spans="1:15" ht="15" customHeight="1" x14ac:dyDescent="0.25">
      <c r="A1086" s="16">
        <v>1082</v>
      </c>
      <c r="B1086" s="16">
        <v>70.8</v>
      </c>
      <c r="C1086" s="16">
        <v>2</v>
      </c>
      <c r="D1086" s="16">
        <v>279.89999999999998</v>
      </c>
      <c r="E1086" s="17">
        <f t="shared" si="16"/>
        <v>7.11</v>
      </c>
      <c r="F1086" s="16">
        <v>2</v>
      </c>
      <c r="G1086" s="16">
        <v>5</v>
      </c>
      <c r="H1086" s="16">
        <v>2.5</v>
      </c>
      <c r="I1086" s="16">
        <v>3</v>
      </c>
      <c r="J1086" s="16">
        <v>258</v>
      </c>
      <c r="K1086" s="16">
        <v>3.64</v>
      </c>
      <c r="L1086" s="16">
        <v>65.5</v>
      </c>
      <c r="M1086" s="16">
        <v>3</v>
      </c>
      <c r="N1086" s="18">
        <f>IF(Risk_Calculation_Engine!U1086="Low",1,IF(Risk_Calculation_Engine!U1086="Medium",2,3))</f>
        <v>2</v>
      </c>
      <c r="O1086" s="18" t="str">
        <f>Risk_Calculation_Engine!U1086</f>
        <v>Medium</v>
      </c>
    </row>
    <row r="1087" spans="1:15" ht="15" customHeight="1" x14ac:dyDescent="0.25">
      <c r="A1087" s="16">
        <v>1083</v>
      </c>
      <c r="B1087" s="16">
        <v>52.9</v>
      </c>
      <c r="C1087" s="16">
        <v>5</v>
      </c>
      <c r="D1087" s="16">
        <v>279.8</v>
      </c>
      <c r="E1087" s="17">
        <f t="shared" si="16"/>
        <v>7.11</v>
      </c>
      <c r="F1087" s="16">
        <v>2</v>
      </c>
      <c r="G1087" s="16">
        <v>10</v>
      </c>
      <c r="H1087" s="16">
        <v>2.5</v>
      </c>
      <c r="I1087" s="16">
        <v>8</v>
      </c>
      <c r="J1087" s="16">
        <v>1174</v>
      </c>
      <c r="K1087" s="16">
        <v>22.19</v>
      </c>
      <c r="L1087" s="16">
        <v>51.6</v>
      </c>
      <c r="M1087" s="16">
        <v>2</v>
      </c>
      <c r="N1087" s="18">
        <f>IF(Risk_Calculation_Engine!U1087="Low",1,IF(Risk_Calculation_Engine!U1087="Medium",2,3))</f>
        <v>3</v>
      </c>
      <c r="O1087" s="18" t="str">
        <f>Risk_Calculation_Engine!U1087</f>
        <v>High</v>
      </c>
    </row>
    <row r="1088" spans="1:15" ht="15" customHeight="1" x14ac:dyDescent="0.25">
      <c r="A1088" s="16">
        <v>1084</v>
      </c>
      <c r="B1088" s="16">
        <v>51.3</v>
      </c>
      <c r="C1088" s="16">
        <v>2</v>
      </c>
      <c r="D1088" s="16">
        <v>216.4</v>
      </c>
      <c r="E1088" s="17">
        <f t="shared" si="16"/>
        <v>8.48</v>
      </c>
      <c r="F1088" s="16">
        <v>2</v>
      </c>
      <c r="G1088" s="16">
        <v>12</v>
      </c>
      <c r="H1088" s="16">
        <v>1.95</v>
      </c>
      <c r="I1088" s="16">
        <v>7</v>
      </c>
      <c r="J1088" s="16">
        <v>139</v>
      </c>
      <c r="K1088" s="16">
        <v>2.71</v>
      </c>
      <c r="L1088" s="16">
        <v>60.3</v>
      </c>
      <c r="M1088" s="16">
        <v>1</v>
      </c>
      <c r="N1088" s="18">
        <f>IF(Risk_Calculation_Engine!U1088="Low",1,IF(Risk_Calculation_Engine!U1088="Medium",2,3))</f>
        <v>3</v>
      </c>
      <c r="O1088" s="18" t="str">
        <f>Risk_Calculation_Engine!U1088</f>
        <v>High</v>
      </c>
    </row>
    <row r="1089" spans="1:15" ht="15" customHeight="1" x14ac:dyDescent="0.25">
      <c r="A1089" s="16">
        <v>1085</v>
      </c>
      <c r="B1089" s="16">
        <v>38</v>
      </c>
      <c r="C1089" s="16">
        <v>2</v>
      </c>
      <c r="D1089" s="16">
        <v>91.2</v>
      </c>
      <c r="E1089" s="17">
        <f t="shared" si="16"/>
        <v>5.19</v>
      </c>
      <c r="F1089" s="16">
        <v>3</v>
      </c>
      <c r="G1089" s="16">
        <v>4</v>
      </c>
      <c r="H1089" s="16">
        <v>2.5</v>
      </c>
      <c r="I1089" s="16">
        <v>9</v>
      </c>
      <c r="J1089" s="16">
        <v>218</v>
      </c>
      <c r="K1089" s="16">
        <v>5.74</v>
      </c>
      <c r="L1089" s="16">
        <v>60.4</v>
      </c>
      <c r="M1089" s="16">
        <v>3</v>
      </c>
      <c r="N1089" s="18">
        <f>IF(Risk_Calculation_Engine!U1089="Low",1,IF(Risk_Calculation_Engine!U1089="Medium",2,3))</f>
        <v>2</v>
      </c>
      <c r="O1089" s="18" t="str">
        <f>Risk_Calculation_Engine!U1089</f>
        <v>Medium</v>
      </c>
    </row>
    <row r="1090" spans="1:15" ht="15" customHeight="1" x14ac:dyDescent="0.25">
      <c r="A1090" s="16">
        <v>1086</v>
      </c>
      <c r="B1090" s="16">
        <v>66.3</v>
      </c>
      <c r="C1090" s="16">
        <v>2</v>
      </c>
      <c r="D1090" s="16">
        <v>404.6</v>
      </c>
      <c r="E1090" s="17">
        <f t="shared" si="16"/>
        <v>7.88</v>
      </c>
      <c r="F1090" s="16">
        <v>1</v>
      </c>
      <c r="G1090" s="16">
        <v>9</v>
      </c>
      <c r="H1090" s="16">
        <v>2.5</v>
      </c>
      <c r="I1090" s="16">
        <v>10</v>
      </c>
      <c r="J1090" s="16">
        <v>154</v>
      </c>
      <c r="K1090" s="16">
        <v>2.3199999999999998</v>
      </c>
      <c r="L1090" s="16">
        <v>67.900000000000006</v>
      </c>
      <c r="M1090" s="16">
        <v>3</v>
      </c>
      <c r="N1090" s="18">
        <f>IF(Risk_Calculation_Engine!U1090="Low",1,IF(Risk_Calculation_Engine!U1090="Medium",2,3))</f>
        <v>2</v>
      </c>
      <c r="O1090" s="18" t="str">
        <f>Risk_Calculation_Engine!U1090</f>
        <v>Medium</v>
      </c>
    </row>
    <row r="1091" spans="1:15" ht="15" customHeight="1" x14ac:dyDescent="0.25">
      <c r="A1091" s="16">
        <v>1087</v>
      </c>
      <c r="B1091" s="16">
        <v>134.6</v>
      </c>
      <c r="C1091" s="16">
        <v>4</v>
      </c>
      <c r="D1091" s="16">
        <v>1046.3</v>
      </c>
      <c r="E1091" s="17">
        <f t="shared" si="16"/>
        <v>16.7</v>
      </c>
      <c r="F1091" s="16">
        <v>1</v>
      </c>
      <c r="G1091" s="16">
        <v>3</v>
      </c>
      <c r="H1091" s="16">
        <v>1.54</v>
      </c>
      <c r="I1091" s="16">
        <v>7</v>
      </c>
      <c r="J1091" s="16">
        <v>1960</v>
      </c>
      <c r="K1091" s="16">
        <v>14.56</v>
      </c>
      <c r="L1091" s="16">
        <v>62.4</v>
      </c>
      <c r="M1091" s="16">
        <v>2</v>
      </c>
      <c r="N1091" s="18">
        <f>IF(Risk_Calculation_Engine!U1091="Low",1,IF(Risk_Calculation_Engine!U1091="Medium",2,3))</f>
        <v>3</v>
      </c>
      <c r="O1091" s="18" t="str">
        <f>Risk_Calculation_Engine!U1091</f>
        <v>High</v>
      </c>
    </row>
    <row r="1092" spans="1:15" ht="15" customHeight="1" x14ac:dyDescent="0.25">
      <c r="A1092" s="16">
        <v>1088</v>
      </c>
      <c r="B1092" s="16">
        <v>41.2</v>
      </c>
      <c r="C1092" s="16">
        <v>2</v>
      </c>
      <c r="D1092" s="16">
        <v>175</v>
      </c>
      <c r="E1092" s="17">
        <f t="shared" si="16"/>
        <v>6.23</v>
      </c>
      <c r="F1092" s="16">
        <v>2</v>
      </c>
      <c r="G1092" s="16">
        <v>11</v>
      </c>
      <c r="H1092" s="16">
        <v>2.5</v>
      </c>
      <c r="I1092" s="16">
        <v>8</v>
      </c>
      <c r="J1092" s="16">
        <v>202</v>
      </c>
      <c r="K1092" s="16">
        <v>4.9000000000000004</v>
      </c>
      <c r="L1092" s="16">
        <v>13.6</v>
      </c>
      <c r="M1092" s="16">
        <v>3</v>
      </c>
      <c r="N1092" s="18">
        <f>IF(Risk_Calculation_Engine!U1092="Low",1,IF(Risk_Calculation_Engine!U1092="Medium",2,3))</f>
        <v>3</v>
      </c>
      <c r="O1092" s="18" t="str">
        <f>Risk_Calculation_Engine!U1092</f>
        <v>High</v>
      </c>
    </row>
    <row r="1093" spans="1:15" ht="15" customHeight="1" x14ac:dyDescent="0.25">
      <c r="A1093" s="16">
        <v>1089</v>
      </c>
      <c r="B1093" s="16">
        <v>98.2</v>
      </c>
      <c r="C1093" s="16">
        <v>4</v>
      </c>
      <c r="D1093" s="16">
        <v>786.5</v>
      </c>
      <c r="E1093" s="17">
        <f t="shared" ref="E1093:E1156" si="17">ROUND(3.67*D1093^0.28/H1093,2)</f>
        <v>14.21</v>
      </c>
      <c r="F1093" s="16">
        <v>1</v>
      </c>
      <c r="G1093" s="16">
        <v>3</v>
      </c>
      <c r="H1093" s="16">
        <v>1.67</v>
      </c>
      <c r="I1093" s="16">
        <v>4</v>
      </c>
      <c r="J1093" s="16">
        <v>714</v>
      </c>
      <c r="K1093" s="16">
        <v>7.27</v>
      </c>
      <c r="L1093" s="16">
        <v>72.8</v>
      </c>
      <c r="M1093" s="16">
        <v>3</v>
      </c>
      <c r="N1093" s="18">
        <f>IF(Risk_Calculation_Engine!U1093="Low",1,IF(Risk_Calculation_Engine!U1093="Medium",2,3))</f>
        <v>2</v>
      </c>
      <c r="O1093" s="18" t="str">
        <f>Risk_Calculation_Engine!U1093</f>
        <v>Medium</v>
      </c>
    </row>
    <row r="1094" spans="1:15" ht="15" customHeight="1" x14ac:dyDescent="0.25">
      <c r="A1094" s="16">
        <v>1090</v>
      </c>
      <c r="B1094" s="16">
        <v>111.2</v>
      </c>
      <c r="C1094" s="16">
        <v>4</v>
      </c>
      <c r="D1094" s="16">
        <v>548.9</v>
      </c>
      <c r="E1094" s="17">
        <f t="shared" si="17"/>
        <v>9.67</v>
      </c>
      <c r="F1094" s="16">
        <v>2</v>
      </c>
      <c r="G1094" s="16">
        <v>2</v>
      </c>
      <c r="H1094" s="16">
        <v>2.2200000000000002</v>
      </c>
      <c r="I1094" s="16">
        <v>6</v>
      </c>
      <c r="J1094" s="16">
        <v>757</v>
      </c>
      <c r="K1094" s="16">
        <v>6.81</v>
      </c>
      <c r="L1094" s="16">
        <v>70.2</v>
      </c>
      <c r="M1094" s="16">
        <v>1</v>
      </c>
      <c r="N1094" s="18">
        <f>IF(Risk_Calculation_Engine!U1094="Low",1,IF(Risk_Calculation_Engine!U1094="Medium",2,3))</f>
        <v>2</v>
      </c>
      <c r="O1094" s="18" t="str">
        <f>Risk_Calculation_Engine!U1094</f>
        <v>Medium</v>
      </c>
    </row>
    <row r="1095" spans="1:15" ht="15" customHeight="1" x14ac:dyDescent="0.25">
      <c r="A1095" s="16">
        <v>1091</v>
      </c>
      <c r="B1095" s="16">
        <v>149.80000000000001</v>
      </c>
      <c r="C1095" s="16">
        <v>4</v>
      </c>
      <c r="D1095" s="16">
        <v>780.8</v>
      </c>
      <c r="E1095" s="17">
        <f t="shared" si="17"/>
        <v>14.81</v>
      </c>
      <c r="F1095" s="16">
        <v>2</v>
      </c>
      <c r="G1095" s="16">
        <v>6</v>
      </c>
      <c r="H1095" s="16">
        <v>1.6</v>
      </c>
      <c r="I1095" s="16">
        <v>15</v>
      </c>
      <c r="J1095" s="16">
        <v>2003</v>
      </c>
      <c r="K1095" s="16">
        <v>13.37</v>
      </c>
      <c r="L1095" s="16">
        <v>65.099999999999994</v>
      </c>
      <c r="M1095" s="16">
        <v>3</v>
      </c>
      <c r="N1095" s="18">
        <f>IF(Risk_Calculation_Engine!U1095="Low",1,IF(Risk_Calculation_Engine!U1095="Medium",2,3))</f>
        <v>3</v>
      </c>
      <c r="O1095" s="18" t="str">
        <f>Risk_Calculation_Engine!U1095</f>
        <v>High</v>
      </c>
    </row>
    <row r="1096" spans="1:15" ht="15" customHeight="1" x14ac:dyDescent="0.25">
      <c r="A1096" s="16">
        <v>1092</v>
      </c>
      <c r="B1096" s="16">
        <v>27.2</v>
      </c>
      <c r="C1096" s="16">
        <v>2</v>
      </c>
      <c r="D1096" s="16">
        <v>85.4</v>
      </c>
      <c r="E1096" s="17">
        <f t="shared" si="17"/>
        <v>14.01</v>
      </c>
      <c r="F1096" s="16">
        <v>2</v>
      </c>
      <c r="G1096" s="16">
        <v>9</v>
      </c>
      <c r="H1096" s="16">
        <v>0.91</v>
      </c>
      <c r="I1096" s="16">
        <v>15</v>
      </c>
      <c r="J1096" s="16">
        <v>59</v>
      </c>
      <c r="K1096" s="16">
        <v>2.17</v>
      </c>
      <c r="L1096" s="16">
        <v>84.3</v>
      </c>
      <c r="M1096" s="16">
        <v>3</v>
      </c>
      <c r="N1096" s="18">
        <f>IF(Risk_Calculation_Engine!U1096="Low",1,IF(Risk_Calculation_Engine!U1096="Medium",2,3))</f>
        <v>1</v>
      </c>
      <c r="O1096" s="18" t="str">
        <f>Risk_Calculation_Engine!U1096</f>
        <v>Low</v>
      </c>
    </row>
    <row r="1097" spans="1:15" ht="15" customHeight="1" x14ac:dyDescent="0.25">
      <c r="A1097" s="16">
        <v>1093</v>
      </c>
      <c r="B1097" s="16">
        <v>62.2</v>
      </c>
      <c r="C1097" s="16">
        <v>1</v>
      </c>
      <c r="D1097" s="16">
        <v>215.6</v>
      </c>
      <c r="E1097" s="17">
        <f t="shared" si="17"/>
        <v>6.61</v>
      </c>
      <c r="F1097" s="16">
        <v>2</v>
      </c>
      <c r="G1097" s="16">
        <v>6</v>
      </c>
      <c r="H1097" s="16">
        <v>2.5</v>
      </c>
      <c r="I1097" s="16">
        <v>9</v>
      </c>
      <c r="J1097" s="16">
        <v>76</v>
      </c>
      <c r="K1097" s="16">
        <v>1.22</v>
      </c>
      <c r="L1097" s="16">
        <v>65.599999999999994</v>
      </c>
      <c r="M1097" s="16">
        <v>3</v>
      </c>
      <c r="N1097" s="18">
        <f>IF(Risk_Calculation_Engine!U1097="Low",1,IF(Risk_Calculation_Engine!U1097="Medium",2,3))</f>
        <v>2</v>
      </c>
      <c r="O1097" s="18" t="str">
        <f>Risk_Calculation_Engine!U1097</f>
        <v>Medium</v>
      </c>
    </row>
    <row r="1098" spans="1:15" ht="15" customHeight="1" x14ac:dyDescent="0.25">
      <c r="A1098" s="16">
        <v>1094</v>
      </c>
      <c r="B1098" s="16">
        <v>34.1</v>
      </c>
      <c r="C1098" s="16">
        <v>3</v>
      </c>
      <c r="D1098" s="16">
        <v>128.5</v>
      </c>
      <c r="E1098" s="17">
        <f t="shared" si="17"/>
        <v>6.56</v>
      </c>
      <c r="F1098" s="16">
        <v>2</v>
      </c>
      <c r="G1098" s="16">
        <v>3</v>
      </c>
      <c r="H1098" s="16">
        <v>2.1800000000000002</v>
      </c>
      <c r="I1098" s="16">
        <v>15</v>
      </c>
      <c r="J1098" s="16">
        <v>240</v>
      </c>
      <c r="K1098" s="16">
        <v>7.04</v>
      </c>
      <c r="L1098" s="16">
        <v>81.900000000000006</v>
      </c>
      <c r="M1098" s="16">
        <v>1</v>
      </c>
      <c r="N1098" s="18">
        <f>IF(Risk_Calculation_Engine!U1098="Low",1,IF(Risk_Calculation_Engine!U1098="Medium",2,3))</f>
        <v>2</v>
      </c>
      <c r="O1098" s="18" t="str">
        <f>Risk_Calculation_Engine!U1098</f>
        <v>Medium</v>
      </c>
    </row>
    <row r="1099" spans="1:15" ht="15" customHeight="1" x14ac:dyDescent="0.25">
      <c r="A1099" s="16">
        <v>1095</v>
      </c>
      <c r="B1099" s="16">
        <v>66.400000000000006</v>
      </c>
      <c r="C1099" s="16">
        <v>2</v>
      </c>
      <c r="D1099" s="16">
        <v>275</v>
      </c>
      <c r="E1099" s="17">
        <f t="shared" si="17"/>
        <v>7.79</v>
      </c>
      <c r="F1099" s="16">
        <v>2</v>
      </c>
      <c r="G1099" s="16">
        <v>9</v>
      </c>
      <c r="H1099" s="16">
        <v>2.27</v>
      </c>
      <c r="I1099" s="16">
        <v>9</v>
      </c>
      <c r="J1099" s="16">
        <v>153</v>
      </c>
      <c r="K1099" s="16">
        <v>2.2999999999999998</v>
      </c>
      <c r="L1099" s="16">
        <v>79.2</v>
      </c>
      <c r="M1099" s="16">
        <v>2</v>
      </c>
      <c r="N1099" s="18">
        <f>IF(Risk_Calculation_Engine!U1099="Low",1,IF(Risk_Calculation_Engine!U1099="Medium",2,3))</f>
        <v>2</v>
      </c>
      <c r="O1099" s="18" t="str">
        <f>Risk_Calculation_Engine!U1099</f>
        <v>Medium</v>
      </c>
    </row>
    <row r="1100" spans="1:15" ht="15" customHeight="1" x14ac:dyDescent="0.25">
      <c r="A1100" s="16">
        <v>1096</v>
      </c>
      <c r="B1100" s="16">
        <v>66.099999999999994</v>
      </c>
      <c r="C1100" s="16">
        <v>4</v>
      </c>
      <c r="D1100" s="16">
        <v>524.20000000000005</v>
      </c>
      <c r="E1100" s="17">
        <f t="shared" si="17"/>
        <v>12.18</v>
      </c>
      <c r="F1100" s="16">
        <v>1</v>
      </c>
      <c r="G1100" s="16">
        <v>8</v>
      </c>
      <c r="H1100" s="16">
        <v>1.74</v>
      </c>
      <c r="I1100" s="16">
        <v>4</v>
      </c>
      <c r="J1100" s="16">
        <v>688</v>
      </c>
      <c r="K1100" s="16">
        <v>10.41</v>
      </c>
      <c r="L1100" s="16">
        <v>79.599999999999994</v>
      </c>
      <c r="M1100" s="16">
        <v>3</v>
      </c>
      <c r="N1100" s="18">
        <f>IF(Risk_Calculation_Engine!U1100="Low",1,IF(Risk_Calculation_Engine!U1100="Medium",2,3))</f>
        <v>3</v>
      </c>
      <c r="O1100" s="18" t="str">
        <f>Risk_Calculation_Engine!U1100</f>
        <v>High</v>
      </c>
    </row>
    <row r="1101" spans="1:15" ht="15" customHeight="1" x14ac:dyDescent="0.25">
      <c r="A1101" s="16">
        <v>1097</v>
      </c>
      <c r="B1101" s="16">
        <v>20.9</v>
      </c>
      <c r="C1101" s="16">
        <v>3</v>
      </c>
      <c r="D1101" s="16">
        <v>81.099999999999994</v>
      </c>
      <c r="E1101" s="17">
        <f t="shared" si="17"/>
        <v>5.03</v>
      </c>
      <c r="F1101" s="16">
        <v>2</v>
      </c>
      <c r="G1101" s="16">
        <v>11</v>
      </c>
      <c r="H1101" s="16">
        <v>2.5</v>
      </c>
      <c r="I1101" s="16">
        <v>14</v>
      </c>
      <c r="J1101" s="16">
        <v>135</v>
      </c>
      <c r="K1101" s="16">
        <v>6.46</v>
      </c>
      <c r="L1101" s="16">
        <v>78.3</v>
      </c>
      <c r="M1101" s="16">
        <v>2</v>
      </c>
      <c r="N1101" s="18">
        <f>IF(Risk_Calculation_Engine!U1101="Low",1,IF(Risk_Calculation_Engine!U1101="Medium",2,3))</f>
        <v>3</v>
      </c>
      <c r="O1101" s="18" t="str">
        <f>Risk_Calculation_Engine!U1101</f>
        <v>High</v>
      </c>
    </row>
    <row r="1102" spans="1:15" ht="15" customHeight="1" x14ac:dyDescent="0.25">
      <c r="A1102" s="16">
        <v>1098</v>
      </c>
      <c r="B1102" s="16">
        <v>69.599999999999994</v>
      </c>
      <c r="C1102" s="16">
        <v>3</v>
      </c>
      <c r="D1102" s="16">
        <v>327.9</v>
      </c>
      <c r="E1102" s="17">
        <f t="shared" si="17"/>
        <v>12.14</v>
      </c>
      <c r="F1102" s="16">
        <v>2</v>
      </c>
      <c r="G1102" s="16">
        <v>4</v>
      </c>
      <c r="H1102" s="16">
        <v>1.53</v>
      </c>
      <c r="I1102" s="16">
        <v>8</v>
      </c>
      <c r="J1102" s="16">
        <v>216</v>
      </c>
      <c r="K1102" s="16">
        <v>3.1</v>
      </c>
      <c r="L1102" s="16">
        <v>96.8</v>
      </c>
      <c r="M1102" s="16">
        <v>1</v>
      </c>
      <c r="N1102" s="18">
        <f>IF(Risk_Calculation_Engine!U1102="Low",1,IF(Risk_Calculation_Engine!U1102="Medium",2,3))</f>
        <v>1</v>
      </c>
      <c r="O1102" s="18" t="str">
        <f>Risk_Calculation_Engine!U1102</f>
        <v>Low</v>
      </c>
    </row>
    <row r="1103" spans="1:15" ht="15" customHeight="1" x14ac:dyDescent="0.25">
      <c r="A1103" s="16">
        <v>1099</v>
      </c>
      <c r="B1103" s="16">
        <v>149.80000000000001</v>
      </c>
      <c r="C1103" s="16">
        <v>2</v>
      </c>
      <c r="D1103" s="16">
        <v>967.9</v>
      </c>
      <c r="E1103" s="17">
        <f t="shared" si="17"/>
        <v>16.03</v>
      </c>
      <c r="F1103" s="16">
        <v>1</v>
      </c>
      <c r="G1103" s="16">
        <v>9</v>
      </c>
      <c r="H1103" s="16">
        <v>1.57</v>
      </c>
      <c r="I1103" s="16">
        <v>10</v>
      </c>
      <c r="J1103" s="16">
        <v>526</v>
      </c>
      <c r="K1103" s="16">
        <v>3.51</v>
      </c>
      <c r="L1103" s="16">
        <v>87.5</v>
      </c>
      <c r="M1103" s="16">
        <v>1</v>
      </c>
      <c r="N1103" s="18">
        <f>IF(Risk_Calculation_Engine!U1103="Low",1,IF(Risk_Calculation_Engine!U1103="Medium",2,3))</f>
        <v>3</v>
      </c>
      <c r="O1103" s="18" t="str">
        <f>Risk_Calculation_Engine!U1103</f>
        <v>High</v>
      </c>
    </row>
    <row r="1104" spans="1:15" ht="15" customHeight="1" x14ac:dyDescent="0.25">
      <c r="A1104" s="16">
        <v>1100</v>
      </c>
      <c r="B1104" s="16">
        <v>89.7</v>
      </c>
      <c r="C1104" s="16">
        <v>4</v>
      </c>
      <c r="D1104" s="16">
        <v>520.5</v>
      </c>
      <c r="E1104" s="17">
        <f t="shared" si="17"/>
        <v>20.14</v>
      </c>
      <c r="F1104" s="16">
        <v>2</v>
      </c>
      <c r="G1104" s="16">
        <v>5</v>
      </c>
      <c r="H1104" s="16">
        <v>1.05</v>
      </c>
      <c r="I1104" s="16">
        <v>11</v>
      </c>
      <c r="J1104" s="16">
        <v>474</v>
      </c>
      <c r="K1104" s="16">
        <v>5.28</v>
      </c>
      <c r="L1104" s="16">
        <v>43</v>
      </c>
      <c r="M1104" s="16">
        <v>3</v>
      </c>
      <c r="N1104" s="18">
        <f>IF(Risk_Calculation_Engine!U1104="Low",1,IF(Risk_Calculation_Engine!U1104="Medium",2,3))</f>
        <v>1</v>
      </c>
      <c r="O1104" s="18" t="str">
        <f>Risk_Calculation_Engine!U1104</f>
        <v>Low</v>
      </c>
    </row>
    <row r="1105" spans="1:15" ht="15" customHeight="1" x14ac:dyDescent="0.25">
      <c r="A1105" s="16">
        <v>1101</v>
      </c>
      <c r="B1105" s="16">
        <v>16.600000000000001</v>
      </c>
      <c r="C1105" s="16">
        <v>2</v>
      </c>
      <c r="D1105" s="16">
        <v>37.4</v>
      </c>
      <c r="E1105" s="17">
        <f t="shared" si="17"/>
        <v>5.56</v>
      </c>
      <c r="F1105" s="16">
        <v>3</v>
      </c>
      <c r="G1105" s="16">
        <v>11</v>
      </c>
      <c r="H1105" s="16">
        <v>1.82</v>
      </c>
      <c r="I1105" s="16">
        <v>7</v>
      </c>
      <c r="J1105" s="16">
        <v>97</v>
      </c>
      <c r="K1105" s="16">
        <v>5.84</v>
      </c>
      <c r="L1105" s="16">
        <v>77.5</v>
      </c>
      <c r="M1105" s="16">
        <v>2</v>
      </c>
      <c r="N1105" s="18">
        <f>IF(Risk_Calculation_Engine!U1105="Low",1,IF(Risk_Calculation_Engine!U1105="Medium",2,3))</f>
        <v>3</v>
      </c>
      <c r="O1105" s="18" t="str">
        <f>Risk_Calculation_Engine!U1105</f>
        <v>High</v>
      </c>
    </row>
    <row r="1106" spans="1:15" ht="15" customHeight="1" x14ac:dyDescent="0.25">
      <c r="A1106" s="16">
        <v>1102</v>
      </c>
      <c r="B1106" s="16">
        <v>25.6</v>
      </c>
      <c r="C1106" s="16">
        <v>4</v>
      </c>
      <c r="D1106" s="16">
        <v>156.30000000000001</v>
      </c>
      <c r="E1106" s="17">
        <f t="shared" si="17"/>
        <v>6.04</v>
      </c>
      <c r="F1106" s="16">
        <v>1</v>
      </c>
      <c r="G1106" s="16">
        <v>7</v>
      </c>
      <c r="H1106" s="16">
        <v>2.5</v>
      </c>
      <c r="I1106" s="16">
        <v>12</v>
      </c>
      <c r="J1106" s="16">
        <v>183</v>
      </c>
      <c r="K1106" s="16">
        <v>7.15</v>
      </c>
      <c r="L1106" s="16">
        <v>85.3</v>
      </c>
      <c r="M1106" s="16">
        <v>3</v>
      </c>
      <c r="N1106" s="18">
        <f>IF(Risk_Calculation_Engine!U1106="Low",1,IF(Risk_Calculation_Engine!U1106="Medium",2,3))</f>
        <v>3</v>
      </c>
      <c r="O1106" s="18" t="str">
        <f>Risk_Calculation_Engine!U1106</f>
        <v>High</v>
      </c>
    </row>
    <row r="1107" spans="1:15" ht="15" customHeight="1" x14ac:dyDescent="0.25">
      <c r="A1107" s="16">
        <v>1103</v>
      </c>
      <c r="B1107" s="16">
        <v>59.6</v>
      </c>
      <c r="C1107" s="16">
        <v>1</v>
      </c>
      <c r="D1107" s="16">
        <v>194.6</v>
      </c>
      <c r="E1107" s="17">
        <f t="shared" si="17"/>
        <v>10.43</v>
      </c>
      <c r="F1107" s="16">
        <v>2</v>
      </c>
      <c r="G1107" s="16">
        <v>3</v>
      </c>
      <c r="H1107" s="16">
        <v>1.54</v>
      </c>
      <c r="I1107" s="16">
        <v>9</v>
      </c>
      <c r="J1107" s="16">
        <v>142</v>
      </c>
      <c r="K1107" s="16">
        <v>2.38</v>
      </c>
      <c r="L1107" s="16">
        <v>42.1</v>
      </c>
      <c r="M1107" s="16">
        <v>2</v>
      </c>
      <c r="N1107" s="18">
        <f>IF(Risk_Calculation_Engine!U1107="Low",1,IF(Risk_Calculation_Engine!U1107="Medium",2,3))</f>
        <v>1</v>
      </c>
      <c r="O1107" s="18" t="str">
        <f>Risk_Calculation_Engine!U1107</f>
        <v>Low</v>
      </c>
    </row>
    <row r="1108" spans="1:15" ht="15" customHeight="1" x14ac:dyDescent="0.25">
      <c r="A1108" s="16">
        <v>1104</v>
      </c>
      <c r="B1108" s="16">
        <v>26.2</v>
      </c>
      <c r="C1108" s="16">
        <v>5</v>
      </c>
      <c r="D1108" s="16">
        <v>99.5</v>
      </c>
      <c r="E1108" s="17">
        <f t="shared" si="17"/>
        <v>13.31</v>
      </c>
      <c r="F1108" s="16">
        <v>3</v>
      </c>
      <c r="G1108" s="16">
        <v>8</v>
      </c>
      <c r="H1108" s="16">
        <v>1</v>
      </c>
      <c r="I1108" s="16">
        <v>7</v>
      </c>
      <c r="J1108" s="16">
        <v>554</v>
      </c>
      <c r="K1108" s="16">
        <v>21.15</v>
      </c>
      <c r="L1108" s="16">
        <v>32.299999999999997</v>
      </c>
      <c r="M1108" s="16">
        <v>3</v>
      </c>
      <c r="N1108" s="18">
        <f>IF(Risk_Calculation_Engine!U1108="Low",1,IF(Risk_Calculation_Engine!U1108="Medium",2,3))</f>
        <v>3</v>
      </c>
      <c r="O1108" s="18" t="str">
        <f>Risk_Calculation_Engine!U1108</f>
        <v>High</v>
      </c>
    </row>
    <row r="1109" spans="1:15" ht="15" customHeight="1" x14ac:dyDescent="0.25">
      <c r="A1109" s="16">
        <v>1105</v>
      </c>
      <c r="B1109" s="16">
        <v>147.69999999999999</v>
      </c>
      <c r="C1109" s="16">
        <v>4</v>
      </c>
      <c r="D1109" s="16">
        <v>627.4</v>
      </c>
      <c r="E1109" s="17">
        <f t="shared" si="17"/>
        <v>8.91</v>
      </c>
      <c r="F1109" s="16">
        <v>3</v>
      </c>
      <c r="G1109" s="16">
        <v>4</v>
      </c>
      <c r="H1109" s="16">
        <v>2.5</v>
      </c>
      <c r="I1109" s="16">
        <v>6</v>
      </c>
      <c r="J1109" s="16">
        <v>1879</v>
      </c>
      <c r="K1109" s="16">
        <v>12.72</v>
      </c>
      <c r="L1109" s="16">
        <v>63.3</v>
      </c>
      <c r="M1109" s="16">
        <v>1</v>
      </c>
      <c r="N1109" s="18">
        <f>IF(Risk_Calculation_Engine!U1109="Low",1,IF(Risk_Calculation_Engine!U1109="Medium",2,3))</f>
        <v>3</v>
      </c>
      <c r="O1109" s="18" t="str">
        <f>Risk_Calculation_Engine!U1109</f>
        <v>High</v>
      </c>
    </row>
    <row r="1110" spans="1:15" ht="15" customHeight="1" x14ac:dyDescent="0.25">
      <c r="A1110" s="16">
        <v>1106</v>
      </c>
      <c r="B1110" s="16">
        <v>14.4</v>
      </c>
      <c r="C1110" s="16">
        <v>2</v>
      </c>
      <c r="D1110" s="16">
        <v>54.6</v>
      </c>
      <c r="E1110" s="17">
        <f t="shared" si="17"/>
        <v>5.54</v>
      </c>
      <c r="F1110" s="16">
        <v>2</v>
      </c>
      <c r="G1110" s="16">
        <v>5</v>
      </c>
      <c r="H1110" s="16">
        <v>2.0299999999999998</v>
      </c>
      <c r="I1110" s="16">
        <v>12</v>
      </c>
      <c r="J1110" s="16">
        <v>48</v>
      </c>
      <c r="K1110" s="16">
        <v>3.33</v>
      </c>
      <c r="L1110" s="16">
        <v>66.2</v>
      </c>
      <c r="M1110" s="16">
        <v>3</v>
      </c>
      <c r="N1110" s="18">
        <f>IF(Risk_Calculation_Engine!U1110="Low",1,IF(Risk_Calculation_Engine!U1110="Medium",2,3))</f>
        <v>1</v>
      </c>
      <c r="O1110" s="18" t="str">
        <f>Risk_Calculation_Engine!U1110</f>
        <v>Low</v>
      </c>
    </row>
    <row r="1111" spans="1:15" ht="15" customHeight="1" x14ac:dyDescent="0.25">
      <c r="A1111" s="16">
        <v>1107</v>
      </c>
      <c r="B1111" s="16">
        <v>90.2</v>
      </c>
      <c r="C1111" s="16">
        <v>1</v>
      </c>
      <c r="D1111" s="16">
        <v>299.39999999999998</v>
      </c>
      <c r="E1111" s="17">
        <f t="shared" si="17"/>
        <v>7.25</v>
      </c>
      <c r="F1111" s="16">
        <v>2</v>
      </c>
      <c r="G1111" s="16">
        <v>10</v>
      </c>
      <c r="H1111" s="16">
        <v>2.5</v>
      </c>
      <c r="I1111" s="16">
        <v>6</v>
      </c>
      <c r="J1111" s="16">
        <v>123</v>
      </c>
      <c r="K1111" s="16">
        <v>1.36</v>
      </c>
      <c r="L1111" s="16">
        <v>63.6</v>
      </c>
      <c r="M1111" s="16">
        <v>3</v>
      </c>
      <c r="N1111" s="18">
        <f>IF(Risk_Calculation_Engine!U1111="Low",1,IF(Risk_Calculation_Engine!U1111="Medium",2,3))</f>
        <v>3</v>
      </c>
      <c r="O1111" s="18" t="str">
        <f>Risk_Calculation_Engine!U1111</f>
        <v>High</v>
      </c>
    </row>
    <row r="1112" spans="1:15" ht="15" customHeight="1" x14ac:dyDescent="0.25">
      <c r="A1112" s="16">
        <v>1108</v>
      </c>
      <c r="B1112" s="16">
        <v>11.1</v>
      </c>
      <c r="C1112" s="16">
        <v>3</v>
      </c>
      <c r="D1112" s="16">
        <v>28.8</v>
      </c>
      <c r="E1112" s="17">
        <f t="shared" si="17"/>
        <v>7.97</v>
      </c>
      <c r="F1112" s="16">
        <v>3</v>
      </c>
      <c r="G1112" s="16">
        <v>8</v>
      </c>
      <c r="H1112" s="16">
        <v>1.18</v>
      </c>
      <c r="I1112" s="16">
        <v>4</v>
      </c>
      <c r="J1112" s="16">
        <v>69</v>
      </c>
      <c r="K1112" s="16">
        <v>6.22</v>
      </c>
      <c r="L1112" s="16">
        <v>79.099999999999994</v>
      </c>
      <c r="M1112" s="16">
        <v>2</v>
      </c>
      <c r="N1112" s="18">
        <f>IF(Risk_Calculation_Engine!U1112="Low",1,IF(Risk_Calculation_Engine!U1112="Medium",2,3))</f>
        <v>1</v>
      </c>
      <c r="O1112" s="18" t="str">
        <f>Risk_Calculation_Engine!U1112</f>
        <v>Low</v>
      </c>
    </row>
    <row r="1113" spans="1:15" ht="15" customHeight="1" x14ac:dyDescent="0.25">
      <c r="A1113" s="16">
        <v>1109</v>
      </c>
      <c r="B1113" s="16">
        <v>58.9</v>
      </c>
      <c r="C1113" s="16">
        <v>2</v>
      </c>
      <c r="D1113" s="16">
        <v>202.5</v>
      </c>
      <c r="E1113" s="17">
        <f t="shared" si="17"/>
        <v>7.45</v>
      </c>
      <c r="F1113" s="16">
        <v>2</v>
      </c>
      <c r="G1113" s="16">
        <v>7</v>
      </c>
      <c r="H1113" s="16">
        <v>2.1800000000000002</v>
      </c>
      <c r="I1113" s="16">
        <v>14</v>
      </c>
      <c r="J1113" s="16">
        <v>281</v>
      </c>
      <c r="K1113" s="16">
        <v>4.7699999999999996</v>
      </c>
      <c r="L1113" s="16">
        <v>64.599999999999994</v>
      </c>
      <c r="M1113" s="16">
        <v>2</v>
      </c>
      <c r="N1113" s="18">
        <f>IF(Risk_Calculation_Engine!U1113="Low",1,IF(Risk_Calculation_Engine!U1113="Medium",2,3))</f>
        <v>2</v>
      </c>
      <c r="O1113" s="18" t="str">
        <f>Risk_Calculation_Engine!U1113</f>
        <v>Medium</v>
      </c>
    </row>
    <row r="1114" spans="1:15" ht="15" customHeight="1" x14ac:dyDescent="0.25">
      <c r="A1114" s="16">
        <v>1110</v>
      </c>
      <c r="B1114" s="16">
        <v>22.5</v>
      </c>
      <c r="C1114" s="16">
        <v>2</v>
      </c>
      <c r="D1114" s="16">
        <v>120.5</v>
      </c>
      <c r="E1114" s="17">
        <f t="shared" si="17"/>
        <v>14.18</v>
      </c>
      <c r="F1114" s="16">
        <v>1</v>
      </c>
      <c r="G1114" s="16">
        <v>2</v>
      </c>
      <c r="H1114" s="16">
        <v>0.99</v>
      </c>
      <c r="I1114" s="16">
        <v>7</v>
      </c>
      <c r="J1114" s="16">
        <v>113</v>
      </c>
      <c r="K1114" s="16">
        <v>5.0199999999999996</v>
      </c>
      <c r="L1114" s="16">
        <v>94.1</v>
      </c>
      <c r="M1114" s="16">
        <v>3</v>
      </c>
      <c r="N1114" s="18">
        <f>IF(Risk_Calculation_Engine!U1114="Low",1,IF(Risk_Calculation_Engine!U1114="Medium",2,3))</f>
        <v>1</v>
      </c>
      <c r="O1114" s="18" t="str">
        <f>Risk_Calculation_Engine!U1114</f>
        <v>Low</v>
      </c>
    </row>
    <row r="1115" spans="1:15" ht="15" customHeight="1" x14ac:dyDescent="0.25">
      <c r="A1115" s="16">
        <v>1111</v>
      </c>
      <c r="B1115" s="16">
        <v>102.7</v>
      </c>
      <c r="C1115" s="16">
        <v>5</v>
      </c>
      <c r="D1115" s="16">
        <v>808.6</v>
      </c>
      <c r="E1115" s="17">
        <f t="shared" si="17"/>
        <v>14.77</v>
      </c>
      <c r="F1115" s="16">
        <v>1</v>
      </c>
      <c r="G1115" s="16">
        <v>6</v>
      </c>
      <c r="H1115" s="16">
        <v>1.62</v>
      </c>
      <c r="I1115" s="16">
        <v>11</v>
      </c>
      <c r="J1115" s="16">
        <v>1015</v>
      </c>
      <c r="K1115" s="16">
        <v>9.8800000000000008</v>
      </c>
      <c r="L1115" s="16">
        <v>28.9</v>
      </c>
      <c r="M1115" s="16">
        <v>3</v>
      </c>
      <c r="N1115" s="18">
        <f>IF(Risk_Calculation_Engine!U1115="Low",1,IF(Risk_Calculation_Engine!U1115="Medium",2,3))</f>
        <v>3</v>
      </c>
      <c r="O1115" s="18" t="str">
        <f>Risk_Calculation_Engine!U1115</f>
        <v>High</v>
      </c>
    </row>
    <row r="1116" spans="1:15" ht="15" customHeight="1" x14ac:dyDescent="0.25">
      <c r="A1116" s="16">
        <v>1112</v>
      </c>
      <c r="B1116" s="16">
        <v>130.6</v>
      </c>
      <c r="C1116" s="16">
        <v>4</v>
      </c>
      <c r="D1116" s="16">
        <v>496.7</v>
      </c>
      <c r="E1116" s="17">
        <f t="shared" si="17"/>
        <v>11.93</v>
      </c>
      <c r="F1116" s="16">
        <v>3</v>
      </c>
      <c r="G1116" s="16">
        <v>4</v>
      </c>
      <c r="H1116" s="16">
        <v>1.75</v>
      </c>
      <c r="I1116" s="16">
        <v>12</v>
      </c>
      <c r="J1116" s="16">
        <v>1636</v>
      </c>
      <c r="K1116" s="16">
        <v>12.53</v>
      </c>
      <c r="L1116" s="16">
        <v>67.5</v>
      </c>
      <c r="M1116" s="16">
        <v>2</v>
      </c>
      <c r="N1116" s="18">
        <f>IF(Risk_Calculation_Engine!U1116="Low",1,IF(Risk_Calculation_Engine!U1116="Medium",2,3))</f>
        <v>3</v>
      </c>
      <c r="O1116" s="18" t="str">
        <f>Risk_Calculation_Engine!U1116</f>
        <v>High</v>
      </c>
    </row>
    <row r="1117" spans="1:15" ht="15" customHeight="1" x14ac:dyDescent="0.25">
      <c r="A1117" s="16">
        <v>1113</v>
      </c>
      <c r="B1117" s="16">
        <v>80.099999999999994</v>
      </c>
      <c r="C1117" s="16">
        <v>2</v>
      </c>
      <c r="D1117" s="16">
        <v>322.5</v>
      </c>
      <c r="E1117" s="17">
        <f t="shared" si="17"/>
        <v>21.02</v>
      </c>
      <c r="F1117" s="16">
        <v>2</v>
      </c>
      <c r="G1117" s="16">
        <v>7</v>
      </c>
      <c r="H1117" s="16">
        <v>0.88</v>
      </c>
      <c r="I1117" s="16">
        <v>13</v>
      </c>
      <c r="J1117" s="16">
        <v>196</v>
      </c>
      <c r="K1117" s="16">
        <v>2.4500000000000002</v>
      </c>
      <c r="L1117" s="16">
        <v>83</v>
      </c>
      <c r="M1117" s="16">
        <v>2</v>
      </c>
      <c r="N1117" s="18">
        <f>IF(Risk_Calculation_Engine!U1117="Low",1,IF(Risk_Calculation_Engine!U1117="Medium",2,3))</f>
        <v>1</v>
      </c>
      <c r="O1117" s="18" t="str">
        <f>Risk_Calculation_Engine!U1117</f>
        <v>Low</v>
      </c>
    </row>
    <row r="1118" spans="1:15" ht="15" customHeight="1" x14ac:dyDescent="0.25">
      <c r="A1118" s="16">
        <v>1114</v>
      </c>
      <c r="B1118" s="16">
        <v>134.9</v>
      </c>
      <c r="C1118" s="16">
        <v>4</v>
      </c>
      <c r="D1118" s="16">
        <v>1025.0999999999999</v>
      </c>
      <c r="E1118" s="17">
        <f t="shared" si="17"/>
        <v>10.23</v>
      </c>
      <c r="F1118" s="16">
        <v>1</v>
      </c>
      <c r="G1118" s="16">
        <v>5</v>
      </c>
      <c r="H1118" s="16">
        <v>2.5</v>
      </c>
      <c r="I1118" s="16">
        <v>11</v>
      </c>
      <c r="J1118" s="16">
        <v>1382</v>
      </c>
      <c r="K1118" s="16">
        <v>10.24</v>
      </c>
      <c r="L1118" s="16">
        <v>95.5</v>
      </c>
      <c r="M1118" s="16">
        <v>3</v>
      </c>
      <c r="N1118" s="18">
        <f>IF(Risk_Calculation_Engine!U1118="Low",1,IF(Risk_Calculation_Engine!U1118="Medium",2,3))</f>
        <v>3</v>
      </c>
      <c r="O1118" s="18" t="str">
        <f>Risk_Calculation_Engine!U1118</f>
        <v>High</v>
      </c>
    </row>
    <row r="1119" spans="1:15" ht="15" customHeight="1" x14ac:dyDescent="0.25">
      <c r="A1119" s="16">
        <v>1115</v>
      </c>
      <c r="B1119" s="16">
        <v>2.5</v>
      </c>
      <c r="C1119" s="16">
        <v>3</v>
      </c>
      <c r="D1119" s="16">
        <v>7.8</v>
      </c>
      <c r="E1119" s="17">
        <f t="shared" si="17"/>
        <v>2.78</v>
      </c>
      <c r="F1119" s="16">
        <v>2</v>
      </c>
      <c r="G1119" s="16">
        <v>10</v>
      </c>
      <c r="H1119" s="16">
        <v>2.35</v>
      </c>
      <c r="I1119" s="16">
        <v>12</v>
      </c>
      <c r="J1119" s="16">
        <v>16</v>
      </c>
      <c r="K1119" s="16">
        <v>6.4</v>
      </c>
      <c r="L1119" s="16">
        <v>66.099999999999994</v>
      </c>
      <c r="M1119" s="16">
        <v>3</v>
      </c>
      <c r="N1119" s="18">
        <f>IF(Risk_Calculation_Engine!U1119="Low",1,IF(Risk_Calculation_Engine!U1119="Medium",2,3))</f>
        <v>3</v>
      </c>
      <c r="O1119" s="18" t="str">
        <f>Risk_Calculation_Engine!U1119</f>
        <v>High</v>
      </c>
    </row>
    <row r="1120" spans="1:15" ht="15" customHeight="1" x14ac:dyDescent="0.25">
      <c r="A1120" s="16">
        <v>1116</v>
      </c>
      <c r="B1120" s="16">
        <v>68.900000000000006</v>
      </c>
      <c r="C1120" s="16">
        <v>5</v>
      </c>
      <c r="D1120" s="16">
        <v>317.3</v>
      </c>
      <c r="E1120" s="17">
        <f t="shared" si="17"/>
        <v>9.07</v>
      </c>
      <c r="F1120" s="16">
        <v>3</v>
      </c>
      <c r="G1120" s="16">
        <v>8</v>
      </c>
      <c r="H1120" s="16">
        <v>2.0299999999999998</v>
      </c>
      <c r="I1120" s="16">
        <v>13</v>
      </c>
      <c r="J1120" s="16">
        <v>778</v>
      </c>
      <c r="K1120" s="16">
        <v>11.29</v>
      </c>
      <c r="L1120" s="16">
        <v>64</v>
      </c>
      <c r="M1120" s="16">
        <v>2</v>
      </c>
      <c r="N1120" s="18">
        <f>IF(Risk_Calculation_Engine!U1120="Low",1,IF(Risk_Calculation_Engine!U1120="Medium",2,3))</f>
        <v>3</v>
      </c>
      <c r="O1120" s="18" t="str">
        <f>Risk_Calculation_Engine!U1120</f>
        <v>High</v>
      </c>
    </row>
    <row r="1121" spans="1:15" ht="15" customHeight="1" x14ac:dyDescent="0.25">
      <c r="A1121" s="16">
        <v>1117</v>
      </c>
      <c r="B1121" s="16">
        <v>89.2</v>
      </c>
      <c r="C1121" s="16">
        <v>1</v>
      </c>
      <c r="D1121" s="16">
        <v>306.2</v>
      </c>
      <c r="E1121" s="17">
        <f t="shared" si="17"/>
        <v>18.05</v>
      </c>
      <c r="F1121" s="16">
        <v>2</v>
      </c>
      <c r="G1121" s="16">
        <v>6</v>
      </c>
      <c r="H1121" s="16">
        <v>1.01</v>
      </c>
      <c r="I1121" s="16">
        <v>15</v>
      </c>
      <c r="J1121" s="16">
        <v>261</v>
      </c>
      <c r="K1121" s="16">
        <v>2.93</v>
      </c>
      <c r="L1121" s="16">
        <v>58.4</v>
      </c>
      <c r="M1121" s="16">
        <v>2</v>
      </c>
      <c r="N1121" s="18">
        <f>IF(Risk_Calculation_Engine!U1121="Low",1,IF(Risk_Calculation_Engine!U1121="Medium",2,3))</f>
        <v>1</v>
      </c>
      <c r="O1121" s="18" t="str">
        <f>Risk_Calculation_Engine!U1121</f>
        <v>Low</v>
      </c>
    </row>
    <row r="1122" spans="1:15" ht="15" customHeight="1" x14ac:dyDescent="0.25">
      <c r="A1122" s="16">
        <v>1118</v>
      </c>
      <c r="B1122" s="16">
        <v>98</v>
      </c>
      <c r="C1122" s="16">
        <v>4</v>
      </c>
      <c r="D1122" s="16">
        <v>347.2</v>
      </c>
      <c r="E1122" s="17">
        <f t="shared" si="17"/>
        <v>15.35</v>
      </c>
      <c r="F1122" s="16">
        <v>3</v>
      </c>
      <c r="G1122" s="16">
        <v>6</v>
      </c>
      <c r="H1122" s="16">
        <v>1.23</v>
      </c>
      <c r="I1122" s="16">
        <v>3</v>
      </c>
      <c r="J1122" s="16">
        <v>1115</v>
      </c>
      <c r="K1122" s="16">
        <v>11.38</v>
      </c>
      <c r="L1122" s="16">
        <v>91.3</v>
      </c>
      <c r="M1122" s="16">
        <v>1</v>
      </c>
      <c r="N1122" s="18">
        <f>IF(Risk_Calculation_Engine!U1122="Low",1,IF(Risk_Calculation_Engine!U1122="Medium",2,3))</f>
        <v>1</v>
      </c>
      <c r="O1122" s="18" t="str">
        <f>Risk_Calculation_Engine!U1122</f>
        <v>Low</v>
      </c>
    </row>
    <row r="1123" spans="1:15" ht="15" customHeight="1" x14ac:dyDescent="0.25">
      <c r="A1123" s="16">
        <v>1119</v>
      </c>
      <c r="B1123" s="16">
        <v>85.3</v>
      </c>
      <c r="C1123" s="16">
        <v>4</v>
      </c>
      <c r="D1123" s="16">
        <v>446</v>
      </c>
      <c r="E1123" s="17">
        <f t="shared" si="17"/>
        <v>8.17</v>
      </c>
      <c r="F1123" s="16">
        <v>2</v>
      </c>
      <c r="G1123" s="16">
        <v>6</v>
      </c>
      <c r="H1123" s="16">
        <v>2.48</v>
      </c>
      <c r="I1123" s="16">
        <v>12</v>
      </c>
      <c r="J1123" s="16">
        <v>617</v>
      </c>
      <c r="K1123" s="16">
        <v>7.23</v>
      </c>
      <c r="L1123" s="16">
        <v>70.2</v>
      </c>
      <c r="M1123" s="16">
        <v>3</v>
      </c>
      <c r="N1123" s="18">
        <f>IF(Risk_Calculation_Engine!U1123="Low",1,IF(Risk_Calculation_Engine!U1123="Medium",2,3))</f>
        <v>3</v>
      </c>
      <c r="O1123" s="18" t="str">
        <f>Risk_Calculation_Engine!U1123</f>
        <v>High</v>
      </c>
    </row>
    <row r="1124" spans="1:15" ht="15" customHeight="1" x14ac:dyDescent="0.25">
      <c r="A1124" s="16">
        <v>1120</v>
      </c>
      <c r="B1124" s="16">
        <v>99.6</v>
      </c>
      <c r="C1124" s="16">
        <v>1</v>
      </c>
      <c r="D1124" s="16">
        <v>270.10000000000002</v>
      </c>
      <c r="E1124" s="17">
        <f t="shared" si="17"/>
        <v>10.93</v>
      </c>
      <c r="F1124" s="16">
        <v>3</v>
      </c>
      <c r="G1124" s="16">
        <v>5</v>
      </c>
      <c r="H1124" s="16">
        <v>1.61</v>
      </c>
      <c r="I1124" s="16">
        <v>5</v>
      </c>
      <c r="J1124" s="16">
        <v>110</v>
      </c>
      <c r="K1124" s="16">
        <v>1.1000000000000001</v>
      </c>
      <c r="L1124" s="16">
        <v>52.6</v>
      </c>
      <c r="M1124" s="16">
        <v>3</v>
      </c>
      <c r="N1124" s="18">
        <f>IF(Risk_Calculation_Engine!U1124="Low",1,IF(Risk_Calculation_Engine!U1124="Medium",2,3))</f>
        <v>1</v>
      </c>
      <c r="O1124" s="18" t="str">
        <f>Risk_Calculation_Engine!U1124</f>
        <v>Low</v>
      </c>
    </row>
    <row r="1125" spans="1:15" ht="15" customHeight="1" x14ac:dyDescent="0.25">
      <c r="A1125" s="16">
        <v>1121</v>
      </c>
      <c r="B1125" s="16">
        <v>68.3</v>
      </c>
      <c r="C1125" s="16">
        <v>2</v>
      </c>
      <c r="D1125" s="16">
        <v>192.3</v>
      </c>
      <c r="E1125" s="17">
        <f t="shared" si="17"/>
        <v>10.81</v>
      </c>
      <c r="F1125" s="16">
        <v>3</v>
      </c>
      <c r="G1125" s="16">
        <v>9</v>
      </c>
      <c r="H1125" s="16">
        <v>1.48</v>
      </c>
      <c r="I1125" s="16">
        <v>14</v>
      </c>
      <c r="J1125" s="16">
        <v>348</v>
      </c>
      <c r="K1125" s="16">
        <v>5.0999999999999996</v>
      </c>
      <c r="L1125" s="16">
        <v>68.7</v>
      </c>
      <c r="M1125" s="16">
        <v>2</v>
      </c>
      <c r="N1125" s="18">
        <f>IF(Risk_Calculation_Engine!U1125="Low",1,IF(Risk_Calculation_Engine!U1125="Medium",2,3))</f>
        <v>1</v>
      </c>
      <c r="O1125" s="18" t="str">
        <f>Risk_Calculation_Engine!U1125</f>
        <v>Low</v>
      </c>
    </row>
    <row r="1126" spans="1:15" ht="15" customHeight="1" x14ac:dyDescent="0.25">
      <c r="A1126" s="16">
        <v>1122</v>
      </c>
      <c r="B1126" s="16">
        <v>16.8</v>
      </c>
      <c r="C1126" s="16">
        <v>3</v>
      </c>
      <c r="D1126" s="16">
        <v>103</v>
      </c>
      <c r="E1126" s="17">
        <f t="shared" si="17"/>
        <v>5.37</v>
      </c>
      <c r="F1126" s="16">
        <v>1</v>
      </c>
      <c r="G1126" s="16">
        <v>10</v>
      </c>
      <c r="H1126" s="16">
        <v>2.5</v>
      </c>
      <c r="I1126" s="16">
        <v>3</v>
      </c>
      <c r="J1126" s="16">
        <v>135</v>
      </c>
      <c r="K1126" s="16">
        <v>8.0399999999999991</v>
      </c>
      <c r="L1126" s="16">
        <v>93.7</v>
      </c>
      <c r="M1126" s="16">
        <v>2</v>
      </c>
      <c r="N1126" s="18">
        <f>IF(Risk_Calculation_Engine!U1126="Low",1,IF(Risk_Calculation_Engine!U1126="Medium",2,3))</f>
        <v>3</v>
      </c>
      <c r="O1126" s="18" t="str">
        <f>Risk_Calculation_Engine!U1126</f>
        <v>High</v>
      </c>
    </row>
    <row r="1127" spans="1:15" ht="15" customHeight="1" x14ac:dyDescent="0.25">
      <c r="A1127" s="16">
        <v>1123</v>
      </c>
      <c r="B1127" s="16">
        <v>37.799999999999997</v>
      </c>
      <c r="C1127" s="16">
        <v>5</v>
      </c>
      <c r="D1127" s="16">
        <v>197.1</v>
      </c>
      <c r="E1127" s="17">
        <f t="shared" si="17"/>
        <v>9.31</v>
      </c>
      <c r="F1127" s="16">
        <v>2</v>
      </c>
      <c r="G1127" s="16">
        <v>6</v>
      </c>
      <c r="H1127" s="16">
        <v>1.73</v>
      </c>
      <c r="I1127" s="16">
        <v>6</v>
      </c>
      <c r="J1127" s="16">
        <v>402</v>
      </c>
      <c r="K1127" s="16">
        <v>10.63</v>
      </c>
      <c r="L1127" s="16">
        <v>80.3</v>
      </c>
      <c r="M1127" s="16">
        <v>1</v>
      </c>
      <c r="N1127" s="18">
        <f>IF(Risk_Calculation_Engine!U1127="Low",1,IF(Risk_Calculation_Engine!U1127="Medium",2,3))</f>
        <v>2</v>
      </c>
      <c r="O1127" s="18" t="str">
        <f>Risk_Calculation_Engine!U1127</f>
        <v>Medium</v>
      </c>
    </row>
    <row r="1128" spans="1:15" ht="15" customHeight="1" x14ac:dyDescent="0.25">
      <c r="A1128" s="16">
        <v>1124</v>
      </c>
      <c r="B1128" s="16">
        <v>148.19999999999999</v>
      </c>
      <c r="C1128" s="16">
        <v>3</v>
      </c>
      <c r="D1128" s="16">
        <v>981.9</v>
      </c>
      <c r="E1128" s="17">
        <f t="shared" si="17"/>
        <v>24.29</v>
      </c>
      <c r="F1128" s="16">
        <v>1</v>
      </c>
      <c r="G1128" s="16">
        <v>3</v>
      </c>
      <c r="H1128" s="16">
        <v>1.04</v>
      </c>
      <c r="I1128" s="16">
        <v>5</v>
      </c>
      <c r="J1128" s="16">
        <v>674</v>
      </c>
      <c r="K1128" s="16">
        <v>4.55</v>
      </c>
      <c r="L1128" s="16">
        <v>54.1</v>
      </c>
      <c r="M1128" s="16">
        <v>1</v>
      </c>
      <c r="N1128" s="18">
        <f>IF(Risk_Calculation_Engine!U1128="Low",1,IF(Risk_Calculation_Engine!U1128="Medium",2,3))</f>
        <v>1</v>
      </c>
      <c r="O1128" s="18" t="str">
        <f>Risk_Calculation_Engine!U1128</f>
        <v>Low</v>
      </c>
    </row>
    <row r="1129" spans="1:15" ht="15" customHeight="1" x14ac:dyDescent="0.25">
      <c r="A1129" s="16">
        <v>1125</v>
      </c>
      <c r="B1129" s="16">
        <v>136.6</v>
      </c>
      <c r="C1129" s="16">
        <v>4</v>
      </c>
      <c r="D1129" s="16">
        <v>604.70000000000005</v>
      </c>
      <c r="E1129" s="17">
        <f t="shared" si="17"/>
        <v>8.9700000000000006</v>
      </c>
      <c r="F1129" s="16">
        <v>3</v>
      </c>
      <c r="G1129" s="16">
        <v>2</v>
      </c>
      <c r="H1129" s="16">
        <v>2.46</v>
      </c>
      <c r="I1129" s="16">
        <v>10</v>
      </c>
      <c r="J1129" s="16">
        <v>1560</v>
      </c>
      <c r="K1129" s="16">
        <v>11.42</v>
      </c>
      <c r="L1129" s="16">
        <v>71.900000000000006</v>
      </c>
      <c r="M1129" s="16">
        <v>3</v>
      </c>
      <c r="N1129" s="18">
        <f>IF(Risk_Calculation_Engine!U1129="Low",1,IF(Risk_Calculation_Engine!U1129="Medium",2,3))</f>
        <v>3</v>
      </c>
      <c r="O1129" s="18" t="str">
        <f>Risk_Calculation_Engine!U1129</f>
        <v>High</v>
      </c>
    </row>
    <row r="1130" spans="1:15" ht="15" customHeight="1" x14ac:dyDescent="0.25">
      <c r="A1130" s="16">
        <v>1126</v>
      </c>
      <c r="B1130" s="16">
        <v>88</v>
      </c>
      <c r="C1130" s="16">
        <v>4</v>
      </c>
      <c r="D1130" s="16">
        <v>657.5</v>
      </c>
      <c r="E1130" s="17">
        <f t="shared" si="17"/>
        <v>22.58</v>
      </c>
      <c r="F1130" s="16">
        <v>1</v>
      </c>
      <c r="G1130" s="16">
        <v>6</v>
      </c>
      <c r="H1130" s="16">
        <v>1</v>
      </c>
      <c r="I1130" s="16">
        <v>3</v>
      </c>
      <c r="J1130" s="16">
        <v>809</v>
      </c>
      <c r="K1130" s="16">
        <v>9.19</v>
      </c>
      <c r="L1130" s="16">
        <v>51.6</v>
      </c>
      <c r="M1130" s="16">
        <v>3</v>
      </c>
      <c r="N1130" s="18">
        <f>IF(Risk_Calculation_Engine!U1130="Low",1,IF(Risk_Calculation_Engine!U1130="Medium",2,3))</f>
        <v>2</v>
      </c>
      <c r="O1130" s="18" t="str">
        <f>Risk_Calculation_Engine!U1130</f>
        <v>Medium</v>
      </c>
    </row>
    <row r="1131" spans="1:15" ht="15" customHeight="1" x14ac:dyDescent="0.25">
      <c r="A1131" s="16">
        <v>1127</v>
      </c>
      <c r="B1131" s="16">
        <v>104.3</v>
      </c>
      <c r="C1131" s="16">
        <v>4</v>
      </c>
      <c r="D1131" s="16">
        <v>492.1</v>
      </c>
      <c r="E1131" s="17">
        <f t="shared" si="17"/>
        <v>12.85</v>
      </c>
      <c r="F1131" s="16">
        <v>2</v>
      </c>
      <c r="G1131" s="16">
        <v>8</v>
      </c>
      <c r="H1131" s="16">
        <v>1.62</v>
      </c>
      <c r="I1131" s="16">
        <v>3</v>
      </c>
      <c r="J1131" s="16">
        <v>879</v>
      </c>
      <c r="K1131" s="16">
        <v>8.43</v>
      </c>
      <c r="L1131" s="16">
        <v>76.3</v>
      </c>
      <c r="M1131" s="16">
        <v>2</v>
      </c>
      <c r="N1131" s="18">
        <f>IF(Risk_Calculation_Engine!U1131="Low",1,IF(Risk_Calculation_Engine!U1131="Medium",2,3))</f>
        <v>2</v>
      </c>
      <c r="O1131" s="18" t="str">
        <f>Risk_Calculation_Engine!U1131</f>
        <v>Medium</v>
      </c>
    </row>
    <row r="1132" spans="1:15" ht="15" customHeight="1" x14ac:dyDescent="0.25">
      <c r="A1132" s="16">
        <v>1128</v>
      </c>
      <c r="B1132" s="16">
        <v>125.4</v>
      </c>
      <c r="C1132" s="16">
        <v>3</v>
      </c>
      <c r="D1132" s="16">
        <v>448.9</v>
      </c>
      <c r="E1132" s="17">
        <f t="shared" si="17"/>
        <v>11.09</v>
      </c>
      <c r="F1132" s="16">
        <v>3</v>
      </c>
      <c r="G1132" s="16">
        <v>8</v>
      </c>
      <c r="H1132" s="16">
        <v>1.83</v>
      </c>
      <c r="I1132" s="16">
        <v>9</v>
      </c>
      <c r="J1132" s="16">
        <v>696</v>
      </c>
      <c r="K1132" s="16">
        <v>5.55</v>
      </c>
      <c r="L1132" s="16">
        <v>91.9</v>
      </c>
      <c r="M1132" s="16">
        <v>1</v>
      </c>
      <c r="N1132" s="18">
        <f>IF(Risk_Calculation_Engine!U1132="Low",1,IF(Risk_Calculation_Engine!U1132="Medium",2,3))</f>
        <v>3</v>
      </c>
      <c r="O1132" s="18" t="str">
        <f>Risk_Calculation_Engine!U1132</f>
        <v>High</v>
      </c>
    </row>
    <row r="1133" spans="1:15" ht="15" customHeight="1" x14ac:dyDescent="0.25">
      <c r="A1133" s="16">
        <v>1129</v>
      </c>
      <c r="B1133" s="16">
        <v>87.2</v>
      </c>
      <c r="C1133" s="16">
        <v>3</v>
      </c>
      <c r="D1133" s="16">
        <v>625.20000000000005</v>
      </c>
      <c r="E1133" s="17">
        <f t="shared" si="17"/>
        <v>10.029999999999999</v>
      </c>
      <c r="F1133" s="16">
        <v>1</v>
      </c>
      <c r="G1133" s="16">
        <v>4</v>
      </c>
      <c r="H1133" s="16">
        <v>2.2200000000000002</v>
      </c>
      <c r="I1133" s="16">
        <v>15</v>
      </c>
      <c r="J1133" s="16">
        <v>526</v>
      </c>
      <c r="K1133" s="16">
        <v>6.03</v>
      </c>
      <c r="L1133" s="16">
        <v>74</v>
      </c>
      <c r="M1133" s="16">
        <v>1</v>
      </c>
      <c r="N1133" s="18">
        <f>IF(Risk_Calculation_Engine!U1133="Low",1,IF(Risk_Calculation_Engine!U1133="Medium",2,3))</f>
        <v>3</v>
      </c>
      <c r="O1133" s="18" t="str">
        <f>Risk_Calculation_Engine!U1133</f>
        <v>High</v>
      </c>
    </row>
    <row r="1134" spans="1:15" ht="15" customHeight="1" x14ac:dyDescent="0.25">
      <c r="A1134" s="16">
        <v>1130</v>
      </c>
      <c r="B1134" s="16">
        <v>145.30000000000001</v>
      </c>
      <c r="C1134" s="16">
        <v>4</v>
      </c>
      <c r="D1134" s="16">
        <v>597.9</v>
      </c>
      <c r="E1134" s="17">
        <f t="shared" si="17"/>
        <v>23.9</v>
      </c>
      <c r="F1134" s="16">
        <v>3</v>
      </c>
      <c r="G1134" s="16">
        <v>4</v>
      </c>
      <c r="H1134" s="16">
        <v>0.92</v>
      </c>
      <c r="I1134" s="16">
        <v>9</v>
      </c>
      <c r="J1134" s="16">
        <v>995</v>
      </c>
      <c r="K1134" s="16">
        <v>6.85</v>
      </c>
      <c r="L1134" s="16">
        <v>64.599999999999994</v>
      </c>
      <c r="M1134" s="16">
        <v>3</v>
      </c>
      <c r="N1134" s="18">
        <f>IF(Risk_Calculation_Engine!U1134="Low",1,IF(Risk_Calculation_Engine!U1134="Medium",2,3))</f>
        <v>1</v>
      </c>
      <c r="O1134" s="18" t="str">
        <f>Risk_Calculation_Engine!U1134</f>
        <v>Low</v>
      </c>
    </row>
    <row r="1135" spans="1:15" ht="15" customHeight="1" x14ac:dyDescent="0.25">
      <c r="A1135" s="16">
        <v>1131</v>
      </c>
      <c r="B1135" s="16">
        <v>141.9</v>
      </c>
      <c r="C1135" s="16">
        <v>3</v>
      </c>
      <c r="D1135" s="16">
        <v>829.2</v>
      </c>
      <c r="E1135" s="17">
        <f t="shared" si="17"/>
        <v>33.46</v>
      </c>
      <c r="F1135" s="16">
        <v>1</v>
      </c>
      <c r="G1135" s="16">
        <v>8</v>
      </c>
      <c r="H1135" s="16">
        <v>0.72</v>
      </c>
      <c r="I1135" s="16">
        <v>8</v>
      </c>
      <c r="J1135" s="16">
        <v>756</v>
      </c>
      <c r="K1135" s="16">
        <v>5.33</v>
      </c>
      <c r="L1135" s="16">
        <v>90.8</v>
      </c>
      <c r="M1135" s="16">
        <v>1</v>
      </c>
      <c r="N1135" s="18">
        <f>IF(Risk_Calculation_Engine!U1135="Low",1,IF(Risk_Calculation_Engine!U1135="Medium",2,3))</f>
        <v>2</v>
      </c>
      <c r="O1135" s="18" t="str">
        <f>Risk_Calculation_Engine!U1135</f>
        <v>Medium</v>
      </c>
    </row>
    <row r="1136" spans="1:15" ht="15" customHeight="1" x14ac:dyDescent="0.25">
      <c r="A1136" s="16">
        <v>1132</v>
      </c>
      <c r="B1136" s="16">
        <v>149.80000000000001</v>
      </c>
      <c r="C1136" s="16">
        <v>5</v>
      </c>
      <c r="D1136" s="16">
        <v>834</v>
      </c>
      <c r="E1136" s="17">
        <f t="shared" si="17"/>
        <v>33.06</v>
      </c>
      <c r="F1136" s="16">
        <v>2</v>
      </c>
      <c r="G1136" s="16">
        <v>5</v>
      </c>
      <c r="H1136" s="16">
        <v>0.73</v>
      </c>
      <c r="I1136" s="16">
        <v>11</v>
      </c>
      <c r="J1136" s="16">
        <v>1536</v>
      </c>
      <c r="K1136" s="16">
        <v>10.25</v>
      </c>
      <c r="L1136" s="16">
        <v>77.2</v>
      </c>
      <c r="M1136" s="16">
        <v>2</v>
      </c>
      <c r="N1136" s="18">
        <f>IF(Risk_Calculation_Engine!U1136="Low",1,IF(Risk_Calculation_Engine!U1136="Medium",2,3))</f>
        <v>2</v>
      </c>
      <c r="O1136" s="18" t="str">
        <f>Risk_Calculation_Engine!U1136</f>
        <v>Medium</v>
      </c>
    </row>
    <row r="1137" spans="1:15" ht="15" customHeight="1" x14ac:dyDescent="0.25">
      <c r="A1137" s="16">
        <v>1133</v>
      </c>
      <c r="B1137" s="16">
        <v>39.200000000000003</v>
      </c>
      <c r="C1137" s="16">
        <v>1</v>
      </c>
      <c r="D1137" s="16">
        <v>118.2</v>
      </c>
      <c r="E1137" s="17">
        <f t="shared" si="17"/>
        <v>5.59</v>
      </c>
      <c r="F1137" s="16">
        <v>2</v>
      </c>
      <c r="G1137" s="16">
        <v>2</v>
      </c>
      <c r="H1137" s="16">
        <v>2.5</v>
      </c>
      <c r="I1137" s="16">
        <v>10</v>
      </c>
      <c r="J1137" s="16">
        <v>40</v>
      </c>
      <c r="K1137" s="16">
        <v>1.02</v>
      </c>
      <c r="L1137" s="16">
        <v>66.900000000000006</v>
      </c>
      <c r="M1137" s="16">
        <v>3</v>
      </c>
      <c r="N1137" s="18">
        <f>IF(Risk_Calculation_Engine!U1137="Low",1,IF(Risk_Calculation_Engine!U1137="Medium",2,3))</f>
        <v>1</v>
      </c>
      <c r="O1137" s="18" t="str">
        <f>Risk_Calculation_Engine!U1137</f>
        <v>Low</v>
      </c>
    </row>
    <row r="1138" spans="1:15" ht="15" customHeight="1" x14ac:dyDescent="0.25">
      <c r="A1138" s="16">
        <v>1134</v>
      </c>
      <c r="B1138" s="16">
        <v>39.9</v>
      </c>
      <c r="C1138" s="16">
        <v>2</v>
      </c>
      <c r="D1138" s="16">
        <v>133.6</v>
      </c>
      <c r="E1138" s="17">
        <f t="shared" si="17"/>
        <v>16.420000000000002</v>
      </c>
      <c r="F1138" s="16">
        <v>2</v>
      </c>
      <c r="G1138" s="16">
        <v>10</v>
      </c>
      <c r="H1138" s="16">
        <v>0.88</v>
      </c>
      <c r="I1138" s="16">
        <v>8</v>
      </c>
      <c r="J1138" s="16">
        <v>235</v>
      </c>
      <c r="K1138" s="16">
        <v>5.89</v>
      </c>
      <c r="L1138" s="16">
        <v>76.2</v>
      </c>
      <c r="M1138" s="16">
        <v>2</v>
      </c>
      <c r="N1138" s="18">
        <f>IF(Risk_Calculation_Engine!U1138="Low",1,IF(Risk_Calculation_Engine!U1138="Medium",2,3))</f>
        <v>1</v>
      </c>
      <c r="O1138" s="18" t="str">
        <f>Risk_Calculation_Engine!U1138</f>
        <v>Low</v>
      </c>
    </row>
    <row r="1139" spans="1:15" ht="15" customHeight="1" x14ac:dyDescent="0.25">
      <c r="A1139" s="16">
        <v>1135</v>
      </c>
      <c r="B1139" s="16">
        <v>82.4</v>
      </c>
      <c r="C1139" s="16">
        <v>4</v>
      </c>
      <c r="D1139" s="16">
        <v>484.9</v>
      </c>
      <c r="E1139" s="17">
        <f t="shared" si="17"/>
        <v>8.2899999999999991</v>
      </c>
      <c r="F1139" s="16">
        <v>2</v>
      </c>
      <c r="G1139" s="16">
        <v>3</v>
      </c>
      <c r="H1139" s="16">
        <v>2.5</v>
      </c>
      <c r="I1139" s="16">
        <v>10</v>
      </c>
      <c r="J1139" s="16">
        <v>457</v>
      </c>
      <c r="K1139" s="16">
        <v>5.55</v>
      </c>
      <c r="L1139" s="16">
        <v>13.3</v>
      </c>
      <c r="M1139" s="16">
        <v>3</v>
      </c>
      <c r="N1139" s="18">
        <f>IF(Risk_Calculation_Engine!U1139="Low",1,IF(Risk_Calculation_Engine!U1139="Medium",2,3))</f>
        <v>2</v>
      </c>
      <c r="O1139" s="18" t="str">
        <f>Risk_Calculation_Engine!U1139</f>
        <v>Medium</v>
      </c>
    </row>
    <row r="1140" spans="1:15" ht="15" customHeight="1" x14ac:dyDescent="0.25">
      <c r="A1140" s="16">
        <v>1136</v>
      </c>
      <c r="B1140" s="16">
        <v>149.80000000000001</v>
      </c>
      <c r="C1140" s="16">
        <v>3</v>
      </c>
      <c r="D1140" s="16">
        <v>617.4</v>
      </c>
      <c r="E1140" s="17">
        <f t="shared" si="17"/>
        <v>8.8699999999999992</v>
      </c>
      <c r="F1140" s="16">
        <v>3</v>
      </c>
      <c r="G1140" s="16">
        <v>9</v>
      </c>
      <c r="H1140" s="16">
        <v>2.5</v>
      </c>
      <c r="I1140" s="16">
        <v>3</v>
      </c>
      <c r="J1140" s="16">
        <v>488</v>
      </c>
      <c r="K1140" s="16">
        <v>3.26</v>
      </c>
      <c r="L1140" s="16">
        <v>89</v>
      </c>
      <c r="M1140" s="16">
        <v>1</v>
      </c>
      <c r="N1140" s="18">
        <f>IF(Risk_Calculation_Engine!U1140="Low",1,IF(Risk_Calculation_Engine!U1140="Medium",2,3))</f>
        <v>3</v>
      </c>
      <c r="O1140" s="18" t="str">
        <f>Risk_Calculation_Engine!U1140</f>
        <v>High</v>
      </c>
    </row>
    <row r="1141" spans="1:15" ht="15" customHeight="1" x14ac:dyDescent="0.25">
      <c r="A1141" s="16">
        <v>1137</v>
      </c>
      <c r="B1141" s="16">
        <v>149.80000000000001</v>
      </c>
      <c r="C1141" s="16">
        <v>2</v>
      </c>
      <c r="D1141" s="16">
        <v>715.9</v>
      </c>
      <c r="E1141" s="17">
        <f t="shared" si="17"/>
        <v>21.02</v>
      </c>
      <c r="F1141" s="16">
        <v>2</v>
      </c>
      <c r="G1141" s="16">
        <v>4</v>
      </c>
      <c r="H1141" s="16">
        <v>1.1000000000000001</v>
      </c>
      <c r="I1141" s="16">
        <v>6</v>
      </c>
      <c r="J1141" s="16">
        <v>833</v>
      </c>
      <c r="K1141" s="16">
        <v>5.56</v>
      </c>
      <c r="L1141" s="16">
        <v>51.3</v>
      </c>
      <c r="M1141" s="16">
        <v>2</v>
      </c>
      <c r="N1141" s="18">
        <f>IF(Risk_Calculation_Engine!U1141="Low",1,IF(Risk_Calculation_Engine!U1141="Medium",2,3))</f>
        <v>1</v>
      </c>
      <c r="O1141" s="18" t="str">
        <f>Risk_Calculation_Engine!U1141</f>
        <v>Low</v>
      </c>
    </row>
    <row r="1142" spans="1:15" ht="15" customHeight="1" x14ac:dyDescent="0.25">
      <c r="A1142" s="16">
        <v>1138</v>
      </c>
      <c r="B1142" s="16">
        <v>113.9</v>
      </c>
      <c r="C1142" s="16">
        <v>2</v>
      </c>
      <c r="D1142" s="16">
        <v>450.2</v>
      </c>
      <c r="E1142" s="17">
        <f t="shared" si="17"/>
        <v>26.37</v>
      </c>
      <c r="F1142" s="16">
        <v>2</v>
      </c>
      <c r="G1142" s="16">
        <v>4</v>
      </c>
      <c r="H1142" s="16">
        <v>0.77</v>
      </c>
      <c r="I1142" s="16">
        <v>11</v>
      </c>
      <c r="J1142" s="16">
        <v>672</v>
      </c>
      <c r="K1142" s="16">
        <v>5.9</v>
      </c>
      <c r="L1142" s="16">
        <v>88.8</v>
      </c>
      <c r="M1142" s="16">
        <v>3</v>
      </c>
      <c r="N1142" s="18">
        <f>IF(Risk_Calculation_Engine!U1142="Low",1,IF(Risk_Calculation_Engine!U1142="Medium",2,3))</f>
        <v>1</v>
      </c>
      <c r="O1142" s="18" t="str">
        <f>Risk_Calculation_Engine!U1142</f>
        <v>Low</v>
      </c>
    </row>
    <row r="1143" spans="1:15" ht="15" customHeight="1" x14ac:dyDescent="0.25">
      <c r="A1143" s="16">
        <v>1139</v>
      </c>
      <c r="B1143" s="16">
        <v>149.80000000000001</v>
      </c>
      <c r="C1143" s="16">
        <v>3</v>
      </c>
      <c r="D1143" s="16">
        <v>536.29999999999995</v>
      </c>
      <c r="E1143" s="17">
        <f t="shared" si="17"/>
        <v>12.77</v>
      </c>
      <c r="F1143" s="16">
        <v>3</v>
      </c>
      <c r="G1143" s="16">
        <v>5</v>
      </c>
      <c r="H1143" s="16">
        <v>1.67</v>
      </c>
      <c r="I1143" s="16">
        <v>7</v>
      </c>
      <c r="J1143" s="16">
        <v>1208</v>
      </c>
      <c r="K1143" s="16">
        <v>8.06</v>
      </c>
      <c r="L1143" s="16">
        <v>91.6</v>
      </c>
      <c r="M1143" s="16">
        <v>3</v>
      </c>
      <c r="N1143" s="18">
        <f>IF(Risk_Calculation_Engine!U1143="Low",1,IF(Risk_Calculation_Engine!U1143="Medium",2,3))</f>
        <v>2</v>
      </c>
      <c r="O1143" s="18" t="str">
        <f>Risk_Calculation_Engine!U1143</f>
        <v>Medium</v>
      </c>
    </row>
    <row r="1144" spans="1:15" ht="15" customHeight="1" x14ac:dyDescent="0.25">
      <c r="A1144" s="16">
        <v>1140</v>
      </c>
      <c r="B1144" s="16">
        <v>90.4</v>
      </c>
      <c r="C1144" s="16">
        <v>4</v>
      </c>
      <c r="D1144" s="16">
        <v>344.7</v>
      </c>
      <c r="E1144" s="17">
        <f t="shared" si="17"/>
        <v>14.49</v>
      </c>
      <c r="F1144" s="16">
        <v>3</v>
      </c>
      <c r="G1144" s="16">
        <v>5</v>
      </c>
      <c r="H1144" s="16">
        <v>1.3</v>
      </c>
      <c r="I1144" s="16">
        <v>3</v>
      </c>
      <c r="J1144" s="16">
        <v>578</v>
      </c>
      <c r="K1144" s="16">
        <v>6.39</v>
      </c>
      <c r="L1144" s="16">
        <v>71.7</v>
      </c>
      <c r="M1144" s="16">
        <v>3</v>
      </c>
      <c r="N1144" s="18">
        <f>IF(Risk_Calculation_Engine!U1144="Low",1,IF(Risk_Calculation_Engine!U1144="Medium",2,3))</f>
        <v>2</v>
      </c>
      <c r="O1144" s="18" t="str">
        <f>Risk_Calculation_Engine!U1144</f>
        <v>Medium</v>
      </c>
    </row>
    <row r="1145" spans="1:15" ht="15" customHeight="1" x14ac:dyDescent="0.25">
      <c r="A1145" s="16">
        <v>1141</v>
      </c>
      <c r="B1145" s="16">
        <v>48.1</v>
      </c>
      <c r="C1145" s="16">
        <v>1</v>
      </c>
      <c r="D1145" s="16">
        <v>184.9</v>
      </c>
      <c r="E1145" s="17">
        <f t="shared" si="17"/>
        <v>6.33</v>
      </c>
      <c r="F1145" s="16">
        <v>1</v>
      </c>
      <c r="G1145" s="16">
        <v>7</v>
      </c>
      <c r="H1145" s="16">
        <v>2.5</v>
      </c>
      <c r="I1145" s="16">
        <v>4</v>
      </c>
      <c r="J1145" s="16">
        <v>110</v>
      </c>
      <c r="K1145" s="16">
        <v>2.29</v>
      </c>
      <c r="L1145" s="16">
        <v>69.599999999999994</v>
      </c>
      <c r="M1145" s="16">
        <v>2</v>
      </c>
      <c r="N1145" s="18">
        <f>IF(Risk_Calculation_Engine!U1145="Low",1,IF(Risk_Calculation_Engine!U1145="Medium",2,3))</f>
        <v>2</v>
      </c>
      <c r="O1145" s="18" t="str">
        <f>Risk_Calculation_Engine!U1145</f>
        <v>Medium</v>
      </c>
    </row>
    <row r="1146" spans="1:15" ht="15" customHeight="1" x14ac:dyDescent="0.25">
      <c r="A1146" s="16">
        <v>1142</v>
      </c>
      <c r="B1146" s="16">
        <v>149.80000000000001</v>
      </c>
      <c r="C1146" s="16">
        <v>1</v>
      </c>
      <c r="D1146" s="16">
        <v>403.9</v>
      </c>
      <c r="E1146" s="17">
        <f t="shared" si="17"/>
        <v>10.82</v>
      </c>
      <c r="F1146" s="16">
        <v>3</v>
      </c>
      <c r="G1146" s="16">
        <v>6</v>
      </c>
      <c r="H1146" s="16">
        <v>1.82</v>
      </c>
      <c r="I1146" s="16">
        <v>14</v>
      </c>
      <c r="J1146" s="16">
        <v>359</v>
      </c>
      <c r="K1146" s="16">
        <v>2.4</v>
      </c>
      <c r="L1146" s="16">
        <v>55.1</v>
      </c>
      <c r="M1146" s="16">
        <v>1</v>
      </c>
      <c r="N1146" s="18">
        <f>IF(Risk_Calculation_Engine!U1146="Low",1,IF(Risk_Calculation_Engine!U1146="Medium",2,3))</f>
        <v>2</v>
      </c>
      <c r="O1146" s="18" t="str">
        <f>Risk_Calculation_Engine!U1146</f>
        <v>Medium</v>
      </c>
    </row>
    <row r="1147" spans="1:15" ht="15" customHeight="1" x14ac:dyDescent="0.25">
      <c r="A1147" s="16">
        <v>1143</v>
      </c>
      <c r="B1147" s="16">
        <v>85.5</v>
      </c>
      <c r="C1147" s="16">
        <v>3</v>
      </c>
      <c r="D1147" s="16">
        <v>486.2</v>
      </c>
      <c r="E1147" s="17">
        <f t="shared" si="17"/>
        <v>12.81</v>
      </c>
      <c r="F1147" s="16">
        <v>1</v>
      </c>
      <c r="G1147" s="16">
        <v>5</v>
      </c>
      <c r="H1147" s="16">
        <v>1.62</v>
      </c>
      <c r="I1147" s="16">
        <v>7</v>
      </c>
      <c r="J1147" s="16">
        <v>652</v>
      </c>
      <c r="K1147" s="16">
        <v>7.63</v>
      </c>
      <c r="L1147" s="16">
        <v>63.7</v>
      </c>
      <c r="M1147" s="16">
        <v>2</v>
      </c>
      <c r="N1147" s="18">
        <f>IF(Risk_Calculation_Engine!U1147="Low",1,IF(Risk_Calculation_Engine!U1147="Medium",2,3))</f>
        <v>2</v>
      </c>
      <c r="O1147" s="18" t="str">
        <f>Risk_Calculation_Engine!U1147</f>
        <v>Medium</v>
      </c>
    </row>
    <row r="1148" spans="1:15" ht="15" customHeight="1" x14ac:dyDescent="0.25">
      <c r="A1148" s="16">
        <v>1144</v>
      </c>
      <c r="B1148" s="16">
        <v>139.69999999999999</v>
      </c>
      <c r="C1148" s="16">
        <v>5</v>
      </c>
      <c r="D1148" s="16">
        <v>782.7</v>
      </c>
      <c r="E1148" s="17">
        <f t="shared" si="17"/>
        <v>16.02</v>
      </c>
      <c r="F1148" s="16">
        <v>2</v>
      </c>
      <c r="G1148" s="16">
        <v>6</v>
      </c>
      <c r="H1148" s="16">
        <v>1.48</v>
      </c>
      <c r="I1148" s="16">
        <v>3</v>
      </c>
      <c r="J1148" s="16">
        <v>1541</v>
      </c>
      <c r="K1148" s="16">
        <v>11.03</v>
      </c>
      <c r="L1148" s="16">
        <v>53.1</v>
      </c>
      <c r="M1148" s="16">
        <v>1</v>
      </c>
      <c r="N1148" s="18">
        <f>IF(Risk_Calculation_Engine!U1148="Low",1,IF(Risk_Calculation_Engine!U1148="Medium",2,3))</f>
        <v>3</v>
      </c>
      <c r="O1148" s="18" t="str">
        <f>Risk_Calculation_Engine!U1148</f>
        <v>High</v>
      </c>
    </row>
    <row r="1149" spans="1:15" ht="15" customHeight="1" x14ac:dyDescent="0.25">
      <c r="A1149" s="16">
        <v>1145</v>
      </c>
      <c r="B1149" s="16">
        <v>2.5</v>
      </c>
      <c r="C1149" s="16">
        <v>3</v>
      </c>
      <c r="D1149" s="16">
        <v>8.9</v>
      </c>
      <c r="E1149" s="17">
        <f t="shared" si="17"/>
        <v>3.05</v>
      </c>
      <c r="F1149" s="16">
        <v>2</v>
      </c>
      <c r="G1149" s="16">
        <v>3</v>
      </c>
      <c r="H1149" s="16">
        <v>2.2200000000000002</v>
      </c>
      <c r="I1149" s="16">
        <v>12</v>
      </c>
      <c r="J1149" s="16">
        <v>13</v>
      </c>
      <c r="K1149" s="16">
        <v>5.2</v>
      </c>
      <c r="L1149" s="16">
        <v>64.400000000000006</v>
      </c>
      <c r="M1149" s="16">
        <v>1</v>
      </c>
      <c r="N1149" s="18">
        <f>IF(Risk_Calculation_Engine!U1149="Low",1,IF(Risk_Calculation_Engine!U1149="Medium",2,3))</f>
        <v>1</v>
      </c>
      <c r="O1149" s="18" t="str">
        <f>Risk_Calculation_Engine!U1149</f>
        <v>Low</v>
      </c>
    </row>
    <row r="1150" spans="1:15" ht="15" customHeight="1" x14ac:dyDescent="0.25">
      <c r="A1150" s="16">
        <v>1146</v>
      </c>
      <c r="B1150" s="16">
        <v>3.6</v>
      </c>
      <c r="C1150" s="16">
        <v>5</v>
      </c>
      <c r="D1150" s="16">
        <v>13.1</v>
      </c>
      <c r="E1150" s="17">
        <f t="shared" si="17"/>
        <v>4.83</v>
      </c>
      <c r="F1150" s="16">
        <v>3</v>
      </c>
      <c r="G1150" s="16">
        <v>9</v>
      </c>
      <c r="H1150" s="16">
        <v>1.56</v>
      </c>
      <c r="I1150" s="16">
        <v>9</v>
      </c>
      <c r="J1150" s="16">
        <v>50</v>
      </c>
      <c r="K1150" s="16">
        <v>13.89</v>
      </c>
      <c r="L1150" s="16">
        <v>69.900000000000006</v>
      </c>
      <c r="M1150" s="16">
        <v>2</v>
      </c>
      <c r="N1150" s="18">
        <f>IF(Risk_Calculation_Engine!U1150="Low",1,IF(Risk_Calculation_Engine!U1150="Medium",2,3))</f>
        <v>2</v>
      </c>
      <c r="O1150" s="18" t="str">
        <f>Risk_Calculation_Engine!U1150</f>
        <v>Medium</v>
      </c>
    </row>
    <row r="1151" spans="1:15" ht="15" customHeight="1" x14ac:dyDescent="0.25">
      <c r="A1151" s="16">
        <v>1147</v>
      </c>
      <c r="B1151" s="16">
        <v>70.599999999999994</v>
      </c>
      <c r="C1151" s="16">
        <v>5</v>
      </c>
      <c r="D1151" s="16">
        <v>657.1</v>
      </c>
      <c r="E1151" s="17">
        <f t="shared" si="17"/>
        <v>9.0299999999999994</v>
      </c>
      <c r="F1151" s="16">
        <v>1</v>
      </c>
      <c r="G1151" s="16">
        <v>5</v>
      </c>
      <c r="H1151" s="16">
        <v>2.5</v>
      </c>
      <c r="I1151" s="16">
        <v>8</v>
      </c>
      <c r="J1151" s="16">
        <v>1467</v>
      </c>
      <c r="K1151" s="16">
        <v>20.78</v>
      </c>
      <c r="L1151" s="16">
        <v>74.2</v>
      </c>
      <c r="M1151" s="16">
        <v>1</v>
      </c>
      <c r="N1151" s="18">
        <f>IF(Risk_Calculation_Engine!U1151="Low",1,IF(Risk_Calculation_Engine!U1151="Medium",2,3))</f>
        <v>3</v>
      </c>
      <c r="O1151" s="18" t="str">
        <f>Risk_Calculation_Engine!U1151</f>
        <v>High</v>
      </c>
    </row>
    <row r="1152" spans="1:15" ht="15" customHeight="1" x14ac:dyDescent="0.25">
      <c r="A1152" s="16">
        <v>1148</v>
      </c>
      <c r="B1152" s="16">
        <v>26.2</v>
      </c>
      <c r="C1152" s="16">
        <v>3</v>
      </c>
      <c r="D1152" s="16">
        <v>138.6</v>
      </c>
      <c r="E1152" s="17">
        <f t="shared" si="17"/>
        <v>16.78</v>
      </c>
      <c r="F1152" s="16">
        <v>1</v>
      </c>
      <c r="G1152" s="16">
        <v>11</v>
      </c>
      <c r="H1152" s="16">
        <v>0.87</v>
      </c>
      <c r="I1152" s="16">
        <v>14</v>
      </c>
      <c r="J1152" s="16">
        <v>133</v>
      </c>
      <c r="K1152" s="16">
        <v>5.08</v>
      </c>
      <c r="L1152" s="16">
        <v>48</v>
      </c>
      <c r="M1152" s="16">
        <v>1</v>
      </c>
      <c r="N1152" s="18">
        <f>IF(Risk_Calculation_Engine!U1152="Low",1,IF(Risk_Calculation_Engine!U1152="Medium",2,3))</f>
        <v>2</v>
      </c>
      <c r="O1152" s="18" t="str">
        <f>Risk_Calculation_Engine!U1152</f>
        <v>Medium</v>
      </c>
    </row>
    <row r="1153" spans="1:15" ht="15" customHeight="1" x14ac:dyDescent="0.25">
      <c r="A1153" s="16">
        <v>1149</v>
      </c>
      <c r="B1153" s="16">
        <v>75.8</v>
      </c>
      <c r="C1153" s="16">
        <v>4</v>
      </c>
      <c r="D1153" s="16">
        <v>334.1</v>
      </c>
      <c r="E1153" s="17">
        <f t="shared" si="17"/>
        <v>13.25</v>
      </c>
      <c r="F1153" s="16">
        <v>3</v>
      </c>
      <c r="G1153" s="16">
        <v>5</v>
      </c>
      <c r="H1153" s="16">
        <v>1.41</v>
      </c>
      <c r="I1153" s="16">
        <v>7</v>
      </c>
      <c r="J1153" s="16">
        <v>765</v>
      </c>
      <c r="K1153" s="16">
        <v>10.09</v>
      </c>
      <c r="L1153" s="16">
        <v>46.5</v>
      </c>
      <c r="M1153" s="16">
        <v>1</v>
      </c>
      <c r="N1153" s="18">
        <f>IF(Risk_Calculation_Engine!U1153="Low",1,IF(Risk_Calculation_Engine!U1153="Medium",2,3))</f>
        <v>2</v>
      </c>
      <c r="O1153" s="18" t="str">
        <f>Risk_Calculation_Engine!U1153</f>
        <v>Medium</v>
      </c>
    </row>
    <row r="1154" spans="1:15" ht="15" customHeight="1" x14ac:dyDescent="0.25">
      <c r="A1154" s="16">
        <v>1150</v>
      </c>
      <c r="B1154" s="16">
        <v>39.799999999999997</v>
      </c>
      <c r="C1154" s="16">
        <v>4</v>
      </c>
      <c r="D1154" s="16">
        <v>262.60000000000002</v>
      </c>
      <c r="E1154" s="17">
        <f t="shared" si="17"/>
        <v>8.44</v>
      </c>
      <c r="F1154" s="16">
        <v>1</v>
      </c>
      <c r="G1154" s="16">
        <v>11</v>
      </c>
      <c r="H1154" s="16">
        <v>2.0699999999999998</v>
      </c>
      <c r="I1154" s="16">
        <v>10</v>
      </c>
      <c r="J1154" s="16">
        <v>448</v>
      </c>
      <c r="K1154" s="16">
        <v>11.26</v>
      </c>
      <c r="L1154" s="16">
        <v>43.2</v>
      </c>
      <c r="M1154" s="16">
        <v>2</v>
      </c>
      <c r="N1154" s="18">
        <f>IF(Risk_Calculation_Engine!U1154="Low",1,IF(Risk_Calculation_Engine!U1154="Medium",2,3))</f>
        <v>3</v>
      </c>
      <c r="O1154" s="18" t="str">
        <f>Risk_Calculation_Engine!U1154</f>
        <v>High</v>
      </c>
    </row>
    <row r="1155" spans="1:15" ht="15" customHeight="1" x14ac:dyDescent="0.25">
      <c r="A1155" s="16">
        <v>1151</v>
      </c>
      <c r="B1155" s="16">
        <v>149.80000000000001</v>
      </c>
      <c r="C1155" s="16">
        <v>3</v>
      </c>
      <c r="D1155" s="16">
        <v>633.6</v>
      </c>
      <c r="E1155" s="17">
        <f t="shared" si="17"/>
        <v>11.46</v>
      </c>
      <c r="F1155" s="16">
        <v>2</v>
      </c>
      <c r="G1155" s="16">
        <v>7</v>
      </c>
      <c r="H1155" s="16">
        <v>1.95</v>
      </c>
      <c r="I1155" s="16">
        <v>12</v>
      </c>
      <c r="J1155" s="16">
        <v>1228</v>
      </c>
      <c r="K1155" s="16">
        <v>8.1999999999999993</v>
      </c>
      <c r="L1155" s="16">
        <v>83.5</v>
      </c>
      <c r="M1155" s="16">
        <v>3</v>
      </c>
      <c r="N1155" s="18">
        <f>IF(Risk_Calculation_Engine!U1155="Low",1,IF(Risk_Calculation_Engine!U1155="Medium",2,3))</f>
        <v>3</v>
      </c>
      <c r="O1155" s="18" t="str">
        <f>Risk_Calculation_Engine!U1155</f>
        <v>High</v>
      </c>
    </row>
    <row r="1156" spans="1:15" ht="15" customHeight="1" x14ac:dyDescent="0.25">
      <c r="A1156" s="16">
        <v>1152</v>
      </c>
      <c r="B1156" s="16">
        <v>131.9</v>
      </c>
      <c r="C1156" s="16">
        <v>3</v>
      </c>
      <c r="D1156" s="16">
        <v>623.9</v>
      </c>
      <c r="E1156" s="17">
        <f t="shared" si="17"/>
        <v>8.9</v>
      </c>
      <c r="F1156" s="16">
        <v>2</v>
      </c>
      <c r="G1156" s="16">
        <v>4</v>
      </c>
      <c r="H1156" s="16">
        <v>2.5</v>
      </c>
      <c r="I1156" s="16">
        <v>10</v>
      </c>
      <c r="J1156" s="16">
        <v>1125</v>
      </c>
      <c r="K1156" s="16">
        <v>8.5299999999999994</v>
      </c>
      <c r="L1156" s="16">
        <v>84.5</v>
      </c>
      <c r="M1156" s="16">
        <v>3</v>
      </c>
      <c r="N1156" s="18">
        <f>IF(Risk_Calculation_Engine!U1156="Low",1,IF(Risk_Calculation_Engine!U1156="Medium",2,3))</f>
        <v>3</v>
      </c>
      <c r="O1156" s="18" t="str">
        <f>Risk_Calculation_Engine!U1156</f>
        <v>High</v>
      </c>
    </row>
    <row r="1157" spans="1:15" ht="15" customHeight="1" x14ac:dyDescent="0.25">
      <c r="A1157" s="16">
        <v>1153</v>
      </c>
      <c r="B1157" s="16">
        <v>149.80000000000001</v>
      </c>
      <c r="C1157" s="16">
        <v>4</v>
      </c>
      <c r="D1157" s="16">
        <v>864.1</v>
      </c>
      <c r="E1157" s="17">
        <f t="shared" ref="E1157:E1220" si="18">ROUND(3.67*D1157^0.28/H1157,2)</f>
        <v>20.48</v>
      </c>
      <c r="F1157" s="16">
        <v>2</v>
      </c>
      <c r="G1157" s="16">
        <v>6</v>
      </c>
      <c r="H1157" s="16">
        <v>1.19</v>
      </c>
      <c r="I1157" s="16">
        <v>5</v>
      </c>
      <c r="J1157" s="16">
        <v>1788</v>
      </c>
      <c r="K1157" s="16">
        <v>11.94</v>
      </c>
      <c r="L1157" s="16">
        <v>64</v>
      </c>
      <c r="M1157" s="16">
        <v>1</v>
      </c>
      <c r="N1157" s="18">
        <f>IF(Risk_Calculation_Engine!U1157="Low",1,IF(Risk_Calculation_Engine!U1157="Medium",2,3))</f>
        <v>2</v>
      </c>
      <c r="O1157" s="18" t="str">
        <f>Risk_Calculation_Engine!U1157</f>
        <v>Medium</v>
      </c>
    </row>
    <row r="1158" spans="1:15" ht="15" customHeight="1" x14ac:dyDescent="0.25">
      <c r="A1158" s="16">
        <v>1154</v>
      </c>
      <c r="B1158" s="16">
        <v>5.0999999999999996</v>
      </c>
      <c r="C1158" s="16">
        <v>4</v>
      </c>
      <c r="D1158" s="16">
        <v>27.7</v>
      </c>
      <c r="E1158" s="17">
        <f t="shared" si="18"/>
        <v>13.29</v>
      </c>
      <c r="F1158" s="16">
        <v>1</v>
      </c>
      <c r="G1158" s="16">
        <v>6</v>
      </c>
      <c r="H1158" s="16">
        <v>0.7</v>
      </c>
      <c r="I1158" s="16">
        <v>11</v>
      </c>
      <c r="J1158" s="16">
        <v>33</v>
      </c>
      <c r="K1158" s="16">
        <v>6.47</v>
      </c>
      <c r="L1158" s="16">
        <v>82.7</v>
      </c>
      <c r="M1158" s="16">
        <v>1</v>
      </c>
      <c r="N1158" s="18">
        <f>IF(Risk_Calculation_Engine!U1158="Low",1,IF(Risk_Calculation_Engine!U1158="Medium",2,3))</f>
        <v>1</v>
      </c>
      <c r="O1158" s="18" t="str">
        <f>Risk_Calculation_Engine!U1158</f>
        <v>Low</v>
      </c>
    </row>
    <row r="1159" spans="1:15" ht="15" customHeight="1" x14ac:dyDescent="0.25">
      <c r="A1159" s="16">
        <v>1155</v>
      </c>
      <c r="B1159" s="16">
        <v>112.8</v>
      </c>
      <c r="C1159" s="16">
        <v>4</v>
      </c>
      <c r="D1159" s="16">
        <v>675.7</v>
      </c>
      <c r="E1159" s="17">
        <f t="shared" si="18"/>
        <v>9.14</v>
      </c>
      <c r="F1159" s="16">
        <v>2</v>
      </c>
      <c r="G1159" s="16">
        <v>12</v>
      </c>
      <c r="H1159" s="16">
        <v>2.4900000000000002</v>
      </c>
      <c r="I1159" s="16">
        <v>12</v>
      </c>
      <c r="J1159" s="16">
        <v>1567</v>
      </c>
      <c r="K1159" s="16">
        <v>13.89</v>
      </c>
      <c r="L1159" s="16">
        <v>86.4</v>
      </c>
      <c r="M1159" s="16">
        <v>3</v>
      </c>
      <c r="N1159" s="18">
        <f>IF(Risk_Calculation_Engine!U1159="Low",1,IF(Risk_Calculation_Engine!U1159="Medium",2,3))</f>
        <v>3</v>
      </c>
      <c r="O1159" s="18" t="str">
        <f>Risk_Calculation_Engine!U1159</f>
        <v>High</v>
      </c>
    </row>
    <row r="1160" spans="1:15" ht="15" customHeight="1" x14ac:dyDescent="0.25">
      <c r="A1160" s="16">
        <v>1156</v>
      </c>
      <c r="B1160" s="16">
        <v>53.1</v>
      </c>
      <c r="C1160" s="16">
        <v>5</v>
      </c>
      <c r="D1160" s="16">
        <v>222.4</v>
      </c>
      <c r="E1160" s="17">
        <f t="shared" si="18"/>
        <v>9.31</v>
      </c>
      <c r="F1160" s="16">
        <v>3</v>
      </c>
      <c r="G1160" s="16">
        <v>2</v>
      </c>
      <c r="H1160" s="16">
        <v>1.79</v>
      </c>
      <c r="I1160" s="16">
        <v>4</v>
      </c>
      <c r="J1160" s="16">
        <v>673</v>
      </c>
      <c r="K1160" s="16">
        <v>12.67</v>
      </c>
      <c r="L1160" s="16">
        <v>71.599999999999994</v>
      </c>
      <c r="M1160" s="16">
        <v>1</v>
      </c>
      <c r="N1160" s="18">
        <f>IF(Risk_Calculation_Engine!U1160="Low",1,IF(Risk_Calculation_Engine!U1160="Medium",2,3))</f>
        <v>2</v>
      </c>
      <c r="O1160" s="18" t="str">
        <f>Risk_Calculation_Engine!U1160</f>
        <v>Medium</v>
      </c>
    </row>
    <row r="1161" spans="1:15" ht="15" customHeight="1" x14ac:dyDescent="0.25">
      <c r="A1161" s="16">
        <v>1157</v>
      </c>
      <c r="B1161" s="16">
        <v>149.80000000000001</v>
      </c>
      <c r="C1161" s="16">
        <v>3</v>
      </c>
      <c r="D1161" s="16">
        <v>818.6</v>
      </c>
      <c r="E1161" s="17">
        <f t="shared" si="18"/>
        <v>9.6</v>
      </c>
      <c r="F1161" s="16">
        <v>2</v>
      </c>
      <c r="G1161" s="16">
        <v>6</v>
      </c>
      <c r="H1161" s="16">
        <v>2.5</v>
      </c>
      <c r="I1161" s="16">
        <v>5</v>
      </c>
      <c r="J1161" s="16">
        <v>497</v>
      </c>
      <c r="K1161" s="16">
        <v>3.32</v>
      </c>
      <c r="L1161" s="16">
        <v>78.599999999999994</v>
      </c>
      <c r="M1161" s="16">
        <v>3</v>
      </c>
      <c r="N1161" s="18">
        <f>IF(Risk_Calculation_Engine!U1161="Low",1,IF(Risk_Calculation_Engine!U1161="Medium",2,3))</f>
        <v>3</v>
      </c>
      <c r="O1161" s="18" t="str">
        <f>Risk_Calculation_Engine!U1161</f>
        <v>High</v>
      </c>
    </row>
    <row r="1162" spans="1:15" ht="15" customHeight="1" x14ac:dyDescent="0.25">
      <c r="A1162" s="16">
        <v>1158</v>
      </c>
      <c r="B1162" s="16">
        <v>101</v>
      </c>
      <c r="C1162" s="16">
        <v>4</v>
      </c>
      <c r="D1162" s="16">
        <v>657.9</v>
      </c>
      <c r="E1162" s="17">
        <f t="shared" si="18"/>
        <v>11.88</v>
      </c>
      <c r="F1162" s="16">
        <v>1</v>
      </c>
      <c r="G1162" s="16">
        <v>9</v>
      </c>
      <c r="H1162" s="16">
        <v>1.9</v>
      </c>
      <c r="I1162" s="16">
        <v>11</v>
      </c>
      <c r="J1162" s="16">
        <v>947</v>
      </c>
      <c r="K1162" s="16">
        <v>9.3800000000000008</v>
      </c>
      <c r="L1162" s="16">
        <v>92.4</v>
      </c>
      <c r="M1162" s="16">
        <v>1</v>
      </c>
      <c r="N1162" s="18">
        <f>IF(Risk_Calculation_Engine!U1162="Low",1,IF(Risk_Calculation_Engine!U1162="Medium",2,3))</f>
        <v>3</v>
      </c>
      <c r="O1162" s="18" t="str">
        <f>Risk_Calculation_Engine!U1162</f>
        <v>High</v>
      </c>
    </row>
    <row r="1163" spans="1:15" ht="15" customHeight="1" x14ac:dyDescent="0.25">
      <c r="A1163" s="16">
        <v>1159</v>
      </c>
      <c r="B1163" s="16">
        <v>59.7</v>
      </c>
      <c r="C1163" s="16">
        <v>5</v>
      </c>
      <c r="D1163" s="16">
        <v>516.5</v>
      </c>
      <c r="E1163" s="17">
        <f t="shared" si="18"/>
        <v>29.72</v>
      </c>
      <c r="F1163" s="16">
        <v>1</v>
      </c>
      <c r="G1163" s="16">
        <v>10</v>
      </c>
      <c r="H1163" s="16">
        <v>0.71</v>
      </c>
      <c r="I1163" s="16">
        <v>4</v>
      </c>
      <c r="J1163" s="16">
        <v>1273</v>
      </c>
      <c r="K1163" s="16">
        <v>21.32</v>
      </c>
      <c r="L1163" s="16">
        <v>81.900000000000006</v>
      </c>
      <c r="M1163" s="16">
        <v>2</v>
      </c>
      <c r="N1163" s="18">
        <f>IF(Risk_Calculation_Engine!U1163="Low",1,IF(Risk_Calculation_Engine!U1163="Medium",2,3))</f>
        <v>3</v>
      </c>
      <c r="O1163" s="18" t="str">
        <f>Risk_Calculation_Engine!U1163</f>
        <v>High</v>
      </c>
    </row>
    <row r="1164" spans="1:15" ht="15" customHeight="1" x14ac:dyDescent="0.25">
      <c r="A1164" s="16">
        <v>1160</v>
      </c>
      <c r="B1164" s="16">
        <v>18.8</v>
      </c>
      <c r="C1164" s="16">
        <v>2</v>
      </c>
      <c r="D1164" s="16">
        <v>72.8</v>
      </c>
      <c r="E1164" s="17">
        <f t="shared" si="18"/>
        <v>6.22</v>
      </c>
      <c r="F1164" s="16">
        <v>2</v>
      </c>
      <c r="G1164" s="16">
        <v>6</v>
      </c>
      <c r="H1164" s="16">
        <v>1.96</v>
      </c>
      <c r="I1164" s="16">
        <v>14</v>
      </c>
      <c r="J1164" s="16">
        <v>49</v>
      </c>
      <c r="K1164" s="16">
        <v>2.61</v>
      </c>
      <c r="L1164" s="16">
        <v>51.9</v>
      </c>
      <c r="M1164" s="16">
        <v>1</v>
      </c>
      <c r="N1164" s="18">
        <f>IF(Risk_Calculation_Engine!U1164="Low",1,IF(Risk_Calculation_Engine!U1164="Medium",2,3))</f>
        <v>1</v>
      </c>
      <c r="O1164" s="18" t="str">
        <f>Risk_Calculation_Engine!U1164</f>
        <v>Low</v>
      </c>
    </row>
    <row r="1165" spans="1:15" ht="15" customHeight="1" x14ac:dyDescent="0.25">
      <c r="A1165" s="16">
        <v>1161</v>
      </c>
      <c r="B1165" s="16">
        <v>69.599999999999994</v>
      </c>
      <c r="C1165" s="16">
        <v>1</v>
      </c>
      <c r="D1165" s="16">
        <v>173.5</v>
      </c>
      <c r="E1165" s="17">
        <f t="shared" si="18"/>
        <v>13.07</v>
      </c>
      <c r="F1165" s="16">
        <v>3</v>
      </c>
      <c r="G1165" s="16">
        <v>8</v>
      </c>
      <c r="H1165" s="16">
        <v>1.19</v>
      </c>
      <c r="I1165" s="16">
        <v>4</v>
      </c>
      <c r="J1165" s="16">
        <v>111</v>
      </c>
      <c r="K1165" s="16">
        <v>1.59</v>
      </c>
      <c r="L1165" s="16">
        <v>46.5</v>
      </c>
      <c r="M1165" s="16">
        <v>3</v>
      </c>
      <c r="N1165" s="18">
        <f>IF(Risk_Calculation_Engine!U1165="Low",1,IF(Risk_Calculation_Engine!U1165="Medium",2,3))</f>
        <v>1</v>
      </c>
      <c r="O1165" s="18" t="str">
        <f>Risk_Calculation_Engine!U1165</f>
        <v>Low</v>
      </c>
    </row>
    <row r="1166" spans="1:15" ht="15" customHeight="1" x14ac:dyDescent="0.25">
      <c r="A1166" s="16">
        <v>1162</v>
      </c>
      <c r="B1166" s="16">
        <v>145.9</v>
      </c>
      <c r="C1166" s="16">
        <v>3</v>
      </c>
      <c r="D1166" s="16">
        <v>786.2</v>
      </c>
      <c r="E1166" s="17">
        <f t="shared" si="18"/>
        <v>16.829999999999998</v>
      </c>
      <c r="F1166" s="16">
        <v>2</v>
      </c>
      <c r="G1166" s="16">
        <v>6</v>
      </c>
      <c r="H1166" s="16">
        <v>1.41</v>
      </c>
      <c r="I1166" s="16">
        <v>15</v>
      </c>
      <c r="J1166" s="16">
        <v>508</v>
      </c>
      <c r="K1166" s="16">
        <v>3.48</v>
      </c>
      <c r="L1166" s="16">
        <v>88.2</v>
      </c>
      <c r="M1166" s="16">
        <v>2</v>
      </c>
      <c r="N1166" s="18">
        <f>IF(Risk_Calculation_Engine!U1166="Low",1,IF(Risk_Calculation_Engine!U1166="Medium",2,3))</f>
        <v>2</v>
      </c>
      <c r="O1166" s="18" t="str">
        <f>Risk_Calculation_Engine!U1166</f>
        <v>Medium</v>
      </c>
    </row>
    <row r="1167" spans="1:15" ht="15" customHeight="1" x14ac:dyDescent="0.25">
      <c r="A1167" s="16">
        <v>1163</v>
      </c>
      <c r="B1167" s="16">
        <v>45.4</v>
      </c>
      <c r="C1167" s="16">
        <v>5</v>
      </c>
      <c r="D1167" s="16">
        <v>379.1</v>
      </c>
      <c r="E1167" s="17">
        <f t="shared" si="18"/>
        <v>12.57</v>
      </c>
      <c r="F1167" s="16">
        <v>1</v>
      </c>
      <c r="G1167" s="16">
        <v>7</v>
      </c>
      <c r="H1167" s="16">
        <v>1.54</v>
      </c>
      <c r="I1167" s="16">
        <v>11</v>
      </c>
      <c r="J1167" s="16">
        <v>914</v>
      </c>
      <c r="K1167" s="16">
        <v>20.13</v>
      </c>
      <c r="L1167" s="16">
        <v>87.9</v>
      </c>
      <c r="M1167" s="16">
        <v>1</v>
      </c>
      <c r="N1167" s="18">
        <f>IF(Risk_Calculation_Engine!U1167="Low",1,IF(Risk_Calculation_Engine!U1167="Medium",2,3))</f>
        <v>3</v>
      </c>
      <c r="O1167" s="18" t="str">
        <f>Risk_Calculation_Engine!U1167</f>
        <v>High</v>
      </c>
    </row>
    <row r="1168" spans="1:15" ht="15" customHeight="1" x14ac:dyDescent="0.25">
      <c r="A1168" s="16">
        <v>1164</v>
      </c>
      <c r="B1168" s="16">
        <v>149.80000000000001</v>
      </c>
      <c r="C1168" s="16">
        <v>3</v>
      </c>
      <c r="D1168" s="16">
        <v>620.9</v>
      </c>
      <c r="E1168" s="17">
        <f t="shared" si="18"/>
        <v>22.44</v>
      </c>
      <c r="F1168" s="16">
        <v>2</v>
      </c>
      <c r="G1168" s="16">
        <v>8</v>
      </c>
      <c r="H1168" s="16">
        <v>0.99</v>
      </c>
      <c r="I1168" s="16">
        <v>8</v>
      </c>
      <c r="J1168" s="16">
        <v>1086</v>
      </c>
      <c r="K1168" s="16">
        <v>7.25</v>
      </c>
      <c r="L1168" s="16">
        <v>25.7</v>
      </c>
      <c r="M1168" s="16">
        <v>2</v>
      </c>
      <c r="N1168" s="18">
        <f>IF(Risk_Calculation_Engine!U1168="Low",1,IF(Risk_Calculation_Engine!U1168="Medium",2,3))</f>
        <v>2</v>
      </c>
      <c r="O1168" s="18" t="str">
        <f>Risk_Calculation_Engine!U1168</f>
        <v>Medium</v>
      </c>
    </row>
    <row r="1169" spans="1:15" ht="15" customHeight="1" x14ac:dyDescent="0.25">
      <c r="A1169" s="16">
        <v>1165</v>
      </c>
      <c r="B1169" s="16">
        <v>137.9</v>
      </c>
      <c r="C1169" s="16">
        <v>4</v>
      </c>
      <c r="D1169" s="16">
        <v>1117</v>
      </c>
      <c r="E1169" s="17">
        <f t="shared" si="18"/>
        <v>22.38</v>
      </c>
      <c r="F1169" s="16">
        <v>1</v>
      </c>
      <c r="G1169" s="16">
        <v>7</v>
      </c>
      <c r="H1169" s="16">
        <v>1.17</v>
      </c>
      <c r="I1169" s="16">
        <v>6</v>
      </c>
      <c r="J1169" s="16">
        <v>1406</v>
      </c>
      <c r="K1169" s="16">
        <v>10.199999999999999</v>
      </c>
      <c r="L1169" s="16">
        <v>70.8</v>
      </c>
      <c r="M1169" s="16">
        <v>2</v>
      </c>
      <c r="N1169" s="18">
        <f>IF(Risk_Calculation_Engine!U1169="Low",1,IF(Risk_Calculation_Engine!U1169="Medium",2,3))</f>
        <v>3</v>
      </c>
      <c r="O1169" s="18" t="str">
        <f>Risk_Calculation_Engine!U1169</f>
        <v>High</v>
      </c>
    </row>
    <row r="1170" spans="1:15" ht="15" customHeight="1" x14ac:dyDescent="0.25">
      <c r="A1170" s="16">
        <v>1166</v>
      </c>
      <c r="B1170" s="16">
        <v>26.7</v>
      </c>
      <c r="C1170" s="16">
        <v>1</v>
      </c>
      <c r="D1170" s="16">
        <v>114</v>
      </c>
      <c r="E1170" s="17">
        <f t="shared" si="18"/>
        <v>6.04</v>
      </c>
      <c r="F1170" s="16">
        <v>1</v>
      </c>
      <c r="G1170" s="16">
        <v>4</v>
      </c>
      <c r="H1170" s="16">
        <v>2.29</v>
      </c>
      <c r="I1170" s="16">
        <v>7</v>
      </c>
      <c r="J1170" s="16">
        <v>50</v>
      </c>
      <c r="K1170" s="16">
        <v>1.87</v>
      </c>
      <c r="L1170" s="16">
        <v>83.8</v>
      </c>
      <c r="M1170" s="16">
        <v>3</v>
      </c>
      <c r="N1170" s="18">
        <f>IF(Risk_Calculation_Engine!U1170="Low",1,IF(Risk_Calculation_Engine!U1170="Medium",2,3))</f>
        <v>2</v>
      </c>
      <c r="O1170" s="18" t="str">
        <f>Risk_Calculation_Engine!U1170</f>
        <v>Medium</v>
      </c>
    </row>
    <row r="1171" spans="1:15" ht="15" customHeight="1" x14ac:dyDescent="0.25">
      <c r="A1171" s="16">
        <v>1167</v>
      </c>
      <c r="B1171" s="16">
        <v>20.9</v>
      </c>
      <c r="C1171" s="16">
        <v>3</v>
      </c>
      <c r="D1171" s="16">
        <v>52.9</v>
      </c>
      <c r="E1171" s="17">
        <f t="shared" si="18"/>
        <v>4.87</v>
      </c>
      <c r="F1171" s="16">
        <v>3</v>
      </c>
      <c r="G1171" s="16">
        <v>7</v>
      </c>
      <c r="H1171" s="16">
        <v>2.29</v>
      </c>
      <c r="I1171" s="16">
        <v>12</v>
      </c>
      <c r="J1171" s="16">
        <v>169</v>
      </c>
      <c r="K1171" s="16">
        <v>8.09</v>
      </c>
      <c r="L1171" s="16">
        <v>57.2</v>
      </c>
      <c r="M1171" s="16">
        <v>2</v>
      </c>
      <c r="N1171" s="18">
        <f>IF(Risk_Calculation_Engine!U1171="Low",1,IF(Risk_Calculation_Engine!U1171="Medium",2,3))</f>
        <v>2</v>
      </c>
      <c r="O1171" s="18" t="str">
        <f>Risk_Calculation_Engine!U1171</f>
        <v>Medium</v>
      </c>
    </row>
    <row r="1172" spans="1:15" ht="15" customHeight="1" x14ac:dyDescent="0.25">
      <c r="A1172" s="16">
        <v>1168</v>
      </c>
      <c r="B1172" s="16">
        <v>55.9</v>
      </c>
      <c r="C1172" s="16">
        <v>4</v>
      </c>
      <c r="D1172" s="16">
        <v>279.7</v>
      </c>
      <c r="E1172" s="17">
        <f t="shared" si="18"/>
        <v>21.16</v>
      </c>
      <c r="F1172" s="16">
        <v>2</v>
      </c>
      <c r="G1172" s="16">
        <v>6</v>
      </c>
      <c r="H1172" s="16">
        <v>0.84</v>
      </c>
      <c r="I1172" s="16">
        <v>12</v>
      </c>
      <c r="J1172" s="16">
        <v>514</v>
      </c>
      <c r="K1172" s="16">
        <v>9.19</v>
      </c>
      <c r="L1172" s="16">
        <v>89.8</v>
      </c>
      <c r="M1172" s="16">
        <v>1</v>
      </c>
      <c r="N1172" s="18">
        <f>IF(Risk_Calculation_Engine!U1172="Low",1,IF(Risk_Calculation_Engine!U1172="Medium",2,3))</f>
        <v>1</v>
      </c>
      <c r="O1172" s="18" t="str">
        <f>Risk_Calculation_Engine!U1172</f>
        <v>Low</v>
      </c>
    </row>
    <row r="1173" spans="1:15" ht="15" customHeight="1" x14ac:dyDescent="0.25">
      <c r="A1173" s="16">
        <v>1169</v>
      </c>
      <c r="B1173" s="16">
        <v>45.3</v>
      </c>
      <c r="C1173" s="16">
        <v>2</v>
      </c>
      <c r="D1173" s="16">
        <v>200.1</v>
      </c>
      <c r="E1173" s="17">
        <f t="shared" si="18"/>
        <v>8.99</v>
      </c>
      <c r="F1173" s="16">
        <v>1</v>
      </c>
      <c r="G1173" s="16">
        <v>5</v>
      </c>
      <c r="H1173" s="16">
        <v>1.8</v>
      </c>
      <c r="I1173" s="16">
        <v>5</v>
      </c>
      <c r="J1173" s="16">
        <v>171</v>
      </c>
      <c r="K1173" s="16">
        <v>3.77</v>
      </c>
      <c r="L1173" s="16">
        <v>75.400000000000006</v>
      </c>
      <c r="M1173" s="16">
        <v>2</v>
      </c>
      <c r="N1173" s="18">
        <f>IF(Risk_Calculation_Engine!U1173="Low",1,IF(Risk_Calculation_Engine!U1173="Medium",2,3))</f>
        <v>2</v>
      </c>
      <c r="O1173" s="18" t="str">
        <f>Risk_Calculation_Engine!U1173</f>
        <v>Medium</v>
      </c>
    </row>
    <row r="1174" spans="1:15" ht="15" customHeight="1" x14ac:dyDescent="0.25">
      <c r="A1174" s="16">
        <v>1170</v>
      </c>
      <c r="B1174" s="16">
        <v>91</v>
      </c>
      <c r="C1174" s="16">
        <v>5</v>
      </c>
      <c r="D1174" s="16">
        <v>527.9</v>
      </c>
      <c r="E1174" s="17">
        <f t="shared" si="18"/>
        <v>8.81</v>
      </c>
      <c r="F1174" s="16">
        <v>2</v>
      </c>
      <c r="G1174" s="16">
        <v>6</v>
      </c>
      <c r="H1174" s="16">
        <v>2.41</v>
      </c>
      <c r="I1174" s="16">
        <v>10</v>
      </c>
      <c r="J1174" s="16">
        <v>1765</v>
      </c>
      <c r="K1174" s="16">
        <v>19.399999999999999</v>
      </c>
      <c r="L1174" s="16">
        <v>90.2</v>
      </c>
      <c r="M1174" s="16">
        <v>1</v>
      </c>
      <c r="N1174" s="18">
        <f>IF(Risk_Calculation_Engine!U1174="Low",1,IF(Risk_Calculation_Engine!U1174="Medium",2,3))</f>
        <v>3</v>
      </c>
      <c r="O1174" s="18" t="str">
        <f>Risk_Calculation_Engine!U1174</f>
        <v>High</v>
      </c>
    </row>
    <row r="1175" spans="1:15" ht="15" customHeight="1" x14ac:dyDescent="0.25">
      <c r="A1175" s="16">
        <v>1171</v>
      </c>
      <c r="B1175" s="16">
        <v>63.8</v>
      </c>
      <c r="C1175" s="16">
        <v>2</v>
      </c>
      <c r="D1175" s="16">
        <v>387.8</v>
      </c>
      <c r="E1175" s="17">
        <f t="shared" si="18"/>
        <v>11.39</v>
      </c>
      <c r="F1175" s="16">
        <v>1</v>
      </c>
      <c r="G1175" s="16">
        <v>5</v>
      </c>
      <c r="H1175" s="16">
        <v>1.71</v>
      </c>
      <c r="I1175" s="16">
        <v>15</v>
      </c>
      <c r="J1175" s="16">
        <v>307</v>
      </c>
      <c r="K1175" s="16">
        <v>4.8099999999999996</v>
      </c>
      <c r="L1175" s="16">
        <v>84.2</v>
      </c>
      <c r="M1175" s="16">
        <v>3</v>
      </c>
      <c r="N1175" s="18">
        <f>IF(Risk_Calculation_Engine!U1175="Low",1,IF(Risk_Calculation_Engine!U1175="Medium",2,3))</f>
        <v>1</v>
      </c>
      <c r="O1175" s="18" t="str">
        <f>Risk_Calculation_Engine!U1175</f>
        <v>Low</v>
      </c>
    </row>
    <row r="1176" spans="1:15" ht="15" customHeight="1" x14ac:dyDescent="0.25">
      <c r="A1176" s="16">
        <v>1172</v>
      </c>
      <c r="B1176" s="16">
        <v>48.7</v>
      </c>
      <c r="C1176" s="16">
        <v>5</v>
      </c>
      <c r="D1176" s="16">
        <v>438.4</v>
      </c>
      <c r="E1176" s="17">
        <f t="shared" si="18"/>
        <v>10.95</v>
      </c>
      <c r="F1176" s="16">
        <v>1</v>
      </c>
      <c r="G1176" s="16">
        <v>8</v>
      </c>
      <c r="H1176" s="16">
        <v>1.84</v>
      </c>
      <c r="I1176" s="16">
        <v>6</v>
      </c>
      <c r="J1176" s="16">
        <v>1119</v>
      </c>
      <c r="K1176" s="16">
        <v>22.98</v>
      </c>
      <c r="L1176" s="16">
        <v>70.099999999999994</v>
      </c>
      <c r="M1176" s="16">
        <v>3</v>
      </c>
      <c r="N1176" s="18">
        <f>IF(Risk_Calculation_Engine!U1176="Low",1,IF(Risk_Calculation_Engine!U1176="Medium",2,3))</f>
        <v>3</v>
      </c>
      <c r="O1176" s="18" t="str">
        <f>Risk_Calculation_Engine!U1176</f>
        <v>High</v>
      </c>
    </row>
    <row r="1177" spans="1:15" ht="15" customHeight="1" x14ac:dyDescent="0.25">
      <c r="A1177" s="16">
        <v>1173</v>
      </c>
      <c r="B1177" s="16">
        <v>11.9</v>
      </c>
      <c r="C1177" s="16">
        <v>2</v>
      </c>
      <c r="D1177" s="16">
        <v>41.2</v>
      </c>
      <c r="E1177" s="17">
        <f t="shared" si="18"/>
        <v>12.09</v>
      </c>
      <c r="F1177" s="16">
        <v>2</v>
      </c>
      <c r="G1177" s="16">
        <v>5</v>
      </c>
      <c r="H1177" s="16">
        <v>0.86</v>
      </c>
      <c r="I1177" s="16">
        <v>12</v>
      </c>
      <c r="J1177" s="16">
        <v>26</v>
      </c>
      <c r="K1177" s="16">
        <v>2.1800000000000002</v>
      </c>
      <c r="L1177" s="16">
        <v>91.9</v>
      </c>
      <c r="M1177" s="16">
        <v>1</v>
      </c>
      <c r="N1177" s="18">
        <f>IF(Risk_Calculation_Engine!U1177="Low",1,IF(Risk_Calculation_Engine!U1177="Medium",2,3))</f>
        <v>1</v>
      </c>
      <c r="O1177" s="18" t="str">
        <f>Risk_Calculation_Engine!U1177</f>
        <v>Low</v>
      </c>
    </row>
    <row r="1178" spans="1:15" ht="15" customHeight="1" x14ac:dyDescent="0.25">
      <c r="A1178" s="16">
        <v>1174</v>
      </c>
      <c r="B1178" s="16">
        <v>103.4</v>
      </c>
      <c r="C1178" s="16">
        <v>5</v>
      </c>
      <c r="D1178" s="16">
        <v>621.9</v>
      </c>
      <c r="E1178" s="17">
        <f t="shared" si="18"/>
        <v>8.89</v>
      </c>
      <c r="F1178" s="16">
        <v>2</v>
      </c>
      <c r="G1178" s="16">
        <v>5</v>
      </c>
      <c r="H1178" s="16">
        <v>2.5</v>
      </c>
      <c r="I1178" s="16">
        <v>5</v>
      </c>
      <c r="J1178" s="16">
        <v>2515</v>
      </c>
      <c r="K1178" s="16">
        <v>24.32</v>
      </c>
      <c r="L1178" s="16">
        <v>19.899999999999999</v>
      </c>
      <c r="M1178" s="16">
        <v>2</v>
      </c>
      <c r="N1178" s="18">
        <f>IF(Risk_Calculation_Engine!U1178="Low",1,IF(Risk_Calculation_Engine!U1178="Medium",2,3))</f>
        <v>3</v>
      </c>
      <c r="O1178" s="18" t="str">
        <f>Risk_Calculation_Engine!U1178</f>
        <v>High</v>
      </c>
    </row>
    <row r="1179" spans="1:15" ht="15" customHeight="1" x14ac:dyDescent="0.25">
      <c r="A1179" s="16">
        <v>1175</v>
      </c>
      <c r="B1179" s="16">
        <v>10.7</v>
      </c>
      <c r="C1179" s="16">
        <v>4</v>
      </c>
      <c r="D1179" s="16">
        <v>45.2</v>
      </c>
      <c r="E1179" s="17">
        <f t="shared" si="18"/>
        <v>10.36</v>
      </c>
      <c r="F1179" s="16">
        <v>2</v>
      </c>
      <c r="G1179" s="16">
        <v>5</v>
      </c>
      <c r="H1179" s="16">
        <v>1.03</v>
      </c>
      <c r="I1179" s="16">
        <v>13</v>
      </c>
      <c r="J1179" s="16">
        <v>102</v>
      </c>
      <c r="K1179" s="16">
        <v>9.5299999999999994</v>
      </c>
      <c r="L1179" s="16">
        <v>86</v>
      </c>
      <c r="M1179" s="16">
        <v>2</v>
      </c>
      <c r="N1179" s="18">
        <f>IF(Risk_Calculation_Engine!U1179="Low",1,IF(Risk_Calculation_Engine!U1179="Medium",2,3))</f>
        <v>1</v>
      </c>
      <c r="O1179" s="18" t="str">
        <f>Risk_Calculation_Engine!U1179</f>
        <v>Low</v>
      </c>
    </row>
    <row r="1180" spans="1:15" ht="15" customHeight="1" x14ac:dyDescent="0.25">
      <c r="A1180" s="16">
        <v>1176</v>
      </c>
      <c r="B1180" s="16">
        <v>138.19999999999999</v>
      </c>
      <c r="C1180" s="16">
        <v>2</v>
      </c>
      <c r="D1180" s="16">
        <v>372.9</v>
      </c>
      <c r="E1180" s="17">
        <f t="shared" si="18"/>
        <v>13.96</v>
      </c>
      <c r="F1180" s="16">
        <v>3</v>
      </c>
      <c r="G1180" s="16">
        <v>8</v>
      </c>
      <c r="H1180" s="16">
        <v>1.38</v>
      </c>
      <c r="I1180" s="16">
        <v>5</v>
      </c>
      <c r="J1180" s="16">
        <v>777</v>
      </c>
      <c r="K1180" s="16">
        <v>5.62</v>
      </c>
      <c r="L1180" s="16">
        <v>77.400000000000006</v>
      </c>
      <c r="M1180" s="16">
        <v>1</v>
      </c>
      <c r="N1180" s="18">
        <f>IF(Risk_Calculation_Engine!U1180="Low",1,IF(Risk_Calculation_Engine!U1180="Medium",2,3))</f>
        <v>2</v>
      </c>
      <c r="O1180" s="18" t="str">
        <f>Risk_Calculation_Engine!U1180</f>
        <v>Medium</v>
      </c>
    </row>
    <row r="1181" spans="1:15" ht="15" customHeight="1" x14ac:dyDescent="0.25">
      <c r="A1181" s="16">
        <v>1177</v>
      </c>
      <c r="B1181" s="16">
        <v>6</v>
      </c>
      <c r="C1181" s="16">
        <v>1</v>
      </c>
      <c r="D1181" s="16">
        <v>20.100000000000001</v>
      </c>
      <c r="E1181" s="17">
        <f t="shared" si="18"/>
        <v>3.51</v>
      </c>
      <c r="F1181" s="16">
        <v>1</v>
      </c>
      <c r="G1181" s="16">
        <v>3</v>
      </c>
      <c r="H1181" s="16">
        <v>2.42</v>
      </c>
      <c r="I1181" s="16">
        <v>6</v>
      </c>
      <c r="J1181" s="16">
        <v>12</v>
      </c>
      <c r="K1181" s="16">
        <v>2</v>
      </c>
      <c r="L1181" s="16">
        <v>87.5</v>
      </c>
      <c r="M1181" s="16">
        <v>2</v>
      </c>
      <c r="N1181" s="18">
        <f>IF(Risk_Calculation_Engine!U1181="Low",1,IF(Risk_Calculation_Engine!U1181="Medium",2,3))</f>
        <v>1</v>
      </c>
      <c r="O1181" s="18" t="str">
        <f>Risk_Calculation_Engine!U1181</f>
        <v>Low</v>
      </c>
    </row>
    <row r="1182" spans="1:15" ht="15" customHeight="1" x14ac:dyDescent="0.25">
      <c r="A1182" s="16">
        <v>1178</v>
      </c>
      <c r="B1182" s="16">
        <v>9.9</v>
      </c>
      <c r="C1182" s="16">
        <v>1</v>
      </c>
      <c r="D1182" s="16">
        <v>21.7</v>
      </c>
      <c r="E1182" s="17">
        <f t="shared" si="18"/>
        <v>3.47</v>
      </c>
      <c r="F1182" s="16">
        <v>3</v>
      </c>
      <c r="G1182" s="16">
        <v>6</v>
      </c>
      <c r="H1182" s="16">
        <v>2.5</v>
      </c>
      <c r="I1182" s="16">
        <v>8</v>
      </c>
      <c r="J1182" s="16">
        <v>19</v>
      </c>
      <c r="K1182" s="16">
        <v>1.92</v>
      </c>
      <c r="L1182" s="16">
        <v>74.900000000000006</v>
      </c>
      <c r="M1182" s="16">
        <v>2</v>
      </c>
      <c r="N1182" s="18">
        <f>IF(Risk_Calculation_Engine!U1182="Low",1,IF(Risk_Calculation_Engine!U1182="Medium",2,3))</f>
        <v>1</v>
      </c>
      <c r="O1182" s="18" t="str">
        <f>Risk_Calculation_Engine!U1182</f>
        <v>Low</v>
      </c>
    </row>
    <row r="1183" spans="1:15" ht="15" customHeight="1" x14ac:dyDescent="0.25">
      <c r="A1183" s="16">
        <v>1179</v>
      </c>
      <c r="B1183" s="16">
        <v>26.6</v>
      </c>
      <c r="C1183" s="16">
        <v>4</v>
      </c>
      <c r="D1183" s="16">
        <v>127.8</v>
      </c>
      <c r="E1183" s="17">
        <f t="shared" si="18"/>
        <v>9.98</v>
      </c>
      <c r="F1183" s="16">
        <v>2</v>
      </c>
      <c r="G1183" s="16">
        <v>4</v>
      </c>
      <c r="H1183" s="16">
        <v>1.43</v>
      </c>
      <c r="I1183" s="16">
        <v>7</v>
      </c>
      <c r="J1183" s="16">
        <v>185</v>
      </c>
      <c r="K1183" s="16">
        <v>6.95</v>
      </c>
      <c r="L1183" s="16">
        <v>78.5</v>
      </c>
      <c r="M1183" s="16">
        <v>2</v>
      </c>
      <c r="N1183" s="18">
        <f>IF(Risk_Calculation_Engine!U1183="Low",1,IF(Risk_Calculation_Engine!U1183="Medium",2,3))</f>
        <v>1</v>
      </c>
      <c r="O1183" s="18" t="str">
        <f>Risk_Calculation_Engine!U1183</f>
        <v>Low</v>
      </c>
    </row>
    <row r="1184" spans="1:15" ht="15" customHeight="1" x14ac:dyDescent="0.25">
      <c r="A1184" s="16">
        <v>1180</v>
      </c>
      <c r="B1184" s="16">
        <v>41.7</v>
      </c>
      <c r="C1184" s="16">
        <v>4</v>
      </c>
      <c r="D1184" s="16">
        <v>283.10000000000002</v>
      </c>
      <c r="E1184" s="17">
        <f t="shared" si="18"/>
        <v>7.13</v>
      </c>
      <c r="F1184" s="16">
        <v>1</v>
      </c>
      <c r="G1184" s="16">
        <v>9</v>
      </c>
      <c r="H1184" s="16">
        <v>2.5</v>
      </c>
      <c r="I1184" s="16">
        <v>5</v>
      </c>
      <c r="J1184" s="16">
        <v>404</v>
      </c>
      <c r="K1184" s="16">
        <v>9.69</v>
      </c>
      <c r="L1184" s="16">
        <v>51.6</v>
      </c>
      <c r="M1184" s="16">
        <v>2</v>
      </c>
      <c r="N1184" s="18">
        <f>IF(Risk_Calculation_Engine!U1184="Low",1,IF(Risk_Calculation_Engine!U1184="Medium",2,3))</f>
        <v>3</v>
      </c>
      <c r="O1184" s="18" t="str">
        <f>Risk_Calculation_Engine!U1184</f>
        <v>High</v>
      </c>
    </row>
    <row r="1185" spans="1:15" ht="15" customHeight="1" x14ac:dyDescent="0.25">
      <c r="A1185" s="16">
        <v>1181</v>
      </c>
      <c r="B1185" s="16">
        <v>34.299999999999997</v>
      </c>
      <c r="C1185" s="16">
        <v>3</v>
      </c>
      <c r="D1185" s="16">
        <v>94.2</v>
      </c>
      <c r="E1185" s="17">
        <f t="shared" si="18"/>
        <v>7.53</v>
      </c>
      <c r="F1185" s="16">
        <v>3</v>
      </c>
      <c r="G1185" s="16">
        <v>5</v>
      </c>
      <c r="H1185" s="16">
        <v>1.74</v>
      </c>
      <c r="I1185" s="16">
        <v>11</v>
      </c>
      <c r="J1185" s="16">
        <v>204</v>
      </c>
      <c r="K1185" s="16">
        <v>5.95</v>
      </c>
      <c r="L1185" s="16">
        <v>66.3</v>
      </c>
      <c r="M1185" s="16">
        <v>2</v>
      </c>
      <c r="N1185" s="18">
        <f>IF(Risk_Calculation_Engine!U1185="Low",1,IF(Risk_Calculation_Engine!U1185="Medium",2,3))</f>
        <v>1</v>
      </c>
      <c r="O1185" s="18" t="str">
        <f>Risk_Calculation_Engine!U1185</f>
        <v>Low</v>
      </c>
    </row>
    <row r="1186" spans="1:15" ht="15" customHeight="1" x14ac:dyDescent="0.25">
      <c r="A1186" s="16">
        <v>1182</v>
      </c>
      <c r="B1186" s="16">
        <v>41.6</v>
      </c>
      <c r="C1186" s="16">
        <v>3</v>
      </c>
      <c r="D1186" s="16">
        <v>273.5</v>
      </c>
      <c r="E1186" s="17">
        <f t="shared" si="18"/>
        <v>10.7</v>
      </c>
      <c r="F1186" s="16">
        <v>1</v>
      </c>
      <c r="G1186" s="16">
        <v>7</v>
      </c>
      <c r="H1186" s="16">
        <v>1.65</v>
      </c>
      <c r="I1186" s="16">
        <v>3</v>
      </c>
      <c r="J1186" s="16">
        <v>348</v>
      </c>
      <c r="K1186" s="16">
        <v>8.3699999999999992</v>
      </c>
      <c r="L1186" s="16">
        <v>63</v>
      </c>
      <c r="M1186" s="16">
        <v>3</v>
      </c>
      <c r="N1186" s="18">
        <f>IF(Risk_Calculation_Engine!U1186="Low",1,IF(Risk_Calculation_Engine!U1186="Medium",2,3))</f>
        <v>2</v>
      </c>
      <c r="O1186" s="18" t="str">
        <f>Risk_Calculation_Engine!U1186</f>
        <v>Medium</v>
      </c>
    </row>
    <row r="1187" spans="1:15" ht="15" customHeight="1" x14ac:dyDescent="0.25">
      <c r="A1187" s="16">
        <v>1183</v>
      </c>
      <c r="B1187" s="16">
        <v>77</v>
      </c>
      <c r="C1187" s="16">
        <v>4</v>
      </c>
      <c r="D1187" s="16">
        <v>382.3</v>
      </c>
      <c r="E1187" s="17">
        <f t="shared" si="18"/>
        <v>17.96</v>
      </c>
      <c r="F1187" s="16">
        <v>2</v>
      </c>
      <c r="G1187" s="16">
        <v>7</v>
      </c>
      <c r="H1187" s="16">
        <v>1.08</v>
      </c>
      <c r="I1187" s="16">
        <v>15</v>
      </c>
      <c r="J1187" s="16">
        <v>1068</v>
      </c>
      <c r="K1187" s="16">
        <v>13.87</v>
      </c>
      <c r="L1187" s="16">
        <v>33.299999999999997</v>
      </c>
      <c r="M1187" s="16">
        <v>2</v>
      </c>
      <c r="N1187" s="18">
        <f>IF(Risk_Calculation_Engine!U1187="Low",1,IF(Risk_Calculation_Engine!U1187="Medium",2,3))</f>
        <v>2</v>
      </c>
      <c r="O1187" s="18" t="str">
        <f>Risk_Calculation_Engine!U1187</f>
        <v>Medium</v>
      </c>
    </row>
    <row r="1188" spans="1:15" ht="15" customHeight="1" x14ac:dyDescent="0.25">
      <c r="A1188" s="16">
        <v>1184</v>
      </c>
      <c r="B1188" s="16">
        <v>27.2</v>
      </c>
      <c r="C1188" s="16">
        <v>3</v>
      </c>
      <c r="D1188" s="16">
        <v>107.4</v>
      </c>
      <c r="E1188" s="17">
        <f t="shared" si="18"/>
        <v>9.7100000000000009</v>
      </c>
      <c r="F1188" s="16">
        <v>2</v>
      </c>
      <c r="G1188" s="16">
        <v>11</v>
      </c>
      <c r="H1188" s="16">
        <v>1.4</v>
      </c>
      <c r="I1188" s="16">
        <v>3</v>
      </c>
      <c r="J1188" s="16">
        <v>161</v>
      </c>
      <c r="K1188" s="16">
        <v>5.92</v>
      </c>
      <c r="L1188" s="16">
        <v>90.7</v>
      </c>
      <c r="M1188" s="16">
        <v>3</v>
      </c>
      <c r="N1188" s="18">
        <f>IF(Risk_Calculation_Engine!U1188="Low",1,IF(Risk_Calculation_Engine!U1188="Medium",2,3))</f>
        <v>2</v>
      </c>
      <c r="O1188" s="18" t="str">
        <f>Risk_Calculation_Engine!U1188</f>
        <v>Medium</v>
      </c>
    </row>
    <row r="1189" spans="1:15" ht="15" customHeight="1" x14ac:dyDescent="0.25">
      <c r="A1189" s="16">
        <v>1185</v>
      </c>
      <c r="B1189" s="16">
        <v>77.599999999999994</v>
      </c>
      <c r="C1189" s="16">
        <v>4</v>
      </c>
      <c r="D1189" s="16">
        <v>535.79999999999995</v>
      </c>
      <c r="E1189" s="17">
        <f t="shared" si="18"/>
        <v>11.78</v>
      </c>
      <c r="F1189" s="16">
        <v>1</v>
      </c>
      <c r="G1189" s="16">
        <v>4</v>
      </c>
      <c r="H1189" s="16">
        <v>1.81</v>
      </c>
      <c r="I1189" s="16">
        <v>7</v>
      </c>
      <c r="J1189" s="16">
        <v>1061</v>
      </c>
      <c r="K1189" s="16">
        <v>13.67</v>
      </c>
      <c r="L1189" s="16">
        <v>89.4</v>
      </c>
      <c r="M1189" s="16">
        <v>2</v>
      </c>
      <c r="N1189" s="18">
        <f>IF(Risk_Calculation_Engine!U1189="Low",1,IF(Risk_Calculation_Engine!U1189="Medium",2,3))</f>
        <v>3</v>
      </c>
      <c r="O1189" s="18" t="str">
        <f>Risk_Calculation_Engine!U1189</f>
        <v>High</v>
      </c>
    </row>
    <row r="1190" spans="1:15" ht="15" customHeight="1" x14ac:dyDescent="0.25">
      <c r="A1190" s="16">
        <v>1186</v>
      </c>
      <c r="B1190" s="16">
        <v>26.2</v>
      </c>
      <c r="C1190" s="16">
        <v>3</v>
      </c>
      <c r="D1190" s="16">
        <v>75.8</v>
      </c>
      <c r="E1190" s="17">
        <f t="shared" si="18"/>
        <v>5.93</v>
      </c>
      <c r="F1190" s="16">
        <v>3</v>
      </c>
      <c r="G1190" s="16">
        <v>3</v>
      </c>
      <c r="H1190" s="16">
        <v>2.08</v>
      </c>
      <c r="I1190" s="16">
        <v>15</v>
      </c>
      <c r="J1190" s="16">
        <v>213</v>
      </c>
      <c r="K1190" s="16">
        <v>8.1300000000000008</v>
      </c>
      <c r="L1190" s="16">
        <v>73.3</v>
      </c>
      <c r="M1190" s="16">
        <v>2</v>
      </c>
      <c r="N1190" s="18">
        <f>IF(Risk_Calculation_Engine!U1190="Low",1,IF(Risk_Calculation_Engine!U1190="Medium",2,3))</f>
        <v>2</v>
      </c>
      <c r="O1190" s="18" t="str">
        <f>Risk_Calculation_Engine!U1190</f>
        <v>Medium</v>
      </c>
    </row>
    <row r="1191" spans="1:15" ht="15" customHeight="1" x14ac:dyDescent="0.25">
      <c r="A1191" s="16">
        <v>1187</v>
      </c>
      <c r="B1191" s="16">
        <v>9.1999999999999993</v>
      </c>
      <c r="C1191" s="16">
        <v>4</v>
      </c>
      <c r="D1191" s="16">
        <v>55.7</v>
      </c>
      <c r="E1191" s="17">
        <f t="shared" si="18"/>
        <v>5.54</v>
      </c>
      <c r="F1191" s="16">
        <v>1</v>
      </c>
      <c r="G1191" s="16">
        <v>4</v>
      </c>
      <c r="H1191" s="16">
        <v>2.04</v>
      </c>
      <c r="I1191" s="16">
        <v>5</v>
      </c>
      <c r="J1191" s="16">
        <v>133</v>
      </c>
      <c r="K1191" s="16">
        <v>14.46</v>
      </c>
      <c r="L1191" s="16">
        <v>33.1</v>
      </c>
      <c r="M1191" s="16">
        <v>1</v>
      </c>
      <c r="N1191" s="18">
        <f>IF(Risk_Calculation_Engine!U1191="Low",1,IF(Risk_Calculation_Engine!U1191="Medium",2,3))</f>
        <v>3</v>
      </c>
      <c r="O1191" s="18" t="str">
        <f>Risk_Calculation_Engine!U1191</f>
        <v>High</v>
      </c>
    </row>
    <row r="1192" spans="1:15" ht="15" customHeight="1" x14ac:dyDescent="0.25">
      <c r="A1192" s="16">
        <v>1188</v>
      </c>
      <c r="B1192" s="16">
        <v>137.1</v>
      </c>
      <c r="C1192" s="16">
        <v>5</v>
      </c>
      <c r="D1192" s="16">
        <v>686</v>
      </c>
      <c r="E1192" s="17">
        <f t="shared" si="18"/>
        <v>17.05</v>
      </c>
      <c r="F1192" s="16">
        <v>3</v>
      </c>
      <c r="G1192" s="16">
        <v>4</v>
      </c>
      <c r="H1192" s="16">
        <v>1.34</v>
      </c>
      <c r="I1192" s="16">
        <v>3</v>
      </c>
      <c r="J1192" s="16">
        <v>2126</v>
      </c>
      <c r="K1192" s="16">
        <v>15.51</v>
      </c>
      <c r="L1192" s="16">
        <v>60.9</v>
      </c>
      <c r="M1192" s="16">
        <v>2</v>
      </c>
      <c r="N1192" s="18">
        <f>IF(Risk_Calculation_Engine!U1192="Low",1,IF(Risk_Calculation_Engine!U1192="Medium",2,3))</f>
        <v>3</v>
      </c>
      <c r="O1192" s="18" t="str">
        <f>Risk_Calculation_Engine!U1192</f>
        <v>High</v>
      </c>
    </row>
    <row r="1193" spans="1:15" ht="15" customHeight="1" x14ac:dyDescent="0.25">
      <c r="A1193" s="16">
        <v>1189</v>
      </c>
      <c r="B1193" s="16">
        <v>30.9</v>
      </c>
      <c r="C1193" s="16">
        <v>3</v>
      </c>
      <c r="D1193" s="16">
        <v>180.4</v>
      </c>
      <c r="E1193" s="17">
        <f t="shared" si="18"/>
        <v>6.29</v>
      </c>
      <c r="F1193" s="16">
        <v>1</v>
      </c>
      <c r="G1193" s="16">
        <v>2</v>
      </c>
      <c r="H1193" s="16">
        <v>2.5</v>
      </c>
      <c r="I1193" s="16">
        <v>12</v>
      </c>
      <c r="J1193" s="16">
        <v>132</v>
      </c>
      <c r="K1193" s="16">
        <v>4.2699999999999996</v>
      </c>
      <c r="L1193" s="16">
        <v>68</v>
      </c>
      <c r="M1193" s="16">
        <v>2</v>
      </c>
      <c r="N1193" s="18">
        <f>IF(Risk_Calculation_Engine!U1193="Low",1,IF(Risk_Calculation_Engine!U1193="Medium",2,3))</f>
        <v>2</v>
      </c>
      <c r="O1193" s="18" t="str">
        <f>Risk_Calculation_Engine!U1193</f>
        <v>Medium</v>
      </c>
    </row>
    <row r="1194" spans="1:15" ht="15" customHeight="1" x14ac:dyDescent="0.25">
      <c r="A1194" s="16">
        <v>1190</v>
      </c>
      <c r="B1194" s="16">
        <v>98.6</v>
      </c>
      <c r="C1194" s="16">
        <v>1</v>
      </c>
      <c r="D1194" s="16">
        <v>399</v>
      </c>
      <c r="E1194" s="17">
        <f t="shared" si="18"/>
        <v>11.69</v>
      </c>
      <c r="F1194" s="16">
        <v>1</v>
      </c>
      <c r="G1194" s="16">
        <v>3</v>
      </c>
      <c r="H1194" s="16">
        <v>1.68</v>
      </c>
      <c r="I1194" s="16">
        <v>3</v>
      </c>
      <c r="J1194" s="16">
        <v>285</v>
      </c>
      <c r="K1194" s="16">
        <v>2.89</v>
      </c>
      <c r="L1194" s="16">
        <v>34</v>
      </c>
      <c r="M1194" s="16">
        <v>2</v>
      </c>
      <c r="N1194" s="18">
        <f>IF(Risk_Calculation_Engine!U1194="Low",1,IF(Risk_Calculation_Engine!U1194="Medium",2,3))</f>
        <v>1</v>
      </c>
      <c r="O1194" s="18" t="str">
        <f>Risk_Calculation_Engine!U1194</f>
        <v>Low</v>
      </c>
    </row>
    <row r="1195" spans="1:15" ht="15" customHeight="1" x14ac:dyDescent="0.25">
      <c r="A1195" s="16">
        <v>1191</v>
      </c>
      <c r="B1195" s="16">
        <v>7.1</v>
      </c>
      <c r="C1195" s="16">
        <v>2</v>
      </c>
      <c r="D1195" s="16">
        <v>25.2</v>
      </c>
      <c r="E1195" s="17">
        <f t="shared" si="18"/>
        <v>5.56</v>
      </c>
      <c r="F1195" s="16">
        <v>2</v>
      </c>
      <c r="G1195" s="16">
        <v>11</v>
      </c>
      <c r="H1195" s="16">
        <v>1.63</v>
      </c>
      <c r="I1195" s="16">
        <v>14</v>
      </c>
      <c r="J1195" s="16">
        <v>31</v>
      </c>
      <c r="K1195" s="16">
        <v>4.37</v>
      </c>
      <c r="L1195" s="16">
        <v>63.8</v>
      </c>
      <c r="M1195" s="16">
        <v>1</v>
      </c>
      <c r="N1195" s="18">
        <f>IF(Risk_Calculation_Engine!U1195="Low",1,IF(Risk_Calculation_Engine!U1195="Medium",2,3))</f>
        <v>2</v>
      </c>
      <c r="O1195" s="18" t="str">
        <f>Risk_Calculation_Engine!U1195</f>
        <v>Medium</v>
      </c>
    </row>
    <row r="1196" spans="1:15" ht="15" customHeight="1" x14ac:dyDescent="0.25">
      <c r="A1196" s="16">
        <v>1192</v>
      </c>
      <c r="B1196" s="16">
        <v>149.80000000000001</v>
      </c>
      <c r="C1196" s="16">
        <v>4</v>
      </c>
      <c r="D1196" s="16">
        <v>676.9</v>
      </c>
      <c r="E1196" s="17">
        <f t="shared" si="18"/>
        <v>21.68</v>
      </c>
      <c r="F1196" s="16">
        <v>3</v>
      </c>
      <c r="G1196" s="16">
        <v>6</v>
      </c>
      <c r="H1196" s="16">
        <v>1.05</v>
      </c>
      <c r="I1196" s="16">
        <v>8</v>
      </c>
      <c r="J1196" s="16">
        <v>1448</v>
      </c>
      <c r="K1196" s="16">
        <v>9.67</v>
      </c>
      <c r="L1196" s="16">
        <v>67.599999999999994</v>
      </c>
      <c r="M1196" s="16">
        <v>2</v>
      </c>
      <c r="N1196" s="18">
        <f>IF(Risk_Calculation_Engine!U1196="Low",1,IF(Risk_Calculation_Engine!U1196="Medium",2,3))</f>
        <v>2</v>
      </c>
      <c r="O1196" s="18" t="str">
        <f>Risk_Calculation_Engine!U1196</f>
        <v>Medium</v>
      </c>
    </row>
    <row r="1197" spans="1:15" ht="15" customHeight="1" x14ac:dyDescent="0.25">
      <c r="A1197" s="16">
        <v>1193</v>
      </c>
      <c r="B1197" s="16">
        <v>66.900000000000006</v>
      </c>
      <c r="C1197" s="16">
        <v>3</v>
      </c>
      <c r="D1197" s="16">
        <v>456.8</v>
      </c>
      <c r="E1197" s="17">
        <f t="shared" si="18"/>
        <v>9.35</v>
      </c>
      <c r="F1197" s="16">
        <v>1</v>
      </c>
      <c r="G1197" s="16">
        <v>5</v>
      </c>
      <c r="H1197" s="16">
        <v>2.1800000000000002</v>
      </c>
      <c r="I1197" s="16">
        <v>14</v>
      </c>
      <c r="J1197" s="16">
        <v>366</v>
      </c>
      <c r="K1197" s="16">
        <v>5.47</v>
      </c>
      <c r="L1197" s="16">
        <v>94.6</v>
      </c>
      <c r="M1197" s="16">
        <v>1</v>
      </c>
      <c r="N1197" s="18">
        <f>IF(Risk_Calculation_Engine!U1197="Low",1,IF(Risk_Calculation_Engine!U1197="Medium",2,3))</f>
        <v>2</v>
      </c>
      <c r="O1197" s="18" t="str">
        <f>Risk_Calculation_Engine!U1197</f>
        <v>Medium</v>
      </c>
    </row>
    <row r="1198" spans="1:15" ht="15" customHeight="1" x14ac:dyDescent="0.25">
      <c r="A1198" s="16">
        <v>1194</v>
      </c>
      <c r="B1198" s="16">
        <v>60.7</v>
      </c>
      <c r="C1198" s="16">
        <v>5</v>
      </c>
      <c r="D1198" s="16">
        <v>242.2</v>
      </c>
      <c r="E1198" s="17">
        <f t="shared" si="18"/>
        <v>10.74</v>
      </c>
      <c r="F1198" s="16">
        <v>3</v>
      </c>
      <c r="G1198" s="16">
        <v>3</v>
      </c>
      <c r="H1198" s="16">
        <v>1.59</v>
      </c>
      <c r="I1198" s="16">
        <v>6</v>
      </c>
      <c r="J1198" s="16">
        <v>639</v>
      </c>
      <c r="K1198" s="16">
        <v>10.53</v>
      </c>
      <c r="L1198" s="16">
        <v>86.1</v>
      </c>
      <c r="M1198" s="16">
        <v>2</v>
      </c>
      <c r="N1198" s="18">
        <f>IF(Risk_Calculation_Engine!U1198="Low",1,IF(Risk_Calculation_Engine!U1198="Medium",2,3))</f>
        <v>2</v>
      </c>
      <c r="O1198" s="18" t="str">
        <f>Risk_Calculation_Engine!U1198</f>
        <v>Medium</v>
      </c>
    </row>
    <row r="1199" spans="1:15" ht="15" customHeight="1" x14ac:dyDescent="0.25">
      <c r="A1199" s="16">
        <v>1195</v>
      </c>
      <c r="B1199" s="16">
        <v>12.1</v>
      </c>
      <c r="C1199" s="16">
        <v>4</v>
      </c>
      <c r="D1199" s="16">
        <v>82.6</v>
      </c>
      <c r="E1199" s="17">
        <f t="shared" si="18"/>
        <v>8.77</v>
      </c>
      <c r="F1199" s="16">
        <v>1</v>
      </c>
      <c r="G1199" s="16">
        <v>7</v>
      </c>
      <c r="H1199" s="16">
        <v>1.44</v>
      </c>
      <c r="I1199" s="16">
        <v>4</v>
      </c>
      <c r="J1199" s="16">
        <v>85</v>
      </c>
      <c r="K1199" s="16">
        <v>7.02</v>
      </c>
      <c r="L1199" s="16">
        <v>22.9</v>
      </c>
      <c r="M1199" s="16">
        <v>2</v>
      </c>
      <c r="N1199" s="18">
        <f>IF(Risk_Calculation_Engine!U1199="Low",1,IF(Risk_Calculation_Engine!U1199="Medium",2,3))</f>
        <v>2</v>
      </c>
      <c r="O1199" s="18" t="str">
        <f>Risk_Calculation_Engine!U1199</f>
        <v>Medium</v>
      </c>
    </row>
    <row r="1200" spans="1:15" ht="15" customHeight="1" x14ac:dyDescent="0.25">
      <c r="A1200" s="16">
        <v>1196</v>
      </c>
      <c r="B1200" s="16">
        <v>23</v>
      </c>
      <c r="C1200" s="16">
        <v>3</v>
      </c>
      <c r="D1200" s="16">
        <v>98.7</v>
      </c>
      <c r="E1200" s="17">
        <f t="shared" si="18"/>
        <v>14.12</v>
      </c>
      <c r="F1200" s="16">
        <v>2</v>
      </c>
      <c r="G1200" s="16">
        <v>7</v>
      </c>
      <c r="H1200" s="16">
        <v>0.94</v>
      </c>
      <c r="I1200" s="16">
        <v>15</v>
      </c>
      <c r="J1200" s="16">
        <v>109</v>
      </c>
      <c r="K1200" s="16">
        <v>4.74</v>
      </c>
      <c r="L1200" s="16">
        <v>98.9</v>
      </c>
      <c r="M1200" s="16">
        <v>2</v>
      </c>
      <c r="N1200" s="18">
        <f>IF(Risk_Calculation_Engine!U1200="Low",1,IF(Risk_Calculation_Engine!U1200="Medium",2,3))</f>
        <v>1</v>
      </c>
      <c r="O1200" s="18" t="str">
        <f>Risk_Calculation_Engine!U1200</f>
        <v>Low</v>
      </c>
    </row>
    <row r="1201" spans="1:15" ht="15" customHeight="1" x14ac:dyDescent="0.25">
      <c r="A1201" s="16">
        <v>1197</v>
      </c>
      <c r="B1201" s="16">
        <v>50.1</v>
      </c>
      <c r="C1201" s="16">
        <v>4</v>
      </c>
      <c r="D1201" s="16">
        <v>254.9</v>
      </c>
      <c r="E1201" s="17">
        <f t="shared" si="18"/>
        <v>18.23</v>
      </c>
      <c r="F1201" s="16">
        <v>2</v>
      </c>
      <c r="G1201" s="16">
        <v>5</v>
      </c>
      <c r="H1201" s="16">
        <v>0.95</v>
      </c>
      <c r="I1201" s="16">
        <v>12</v>
      </c>
      <c r="J1201" s="16">
        <v>527</v>
      </c>
      <c r="K1201" s="16">
        <v>10.52</v>
      </c>
      <c r="L1201" s="16">
        <v>80.099999999999994</v>
      </c>
      <c r="M1201" s="16">
        <v>3</v>
      </c>
      <c r="N1201" s="18">
        <f>IF(Risk_Calculation_Engine!U1201="Low",1,IF(Risk_Calculation_Engine!U1201="Medium",2,3))</f>
        <v>1</v>
      </c>
      <c r="O1201" s="18" t="str">
        <f>Risk_Calculation_Engine!U1201</f>
        <v>Low</v>
      </c>
    </row>
    <row r="1202" spans="1:15" ht="15" customHeight="1" x14ac:dyDescent="0.25">
      <c r="A1202" s="16">
        <v>1198</v>
      </c>
      <c r="B1202" s="16">
        <v>23.9</v>
      </c>
      <c r="C1202" s="16">
        <v>3</v>
      </c>
      <c r="D1202" s="16">
        <v>113.2</v>
      </c>
      <c r="E1202" s="17">
        <f t="shared" si="18"/>
        <v>7.26</v>
      </c>
      <c r="F1202" s="16">
        <v>1</v>
      </c>
      <c r="G1202" s="16">
        <v>5</v>
      </c>
      <c r="H1202" s="16">
        <v>1.9</v>
      </c>
      <c r="I1202" s="16">
        <v>14</v>
      </c>
      <c r="J1202" s="16">
        <v>146</v>
      </c>
      <c r="K1202" s="16">
        <v>6.11</v>
      </c>
      <c r="L1202" s="16">
        <v>58.3</v>
      </c>
      <c r="M1202" s="16">
        <v>3</v>
      </c>
      <c r="N1202" s="18">
        <f>IF(Risk_Calculation_Engine!U1202="Low",1,IF(Risk_Calculation_Engine!U1202="Medium",2,3))</f>
        <v>2</v>
      </c>
      <c r="O1202" s="18" t="str">
        <f>Risk_Calculation_Engine!U1202</f>
        <v>Medium</v>
      </c>
    </row>
    <row r="1203" spans="1:15" ht="15" customHeight="1" x14ac:dyDescent="0.25">
      <c r="A1203" s="16">
        <v>1199</v>
      </c>
      <c r="B1203" s="16">
        <v>127.4</v>
      </c>
      <c r="C1203" s="16">
        <v>4</v>
      </c>
      <c r="D1203" s="16">
        <v>492.8</v>
      </c>
      <c r="E1203" s="17">
        <f t="shared" si="18"/>
        <v>8.33</v>
      </c>
      <c r="F1203" s="16">
        <v>3</v>
      </c>
      <c r="G1203" s="16">
        <v>2</v>
      </c>
      <c r="H1203" s="16">
        <v>2.5</v>
      </c>
      <c r="I1203" s="16">
        <v>7</v>
      </c>
      <c r="J1203" s="16">
        <v>1329</v>
      </c>
      <c r="K1203" s="16">
        <v>10.43</v>
      </c>
      <c r="L1203" s="16">
        <v>77.3</v>
      </c>
      <c r="M1203" s="16">
        <v>3</v>
      </c>
      <c r="N1203" s="18">
        <f>IF(Risk_Calculation_Engine!U1203="Low",1,IF(Risk_Calculation_Engine!U1203="Medium",2,3))</f>
        <v>3</v>
      </c>
      <c r="O1203" s="18" t="str">
        <f>Risk_Calculation_Engine!U1203</f>
        <v>High</v>
      </c>
    </row>
    <row r="1204" spans="1:15" ht="15" customHeight="1" x14ac:dyDescent="0.25">
      <c r="A1204" s="16">
        <v>1200</v>
      </c>
      <c r="B1204" s="16">
        <v>65.2</v>
      </c>
      <c r="C1204" s="16">
        <v>1</v>
      </c>
      <c r="D1204" s="16">
        <v>234.1</v>
      </c>
      <c r="E1204" s="17">
        <f t="shared" si="18"/>
        <v>11.35</v>
      </c>
      <c r="F1204" s="16">
        <v>2</v>
      </c>
      <c r="G1204" s="16">
        <v>2</v>
      </c>
      <c r="H1204" s="16">
        <v>1.49</v>
      </c>
      <c r="I1204" s="16">
        <v>8</v>
      </c>
      <c r="J1204" s="16">
        <v>75</v>
      </c>
      <c r="K1204" s="16">
        <v>1.1499999999999999</v>
      </c>
      <c r="L1204" s="16">
        <v>54.7</v>
      </c>
      <c r="M1204" s="16">
        <v>3</v>
      </c>
      <c r="N1204" s="18">
        <f>IF(Risk_Calculation_Engine!U1204="Low",1,IF(Risk_Calculation_Engine!U1204="Medium",2,3))</f>
        <v>1</v>
      </c>
      <c r="O1204" s="18" t="str">
        <f>Risk_Calculation_Engine!U1204</f>
        <v>Low</v>
      </c>
    </row>
    <row r="1205" spans="1:15" ht="15" customHeight="1" x14ac:dyDescent="0.25">
      <c r="A1205" s="16">
        <v>1201</v>
      </c>
      <c r="B1205" s="16">
        <v>24.2</v>
      </c>
      <c r="C1205" s="16">
        <v>4</v>
      </c>
      <c r="D1205" s="16">
        <v>110.3</v>
      </c>
      <c r="E1205" s="17">
        <f t="shared" si="18"/>
        <v>9.25</v>
      </c>
      <c r="F1205" s="16">
        <v>2</v>
      </c>
      <c r="G1205" s="16">
        <v>7</v>
      </c>
      <c r="H1205" s="16">
        <v>1.48</v>
      </c>
      <c r="I1205" s="16">
        <v>10</v>
      </c>
      <c r="J1205" s="16">
        <v>123</v>
      </c>
      <c r="K1205" s="16">
        <v>5.08</v>
      </c>
      <c r="L1205" s="16">
        <v>27.4</v>
      </c>
      <c r="M1205" s="16">
        <v>1</v>
      </c>
      <c r="N1205" s="18">
        <f>IF(Risk_Calculation_Engine!U1205="Low",1,IF(Risk_Calculation_Engine!U1205="Medium",2,3))</f>
        <v>2</v>
      </c>
      <c r="O1205" s="18" t="str">
        <f>Risk_Calculation_Engine!U1205</f>
        <v>Medium</v>
      </c>
    </row>
    <row r="1206" spans="1:15" ht="15" customHeight="1" x14ac:dyDescent="0.25">
      <c r="A1206" s="16">
        <v>1202</v>
      </c>
      <c r="B1206" s="16">
        <v>113.4</v>
      </c>
      <c r="C1206" s="16">
        <v>5</v>
      </c>
      <c r="D1206" s="16">
        <v>755.4</v>
      </c>
      <c r="E1206" s="17">
        <f t="shared" si="18"/>
        <v>10.72</v>
      </c>
      <c r="F1206" s="16">
        <v>2</v>
      </c>
      <c r="G1206" s="16">
        <v>6</v>
      </c>
      <c r="H1206" s="16">
        <v>2.19</v>
      </c>
      <c r="I1206" s="16">
        <v>8</v>
      </c>
      <c r="J1206" s="16">
        <v>1966</v>
      </c>
      <c r="K1206" s="16">
        <v>17.34</v>
      </c>
      <c r="L1206" s="16">
        <v>42</v>
      </c>
      <c r="M1206" s="16">
        <v>1</v>
      </c>
      <c r="N1206" s="18">
        <f>IF(Risk_Calculation_Engine!U1206="Low",1,IF(Risk_Calculation_Engine!U1206="Medium",2,3))</f>
        <v>3</v>
      </c>
      <c r="O1206" s="18" t="str">
        <f>Risk_Calculation_Engine!U1206</f>
        <v>High</v>
      </c>
    </row>
    <row r="1207" spans="1:15" ht="15" customHeight="1" x14ac:dyDescent="0.25">
      <c r="A1207" s="16">
        <v>1203</v>
      </c>
      <c r="B1207" s="16">
        <v>44.4</v>
      </c>
      <c r="C1207" s="16">
        <v>4</v>
      </c>
      <c r="D1207" s="16">
        <v>238.6</v>
      </c>
      <c r="E1207" s="17">
        <f t="shared" si="18"/>
        <v>6.8</v>
      </c>
      <c r="F1207" s="16">
        <v>2</v>
      </c>
      <c r="G1207" s="16">
        <v>5</v>
      </c>
      <c r="H1207" s="16">
        <v>2.5</v>
      </c>
      <c r="I1207" s="16">
        <v>6</v>
      </c>
      <c r="J1207" s="16">
        <v>308</v>
      </c>
      <c r="K1207" s="16">
        <v>6.94</v>
      </c>
      <c r="L1207" s="16">
        <v>47.2</v>
      </c>
      <c r="M1207" s="16">
        <v>1</v>
      </c>
      <c r="N1207" s="18">
        <f>IF(Risk_Calculation_Engine!U1207="Low",1,IF(Risk_Calculation_Engine!U1207="Medium",2,3))</f>
        <v>2</v>
      </c>
      <c r="O1207" s="18" t="str">
        <f>Risk_Calculation_Engine!U1207</f>
        <v>Medium</v>
      </c>
    </row>
    <row r="1208" spans="1:15" ht="15" customHeight="1" x14ac:dyDescent="0.25">
      <c r="A1208" s="16">
        <v>1204</v>
      </c>
      <c r="B1208" s="16">
        <v>109.6</v>
      </c>
      <c r="C1208" s="16">
        <v>5</v>
      </c>
      <c r="D1208" s="16">
        <v>747.7</v>
      </c>
      <c r="E1208" s="17">
        <f t="shared" si="18"/>
        <v>18.14</v>
      </c>
      <c r="F1208" s="16">
        <v>2</v>
      </c>
      <c r="G1208" s="16">
        <v>11</v>
      </c>
      <c r="H1208" s="16">
        <v>1.29</v>
      </c>
      <c r="I1208" s="16">
        <v>7</v>
      </c>
      <c r="J1208" s="16">
        <v>2746</v>
      </c>
      <c r="K1208" s="16">
        <v>25.05</v>
      </c>
      <c r="L1208" s="16">
        <v>77.099999999999994</v>
      </c>
      <c r="M1208" s="16">
        <v>1</v>
      </c>
      <c r="N1208" s="18">
        <f>IF(Risk_Calculation_Engine!U1208="Low",1,IF(Risk_Calculation_Engine!U1208="Medium",2,3))</f>
        <v>3</v>
      </c>
      <c r="O1208" s="18" t="str">
        <f>Risk_Calculation_Engine!U1208</f>
        <v>High</v>
      </c>
    </row>
    <row r="1209" spans="1:15" ht="15" customHeight="1" x14ac:dyDescent="0.25">
      <c r="A1209" s="16">
        <v>1205</v>
      </c>
      <c r="B1209" s="16">
        <v>38.200000000000003</v>
      </c>
      <c r="C1209" s="16">
        <v>3</v>
      </c>
      <c r="D1209" s="16">
        <v>116.7</v>
      </c>
      <c r="E1209" s="17">
        <f t="shared" si="18"/>
        <v>13.13</v>
      </c>
      <c r="F1209" s="16">
        <v>3</v>
      </c>
      <c r="G1209" s="16">
        <v>6</v>
      </c>
      <c r="H1209" s="16">
        <v>1.06</v>
      </c>
      <c r="I1209" s="16">
        <v>10</v>
      </c>
      <c r="J1209" s="16">
        <v>213</v>
      </c>
      <c r="K1209" s="16">
        <v>5.58</v>
      </c>
      <c r="L1209" s="16">
        <v>33.5</v>
      </c>
      <c r="M1209" s="16">
        <v>3</v>
      </c>
      <c r="N1209" s="18">
        <f>IF(Risk_Calculation_Engine!U1209="Low",1,IF(Risk_Calculation_Engine!U1209="Medium",2,3))</f>
        <v>1</v>
      </c>
      <c r="O1209" s="18" t="str">
        <f>Risk_Calculation_Engine!U1209</f>
        <v>Low</v>
      </c>
    </row>
    <row r="1210" spans="1:15" ht="15" customHeight="1" x14ac:dyDescent="0.25">
      <c r="A1210" s="16">
        <v>1206</v>
      </c>
      <c r="B1210" s="16">
        <v>93.4</v>
      </c>
      <c r="C1210" s="16">
        <v>4</v>
      </c>
      <c r="D1210" s="16">
        <v>567.9</v>
      </c>
      <c r="E1210" s="17">
        <f t="shared" si="18"/>
        <v>13.8</v>
      </c>
      <c r="F1210" s="16">
        <v>2</v>
      </c>
      <c r="G1210" s="16">
        <v>5</v>
      </c>
      <c r="H1210" s="16">
        <v>1.57</v>
      </c>
      <c r="I1210" s="16">
        <v>3</v>
      </c>
      <c r="J1210" s="16">
        <v>796</v>
      </c>
      <c r="K1210" s="16">
        <v>8.52</v>
      </c>
      <c r="L1210" s="16">
        <v>78.099999999999994</v>
      </c>
      <c r="M1210" s="16">
        <v>3</v>
      </c>
      <c r="N1210" s="18">
        <f>IF(Risk_Calculation_Engine!U1210="Low",1,IF(Risk_Calculation_Engine!U1210="Medium",2,3))</f>
        <v>2</v>
      </c>
      <c r="O1210" s="18" t="str">
        <f>Risk_Calculation_Engine!U1210</f>
        <v>Medium</v>
      </c>
    </row>
    <row r="1211" spans="1:15" ht="15" customHeight="1" x14ac:dyDescent="0.25">
      <c r="A1211" s="16">
        <v>1207</v>
      </c>
      <c r="B1211" s="16">
        <v>43</v>
      </c>
      <c r="C1211" s="16">
        <v>4</v>
      </c>
      <c r="D1211" s="16">
        <v>202</v>
      </c>
      <c r="E1211" s="17">
        <f t="shared" si="18"/>
        <v>8.0299999999999994</v>
      </c>
      <c r="F1211" s="16">
        <v>2</v>
      </c>
      <c r="G1211" s="16">
        <v>5</v>
      </c>
      <c r="H1211" s="16">
        <v>2.02</v>
      </c>
      <c r="I1211" s="16">
        <v>7</v>
      </c>
      <c r="J1211" s="16">
        <v>449</v>
      </c>
      <c r="K1211" s="16">
        <v>10.44</v>
      </c>
      <c r="L1211" s="16">
        <v>83.5</v>
      </c>
      <c r="M1211" s="16">
        <v>2</v>
      </c>
      <c r="N1211" s="18">
        <f>IF(Risk_Calculation_Engine!U1211="Low",1,IF(Risk_Calculation_Engine!U1211="Medium",2,3))</f>
        <v>3</v>
      </c>
      <c r="O1211" s="18" t="str">
        <f>Risk_Calculation_Engine!U1211</f>
        <v>High</v>
      </c>
    </row>
    <row r="1212" spans="1:15" ht="15" customHeight="1" x14ac:dyDescent="0.25">
      <c r="A1212" s="16">
        <v>1208</v>
      </c>
      <c r="B1212" s="16">
        <v>127.4</v>
      </c>
      <c r="C1212" s="16">
        <v>4</v>
      </c>
      <c r="D1212" s="16">
        <v>783.3</v>
      </c>
      <c r="E1212" s="17">
        <f t="shared" si="18"/>
        <v>32.479999999999997</v>
      </c>
      <c r="F1212" s="16">
        <v>2</v>
      </c>
      <c r="G1212" s="16">
        <v>6</v>
      </c>
      <c r="H1212" s="16">
        <v>0.73</v>
      </c>
      <c r="I1212" s="16">
        <v>6</v>
      </c>
      <c r="J1212" s="16">
        <v>1438</v>
      </c>
      <c r="K1212" s="16">
        <v>11.29</v>
      </c>
      <c r="L1212" s="16">
        <v>74.2</v>
      </c>
      <c r="M1212" s="16">
        <v>3</v>
      </c>
      <c r="N1212" s="18">
        <f>IF(Risk_Calculation_Engine!U1212="Low",1,IF(Risk_Calculation_Engine!U1212="Medium",2,3))</f>
        <v>2</v>
      </c>
      <c r="O1212" s="18" t="str">
        <f>Risk_Calculation_Engine!U1212</f>
        <v>Medium</v>
      </c>
    </row>
    <row r="1213" spans="1:15" ht="15" customHeight="1" x14ac:dyDescent="0.25">
      <c r="A1213" s="16">
        <v>1209</v>
      </c>
      <c r="B1213" s="16">
        <v>7.4</v>
      </c>
      <c r="C1213" s="16">
        <v>1</v>
      </c>
      <c r="D1213" s="16">
        <v>19</v>
      </c>
      <c r="E1213" s="17">
        <f t="shared" si="18"/>
        <v>6.15</v>
      </c>
      <c r="F1213" s="16">
        <v>2</v>
      </c>
      <c r="G1213" s="16">
        <v>7</v>
      </c>
      <c r="H1213" s="16">
        <v>1.36</v>
      </c>
      <c r="I1213" s="16">
        <v>3</v>
      </c>
      <c r="J1213" s="16">
        <v>9</v>
      </c>
      <c r="K1213" s="16">
        <v>1.22</v>
      </c>
      <c r="L1213" s="16">
        <v>61.4</v>
      </c>
      <c r="M1213" s="16">
        <v>3</v>
      </c>
      <c r="N1213" s="18">
        <f>IF(Risk_Calculation_Engine!U1213="Low",1,IF(Risk_Calculation_Engine!U1213="Medium",2,3))</f>
        <v>1</v>
      </c>
      <c r="O1213" s="18" t="str">
        <f>Risk_Calculation_Engine!U1213</f>
        <v>Low</v>
      </c>
    </row>
    <row r="1214" spans="1:15" ht="15" customHeight="1" x14ac:dyDescent="0.25">
      <c r="A1214" s="16">
        <v>1210</v>
      </c>
      <c r="B1214" s="16">
        <v>17.2</v>
      </c>
      <c r="C1214" s="16">
        <v>2</v>
      </c>
      <c r="D1214" s="16">
        <v>53.8</v>
      </c>
      <c r="E1214" s="17">
        <f t="shared" si="18"/>
        <v>7.47</v>
      </c>
      <c r="F1214" s="16">
        <v>2</v>
      </c>
      <c r="G1214" s="16">
        <v>6</v>
      </c>
      <c r="H1214" s="16">
        <v>1.5</v>
      </c>
      <c r="I1214" s="16">
        <v>4</v>
      </c>
      <c r="J1214" s="16">
        <v>85</v>
      </c>
      <c r="K1214" s="16">
        <v>4.9400000000000004</v>
      </c>
      <c r="L1214" s="16">
        <v>54.7</v>
      </c>
      <c r="M1214" s="16">
        <v>2</v>
      </c>
      <c r="N1214" s="18">
        <f>IF(Risk_Calculation_Engine!U1214="Low",1,IF(Risk_Calculation_Engine!U1214="Medium",2,3))</f>
        <v>1</v>
      </c>
      <c r="O1214" s="18" t="str">
        <f>Risk_Calculation_Engine!U1214</f>
        <v>Low</v>
      </c>
    </row>
    <row r="1215" spans="1:15" ht="15" customHeight="1" x14ac:dyDescent="0.25">
      <c r="A1215" s="16">
        <v>1211</v>
      </c>
      <c r="B1215" s="16">
        <v>54.1</v>
      </c>
      <c r="C1215" s="16">
        <v>4</v>
      </c>
      <c r="D1215" s="16">
        <v>264.3</v>
      </c>
      <c r="E1215" s="17">
        <f t="shared" si="18"/>
        <v>12.32</v>
      </c>
      <c r="F1215" s="16">
        <v>2</v>
      </c>
      <c r="G1215" s="16">
        <v>8</v>
      </c>
      <c r="H1215" s="16">
        <v>1.42</v>
      </c>
      <c r="I1215" s="16">
        <v>9</v>
      </c>
      <c r="J1215" s="16">
        <v>345</v>
      </c>
      <c r="K1215" s="16">
        <v>6.38</v>
      </c>
      <c r="L1215" s="16">
        <v>61.1</v>
      </c>
      <c r="M1215" s="16">
        <v>1</v>
      </c>
      <c r="N1215" s="18">
        <f>IF(Risk_Calculation_Engine!U1215="Low",1,IF(Risk_Calculation_Engine!U1215="Medium",2,3))</f>
        <v>2</v>
      </c>
      <c r="O1215" s="18" t="str">
        <f>Risk_Calculation_Engine!U1215</f>
        <v>Medium</v>
      </c>
    </row>
    <row r="1216" spans="1:15" ht="15" customHeight="1" x14ac:dyDescent="0.25">
      <c r="A1216" s="16">
        <v>1212</v>
      </c>
      <c r="B1216" s="16">
        <v>32.299999999999997</v>
      </c>
      <c r="C1216" s="16">
        <v>1</v>
      </c>
      <c r="D1216" s="16">
        <v>106.9</v>
      </c>
      <c r="E1216" s="17">
        <f t="shared" si="18"/>
        <v>14.92</v>
      </c>
      <c r="F1216" s="16">
        <v>2</v>
      </c>
      <c r="G1216" s="16">
        <v>2</v>
      </c>
      <c r="H1216" s="16">
        <v>0.91</v>
      </c>
      <c r="I1216" s="16">
        <v>4</v>
      </c>
      <c r="J1216" s="16">
        <v>57</v>
      </c>
      <c r="K1216" s="16">
        <v>1.76</v>
      </c>
      <c r="L1216" s="16">
        <v>83.7</v>
      </c>
      <c r="M1216" s="16">
        <v>3</v>
      </c>
      <c r="N1216" s="18">
        <f>IF(Risk_Calculation_Engine!U1216="Low",1,IF(Risk_Calculation_Engine!U1216="Medium",2,3))</f>
        <v>1</v>
      </c>
      <c r="O1216" s="18" t="str">
        <f>Risk_Calculation_Engine!U1216</f>
        <v>Low</v>
      </c>
    </row>
    <row r="1217" spans="1:15" ht="15" customHeight="1" x14ac:dyDescent="0.25">
      <c r="A1217" s="16">
        <v>1213</v>
      </c>
      <c r="B1217" s="16">
        <v>41.8</v>
      </c>
      <c r="C1217" s="16">
        <v>4</v>
      </c>
      <c r="D1217" s="16">
        <v>161.6</v>
      </c>
      <c r="E1217" s="17">
        <f t="shared" si="18"/>
        <v>11.21</v>
      </c>
      <c r="F1217" s="16">
        <v>3</v>
      </c>
      <c r="G1217" s="16">
        <v>3</v>
      </c>
      <c r="H1217" s="16">
        <v>1.36</v>
      </c>
      <c r="I1217" s="16">
        <v>7</v>
      </c>
      <c r="J1217" s="16">
        <v>358</v>
      </c>
      <c r="K1217" s="16">
        <v>8.56</v>
      </c>
      <c r="L1217" s="16">
        <v>77.8</v>
      </c>
      <c r="M1217" s="16">
        <v>2</v>
      </c>
      <c r="N1217" s="18">
        <f>IF(Risk_Calculation_Engine!U1217="Low",1,IF(Risk_Calculation_Engine!U1217="Medium",2,3))</f>
        <v>1</v>
      </c>
      <c r="O1217" s="18" t="str">
        <f>Risk_Calculation_Engine!U1217</f>
        <v>Low</v>
      </c>
    </row>
    <row r="1218" spans="1:15" ht="15" customHeight="1" x14ac:dyDescent="0.25">
      <c r="A1218" s="16">
        <v>1214</v>
      </c>
      <c r="B1218" s="16">
        <v>101.8</v>
      </c>
      <c r="C1218" s="16">
        <v>4</v>
      </c>
      <c r="D1218" s="16">
        <v>370.5</v>
      </c>
      <c r="E1218" s="17">
        <f t="shared" si="18"/>
        <v>12.73</v>
      </c>
      <c r="F1218" s="16">
        <v>3</v>
      </c>
      <c r="G1218" s="16">
        <v>8</v>
      </c>
      <c r="H1218" s="16">
        <v>1.51</v>
      </c>
      <c r="I1218" s="16">
        <v>10</v>
      </c>
      <c r="J1218" s="16">
        <v>1088</v>
      </c>
      <c r="K1218" s="16">
        <v>10.69</v>
      </c>
      <c r="L1218" s="16">
        <v>82.7</v>
      </c>
      <c r="M1218" s="16">
        <v>2</v>
      </c>
      <c r="N1218" s="18">
        <f>IF(Risk_Calculation_Engine!U1218="Low",1,IF(Risk_Calculation_Engine!U1218="Medium",2,3))</f>
        <v>3</v>
      </c>
      <c r="O1218" s="18" t="str">
        <f>Risk_Calculation_Engine!U1218</f>
        <v>High</v>
      </c>
    </row>
    <row r="1219" spans="1:15" ht="15" customHeight="1" x14ac:dyDescent="0.25">
      <c r="A1219" s="16">
        <v>1215</v>
      </c>
      <c r="B1219" s="16">
        <v>41</v>
      </c>
      <c r="C1219" s="16">
        <v>5</v>
      </c>
      <c r="D1219" s="16">
        <v>155.4</v>
      </c>
      <c r="E1219" s="17">
        <f t="shared" si="18"/>
        <v>13.46</v>
      </c>
      <c r="F1219" s="16">
        <v>3</v>
      </c>
      <c r="G1219" s="16">
        <v>8</v>
      </c>
      <c r="H1219" s="16">
        <v>1.1200000000000001</v>
      </c>
      <c r="I1219" s="16">
        <v>14</v>
      </c>
      <c r="J1219" s="16">
        <v>878</v>
      </c>
      <c r="K1219" s="16">
        <v>21.41</v>
      </c>
      <c r="L1219" s="16">
        <v>98.3</v>
      </c>
      <c r="M1219" s="16">
        <v>1</v>
      </c>
      <c r="N1219" s="18">
        <f>IF(Risk_Calculation_Engine!U1219="Low",1,IF(Risk_Calculation_Engine!U1219="Medium",2,3))</f>
        <v>3</v>
      </c>
      <c r="O1219" s="18" t="str">
        <f>Risk_Calculation_Engine!U1219</f>
        <v>High</v>
      </c>
    </row>
    <row r="1220" spans="1:15" ht="15" customHeight="1" x14ac:dyDescent="0.25">
      <c r="A1220" s="16">
        <v>1216</v>
      </c>
      <c r="B1220" s="16">
        <v>79.8</v>
      </c>
      <c r="C1220" s="16">
        <v>2</v>
      </c>
      <c r="D1220" s="16">
        <v>249.9</v>
      </c>
      <c r="E1220" s="17">
        <f t="shared" si="18"/>
        <v>9.4600000000000009</v>
      </c>
      <c r="F1220" s="16">
        <v>3</v>
      </c>
      <c r="G1220" s="16">
        <v>9</v>
      </c>
      <c r="H1220" s="16">
        <v>1.82</v>
      </c>
      <c r="I1220" s="16">
        <v>4</v>
      </c>
      <c r="J1220" s="16">
        <v>415</v>
      </c>
      <c r="K1220" s="16">
        <v>5.2</v>
      </c>
      <c r="L1220" s="16">
        <v>61.4</v>
      </c>
      <c r="M1220" s="16">
        <v>3</v>
      </c>
      <c r="N1220" s="18">
        <f>IF(Risk_Calculation_Engine!U1220="Low",1,IF(Risk_Calculation_Engine!U1220="Medium",2,3))</f>
        <v>3</v>
      </c>
      <c r="O1220" s="18" t="str">
        <f>Risk_Calculation_Engine!U1220</f>
        <v>High</v>
      </c>
    </row>
    <row r="1221" spans="1:15" ht="15" customHeight="1" x14ac:dyDescent="0.25">
      <c r="A1221" s="16">
        <v>1217</v>
      </c>
      <c r="B1221" s="16">
        <v>26</v>
      </c>
      <c r="C1221" s="16">
        <v>5</v>
      </c>
      <c r="D1221" s="16">
        <v>130.80000000000001</v>
      </c>
      <c r="E1221" s="17">
        <f t="shared" ref="E1221:E1284" si="19">ROUND(3.67*D1221^0.28/H1221,2)</f>
        <v>6.11</v>
      </c>
      <c r="F1221" s="16">
        <v>2</v>
      </c>
      <c r="G1221" s="16">
        <v>9</v>
      </c>
      <c r="H1221" s="16">
        <v>2.35</v>
      </c>
      <c r="I1221" s="16">
        <v>8</v>
      </c>
      <c r="J1221" s="16">
        <v>481</v>
      </c>
      <c r="K1221" s="16">
        <v>18.5</v>
      </c>
      <c r="L1221" s="16">
        <v>48.9</v>
      </c>
      <c r="M1221" s="16">
        <v>3</v>
      </c>
      <c r="N1221" s="18">
        <f>IF(Risk_Calculation_Engine!U1221="Low",1,IF(Risk_Calculation_Engine!U1221="Medium",2,3))</f>
        <v>3</v>
      </c>
      <c r="O1221" s="18" t="str">
        <f>Risk_Calculation_Engine!U1221</f>
        <v>High</v>
      </c>
    </row>
    <row r="1222" spans="1:15" ht="15" customHeight="1" x14ac:dyDescent="0.25">
      <c r="A1222" s="16">
        <v>1218</v>
      </c>
      <c r="B1222" s="16">
        <v>5.3</v>
      </c>
      <c r="C1222" s="16">
        <v>1</v>
      </c>
      <c r="D1222" s="16">
        <v>12.3</v>
      </c>
      <c r="E1222" s="17">
        <f t="shared" si="19"/>
        <v>3.1</v>
      </c>
      <c r="F1222" s="16">
        <v>2</v>
      </c>
      <c r="G1222" s="16">
        <v>3</v>
      </c>
      <c r="H1222" s="16">
        <v>2.39</v>
      </c>
      <c r="I1222" s="16">
        <v>4</v>
      </c>
      <c r="J1222" s="16">
        <v>7</v>
      </c>
      <c r="K1222" s="16">
        <v>1.32</v>
      </c>
      <c r="L1222" s="16">
        <v>84.9</v>
      </c>
      <c r="M1222" s="16">
        <v>2</v>
      </c>
      <c r="N1222" s="18">
        <f>IF(Risk_Calculation_Engine!U1222="Low",1,IF(Risk_Calculation_Engine!U1222="Medium",2,3))</f>
        <v>1</v>
      </c>
      <c r="O1222" s="18" t="str">
        <f>Risk_Calculation_Engine!U1222</f>
        <v>Low</v>
      </c>
    </row>
    <row r="1223" spans="1:15" ht="15" customHeight="1" x14ac:dyDescent="0.25">
      <c r="A1223" s="16">
        <v>1219</v>
      </c>
      <c r="B1223" s="16">
        <v>109.1</v>
      </c>
      <c r="C1223" s="16">
        <v>3</v>
      </c>
      <c r="D1223" s="16">
        <v>754.3</v>
      </c>
      <c r="E1223" s="17">
        <f t="shared" si="19"/>
        <v>19.23</v>
      </c>
      <c r="F1223" s="16">
        <v>1</v>
      </c>
      <c r="G1223" s="16">
        <v>3</v>
      </c>
      <c r="H1223" s="16">
        <v>1.22</v>
      </c>
      <c r="I1223" s="16">
        <v>8</v>
      </c>
      <c r="J1223" s="16">
        <v>783</v>
      </c>
      <c r="K1223" s="16">
        <v>7.18</v>
      </c>
      <c r="L1223" s="16">
        <v>63.2</v>
      </c>
      <c r="M1223" s="16">
        <v>3</v>
      </c>
      <c r="N1223" s="18">
        <f>IF(Risk_Calculation_Engine!U1223="Low",1,IF(Risk_Calculation_Engine!U1223="Medium",2,3))</f>
        <v>1</v>
      </c>
      <c r="O1223" s="18" t="str">
        <f>Risk_Calculation_Engine!U1223</f>
        <v>Low</v>
      </c>
    </row>
    <row r="1224" spans="1:15" ht="15" customHeight="1" x14ac:dyDescent="0.25">
      <c r="A1224" s="16">
        <v>1220</v>
      </c>
      <c r="B1224" s="16">
        <v>149.80000000000001</v>
      </c>
      <c r="C1224" s="16">
        <v>4</v>
      </c>
      <c r="D1224" s="16">
        <v>805.1</v>
      </c>
      <c r="E1224" s="17">
        <f t="shared" si="19"/>
        <v>11.89</v>
      </c>
      <c r="F1224" s="16">
        <v>2</v>
      </c>
      <c r="G1224" s="16">
        <v>7</v>
      </c>
      <c r="H1224" s="16">
        <v>2.0099999999999998</v>
      </c>
      <c r="I1224" s="16">
        <v>9</v>
      </c>
      <c r="J1224" s="16">
        <v>1466</v>
      </c>
      <c r="K1224" s="16">
        <v>9.7899999999999991</v>
      </c>
      <c r="L1224" s="16">
        <v>49.1</v>
      </c>
      <c r="M1224" s="16">
        <v>2</v>
      </c>
      <c r="N1224" s="18">
        <f>IF(Risk_Calculation_Engine!U1224="Low",1,IF(Risk_Calculation_Engine!U1224="Medium",2,3))</f>
        <v>3</v>
      </c>
      <c r="O1224" s="18" t="str">
        <f>Risk_Calculation_Engine!U1224</f>
        <v>High</v>
      </c>
    </row>
    <row r="1225" spans="1:15" ht="15" customHeight="1" x14ac:dyDescent="0.25">
      <c r="A1225" s="16">
        <v>1221</v>
      </c>
      <c r="B1225" s="16">
        <v>73.3</v>
      </c>
      <c r="C1225" s="16">
        <v>1</v>
      </c>
      <c r="D1225" s="16">
        <v>287.89999999999998</v>
      </c>
      <c r="E1225" s="17">
        <f t="shared" si="19"/>
        <v>9.2799999999999994</v>
      </c>
      <c r="F1225" s="16">
        <v>1</v>
      </c>
      <c r="G1225" s="16">
        <v>3</v>
      </c>
      <c r="H1225" s="16">
        <v>1.93</v>
      </c>
      <c r="I1225" s="16">
        <v>13</v>
      </c>
      <c r="J1225" s="16">
        <v>160</v>
      </c>
      <c r="K1225" s="16">
        <v>2.1800000000000002</v>
      </c>
      <c r="L1225" s="16">
        <v>65.7</v>
      </c>
      <c r="M1225" s="16">
        <v>3</v>
      </c>
      <c r="N1225" s="18">
        <f>IF(Risk_Calculation_Engine!U1225="Low",1,IF(Risk_Calculation_Engine!U1225="Medium",2,3))</f>
        <v>2</v>
      </c>
      <c r="O1225" s="18" t="str">
        <f>Risk_Calculation_Engine!U1225</f>
        <v>Medium</v>
      </c>
    </row>
    <row r="1226" spans="1:15" ht="15" customHeight="1" x14ac:dyDescent="0.25">
      <c r="A1226" s="16">
        <v>1222</v>
      </c>
      <c r="B1226" s="16">
        <v>56.6</v>
      </c>
      <c r="C1226" s="16">
        <v>1</v>
      </c>
      <c r="D1226" s="16">
        <v>243.3</v>
      </c>
      <c r="E1226" s="17">
        <f t="shared" si="19"/>
        <v>6.84</v>
      </c>
      <c r="F1226" s="16">
        <v>1</v>
      </c>
      <c r="G1226" s="16">
        <v>4</v>
      </c>
      <c r="H1226" s="16">
        <v>2.5</v>
      </c>
      <c r="I1226" s="16">
        <v>8</v>
      </c>
      <c r="J1226" s="16">
        <v>107</v>
      </c>
      <c r="K1226" s="16">
        <v>1.89</v>
      </c>
      <c r="L1226" s="16">
        <v>74.7</v>
      </c>
      <c r="M1226" s="16">
        <v>2</v>
      </c>
      <c r="N1226" s="18">
        <f>IF(Risk_Calculation_Engine!U1226="Low",1,IF(Risk_Calculation_Engine!U1226="Medium",2,3))</f>
        <v>2</v>
      </c>
      <c r="O1226" s="18" t="str">
        <f>Risk_Calculation_Engine!U1226</f>
        <v>Medium</v>
      </c>
    </row>
    <row r="1227" spans="1:15" ht="15" customHeight="1" x14ac:dyDescent="0.25">
      <c r="A1227" s="16">
        <v>1223</v>
      </c>
      <c r="B1227" s="16">
        <v>67.2</v>
      </c>
      <c r="C1227" s="16">
        <v>1</v>
      </c>
      <c r="D1227" s="16">
        <v>167.7</v>
      </c>
      <c r="E1227" s="17">
        <f t="shared" si="19"/>
        <v>7.66</v>
      </c>
      <c r="F1227" s="16">
        <v>3</v>
      </c>
      <c r="G1227" s="16">
        <v>7</v>
      </c>
      <c r="H1227" s="16">
        <v>2.0099999999999998</v>
      </c>
      <c r="I1227" s="16">
        <v>15</v>
      </c>
      <c r="J1227" s="16">
        <v>123</v>
      </c>
      <c r="K1227" s="16">
        <v>1.83</v>
      </c>
      <c r="L1227" s="16">
        <v>80.2</v>
      </c>
      <c r="M1227" s="16">
        <v>3</v>
      </c>
      <c r="N1227" s="18">
        <f>IF(Risk_Calculation_Engine!U1227="Low",1,IF(Risk_Calculation_Engine!U1227="Medium",2,3))</f>
        <v>2</v>
      </c>
      <c r="O1227" s="18" t="str">
        <f>Risk_Calculation_Engine!U1227</f>
        <v>Medium</v>
      </c>
    </row>
    <row r="1228" spans="1:15" ht="15" customHeight="1" x14ac:dyDescent="0.25">
      <c r="A1228" s="16">
        <v>1224</v>
      </c>
      <c r="B1228" s="16">
        <v>149.80000000000001</v>
      </c>
      <c r="C1228" s="16">
        <v>3</v>
      </c>
      <c r="D1228" s="16">
        <v>560.20000000000005</v>
      </c>
      <c r="E1228" s="17">
        <f t="shared" si="19"/>
        <v>10.43</v>
      </c>
      <c r="F1228" s="16">
        <v>3</v>
      </c>
      <c r="G1228" s="16">
        <v>7</v>
      </c>
      <c r="H1228" s="16">
        <v>2.0699999999999998</v>
      </c>
      <c r="I1228" s="16">
        <v>4</v>
      </c>
      <c r="J1228" s="16">
        <v>1080</v>
      </c>
      <c r="K1228" s="16">
        <v>7.21</v>
      </c>
      <c r="L1228" s="16">
        <v>32.9</v>
      </c>
      <c r="M1228" s="16">
        <v>3</v>
      </c>
      <c r="N1228" s="18">
        <f>IF(Risk_Calculation_Engine!U1228="Low",1,IF(Risk_Calculation_Engine!U1228="Medium",2,3))</f>
        <v>3</v>
      </c>
      <c r="O1228" s="18" t="str">
        <f>Risk_Calculation_Engine!U1228</f>
        <v>High</v>
      </c>
    </row>
    <row r="1229" spans="1:15" ht="15" customHeight="1" x14ac:dyDescent="0.25">
      <c r="A1229" s="16">
        <v>1225</v>
      </c>
      <c r="B1229" s="16">
        <v>74</v>
      </c>
      <c r="C1229" s="16">
        <v>4</v>
      </c>
      <c r="D1229" s="16">
        <v>339.6</v>
      </c>
      <c r="E1229" s="17">
        <f t="shared" si="19"/>
        <v>7.51</v>
      </c>
      <c r="F1229" s="16">
        <v>2</v>
      </c>
      <c r="G1229" s="16">
        <v>5</v>
      </c>
      <c r="H1229" s="16">
        <v>2.5</v>
      </c>
      <c r="I1229" s="16">
        <v>3</v>
      </c>
      <c r="J1229" s="16">
        <v>758</v>
      </c>
      <c r="K1229" s="16">
        <v>10.24</v>
      </c>
      <c r="L1229" s="16">
        <v>72.8</v>
      </c>
      <c r="M1229" s="16">
        <v>3</v>
      </c>
      <c r="N1229" s="18">
        <f>IF(Risk_Calculation_Engine!U1229="Low",1,IF(Risk_Calculation_Engine!U1229="Medium",2,3))</f>
        <v>3</v>
      </c>
      <c r="O1229" s="18" t="str">
        <f>Risk_Calculation_Engine!U1229</f>
        <v>High</v>
      </c>
    </row>
    <row r="1230" spans="1:15" ht="15" customHeight="1" x14ac:dyDescent="0.25">
      <c r="A1230" s="16">
        <v>1226</v>
      </c>
      <c r="B1230" s="16">
        <v>113.1</v>
      </c>
      <c r="C1230" s="16">
        <v>2</v>
      </c>
      <c r="D1230" s="16">
        <v>626.4</v>
      </c>
      <c r="E1230" s="17">
        <f t="shared" si="19"/>
        <v>22.73</v>
      </c>
      <c r="F1230" s="16">
        <v>1</v>
      </c>
      <c r="G1230" s="16">
        <v>7</v>
      </c>
      <c r="H1230" s="16">
        <v>0.98</v>
      </c>
      <c r="I1230" s="16">
        <v>3</v>
      </c>
      <c r="J1230" s="16">
        <v>619</v>
      </c>
      <c r="K1230" s="16">
        <v>5.47</v>
      </c>
      <c r="L1230" s="16">
        <v>85.9</v>
      </c>
      <c r="M1230" s="16">
        <v>1</v>
      </c>
      <c r="N1230" s="18">
        <f>IF(Risk_Calculation_Engine!U1230="Low",1,IF(Risk_Calculation_Engine!U1230="Medium",2,3))</f>
        <v>1</v>
      </c>
      <c r="O1230" s="18" t="str">
        <f>Risk_Calculation_Engine!U1230</f>
        <v>Low</v>
      </c>
    </row>
    <row r="1231" spans="1:15" ht="15" customHeight="1" x14ac:dyDescent="0.25">
      <c r="A1231" s="16">
        <v>1227</v>
      </c>
      <c r="B1231" s="16">
        <v>109.4</v>
      </c>
      <c r="C1231" s="16">
        <v>2</v>
      </c>
      <c r="D1231" s="16">
        <v>428.6</v>
      </c>
      <c r="E1231" s="17">
        <f t="shared" si="19"/>
        <v>12.07</v>
      </c>
      <c r="F1231" s="16">
        <v>2</v>
      </c>
      <c r="G1231" s="16">
        <v>4</v>
      </c>
      <c r="H1231" s="16">
        <v>1.66</v>
      </c>
      <c r="I1231" s="16">
        <v>7</v>
      </c>
      <c r="J1231" s="16">
        <v>544</v>
      </c>
      <c r="K1231" s="16">
        <v>4.97</v>
      </c>
      <c r="L1231" s="16">
        <v>55.3</v>
      </c>
      <c r="M1231" s="16">
        <v>3</v>
      </c>
      <c r="N1231" s="18">
        <f>IF(Risk_Calculation_Engine!U1231="Low",1,IF(Risk_Calculation_Engine!U1231="Medium",2,3))</f>
        <v>1</v>
      </c>
      <c r="O1231" s="18" t="str">
        <f>Risk_Calculation_Engine!U1231</f>
        <v>Low</v>
      </c>
    </row>
    <row r="1232" spans="1:15" ht="15" customHeight="1" x14ac:dyDescent="0.25">
      <c r="A1232" s="16">
        <v>1228</v>
      </c>
      <c r="B1232" s="16">
        <v>135.4</v>
      </c>
      <c r="C1232" s="16">
        <v>4</v>
      </c>
      <c r="D1232" s="16">
        <v>749.2</v>
      </c>
      <c r="E1232" s="17">
        <f t="shared" si="19"/>
        <v>9.3699999999999992</v>
      </c>
      <c r="F1232" s="16">
        <v>2</v>
      </c>
      <c r="G1232" s="16">
        <v>8</v>
      </c>
      <c r="H1232" s="16">
        <v>2.5</v>
      </c>
      <c r="I1232" s="16">
        <v>5</v>
      </c>
      <c r="J1232" s="16">
        <v>1322</v>
      </c>
      <c r="K1232" s="16">
        <v>9.76</v>
      </c>
      <c r="L1232" s="16">
        <v>70.3</v>
      </c>
      <c r="M1232" s="16">
        <v>2</v>
      </c>
      <c r="N1232" s="18">
        <f>IF(Risk_Calculation_Engine!U1232="Low",1,IF(Risk_Calculation_Engine!U1232="Medium",2,3))</f>
        <v>3</v>
      </c>
      <c r="O1232" s="18" t="str">
        <f>Risk_Calculation_Engine!U1232</f>
        <v>High</v>
      </c>
    </row>
    <row r="1233" spans="1:15" ht="15" customHeight="1" x14ac:dyDescent="0.25">
      <c r="A1233" s="16">
        <v>1229</v>
      </c>
      <c r="B1233" s="16">
        <v>55.6</v>
      </c>
      <c r="C1233" s="16">
        <v>3</v>
      </c>
      <c r="D1233" s="16">
        <v>157.6</v>
      </c>
      <c r="E1233" s="17">
        <f t="shared" si="19"/>
        <v>6.05</v>
      </c>
      <c r="F1233" s="16">
        <v>3</v>
      </c>
      <c r="G1233" s="16">
        <v>4</v>
      </c>
      <c r="H1233" s="16">
        <v>2.5</v>
      </c>
      <c r="I1233" s="16">
        <v>4</v>
      </c>
      <c r="J1233" s="16">
        <v>238</v>
      </c>
      <c r="K1233" s="16">
        <v>4.28</v>
      </c>
      <c r="L1233" s="16">
        <v>75.400000000000006</v>
      </c>
      <c r="M1233" s="16">
        <v>1</v>
      </c>
      <c r="N1233" s="18">
        <f>IF(Risk_Calculation_Engine!U1233="Low",1,IF(Risk_Calculation_Engine!U1233="Medium",2,3))</f>
        <v>2</v>
      </c>
      <c r="O1233" s="18" t="str">
        <f>Risk_Calculation_Engine!U1233</f>
        <v>Medium</v>
      </c>
    </row>
    <row r="1234" spans="1:15" ht="15" customHeight="1" x14ac:dyDescent="0.25">
      <c r="A1234" s="16">
        <v>1230</v>
      </c>
      <c r="B1234" s="16">
        <v>37.700000000000003</v>
      </c>
      <c r="C1234" s="16">
        <v>4</v>
      </c>
      <c r="D1234" s="16">
        <v>130.9</v>
      </c>
      <c r="E1234" s="17">
        <f t="shared" si="19"/>
        <v>10.57</v>
      </c>
      <c r="F1234" s="16">
        <v>3</v>
      </c>
      <c r="G1234" s="16">
        <v>7</v>
      </c>
      <c r="H1234" s="16">
        <v>1.36</v>
      </c>
      <c r="I1234" s="16">
        <v>6</v>
      </c>
      <c r="J1234" s="16">
        <v>195</v>
      </c>
      <c r="K1234" s="16">
        <v>5.17</v>
      </c>
      <c r="L1234" s="16">
        <v>56.7</v>
      </c>
      <c r="M1234" s="16">
        <v>2</v>
      </c>
      <c r="N1234" s="18">
        <f>IF(Risk_Calculation_Engine!U1234="Low",1,IF(Risk_Calculation_Engine!U1234="Medium",2,3))</f>
        <v>2</v>
      </c>
      <c r="O1234" s="18" t="str">
        <f>Risk_Calculation_Engine!U1234</f>
        <v>Medium</v>
      </c>
    </row>
    <row r="1235" spans="1:15" ht="15" customHeight="1" x14ac:dyDescent="0.25">
      <c r="A1235" s="16">
        <v>1231</v>
      </c>
      <c r="B1235" s="16">
        <v>94.2</v>
      </c>
      <c r="C1235" s="16">
        <v>5</v>
      </c>
      <c r="D1235" s="16">
        <v>609.79999999999995</v>
      </c>
      <c r="E1235" s="17">
        <f t="shared" si="19"/>
        <v>8.84</v>
      </c>
      <c r="F1235" s="16">
        <v>2</v>
      </c>
      <c r="G1235" s="16">
        <v>11</v>
      </c>
      <c r="H1235" s="16">
        <v>2.5</v>
      </c>
      <c r="I1235" s="16">
        <v>15</v>
      </c>
      <c r="J1235" s="16">
        <v>1196</v>
      </c>
      <c r="K1235" s="16">
        <v>12.7</v>
      </c>
      <c r="L1235" s="16">
        <v>55.9</v>
      </c>
      <c r="M1235" s="16">
        <v>2</v>
      </c>
      <c r="N1235" s="18">
        <f>IF(Risk_Calculation_Engine!U1235="Low",1,IF(Risk_Calculation_Engine!U1235="Medium",2,3))</f>
        <v>3</v>
      </c>
      <c r="O1235" s="18" t="str">
        <f>Risk_Calculation_Engine!U1235</f>
        <v>High</v>
      </c>
    </row>
    <row r="1236" spans="1:15" ht="15" customHeight="1" x14ac:dyDescent="0.25">
      <c r="A1236" s="16">
        <v>1232</v>
      </c>
      <c r="B1236" s="16">
        <v>128.5</v>
      </c>
      <c r="C1236" s="16">
        <v>4</v>
      </c>
      <c r="D1236" s="16">
        <v>872.7</v>
      </c>
      <c r="E1236" s="17">
        <f t="shared" si="19"/>
        <v>16.97</v>
      </c>
      <c r="F1236" s="16">
        <v>1</v>
      </c>
      <c r="G1236" s="16">
        <v>4</v>
      </c>
      <c r="H1236" s="16">
        <v>1.44</v>
      </c>
      <c r="I1236" s="16">
        <v>13</v>
      </c>
      <c r="J1236" s="16">
        <v>1004</v>
      </c>
      <c r="K1236" s="16">
        <v>7.81</v>
      </c>
      <c r="L1236" s="16">
        <v>62</v>
      </c>
      <c r="M1236" s="16">
        <v>2</v>
      </c>
      <c r="N1236" s="18">
        <f>IF(Risk_Calculation_Engine!U1236="Low",1,IF(Risk_Calculation_Engine!U1236="Medium",2,3))</f>
        <v>3</v>
      </c>
      <c r="O1236" s="18" t="str">
        <f>Risk_Calculation_Engine!U1236</f>
        <v>High</v>
      </c>
    </row>
    <row r="1237" spans="1:15" ht="15" customHeight="1" x14ac:dyDescent="0.25">
      <c r="A1237" s="16">
        <v>1233</v>
      </c>
      <c r="B1237" s="16">
        <v>146.6</v>
      </c>
      <c r="C1237" s="16">
        <v>5</v>
      </c>
      <c r="D1237" s="16">
        <v>1480.8</v>
      </c>
      <c r="E1237" s="17">
        <f t="shared" si="19"/>
        <v>15.32</v>
      </c>
      <c r="F1237" s="16">
        <v>1</v>
      </c>
      <c r="G1237" s="16">
        <v>6</v>
      </c>
      <c r="H1237" s="16">
        <v>1.85</v>
      </c>
      <c r="I1237" s="16">
        <v>3</v>
      </c>
      <c r="J1237" s="16">
        <v>1631</v>
      </c>
      <c r="K1237" s="16">
        <v>11.13</v>
      </c>
      <c r="L1237" s="16">
        <v>57.1</v>
      </c>
      <c r="M1237" s="16">
        <v>2</v>
      </c>
      <c r="N1237" s="18">
        <f>IF(Risk_Calculation_Engine!U1237="Low",1,IF(Risk_Calculation_Engine!U1237="Medium",2,3))</f>
        <v>3</v>
      </c>
      <c r="O1237" s="18" t="str">
        <f>Risk_Calculation_Engine!U1237</f>
        <v>High</v>
      </c>
    </row>
    <row r="1238" spans="1:15" ht="15" customHeight="1" x14ac:dyDescent="0.25">
      <c r="A1238" s="16">
        <v>1234</v>
      </c>
      <c r="B1238" s="16">
        <v>149.80000000000001</v>
      </c>
      <c r="C1238" s="16">
        <v>3</v>
      </c>
      <c r="D1238" s="16">
        <v>1142</v>
      </c>
      <c r="E1238" s="17">
        <f t="shared" si="19"/>
        <v>30.29</v>
      </c>
      <c r="F1238" s="16">
        <v>1</v>
      </c>
      <c r="G1238" s="16">
        <v>7</v>
      </c>
      <c r="H1238" s="16">
        <v>0.87</v>
      </c>
      <c r="I1238" s="16">
        <v>14</v>
      </c>
      <c r="J1238" s="16">
        <v>1051</v>
      </c>
      <c r="K1238" s="16">
        <v>7.02</v>
      </c>
      <c r="L1238" s="16">
        <v>48.5</v>
      </c>
      <c r="M1238" s="16">
        <v>1</v>
      </c>
      <c r="N1238" s="18">
        <f>IF(Risk_Calculation_Engine!U1238="Low",1,IF(Risk_Calculation_Engine!U1238="Medium",2,3))</f>
        <v>2</v>
      </c>
      <c r="O1238" s="18" t="str">
        <f>Risk_Calculation_Engine!U1238</f>
        <v>Medium</v>
      </c>
    </row>
    <row r="1239" spans="1:15" ht="15" customHeight="1" x14ac:dyDescent="0.25">
      <c r="A1239" s="16">
        <v>1235</v>
      </c>
      <c r="B1239" s="16">
        <v>120.1</v>
      </c>
      <c r="C1239" s="16">
        <v>4</v>
      </c>
      <c r="D1239" s="16">
        <v>638.9</v>
      </c>
      <c r="E1239" s="17">
        <f t="shared" si="19"/>
        <v>8.9600000000000009</v>
      </c>
      <c r="F1239" s="16">
        <v>2</v>
      </c>
      <c r="G1239" s="16">
        <v>5</v>
      </c>
      <c r="H1239" s="16">
        <v>2.5</v>
      </c>
      <c r="I1239" s="16">
        <v>5</v>
      </c>
      <c r="J1239" s="16">
        <v>992</v>
      </c>
      <c r="K1239" s="16">
        <v>8.26</v>
      </c>
      <c r="L1239" s="16">
        <v>90.7</v>
      </c>
      <c r="M1239" s="16">
        <v>1</v>
      </c>
      <c r="N1239" s="18">
        <f>IF(Risk_Calculation_Engine!U1239="Low",1,IF(Risk_Calculation_Engine!U1239="Medium",2,3))</f>
        <v>3</v>
      </c>
      <c r="O1239" s="18" t="str">
        <f>Risk_Calculation_Engine!U1239</f>
        <v>High</v>
      </c>
    </row>
    <row r="1240" spans="1:15" ht="15" customHeight="1" x14ac:dyDescent="0.25">
      <c r="A1240" s="16">
        <v>1236</v>
      </c>
      <c r="B1240" s="16">
        <v>35.799999999999997</v>
      </c>
      <c r="C1240" s="16">
        <v>2</v>
      </c>
      <c r="D1240" s="16">
        <v>188.9</v>
      </c>
      <c r="E1240" s="17">
        <f t="shared" si="19"/>
        <v>11.29</v>
      </c>
      <c r="F1240" s="16">
        <v>1</v>
      </c>
      <c r="G1240" s="16">
        <v>4</v>
      </c>
      <c r="H1240" s="16">
        <v>1.41</v>
      </c>
      <c r="I1240" s="16">
        <v>8</v>
      </c>
      <c r="J1240" s="16">
        <v>76</v>
      </c>
      <c r="K1240" s="16">
        <v>2.12</v>
      </c>
      <c r="L1240" s="16">
        <v>84.3</v>
      </c>
      <c r="M1240" s="16">
        <v>3</v>
      </c>
      <c r="N1240" s="18">
        <f>IF(Risk_Calculation_Engine!U1240="Low",1,IF(Risk_Calculation_Engine!U1240="Medium",2,3))</f>
        <v>1</v>
      </c>
      <c r="O1240" s="18" t="str">
        <f>Risk_Calculation_Engine!U1240</f>
        <v>Low</v>
      </c>
    </row>
    <row r="1241" spans="1:15" ht="15" customHeight="1" x14ac:dyDescent="0.25">
      <c r="A1241" s="16">
        <v>1237</v>
      </c>
      <c r="B1241" s="16">
        <v>73.3</v>
      </c>
      <c r="C1241" s="16">
        <v>1</v>
      </c>
      <c r="D1241" s="16">
        <v>344.2</v>
      </c>
      <c r="E1241" s="17">
        <f t="shared" si="19"/>
        <v>20.47</v>
      </c>
      <c r="F1241" s="16">
        <v>1</v>
      </c>
      <c r="G1241" s="16">
        <v>2</v>
      </c>
      <c r="H1241" s="16">
        <v>0.92</v>
      </c>
      <c r="I1241" s="16">
        <v>7</v>
      </c>
      <c r="J1241" s="16">
        <v>137</v>
      </c>
      <c r="K1241" s="16">
        <v>1.87</v>
      </c>
      <c r="L1241" s="16">
        <v>76.900000000000006</v>
      </c>
      <c r="M1241" s="16">
        <v>1</v>
      </c>
      <c r="N1241" s="18">
        <f>IF(Risk_Calculation_Engine!U1241="Low",1,IF(Risk_Calculation_Engine!U1241="Medium",2,3))</f>
        <v>1</v>
      </c>
      <c r="O1241" s="18" t="str">
        <f>Risk_Calculation_Engine!U1241</f>
        <v>Low</v>
      </c>
    </row>
    <row r="1242" spans="1:15" ht="15" customHeight="1" x14ac:dyDescent="0.25">
      <c r="A1242" s="16">
        <v>1238</v>
      </c>
      <c r="B1242" s="16">
        <v>68.099999999999994</v>
      </c>
      <c r="C1242" s="16">
        <v>4</v>
      </c>
      <c r="D1242" s="16">
        <v>440.1</v>
      </c>
      <c r="E1242" s="17">
        <f t="shared" si="19"/>
        <v>13.19</v>
      </c>
      <c r="F1242" s="16">
        <v>1</v>
      </c>
      <c r="G1242" s="16">
        <v>4</v>
      </c>
      <c r="H1242" s="16">
        <v>1.53</v>
      </c>
      <c r="I1242" s="16">
        <v>8</v>
      </c>
      <c r="J1242" s="16">
        <v>875</v>
      </c>
      <c r="K1242" s="16">
        <v>12.85</v>
      </c>
      <c r="L1242" s="16">
        <v>73.099999999999994</v>
      </c>
      <c r="M1242" s="16">
        <v>2</v>
      </c>
      <c r="N1242" s="18">
        <f>IF(Risk_Calculation_Engine!U1242="Low",1,IF(Risk_Calculation_Engine!U1242="Medium",2,3))</f>
        <v>2</v>
      </c>
      <c r="O1242" s="18" t="str">
        <f>Risk_Calculation_Engine!U1242</f>
        <v>Medium</v>
      </c>
    </row>
    <row r="1243" spans="1:15" ht="15" customHeight="1" x14ac:dyDescent="0.25">
      <c r="A1243" s="16">
        <v>1239</v>
      </c>
      <c r="B1243" s="16">
        <v>62.2</v>
      </c>
      <c r="C1243" s="16">
        <v>1</v>
      </c>
      <c r="D1243" s="16">
        <v>266.89999999999998</v>
      </c>
      <c r="E1243" s="17">
        <f t="shared" si="19"/>
        <v>25.06</v>
      </c>
      <c r="F1243" s="16">
        <v>1</v>
      </c>
      <c r="G1243" s="16">
        <v>6</v>
      </c>
      <c r="H1243" s="16">
        <v>0.7</v>
      </c>
      <c r="I1243" s="16">
        <v>12</v>
      </c>
      <c r="J1243" s="16">
        <v>104</v>
      </c>
      <c r="K1243" s="16">
        <v>1.67</v>
      </c>
      <c r="L1243" s="16">
        <v>46.3</v>
      </c>
      <c r="M1243" s="16">
        <v>2</v>
      </c>
      <c r="N1243" s="18">
        <f>IF(Risk_Calculation_Engine!U1243="Low",1,IF(Risk_Calculation_Engine!U1243="Medium",2,3))</f>
        <v>1</v>
      </c>
      <c r="O1243" s="18" t="str">
        <f>Risk_Calculation_Engine!U1243</f>
        <v>Low</v>
      </c>
    </row>
    <row r="1244" spans="1:15" ht="15" customHeight="1" x14ac:dyDescent="0.25">
      <c r="A1244" s="16">
        <v>1240</v>
      </c>
      <c r="B1244" s="16">
        <v>94.4</v>
      </c>
      <c r="C1244" s="16">
        <v>5</v>
      </c>
      <c r="D1244" s="16">
        <v>670.5</v>
      </c>
      <c r="E1244" s="17">
        <f t="shared" si="19"/>
        <v>10.56</v>
      </c>
      <c r="F1244" s="16">
        <v>2</v>
      </c>
      <c r="G1244" s="16">
        <v>6</v>
      </c>
      <c r="H1244" s="16">
        <v>2.15</v>
      </c>
      <c r="I1244" s="16">
        <v>12</v>
      </c>
      <c r="J1244" s="16">
        <v>2383</v>
      </c>
      <c r="K1244" s="16">
        <v>25.24</v>
      </c>
      <c r="L1244" s="16">
        <v>55.9</v>
      </c>
      <c r="M1244" s="16">
        <v>1</v>
      </c>
      <c r="N1244" s="18">
        <f>IF(Risk_Calculation_Engine!U1244="Low",1,IF(Risk_Calculation_Engine!U1244="Medium",2,3))</f>
        <v>3</v>
      </c>
      <c r="O1244" s="18" t="str">
        <f>Risk_Calculation_Engine!U1244</f>
        <v>High</v>
      </c>
    </row>
    <row r="1245" spans="1:15" ht="15" customHeight="1" x14ac:dyDescent="0.25">
      <c r="A1245" s="16">
        <v>1241</v>
      </c>
      <c r="B1245" s="16">
        <v>51.3</v>
      </c>
      <c r="C1245" s="16">
        <v>4</v>
      </c>
      <c r="D1245" s="16">
        <v>318</v>
      </c>
      <c r="E1245" s="17">
        <f t="shared" si="19"/>
        <v>7.37</v>
      </c>
      <c r="F1245" s="16">
        <v>1</v>
      </c>
      <c r="G1245" s="16">
        <v>6</v>
      </c>
      <c r="H1245" s="16">
        <v>2.5</v>
      </c>
      <c r="I1245" s="16">
        <v>10</v>
      </c>
      <c r="J1245" s="16">
        <v>694</v>
      </c>
      <c r="K1245" s="16">
        <v>13.53</v>
      </c>
      <c r="L1245" s="16">
        <v>26.9</v>
      </c>
      <c r="M1245" s="16">
        <v>1</v>
      </c>
      <c r="N1245" s="18">
        <f>IF(Risk_Calculation_Engine!U1245="Low",1,IF(Risk_Calculation_Engine!U1245="Medium",2,3))</f>
        <v>3</v>
      </c>
      <c r="O1245" s="18" t="str">
        <f>Risk_Calculation_Engine!U1245</f>
        <v>High</v>
      </c>
    </row>
    <row r="1246" spans="1:15" ht="15" customHeight="1" x14ac:dyDescent="0.25">
      <c r="A1246" s="16">
        <v>1242</v>
      </c>
      <c r="B1246" s="16">
        <v>51.4</v>
      </c>
      <c r="C1246" s="16">
        <v>5</v>
      </c>
      <c r="D1246" s="16">
        <v>229.7</v>
      </c>
      <c r="E1246" s="17">
        <f t="shared" si="19"/>
        <v>15.72</v>
      </c>
      <c r="F1246" s="16">
        <v>3</v>
      </c>
      <c r="G1246" s="16">
        <v>6</v>
      </c>
      <c r="H1246" s="16">
        <v>1.07</v>
      </c>
      <c r="I1246" s="16">
        <v>11</v>
      </c>
      <c r="J1246" s="16">
        <v>1285</v>
      </c>
      <c r="K1246" s="16">
        <v>25</v>
      </c>
      <c r="L1246" s="16">
        <v>55.2</v>
      </c>
      <c r="M1246" s="16">
        <v>2</v>
      </c>
      <c r="N1246" s="18">
        <f>IF(Risk_Calculation_Engine!U1246="Low",1,IF(Risk_Calculation_Engine!U1246="Medium",2,3))</f>
        <v>2</v>
      </c>
      <c r="O1246" s="18" t="str">
        <f>Risk_Calculation_Engine!U1246</f>
        <v>Medium</v>
      </c>
    </row>
    <row r="1247" spans="1:15" ht="15" customHeight="1" x14ac:dyDescent="0.25">
      <c r="A1247" s="16">
        <v>1243</v>
      </c>
      <c r="B1247" s="16">
        <v>149.80000000000001</v>
      </c>
      <c r="C1247" s="16">
        <v>3</v>
      </c>
      <c r="D1247" s="16">
        <v>1024.2</v>
      </c>
      <c r="E1247" s="17">
        <f t="shared" si="19"/>
        <v>24.34</v>
      </c>
      <c r="F1247" s="16">
        <v>1</v>
      </c>
      <c r="G1247" s="16">
        <v>7</v>
      </c>
      <c r="H1247" s="16">
        <v>1.05</v>
      </c>
      <c r="I1247" s="16">
        <v>12</v>
      </c>
      <c r="J1247" s="16">
        <v>1050</v>
      </c>
      <c r="K1247" s="16">
        <v>7.01</v>
      </c>
      <c r="L1247" s="16">
        <v>51.4</v>
      </c>
      <c r="M1247" s="16">
        <v>3</v>
      </c>
      <c r="N1247" s="18">
        <f>IF(Risk_Calculation_Engine!U1247="Low",1,IF(Risk_Calculation_Engine!U1247="Medium",2,3))</f>
        <v>2</v>
      </c>
      <c r="O1247" s="18" t="str">
        <f>Risk_Calculation_Engine!U1247</f>
        <v>Medium</v>
      </c>
    </row>
    <row r="1248" spans="1:15" ht="15" customHeight="1" x14ac:dyDescent="0.25">
      <c r="A1248" s="16">
        <v>1244</v>
      </c>
      <c r="B1248" s="16">
        <v>58.1</v>
      </c>
      <c r="C1248" s="16">
        <v>3</v>
      </c>
      <c r="D1248" s="16">
        <v>315.89999999999998</v>
      </c>
      <c r="E1248" s="17">
        <f t="shared" si="19"/>
        <v>8.84</v>
      </c>
      <c r="F1248" s="16">
        <v>1</v>
      </c>
      <c r="G1248" s="16">
        <v>7</v>
      </c>
      <c r="H1248" s="16">
        <v>2.08</v>
      </c>
      <c r="I1248" s="16">
        <v>5</v>
      </c>
      <c r="J1248" s="16">
        <v>455</v>
      </c>
      <c r="K1248" s="16">
        <v>7.83</v>
      </c>
      <c r="L1248" s="16">
        <v>79.599999999999994</v>
      </c>
      <c r="M1248" s="16">
        <v>3</v>
      </c>
      <c r="N1248" s="18">
        <f>IF(Risk_Calculation_Engine!U1248="Low",1,IF(Risk_Calculation_Engine!U1248="Medium",2,3))</f>
        <v>3</v>
      </c>
      <c r="O1248" s="18" t="str">
        <f>Risk_Calculation_Engine!U1248</f>
        <v>High</v>
      </c>
    </row>
    <row r="1249" spans="1:15" ht="15" customHeight="1" x14ac:dyDescent="0.25">
      <c r="A1249" s="16">
        <v>1245</v>
      </c>
      <c r="B1249" s="16">
        <v>134.69999999999999</v>
      </c>
      <c r="C1249" s="16">
        <v>4</v>
      </c>
      <c r="D1249" s="16">
        <v>1046.3</v>
      </c>
      <c r="E1249" s="17">
        <f t="shared" si="19"/>
        <v>11.74</v>
      </c>
      <c r="F1249" s="16">
        <v>1</v>
      </c>
      <c r="G1249" s="16">
        <v>2</v>
      </c>
      <c r="H1249" s="16">
        <v>2.19</v>
      </c>
      <c r="I1249" s="16">
        <v>8</v>
      </c>
      <c r="J1249" s="16">
        <v>1197</v>
      </c>
      <c r="K1249" s="16">
        <v>8.89</v>
      </c>
      <c r="L1249" s="16">
        <v>61</v>
      </c>
      <c r="M1249" s="16">
        <v>2</v>
      </c>
      <c r="N1249" s="18">
        <f>IF(Risk_Calculation_Engine!U1249="Low",1,IF(Risk_Calculation_Engine!U1249="Medium",2,3))</f>
        <v>3</v>
      </c>
      <c r="O1249" s="18" t="str">
        <f>Risk_Calculation_Engine!U1249</f>
        <v>High</v>
      </c>
    </row>
    <row r="1250" spans="1:15" ht="15" customHeight="1" x14ac:dyDescent="0.25">
      <c r="A1250" s="16">
        <v>1246</v>
      </c>
      <c r="B1250" s="16">
        <v>140.4</v>
      </c>
      <c r="C1250" s="16">
        <v>3</v>
      </c>
      <c r="D1250" s="16">
        <v>761.5</v>
      </c>
      <c r="E1250" s="17">
        <f t="shared" si="19"/>
        <v>18.97</v>
      </c>
      <c r="F1250" s="16">
        <v>2</v>
      </c>
      <c r="G1250" s="16">
        <v>7</v>
      </c>
      <c r="H1250" s="16">
        <v>1.24</v>
      </c>
      <c r="I1250" s="16">
        <v>4</v>
      </c>
      <c r="J1250" s="16">
        <v>1005</v>
      </c>
      <c r="K1250" s="16">
        <v>7.16</v>
      </c>
      <c r="L1250" s="16">
        <v>80.2</v>
      </c>
      <c r="M1250" s="16">
        <v>1</v>
      </c>
      <c r="N1250" s="18">
        <f>IF(Risk_Calculation_Engine!U1250="Low",1,IF(Risk_Calculation_Engine!U1250="Medium",2,3))</f>
        <v>2</v>
      </c>
      <c r="O1250" s="18" t="str">
        <f>Risk_Calculation_Engine!U1250</f>
        <v>Medium</v>
      </c>
    </row>
    <row r="1251" spans="1:15" ht="15" customHeight="1" x14ac:dyDescent="0.25">
      <c r="A1251" s="16">
        <v>1247</v>
      </c>
      <c r="B1251" s="16">
        <v>74.900000000000006</v>
      </c>
      <c r="C1251" s="16">
        <v>3</v>
      </c>
      <c r="D1251" s="16">
        <v>410.5</v>
      </c>
      <c r="E1251" s="17">
        <f t="shared" si="19"/>
        <v>17.670000000000002</v>
      </c>
      <c r="F1251" s="16">
        <v>1</v>
      </c>
      <c r="G1251" s="16">
        <v>4</v>
      </c>
      <c r="H1251" s="16">
        <v>1.1200000000000001</v>
      </c>
      <c r="I1251" s="16">
        <v>12</v>
      </c>
      <c r="J1251" s="16">
        <v>325</v>
      </c>
      <c r="K1251" s="16">
        <v>4.34</v>
      </c>
      <c r="L1251" s="16">
        <v>52.3</v>
      </c>
      <c r="M1251" s="16">
        <v>2</v>
      </c>
      <c r="N1251" s="18">
        <f>IF(Risk_Calculation_Engine!U1251="Low",1,IF(Risk_Calculation_Engine!U1251="Medium",2,3))</f>
        <v>1</v>
      </c>
      <c r="O1251" s="18" t="str">
        <f>Risk_Calculation_Engine!U1251</f>
        <v>Low</v>
      </c>
    </row>
    <row r="1252" spans="1:15" ht="15" customHeight="1" x14ac:dyDescent="0.25">
      <c r="A1252" s="16">
        <v>1248</v>
      </c>
      <c r="B1252" s="16">
        <v>53.1</v>
      </c>
      <c r="C1252" s="16">
        <v>4</v>
      </c>
      <c r="D1252" s="16">
        <v>246.4</v>
      </c>
      <c r="E1252" s="17">
        <f t="shared" si="19"/>
        <v>7.03</v>
      </c>
      <c r="F1252" s="16">
        <v>2</v>
      </c>
      <c r="G1252" s="16">
        <v>12</v>
      </c>
      <c r="H1252" s="16">
        <v>2.44</v>
      </c>
      <c r="I1252" s="16">
        <v>8</v>
      </c>
      <c r="J1252" s="16">
        <v>374</v>
      </c>
      <c r="K1252" s="16">
        <v>7.04</v>
      </c>
      <c r="L1252" s="16">
        <v>72.2</v>
      </c>
      <c r="M1252" s="16">
        <v>2</v>
      </c>
      <c r="N1252" s="18">
        <f>IF(Risk_Calculation_Engine!U1252="Low",1,IF(Risk_Calculation_Engine!U1252="Medium",2,3))</f>
        <v>3</v>
      </c>
      <c r="O1252" s="18" t="str">
        <f>Risk_Calculation_Engine!U1252</f>
        <v>High</v>
      </c>
    </row>
    <row r="1253" spans="1:15" ht="15" customHeight="1" x14ac:dyDescent="0.25">
      <c r="A1253" s="16">
        <v>1249</v>
      </c>
      <c r="B1253" s="16">
        <v>27.1</v>
      </c>
      <c r="C1253" s="16">
        <v>5</v>
      </c>
      <c r="D1253" s="16">
        <v>188.3</v>
      </c>
      <c r="E1253" s="17">
        <f t="shared" si="19"/>
        <v>17.87</v>
      </c>
      <c r="F1253" s="16">
        <v>1</v>
      </c>
      <c r="G1253" s="16">
        <v>5</v>
      </c>
      <c r="H1253" s="16">
        <v>0.89</v>
      </c>
      <c r="I1253" s="16">
        <v>11</v>
      </c>
      <c r="J1253" s="16">
        <v>704</v>
      </c>
      <c r="K1253" s="16">
        <v>25.98</v>
      </c>
      <c r="L1253" s="16">
        <v>56.1</v>
      </c>
      <c r="M1253" s="16">
        <v>2</v>
      </c>
      <c r="N1253" s="18">
        <f>IF(Risk_Calculation_Engine!U1253="Low",1,IF(Risk_Calculation_Engine!U1253="Medium",2,3))</f>
        <v>2</v>
      </c>
      <c r="O1253" s="18" t="str">
        <f>Risk_Calculation_Engine!U1253</f>
        <v>Medium</v>
      </c>
    </row>
    <row r="1254" spans="1:15" ht="15" customHeight="1" x14ac:dyDescent="0.25">
      <c r="A1254" s="16">
        <v>1250</v>
      </c>
      <c r="B1254" s="16">
        <v>10.5</v>
      </c>
      <c r="C1254" s="16">
        <v>4</v>
      </c>
      <c r="D1254" s="16">
        <v>36.799999999999997</v>
      </c>
      <c r="E1254" s="17">
        <f t="shared" si="19"/>
        <v>7.57</v>
      </c>
      <c r="F1254" s="16">
        <v>3</v>
      </c>
      <c r="G1254" s="16">
        <v>5</v>
      </c>
      <c r="H1254" s="16">
        <v>1.33</v>
      </c>
      <c r="I1254" s="16">
        <v>10</v>
      </c>
      <c r="J1254" s="16">
        <v>110</v>
      </c>
      <c r="K1254" s="16">
        <v>10.48</v>
      </c>
      <c r="L1254" s="16">
        <v>66.599999999999994</v>
      </c>
      <c r="M1254" s="16">
        <v>2</v>
      </c>
      <c r="N1254" s="18">
        <f>IF(Risk_Calculation_Engine!U1254="Low",1,IF(Risk_Calculation_Engine!U1254="Medium",2,3))</f>
        <v>1</v>
      </c>
      <c r="O1254" s="18" t="str">
        <f>Risk_Calculation_Engine!U1254</f>
        <v>Low</v>
      </c>
    </row>
    <row r="1255" spans="1:15" ht="15" customHeight="1" x14ac:dyDescent="0.25">
      <c r="A1255" s="16">
        <v>1251</v>
      </c>
      <c r="B1255" s="16">
        <v>99.6</v>
      </c>
      <c r="C1255" s="16">
        <v>2</v>
      </c>
      <c r="D1255" s="16">
        <v>565.1</v>
      </c>
      <c r="E1255" s="17">
        <f t="shared" si="19"/>
        <v>19.5</v>
      </c>
      <c r="F1255" s="16">
        <v>1</v>
      </c>
      <c r="G1255" s="16">
        <v>3</v>
      </c>
      <c r="H1255" s="16">
        <v>1.1100000000000001</v>
      </c>
      <c r="I1255" s="16">
        <v>6</v>
      </c>
      <c r="J1255" s="16">
        <v>228</v>
      </c>
      <c r="K1255" s="16">
        <v>2.29</v>
      </c>
      <c r="L1255" s="16">
        <v>74.599999999999994</v>
      </c>
      <c r="M1255" s="16">
        <v>2</v>
      </c>
      <c r="N1255" s="18">
        <f>IF(Risk_Calculation_Engine!U1255="Low",1,IF(Risk_Calculation_Engine!U1255="Medium",2,3))</f>
        <v>1</v>
      </c>
      <c r="O1255" s="18" t="str">
        <f>Risk_Calculation_Engine!U1255</f>
        <v>Low</v>
      </c>
    </row>
    <row r="1256" spans="1:15" ht="15" customHeight="1" x14ac:dyDescent="0.25">
      <c r="A1256" s="16">
        <v>1252</v>
      </c>
      <c r="B1256" s="16">
        <v>84.8</v>
      </c>
      <c r="C1256" s="16">
        <v>3</v>
      </c>
      <c r="D1256" s="16">
        <v>389.1</v>
      </c>
      <c r="E1256" s="17">
        <f t="shared" si="19"/>
        <v>9.4600000000000009</v>
      </c>
      <c r="F1256" s="16">
        <v>2</v>
      </c>
      <c r="G1256" s="16">
        <v>5</v>
      </c>
      <c r="H1256" s="16">
        <v>2.06</v>
      </c>
      <c r="I1256" s="16">
        <v>4</v>
      </c>
      <c r="J1256" s="16">
        <v>355</v>
      </c>
      <c r="K1256" s="16">
        <v>4.1900000000000004</v>
      </c>
      <c r="L1256" s="16">
        <v>94.7</v>
      </c>
      <c r="M1256" s="16">
        <v>2</v>
      </c>
      <c r="N1256" s="18">
        <f>IF(Risk_Calculation_Engine!U1256="Low",1,IF(Risk_Calculation_Engine!U1256="Medium",2,3))</f>
        <v>2</v>
      </c>
      <c r="O1256" s="18" t="str">
        <f>Risk_Calculation_Engine!U1256</f>
        <v>Medium</v>
      </c>
    </row>
    <row r="1257" spans="1:15" ht="15" customHeight="1" x14ac:dyDescent="0.25">
      <c r="A1257" s="16">
        <v>1253</v>
      </c>
      <c r="B1257" s="16">
        <v>111</v>
      </c>
      <c r="C1257" s="16">
        <v>4</v>
      </c>
      <c r="D1257" s="16">
        <v>497.5</v>
      </c>
      <c r="E1257" s="17">
        <f t="shared" si="19"/>
        <v>18.32</v>
      </c>
      <c r="F1257" s="16">
        <v>3</v>
      </c>
      <c r="G1257" s="16">
        <v>6</v>
      </c>
      <c r="H1257" s="16">
        <v>1.1399999999999999</v>
      </c>
      <c r="I1257" s="16">
        <v>15</v>
      </c>
      <c r="J1257" s="16">
        <v>1067</v>
      </c>
      <c r="K1257" s="16">
        <v>9.61</v>
      </c>
      <c r="L1257" s="16">
        <v>84.6</v>
      </c>
      <c r="M1257" s="16">
        <v>3</v>
      </c>
      <c r="N1257" s="18">
        <f>IF(Risk_Calculation_Engine!U1257="Low",1,IF(Risk_Calculation_Engine!U1257="Medium",2,3))</f>
        <v>1</v>
      </c>
      <c r="O1257" s="18" t="str">
        <f>Risk_Calculation_Engine!U1257</f>
        <v>Low</v>
      </c>
    </row>
    <row r="1258" spans="1:15" ht="15" customHeight="1" x14ac:dyDescent="0.25">
      <c r="A1258" s="16">
        <v>1254</v>
      </c>
      <c r="B1258" s="16">
        <v>40</v>
      </c>
      <c r="C1258" s="16">
        <v>2</v>
      </c>
      <c r="D1258" s="16">
        <v>231.5</v>
      </c>
      <c r="E1258" s="17">
        <f t="shared" si="19"/>
        <v>6.74</v>
      </c>
      <c r="F1258" s="16">
        <v>1</v>
      </c>
      <c r="G1258" s="16">
        <v>6</v>
      </c>
      <c r="H1258" s="16">
        <v>2.5</v>
      </c>
      <c r="I1258" s="16">
        <v>6</v>
      </c>
      <c r="J1258" s="16">
        <v>215</v>
      </c>
      <c r="K1258" s="16">
        <v>5.38</v>
      </c>
      <c r="L1258" s="16">
        <v>88.6</v>
      </c>
      <c r="M1258" s="16">
        <v>2</v>
      </c>
      <c r="N1258" s="18">
        <f>IF(Risk_Calculation_Engine!U1258="Low",1,IF(Risk_Calculation_Engine!U1258="Medium",2,3))</f>
        <v>2</v>
      </c>
      <c r="O1258" s="18" t="str">
        <f>Risk_Calculation_Engine!U1258</f>
        <v>Medium</v>
      </c>
    </row>
    <row r="1259" spans="1:15" ht="15" customHeight="1" x14ac:dyDescent="0.25">
      <c r="A1259" s="16">
        <v>1255</v>
      </c>
      <c r="B1259" s="16">
        <v>149.80000000000001</v>
      </c>
      <c r="C1259" s="16">
        <v>3</v>
      </c>
      <c r="D1259" s="16">
        <v>903.9</v>
      </c>
      <c r="E1259" s="17">
        <f t="shared" si="19"/>
        <v>18.84</v>
      </c>
      <c r="F1259" s="16">
        <v>1</v>
      </c>
      <c r="G1259" s="16">
        <v>3</v>
      </c>
      <c r="H1259" s="16">
        <v>1.31</v>
      </c>
      <c r="I1259" s="16">
        <v>4</v>
      </c>
      <c r="J1259" s="16">
        <v>1255</v>
      </c>
      <c r="K1259" s="16">
        <v>8.3800000000000008</v>
      </c>
      <c r="L1259" s="16">
        <v>69.099999999999994</v>
      </c>
      <c r="M1259" s="16">
        <v>2</v>
      </c>
      <c r="N1259" s="18">
        <f>IF(Risk_Calculation_Engine!U1259="Low",1,IF(Risk_Calculation_Engine!U1259="Medium",2,3))</f>
        <v>2</v>
      </c>
      <c r="O1259" s="18" t="str">
        <f>Risk_Calculation_Engine!U1259</f>
        <v>Medium</v>
      </c>
    </row>
    <row r="1260" spans="1:15" ht="15" customHeight="1" x14ac:dyDescent="0.25">
      <c r="A1260" s="16">
        <v>1256</v>
      </c>
      <c r="B1260" s="16">
        <v>90.7</v>
      </c>
      <c r="C1260" s="16">
        <v>3</v>
      </c>
      <c r="D1260" s="16">
        <v>342.4</v>
      </c>
      <c r="E1260" s="17">
        <f t="shared" si="19"/>
        <v>9.9</v>
      </c>
      <c r="F1260" s="16">
        <v>3</v>
      </c>
      <c r="G1260" s="16">
        <v>6</v>
      </c>
      <c r="H1260" s="16">
        <v>1.9</v>
      </c>
      <c r="I1260" s="16">
        <v>6</v>
      </c>
      <c r="J1260" s="16">
        <v>334</v>
      </c>
      <c r="K1260" s="16">
        <v>3.68</v>
      </c>
      <c r="L1260" s="16">
        <v>81.2</v>
      </c>
      <c r="M1260" s="16">
        <v>3</v>
      </c>
      <c r="N1260" s="18">
        <f>IF(Risk_Calculation_Engine!U1260="Low",1,IF(Risk_Calculation_Engine!U1260="Medium",2,3))</f>
        <v>2</v>
      </c>
      <c r="O1260" s="18" t="str">
        <f>Risk_Calculation_Engine!U1260</f>
        <v>Medium</v>
      </c>
    </row>
    <row r="1261" spans="1:15" ht="15" customHeight="1" x14ac:dyDescent="0.25">
      <c r="A1261" s="16">
        <v>1257</v>
      </c>
      <c r="B1261" s="16">
        <v>56.3</v>
      </c>
      <c r="C1261" s="16">
        <v>2</v>
      </c>
      <c r="D1261" s="16">
        <v>283.39999999999998</v>
      </c>
      <c r="E1261" s="17">
        <f t="shared" si="19"/>
        <v>15.51</v>
      </c>
      <c r="F1261" s="16">
        <v>1</v>
      </c>
      <c r="G1261" s="16">
        <v>8</v>
      </c>
      <c r="H1261" s="16">
        <v>1.1499999999999999</v>
      </c>
      <c r="I1261" s="16">
        <v>14</v>
      </c>
      <c r="J1261" s="16">
        <v>127</v>
      </c>
      <c r="K1261" s="16">
        <v>2.2599999999999998</v>
      </c>
      <c r="L1261" s="16">
        <v>52.4</v>
      </c>
      <c r="M1261" s="16">
        <v>2</v>
      </c>
      <c r="N1261" s="18">
        <f>IF(Risk_Calculation_Engine!U1261="Low",1,IF(Risk_Calculation_Engine!U1261="Medium",2,3))</f>
        <v>1</v>
      </c>
      <c r="O1261" s="18" t="str">
        <f>Risk_Calculation_Engine!U1261</f>
        <v>Low</v>
      </c>
    </row>
    <row r="1262" spans="1:15" ht="15" customHeight="1" x14ac:dyDescent="0.25">
      <c r="A1262" s="16">
        <v>1258</v>
      </c>
      <c r="B1262" s="16">
        <v>4.8</v>
      </c>
      <c r="C1262" s="16">
        <v>3</v>
      </c>
      <c r="D1262" s="16">
        <v>20.2</v>
      </c>
      <c r="E1262" s="17">
        <f t="shared" si="19"/>
        <v>4.8899999999999997</v>
      </c>
      <c r="F1262" s="16">
        <v>1</v>
      </c>
      <c r="G1262" s="16">
        <v>10</v>
      </c>
      <c r="H1262" s="16">
        <v>1.74</v>
      </c>
      <c r="I1262" s="16">
        <v>6</v>
      </c>
      <c r="J1262" s="16">
        <v>18</v>
      </c>
      <c r="K1262" s="16">
        <v>3.75</v>
      </c>
      <c r="L1262" s="16">
        <v>84.3</v>
      </c>
      <c r="M1262" s="16">
        <v>1</v>
      </c>
      <c r="N1262" s="18">
        <f>IF(Risk_Calculation_Engine!U1262="Low",1,IF(Risk_Calculation_Engine!U1262="Medium",2,3))</f>
        <v>2</v>
      </c>
      <c r="O1262" s="18" t="str">
        <f>Risk_Calculation_Engine!U1262</f>
        <v>Medium</v>
      </c>
    </row>
    <row r="1263" spans="1:15" ht="15" customHeight="1" x14ac:dyDescent="0.25">
      <c r="A1263" s="16">
        <v>1259</v>
      </c>
      <c r="B1263" s="16">
        <v>44.2</v>
      </c>
      <c r="C1263" s="16">
        <v>2</v>
      </c>
      <c r="D1263" s="16">
        <v>153.1</v>
      </c>
      <c r="E1263" s="17">
        <f t="shared" si="19"/>
        <v>12.51</v>
      </c>
      <c r="F1263" s="16">
        <v>2</v>
      </c>
      <c r="G1263" s="16">
        <v>7</v>
      </c>
      <c r="H1263" s="16">
        <v>1.2</v>
      </c>
      <c r="I1263" s="16">
        <v>15</v>
      </c>
      <c r="J1263" s="16">
        <v>207</v>
      </c>
      <c r="K1263" s="16">
        <v>4.68</v>
      </c>
      <c r="L1263" s="16">
        <v>72</v>
      </c>
      <c r="M1263" s="16">
        <v>1</v>
      </c>
      <c r="N1263" s="18">
        <f>IF(Risk_Calculation_Engine!U1263="Low",1,IF(Risk_Calculation_Engine!U1263="Medium",2,3))</f>
        <v>1</v>
      </c>
      <c r="O1263" s="18" t="str">
        <f>Risk_Calculation_Engine!U1263</f>
        <v>Low</v>
      </c>
    </row>
    <row r="1264" spans="1:15" ht="15" customHeight="1" x14ac:dyDescent="0.25">
      <c r="A1264" s="16">
        <v>1260</v>
      </c>
      <c r="B1264" s="16">
        <v>114.9</v>
      </c>
      <c r="C1264" s="16">
        <v>4</v>
      </c>
      <c r="D1264" s="16">
        <v>843</v>
      </c>
      <c r="E1264" s="17">
        <f t="shared" si="19"/>
        <v>23.5</v>
      </c>
      <c r="F1264" s="16">
        <v>1</v>
      </c>
      <c r="G1264" s="16">
        <v>5</v>
      </c>
      <c r="H1264" s="16">
        <v>1.03</v>
      </c>
      <c r="I1264" s="16">
        <v>8</v>
      </c>
      <c r="J1264" s="16">
        <v>1187</v>
      </c>
      <c r="K1264" s="16">
        <v>10.33</v>
      </c>
      <c r="L1264" s="16">
        <v>79.8</v>
      </c>
      <c r="M1264" s="16">
        <v>3</v>
      </c>
      <c r="N1264" s="18">
        <f>IF(Risk_Calculation_Engine!U1264="Low",1,IF(Risk_Calculation_Engine!U1264="Medium",2,3))</f>
        <v>2</v>
      </c>
      <c r="O1264" s="18" t="str">
        <f>Risk_Calculation_Engine!U1264</f>
        <v>Medium</v>
      </c>
    </row>
    <row r="1265" spans="1:15" ht="15" customHeight="1" x14ac:dyDescent="0.25">
      <c r="A1265" s="16">
        <v>1261</v>
      </c>
      <c r="B1265" s="16">
        <v>149.80000000000001</v>
      </c>
      <c r="C1265" s="16">
        <v>2</v>
      </c>
      <c r="D1265" s="16">
        <v>529.6</v>
      </c>
      <c r="E1265" s="17">
        <f t="shared" si="19"/>
        <v>9.6999999999999993</v>
      </c>
      <c r="F1265" s="16">
        <v>3</v>
      </c>
      <c r="G1265" s="16">
        <v>6</v>
      </c>
      <c r="H1265" s="16">
        <v>2.19</v>
      </c>
      <c r="I1265" s="16">
        <v>14</v>
      </c>
      <c r="J1265" s="16">
        <v>742</v>
      </c>
      <c r="K1265" s="16">
        <v>4.95</v>
      </c>
      <c r="L1265" s="16">
        <v>66.7</v>
      </c>
      <c r="M1265" s="16">
        <v>2</v>
      </c>
      <c r="N1265" s="18">
        <f>IF(Risk_Calculation_Engine!U1265="Low",1,IF(Risk_Calculation_Engine!U1265="Medium",2,3))</f>
        <v>2</v>
      </c>
      <c r="O1265" s="18" t="str">
        <f>Risk_Calculation_Engine!U1265</f>
        <v>Medium</v>
      </c>
    </row>
    <row r="1266" spans="1:15" ht="15" customHeight="1" x14ac:dyDescent="0.25">
      <c r="A1266" s="16">
        <v>1262</v>
      </c>
      <c r="B1266" s="16">
        <v>64</v>
      </c>
      <c r="C1266" s="16">
        <v>4</v>
      </c>
      <c r="D1266" s="16">
        <v>331.5</v>
      </c>
      <c r="E1266" s="17">
        <f t="shared" si="19"/>
        <v>16.350000000000001</v>
      </c>
      <c r="F1266" s="16">
        <v>2</v>
      </c>
      <c r="G1266" s="16">
        <v>7</v>
      </c>
      <c r="H1266" s="16">
        <v>1.1399999999999999</v>
      </c>
      <c r="I1266" s="16">
        <v>11</v>
      </c>
      <c r="J1266" s="16">
        <v>700</v>
      </c>
      <c r="K1266" s="16">
        <v>10.94</v>
      </c>
      <c r="L1266" s="16">
        <v>72</v>
      </c>
      <c r="M1266" s="16">
        <v>2</v>
      </c>
      <c r="N1266" s="18">
        <f>IF(Risk_Calculation_Engine!U1266="Low",1,IF(Risk_Calculation_Engine!U1266="Medium",2,3))</f>
        <v>2</v>
      </c>
      <c r="O1266" s="18" t="str">
        <f>Risk_Calculation_Engine!U1266</f>
        <v>Medium</v>
      </c>
    </row>
    <row r="1267" spans="1:15" ht="15" customHeight="1" x14ac:dyDescent="0.25">
      <c r="A1267" s="16">
        <v>1263</v>
      </c>
      <c r="B1267" s="16">
        <v>149.80000000000001</v>
      </c>
      <c r="C1267" s="16">
        <v>2</v>
      </c>
      <c r="D1267" s="16">
        <v>654</v>
      </c>
      <c r="E1267" s="17">
        <f t="shared" si="19"/>
        <v>19.78</v>
      </c>
      <c r="F1267" s="16">
        <v>2</v>
      </c>
      <c r="G1267" s="16">
        <v>2</v>
      </c>
      <c r="H1267" s="16">
        <v>1.1399999999999999</v>
      </c>
      <c r="I1267" s="16">
        <v>3</v>
      </c>
      <c r="J1267" s="16">
        <v>357</v>
      </c>
      <c r="K1267" s="16">
        <v>2.38</v>
      </c>
      <c r="L1267" s="16">
        <v>58.4</v>
      </c>
      <c r="M1267" s="16">
        <v>1</v>
      </c>
      <c r="N1267" s="18">
        <f>IF(Risk_Calculation_Engine!U1267="Low",1,IF(Risk_Calculation_Engine!U1267="Medium",2,3))</f>
        <v>1</v>
      </c>
      <c r="O1267" s="18" t="str">
        <f>Risk_Calculation_Engine!U1267</f>
        <v>Low</v>
      </c>
    </row>
    <row r="1268" spans="1:15" ht="15" customHeight="1" x14ac:dyDescent="0.25">
      <c r="A1268" s="16">
        <v>1264</v>
      </c>
      <c r="B1268" s="16">
        <v>25</v>
      </c>
      <c r="C1268" s="16">
        <v>5</v>
      </c>
      <c r="D1268" s="16">
        <v>159.9</v>
      </c>
      <c r="E1268" s="17">
        <f t="shared" si="19"/>
        <v>9.1</v>
      </c>
      <c r="F1268" s="16">
        <v>1</v>
      </c>
      <c r="G1268" s="16">
        <v>2</v>
      </c>
      <c r="H1268" s="16">
        <v>1.67</v>
      </c>
      <c r="I1268" s="16">
        <v>9</v>
      </c>
      <c r="J1268" s="16">
        <v>341</v>
      </c>
      <c r="K1268" s="16">
        <v>13.64</v>
      </c>
      <c r="L1268" s="16">
        <v>58.5</v>
      </c>
      <c r="M1268" s="16">
        <v>1</v>
      </c>
      <c r="N1268" s="18">
        <f>IF(Risk_Calculation_Engine!U1268="Low",1,IF(Risk_Calculation_Engine!U1268="Medium",2,3))</f>
        <v>2</v>
      </c>
      <c r="O1268" s="18" t="str">
        <f>Risk_Calculation_Engine!U1268</f>
        <v>Medium</v>
      </c>
    </row>
    <row r="1269" spans="1:15" ht="15" customHeight="1" x14ac:dyDescent="0.25">
      <c r="A1269" s="16">
        <v>1265</v>
      </c>
      <c r="B1269" s="16">
        <v>86.8</v>
      </c>
      <c r="C1269" s="16">
        <v>1</v>
      </c>
      <c r="D1269" s="16">
        <v>253</v>
      </c>
      <c r="E1269" s="17">
        <f t="shared" si="19"/>
        <v>9.6</v>
      </c>
      <c r="F1269" s="16">
        <v>2</v>
      </c>
      <c r="G1269" s="16">
        <v>4</v>
      </c>
      <c r="H1269" s="16">
        <v>1.8</v>
      </c>
      <c r="I1269" s="16">
        <v>8</v>
      </c>
      <c r="J1269" s="16">
        <v>144</v>
      </c>
      <c r="K1269" s="16">
        <v>1.66</v>
      </c>
      <c r="L1269" s="16">
        <v>50.9</v>
      </c>
      <c r="M1269" s="16">
        <v>2</v>
      </c>
      <c r="N1269" s="18">
        <f>IF(Risk_Calculation_Engine!U1269="Low",1,IF(Risk_Calculation_Engine!U1269="Medium",2,3))</f>
        <v>2</v>
      </c>
      <c r="O1269" s="18" t="str">
        <f>Risk_Calculation_Engine!U1269</f>
        <v>Medium</v>
      </c>
    </row>
    <row r="1270" spans="1:15" ht="15" customHeight="1" x14ac:dyDescent="0.25">
      <c r="A1270" s="16">
        <v>1266</v>
      </c>
      <c r="B1270" s="16">
        <v>88.7</v>
      </c>
      <c r="C1270" s="16">
        <v>3</v>
      </c>
      <c r="D1270" s="16">
        <v>462.1</v>
      </c>
      <c r="E1270" s="17">
        <f t="shared" si="19"/>
        <v>20.05</v>
      </c>
      <c r="F1270" s="16">
        <v>2</v>
      </c>
      <c r="G1270" s="16">
        <v>5</v>
      </c>
      <c r="H1270" s="16">
        <v>1.02</v>
      </c>
      <c r="I1270" s="16">
        <v>5</v>
      </c>
      <c r="J1270" s="16">
        <v>643</v>
      </c>
      <c r="K1270" s="16">
        <v>7.25</v>
      </c>
      <c r="L1270" s="16">
        <v>70</v>
      </c>
      <c r="M1270" s="16">
        <v>2</v>
      </c>
      <c r="N1270" s="18">
        <f>IF(Risk_Calculation_Engine!U1270="Low",1,IF(Risk_Calculation_Engine!U1270="Medium",2,3))</f>
        <v>1</v>
      </c>
      <c r="O1270" s="18" t="str">
        <f>Risk_Calculation_Engine!U1270</f>
        <v>Low</v>
      </c>
    </row>
    <row r="1271" spans="1:15" ht="15" customHeight="1" x14ac:dyDescent="0.25">
      <c r="A1271" s="16">
        <v>1267</v>
      </c>
      <c r="B1271" s="16">
        <v>100.2</v>
      </c>
      <c r="C1271" s="16">
        <v>3</v>
      </c>
      <c r="D1271" s="16">
        <v>703.9</v>
      </c>
      <c r="E1271" s="17">
        <f t="shared" si="19"/>
        <v>11.56</v>
      </c>
      <c r="F1271" s="16">
        <v>1</v>
      </c>
      <c r="G1271" s="16">
        <v>2</v>
      </c>
      <c r="H1271" s="16">
        <v>1.99</v>
      </c>
      <c r="I1271" s="16">
        <v>10</v>
      </c>
      <c r="J1271" s="16">
        <v>659</v>
      </c>
      <c r="K1271" s="16">
        <v>6.58</v>
      </c>
      <c r="L1271" s="16">
        <v>65.599999999999994</v>
      </c>
      <c r="M1271" s="16">
        <v>2</v>
      </c>
      <c r="N1271" s="18">
        <f>IF(Risk_Calculation_Engine!U1271="Low",1,IF(Risk_Calculation_Engine!U1271="Medium",2,3))</f>
        <v>3</v>
      </c>
      <c r="O1271" s="18" t="str">
        <f>Risk_Calculation_Engine!U1271</f>
        <v>High</v>
      </c>
    </row>
    <row r="1272" spans="1:15" ht="15" customHeight="1" x14ac:dyDescent="0.25">
      <c r="A1272" s="16">
        <v>1268</v>
      </c>
      <c r="B1272" s="16">
        <v>71.400000000000006</v>
      </c>
      <c r="C1272" s="16">
        <v>2</v>
      </c>
      <c r="D1272" s="16">
        <v>208.7</v>
      </c>
      <c r="E1272" s="17">
        <f t="shared" si="19"/>
        <v>13.99</v>
      </c>
      <c r="F1272" s="16">
        <v>3</v>
      </c>
      <c r="G1272" s="16">
        <v>10</v>
      </c>
      <c r="H1272" s="16">
        <v>1.17</v>
      </c>
      <c r="I1272" s="16">
        <v>4</v>
      </c>
      <c r="J1272" s="16">
        <v>413</v>
      </c>
      <c r="K1272" s="16">
        <v>5.78</v>
      </c>
      <c r="L1272" s="16">
        <v>85.9</v>
      </c>
      <c r="M1272" s="16">
        <v>2</v>
      </c>
      <c r="N1272" s="18">
        <f>IF(Risk_Calculation_Engine!U1272="Low",1,IF(Risk_Calculation_Engine!U1272="Medium",2,3))</f>
        <v>1</v>
      </c>
      <c r="O1272" s="18" t="str">
        <f>Risk_Calculation_Engine!U1272</f>
        <v>Low</v>
      </c>
    </row>
    <row r="1273" spans="1:15" ht="15" customHeight="1" x14ac:dyDescent="0.25">
      <c r="A1273" s="16">
        <v>1269</v>
      </c>
      <c r="B1273" s="16">
        <v>83.1</v>
      </c>
      <c r="C1273" s="16">
        <v>3</v>
      </c>
      <c r="D1273" s="16">
        <v>345.9</v>
      </c>
      <c r="E1273" s="17">
        <f t="shared" si="19"/>
        <v>20.07</v>
      </c>
      <c r="F1273" s="16">
        <v>2</v>
      </c>
      <c r="G1273" s="16">
        <v>3</v>
      </c>
      <c r="H1273" s="16">
        <v>0.94</v>
      </c>
      <c r="I1273" s="16">
        <v>12</v>
      </c>
      <c r="J1273" s="16">
        <v>322</v>
      </c>
      <c r="K1273" s="16">
        <v>3.87</v>
      </c>
      <c r="L1273" s="16">
        <v>31.8</v>
      </c>
      <c r="M1273" s="16">
        <v>3</v>
      </c>
      <c r="N1273" s="18">
        <f>IF(Risk_Calculation_Engine!U1273="Low",1,IF(Risk_Calculation_Engine!U1273="Medium",2,3))</f>
        <v>1</v>
      </c>
      <c r="O1273" s="18" t="str">
        <f>Risk_Calculation_Engine!U1273</f>
        <v>Low</v>
      </c>
    </row>
    <row r="1274" spans="1:15" ht="15" customHeight="1" x14ac:dyDescent="0.25">
      <c r="A1274" s="16">
        <v>1270</v>
      </c>
      <c r="B1274" s="16">
        <v>24.4</v>
      </c>
      <c r="C1274" s="16">
        <v>4</v>
      </c>
      <c r="D1274" s="16">
        <v>74.5</v>
      </c>
      <c r="E1274" s="17">
        <f t="shared" si="19"/>
        <v>8.76</v>
      </c>
      <c r="F1274" s="16">
        <v>3</v>
      </c>
      <c r="G1274" s="16">
        <v>7</v>
      </c>
      <c r="H1274" s="16">
        <v>1.4</v>
      </c>
      <c r="I1274" s="16">
        <v>13</v>
      </c>
      <c r="J1274" s="16">
        <v>351</v>
      </c>
      <c r="K1274" s="16">
        <v>14.39</v>
      </c>
      <c r="L1274" s="16">
        <v>90.8</v>
      </c>
      <c r="M1274" s="16">
        <v>2</v>
      </c>
      <c r="N1274" s="18">
        <f>IF(Risk_Calculation_Engine!U1274="Low",1,IF(Risk_Calculation_Engine!U1274="Medium",2,3))</f>
        <v>2</v>
      </c>
      <c r="O1274" s="18" t="str">
        <f>Risk_Calculation_Engine!U1274</f>
        <v>Medium</v>
      </c>
    </row>
    <row r="1275" spans="1:15" ht="15" customHeight="1" x14ac:dyDescent="0.25">
      <c r="A1275" s="16">
        <v>1271</v>
      </c>
      <c r="B1275" s="16">
        <v>149.80000000000001</v>
      </c>
      <c r="C1275" s="16">
        <v>5</v>
      </c>
      <c r="D1275" s="16">
        <v>1522.8</v>
      </c>
      <c r="E1275" s="17">
        <f t="shared" si="19"/>
        <v>20.55</v>
      </c>
      <c r="F1275" s="16">
        <v>1</v>
      </c>
      <c r="G1275" s="16">
        <v>5</v>
      </c>
      <c r="H1275" s="16">
        <v>1.39</v>
      </c>
      <c r="I1275" s="16">
        <v>4</v>
      </c>
      <c r="J1275" s="16">
        <v>1942</v>
      </c>
      <c r="K1275" s="16">
        <v>12.96</v>
      </c>
      <c r="L1275" s="16">
        <v>25.3</v>
      </c>
      <c r="M1275" s="16">
        <v>2</v>
      </c>
      <c r="N1275" s="18">
        <f>IF(Risk_Calculation_Engine!U1275="Low",1,IF(Risk_Calculation_Engine!U1275="Medium",2,3))</f>
        <v>3</v>
      </c>
      <c r="O1275" s="18" t="str">
        <f>Risk_Calculation_Engine!U1275</f>
        <v>High</v>
      </c>
    </row>
    <row r="1276" spans="1:15" ht="15" customHeight="1" x14ac:dyDescent="0.25">
      <c r="A1276" s="16">
        <v>1272</v>
      </c>
      <c r="B1276" s="16">
        <v>125.1</v>
      </c>
      <c r="C1276" s="16">
        <v>3</v>
      </c>
      <c r="D1276" s="16">
        <v>694.8</v>
      </c>
      <c r="E1276" s="17">
        <f t="shared" si="19"/>
        <v>12</v>
      </c>
      <c r="F1276" s="16">
        <v>1</v>
      </c>
      <c r="G1276" s="16">
        <v>5</v>
      </c>
      <c r="H1276" s="16">
        <v>1.91</v>
      </c>
      <c r="I1276" s="16">
        <v>9</v>
      </c>
      <c r="J1276" s="16">
        <v>633</v>
      </c>
      <c r="K1276" s="16">
        <v>5.0599999999999996</v>
      </c>
      <c r="L1276" s="16">
        <v>31.1</v>
      </c>
      <c r="M1276" s="16">
        <v>2</v>
      </c>
      <c r="N1276" s="18">
        <f>IF(Risk_Calculation_Engine!U1276="Low",1,IF(Risk_Calculation_Engine!U1276="Medium",2,3))</f>
        <v>3</v>
      </c>
      <c r="O1276" s="18" t="str">
        <f>Risk_Calculation_Engine!U1276</f>
        <v>High</v>
      </c>
    </row>
    <row r="1277" spans="1:15" ht="15" customHeight="1" x14ac:dyDescent="0.25">
      <c r="A1277" s="16">
        <v>1273</v>
      </c>
      <c r="B1277" s="16">
        <v>80.599999999999994</v>
      </c>
      <c r="C1277" s="16">
        <v>2</v>
      </c>
      <c r="D1277" s="16">
        <v>294.60000000000002</v>
      </c>
      <c r="E1277" s="17">
        <f t="shared" si="19"/>
        <v>7.21</v>
      </c>
      <c r="F1277" s="16">
        <v>2</v>
      </c>
      <c r="G1277" s="16">
        <v>8</v>
      </c>
      <c r="H1277" s="16">
        <v>2.5</v>
      </c>
      <c r="I1277" s="16">
        <v>11</v>
      </c>
      <c r="J1277" s="16">
        <v>172</v>
      </c>
      <c r="K1277" s="16">
        <v>2.13</v>
      </c>
      <c r="L1277" s="16">
        <v>28.1</v>
      </c>
      <c r="M1277" s="16">
        <v>1</v>
      </c>
      <c r="N1277" s="18">
        <f>IF(Risk_Calculation_Engine!U1277="Low",1,IF(Risk_Calculation_Engine!U1277="Medium",2,3))</f>
        <v>3</v>
      </c>
      <c r="O1277" s="18" t="str">
        <f>Risk_Calculation_Engine!U1277</f>
        <v>High</v>
      </c>
    </row>
    <row r="1278" spans="1:15" ht="15" customHeight="1" x14ac:dyDescent="0.25">
      <c r="A1278" s="16">
        <v>1274</v>
      </c>
      <c r="B1278" s="16">
        <v>127.3</v>
      </c>
      <c r="C1278" s="16">
        <v>4</v>
      </c>
      <c r="D1278" s="16">
        <v>561.1</v>
      </c>
      <c r="E1278" s="17">
        <f t="shared" si="19"/>
        <v>13.01</v>
      </c>
      <c r="F1278" s="16">
        <v>3</v>
      </c>
      <c r="G1278" s="16">
        <v>6</v>
      </c>
      <c r="H1278" s="16">
        <v>1.66</v>
      </c>
      <c r="I1278" s="16">
        <v>3</v>
      </c>
      <c r="J1278" s="16">
        <v>1014</v>
      </c>
      <c r="K1278" s="16">
        <v>7.97</v>
      </c>
      <c r="L1278" s="16">
        <v>76.5</v>
      </c>
      <c r="M1278" s="16">
        <v>2</v>
      </c>
      <c r="N1278" s="18">
        <f>IF(Risk_Calculation_Engine!U1278="Low",1,IF(Risk_Calculation_Engine!U1278="Medium",2,3))</f>
        <v>2</v>
      </c>
      <c r="O1278" s="18" t="str">
        <f>Risk_Calculation_Engine!U1278</f>
        <v>Medium</v>
      </c>
    </row>
    <row r="1279" spans="1:15" ht="15" customHeight="1" x14ac:dyDescent="0.25">
      <c r="A1279" s="16">
        <v>1275</v>
      </c>
      <c r="B1279" s="16">
        <v>149.80000000000001</v>
      </c>
      <c r="C1279" s="16">
        <v>4</v>
      </c>
      <c r="D1279" s="16">
        <v>962.1</v>
      </c>
      <c r="E1279" s="17">
        <f t="shared" si="19"/>
        <v>12.37</v>
      </c>
      <c r="F1279" s="16">
        <v>2</v>
      </c>
      <c r="G1279" s="16">
        <v>8</v>
      </c>
      <c r="H1279" s="16">
        <v>2.0299999999999998</v>
      </c>
      <c r="I1279" s="16">
        <v>8</v>
      </c>
      <c r="J1279" s="16">
        <v>1048</v>
      </c>
      <c r="K1279" s="16">
        <v>7</v>
      </c>
      <c r="L1279" s="16">
        <v>14.3</v>
      </c>
      <c r="M1279" s="16">
        <v>1</v>
      </c>
      <c r="N1279" s="18">
        <f>IF(Risk_Calculation_Engine!U1279="Low",1,IF(Risk_Calculation_Engine!U1279="Medium",2,3))</f>
        <v>3</v>
      </c>
      <c r="O1279" s="18" t="str">
        <f>Risk_Calculation_Engine!U1279</f>
        <v>High</v>
      </c>
    </row>
    <row r="1280" spans="1:15" ht="15" customHeight="1" x14ac:dyDescent="0.25">
      <c r="A1280" s="16">
        <v>1276</v>
      </c>
      <c r="B1280" s="16">
        <v>99.1</v>
      </c>
      <c r="C1280" s="16">
        <v>2</v>
      </c>
      <c r="D1280" s="16">
        <v>486.2</v>
      </c>
      <c r="E1280" s="17">
        <f t="shared" si="19"/>
        <v>24.13</v>
      </c>
      <c r="F1280" s="16">
        <v>1</v>
      </c>
      <c r="G1280" s="16">
        <v>7</v>
      </c>
      <c r="H1280" s="16">
        <v>0.86</v>
      </c>
      <c r="I1280" s="16">
        <v>6</v>
      </c>
      <c r="J1280" s="16">
        <v>284</v>
      </c>
      <c r="K1280" s="16">
        <v>2.87</v>
      </c>
      <c r="L1280" s="16">
        <v>56.6</v>
      </c>
      <c r="M1280" s="16">
        <v>3</v>
      </c>
      <c r="N1280" s="18">
        <f>IF(Risk_Calculation_Engine!U1280="Low",1,IF(Risk_Calculation_Engine!U1280="Medium",2,3))</f>
        <v>1</v>
      </c>
      <c r="O1280" s="18" t="str">
        <f>Risk_Calculation_Engine!U1280</f>
        <v>Low</v>
      </c>
    </row>
    <row r="1281" spans="1:15" ht="15" customHeight="1" x14ac:dyDescent="0.25">
      <c r="A1281" s="16">
        <v>1277</v>
      </c>
      <c r="B1281" s="16">
        <v>149.80000000000001</v>
      </c>
      <c r="C1281" s="16">
        <v>4</v>
      </c>
      <c r="D1281" s="16">
        <v>688.3</v>
      </c>
      <c r="E1281" s="17">
        <f t="shared" si="19"/>
        <v>9.15</v>
      </c>
      <c r="F1281" s="16">
        <v>3</v>
      </c>
      <c r="G1281" s="16">
        <v>11</v>
      </c>
      <c r="H1281" s="16">
        <v>2.5</v>
      </c>
      <c r="I1281" s="16">
        <v>3</v>
      </c>
      <c r="J1281" s="16">
        <v>1606</v>
      </c>
      <c r="K1281" s="16">
        <v>10.72</v>
      </c>
      <c r="L1281" s="16">
        <v>75.7</v>
      </c>
      <c r="M1281" s="16">
        <v>2</v>
      </c>
      <c r="N1281" s="18">
        <f>IF(Risk_Calculation_Engine!U1281="Low",1,IF(Risk_Calculation_Engine!U1281="Medium",2,3))</f>
        <v>3</v>
      </c>
      <c r="O1281" s="18" t="str">
        <f>Risk_Calculation_Engine!U1281</f>
        <v>High</v>
      </c>
    </row>
    <row r="1282" spans="1:15" ht="15" customHeight="1" x14ac:dyDescent="0.25">
      <c r="A1282" s="16">
        <v>1278</v>
      </c>
      <c r="B1282" s="16">
        <v>105.4</v>
      </c>
      <c r="C1282" s="16">
        <v>3</v>
      </c>
      <c r="D1282" s="16">
        <v>641.5</v>
      </c>
      <c r="E1282" s="17">
        <f t="shared" si="19"/>
        <v>14.95</v>
      </c>
      <c r="F1282" s="16">
        <v>1</v>
      </c>
      <c r="G1282" s="16">
        <v>4</v>
      </c>
      <c r="H1282" s="16">
        <v>1.5</v>
      </c>
      <c r="I1282" s="16">
        <v>13</v>
      </c>
      <c r="J1282" s="16">
        <v>810</v>
      </c>
      <c r="K1282" s="16">
        <v>7.69</v>
      </c>
      <c r="L1282" s="16">
        <v>84.7</v>
      </c>
      <c r="M1282" s="16">
        <v>2</v>
      </c>
      <c r="N1282" s="18">
        <f>IF(Risk_Calculation_Engine!U1282="Low",1,IF(Risk_Calculation_Engine!U1282="Medium",2,3))</f>
        <v>2</v>
      </c>
      <c r="O1282" s="18" t="str">
        <f>Risk_Calculation_Engine!U1282</f>
        <v>Medium</v>
      </c>
    </row>
    <row r="1283" spans="1:15" ht="15" customHeight="1" x14ac:dyDescent="0.25">
      <c r="A1283" s="16">
        <v>1279</v>
      </c>
      <c r="B1283" s="16">
        <v>28.5</v>
      </c>
      <c r="C1283" s="16">
        <v>4</v>
      </c>
      <c r="D1283" s="16">
        <v>144.4</v>
      </c>
      <c r="E1283" s="17">
        <f t="shared" si="19"/>
        <v>15.38</v>
      </c>
      <c r="F1283" s="16">
        <v>2</v>
      </c>
      <c r="G1283" s="16">
        <v>9</v>
      </c>
      <c r="H1283" s="16">
        <v>0.96</v>
      </c>
      <c r="I1283" s="16">
        <v>8</v>
      </c>
      <c r="J1283" s="16">
        <v>355</v>
      </c>
      <c r="K1283" s="16">
        <v>12.46</v>
      </c>
      <c r="L1283" s="16">
        <v>40.5</v>
      </c>
      <c r="M1283" s="16">
        <v>3</v>
      </c>
      <c r="N1283" s="18">
        <f>IF(Risk_Calculation_Engine!U1283="Low",1,IF(Risk_Calculation_Engine!U1283="Medium",2,3))</f>
        <v>1</v>
      </c>
      <c r="O1283" s="18" t="str">
        <f>Risk_Calculation_Engine!U1283</f>
        <v>Low</v>
      </c>
    </row>
    <row r="1284" spans="1:15" ht="15" customHeight="1" x14ac:dyDescent="0.25">
      <c r="A1284" s="16">
        <v>1280</v>
      </c>
      <c r="B1284" s="16">
        <v>77.400000000000006</v>
      </c>
      <c r="C1284" s="16">
        <v>3</v>
      </c>
      <c r="D1284" s="16">
        <v>309</v>
      </c>
      <c r="E1284" s="17">
        <f t="shared" si="19"/>
        <v>7.31</v>
      </c>
      <c r="F1284" s="16">
        <v>2</v>
      </c>
      <c r="G1284" s="16">
        <v>8</v>
      </c>
      <c r="H1284" s="16">
        <v>2.5</v>
      </c>
      <c r="I1284" s="16">
        <v>12</v>
      </c>
      <c r="J1284" s="16">
        <v>617</v>
      </c>
      <c r="K1284" s="16">
        <v>7.97</v>
      </c>
      <c r="L1284" s="16">
        <v>94.3</v>
      </c>
      <c r="M1284" s="16">
        <v>2</v>
      </c>
      <c r="N1284" s="18">
        <f>IF(Risk_Calculation_Engine!U1284="Low",1,IF(Risk_Calculation_Engine!U1284="Medium",2,3))</f>
        <v>3</v>
      </c>
      <c r="O1284" s="18" t="str">
        <f>Risk_Calculation_Engine!U1284</f>
        <v>High</v>
      </c>
    </row>
    <row r="1285" spans="1:15" ht="15" customHeight="1" x14ac:dyDescent="0.25">
      <c r="A1285" s="16">
        <v>1281</v>
      </c>
      <c r="B1285" s="16">
        <v>130.9</v>
      </c>
      <c r="C1285" s="16">
        <v>3</v>
      </c>
      <c r="D1285" s="16">
        <v>951.3</v>
      </c>
      <c r="E1285" s="17">
        <f t="shared" ref="E1285:E1348" si="20">ROUND(3.67*D1285^0.28/H1285,2)</f>
        <v>16.36</v>
      </c>
      <c r="F1285" s="16">
        <v>1</v>
      </c>
      <c r="G1285" s="16">
        <v>7</v>
      </c>
      <c r="H1285" s="16">
        <v>1.53</v>
      </c>
      <c r="I1285" s="16">
        <v>10</v>
      </c>
      <c r="J1285" s="16">
        <v>967</v>
      </c>
      <c r="K1285" s="16">
        <v>7.39</v>
      </c>
      <c r="L1285" s="16">
        <v>56.8</v>
      </c>
      <c r="M1285" s="16">
        <v>1</v>
      </c>
      <c r="N1285" s="18">
        <f>IF(Risk_Calculation_Engine!U1285="Low",1,IF(Risk_Calculation_Engine!U1285="Medium",2,3))</f>
        <v>3</v>
      </c>
      <c r="O1285" s="18" t="str">
        <f>Risk_Calculation_Engine!U1285</f>
        <v>High</v>
      </c>
    </row>
    <row r="1286" spans="1:15" ht="15" customHeight="1" x14ac:dyDescent="0.25">
      <c r="A1286" s="16">
        <v>1282</v>
      </c>
      <c r="B1286" s="16">
        <v>149.80000000000001</v>
      </c>
      <c r="C1286" s="16">
        <v>2</v>
      </c>
      <c r="D1286" s="16">
        <v>919.1</v>
      </c>
      <c r="E1286" s="17">
        <f t="shared" si="20"/>
        <v>10.33</v>
      </c>
      <c r="F1286" s="16">
        <v>1</v>
      </c>
      <c r="G1286" s="16">
        <v>3</v>
      </c>
      <c r="H1286" s="16">
        <v>2.4</v>
      </c>
      <c r="I1286" s="16">
        <v>14</v>
      </c>
      <c r="J1286" s="16">
        <v>885</v>
      </c>
      <c r="K1286" s="16">
        <v>5.91</v>
      </c>
      <c r="L1286" s="16">
        <v>34.1</v>
      </c>
      <c r="M1286" s="16">
        <v>3</v>
      </c>
      <c r="N1286" s="18">
        <f>IF(Risk_Calculation_Engine!U1286="Low",1,IF(Risk_Calculation_Engine!U1286="Medium",2,3))</f>
        <v>3</v>
      </c>
      <c r="O1286" s="18" t="str">
        <f>Risk_Calculation_Engine!U1286</f>
        <v>High</v>
      </c>
    </row>
    <row r="1287" spans="1:15" ht="15" customHeight="1" x14ac:dyDescent="0.25">
      <c r="A1287" s="16">
        <v>1283</v>
      </c>
      <c r="B1287" s="16">
        <v>72.599999999999994</v>
      </c>
      <c r="C1287" s="16">
        <v>4</v>
      </c>
      <c r="D1287" s="16">
        <v>596.29999999999995</v>
      </c>
      <c r="E1287" s="17">
        <f t="shared" si="20"/>
        <v>8.7899999999999991</v>
      </c>
      <c r="F1287" s="16">
        <v>1</v>
      </c>
      <c r="G1287" s="16">
        <v>3</v>
      </c>
      <c r="H1287" s="16">
        <v>2.5</v>
      </c>
      <c r="I1287" s="16">
        <v>15</v>
      </c>
      <c r="J1287" s="16">
        <v>376</v>
      </c>
      <c r="K1287" s="16">
        <v>5.18</v>
      </c>
      <c r="L1287" s="16">
        <v>72.5</v>
      </c>
      <c r="M1287" s="16">
        <v>2</v>
      </c>
      <c r="N1287" s="18">
        <f>IF(Risk_Calculation_Engine!U1287="Low",1,IF(Risk_Calculation_Engine!U1287="Medium",2,3))</f>
        <v>2</v>
      </c>
      <c r="O1287" s="18" t="str">
        <f>Risk_Calculation_Engine!U1287</f>
        <v>Medium</v>
      </c>
    </row>
    <row r="1288" spans="1:15" ht="15" customHeight="1" x14ac:dyDescent="0.25">
      <c r="A1288" s="16">
        <v>1284</v>
      </c>
      <c r="B1288" s="16">
        <v>26.3</v>
      </c>
      <c r="C1288" s="16">
        <v>2</v>
      </c>
      <c r="D1288" s="16">
        <v>69.8</v>
      </c>
      <c r="E1288" s="17">
        <f t="shared" si="20"/>
        <v>13.54</v>
      </c>
      <c r="F1288" s="16">
        <v>3</v>
      </c>
      <c r="G1288" s="16">
        <v>6</v>
      </c>
      <c r="H1288" s="16">
        <v>0.89</v>
      </c>
      <c r="I1288" s="16">
        <v>10</v>
      </c>
      <c r="J1288" s="16">
        <v>157</v>
      </c>
      <c r="K1288" s="16">
        <v>5.97</v>
      </c>
      <c r="L1288" s="16">
        <v>80.2</v>
      </c>
      <c r="M1288" s="16">
        <v>2</v>
      </c>
      <c r="N1288" s="18">
        <f>IF(Risk_Calculation_Engine!U1288="Low",1,IF(Risk_Calculation_Engine!U1288="Medium",2,3))</f>
        <v>1</v>
      </c>
      <c r="O1288" s="18" t="str">
        <f>Risk_Calculation_Engine!U1288</f>
        <v>Low</v>
      </c>
    </row>
    <row r="1289" spans="1:15" ht="15" customHeight="1" x14ac:dyDescent="0.25">
      <c r="A1289" s="16">
        <v>1285</v>
      </c>
      <c r="B1289" s="16">
        <v>52.1</v>
      </c>
      <c r="C1289" s="16">
        <v>4</v>
      </c>
      <c r="D1289" s="16">
        <v>297.10000000000002</v>
      </c>
      <c r="E1289" s="17">
        <f t="shared" si="20"/>
        <v>15.72</v>
      </c>
      <c r="F1289" s="16">
        <v>2</v>
      </c>
      <c r="G1289" s="16">
        <v>5</v>
      </c>
      <c r="H1289" s="16">
        <v>1.1499999999999999</v>
      </c>
      <c r="I1289" s="16">
        <v>7</v>
      </c>
      <c r="J1289" s="16">
        <v>474</v>
      </c>
      <c r="K1289" s="16">
        <v>9.1</v>
      </c>
      <c r="L1289" s="16">
        <v>57.9</v>
      </c>
      <c r="M1289" s="16">
        <v>1</v>
      </c>
      <c r="N1289" s="18">
        <f>IF(Risk_Calculation_Engine!U1289="Low",1,IF(Risk_Calculation_Engine!U1289="Medium",2,3))</f>
        <v>1</v>
      </c>
      <c r="O1289" s="18" t="str">
        <f>Risk_Calculation_Engine!U1289</f>
        <v>Low</v>
      </c>
    </row>
    <row r="1290" spans="1:15" ht="15" customHeight="1" x14ac:dyDescent="0.25">
      <c r="A1290" s="16">
        <v>1286</v>
      </c>
      <c r="B1290" s="16">
        <v>15.7</v>
      </c>
      <c r="C1290" s="16">
        <v>4</v>
      </c>
      <c r="D1290" s="16">
        <v>72</v>
      </c>
      <c r="E1290" s="17">
        <f t="shared" si="20"/>
        <v>5.52</v>
      </c>
      <c r="F1290" s="16">
        <v>2</v>
      </c>
      <c r="G1290" s="16">
        <v>1</v>
      </c>
      <c r="H1290" s="16">
        <v>2.2000000000000002</v>
      </c>
      <c r="I1290" s="16">
        <v>8</v>
      </c>
      <c r="J1290" s="16">
        <v>154</v>
      </c>
      <c r="K1290" s="16">
        <v>9.81</v>
      </c>
      <c r="L1290" s="16">
        <v>46.9</v>
      </c>
      <c r="M1290" s="16">
        <v>2</v>
      </c>
      <c r="N1290" s="18">
        <f>IF(Risk_Calculation_Engine!U1290="Low",1,IF(Risk_Calculation_Engine!U1290="Medium",2,3))</f>
        <v>2</v>
      </c>
      <c r="O1290" s="18" t="str">
        <f>Risk_Calculation_Engine!U1290</f>
        <v>Medium</v>
      </c>
    </row>
    <row r="1291" spans="1:15" ht="15" customHeight="1" x14ac:dyDescent="0.25">
      <c r="A1291" s="16">
        <v>1287</v>
      </c>
      <c r="B1291" s="16">
        <v>113.7</v>
      </c>
      <c r="C1291" s="16">
        <v>4</v>
      </c>
      <c r="D1291" s="16">
        <v>471.4</v>
      </c>
      <c r="E1291" s="17">
        <f t="shared" si="20"/>
        <v>13.1</v>
      </c>
      <c r="F1291" s="16">
        <v>3</v>
      </c>
      <c r="G1291" s="16">
        <v>8</v>
      </c>
      <c r="H1291" s="16">
        <v>1.57</v>
      </c>
      <c r="I1291" s="16">
        <v>13</v>
      </c>
      <c r="J1291" s="16">
        <v>1225</v>
      </c>
      <c r="K1291" s="16">
        <v>10.77</v>
      </c>
      <c r="L1291" s="16">
        <v>65.2</v>
      </c>
      <c r="M1291" s="16">
        <v>2</v>
      </c>
      <c r="N1291" s="18">
        <f>IF(Risk_Calculation_Engine!U1291="Low",1,IF(Risk_Calculation_Engine!U1291="Medium",2,3))</f>
        <v>3</v>
      </c>
      <c r="O1291" s="18" t="str">
        <f>Risk_Calculation_Engine!U1291</f>
        <v>High</v>
      </c>
    </row>
    <row r="1292" spans="1:15" ht="15" customHeight="1" x14ac:dyDescent="0.25">
      <c r="A1292" s="16">
        <v>1288</v>
      </c>
      <c r="B1292" s="16">
        <v>43.7</v>
      </c>
      <c r="C1292" s="16">
        <v>1</v>
      </c>
      <c r="D1292" s="16">
        <v>120.2</v>
      </c>
      <c r="E1292" s="17">
        <f t="shared" si="20"/>
        <v>19.760000000000002</v>
      </c>
      <c r="F1292" s="16">
        <v>2</v>
      </c>
      <c r="G1292" s="16">
        <v>5</v>
      </c>
      <c r="H1292" s="16">
        <v>0.71</v>
      </c>
      <c r="I1292" s="16">
        <v>8</v>
      </c>
      <c r="J1292" s="16">
        <v>44</v>
      </c>
      <c r="K1292" s="16">
        <v>1.01</v>
      </c>
      <c r="L1292" s="16">
        <v>89.9</v>
      </c>
      <c r="M1292" s="16">
        <v>3</v>
      </c>
      <c r="N1292" s="18">
        <f>IF(Risk_Calculation_Engine!U1292="Low",1,IF(Risk_Calculation_Engine!U1292="Medium",2,3))</f>
        <v>1</v>
      </c>
      <c r="O1292" s="18" t="str">
        <f>Risk_Calculation_Engine!U1292</f>
        <v>Low</v>
      </c>
    </row>
    <row r="1293" spans="1:15" ht="15" customHeight="1" x14ac:dyDescent="0.25">
      <c r="A1293" s="16">
        <v>1289</v>
      </c>
      <c r="B1293" s="16">
        <v>33.1</v>
      </c>
      <c r="C1293" s="16">
        <v>3</v>
      </c>
      <c r="D1293" s="16">
        <v>151.1</v>
      </c>
      <c r="E1293" s="17">
        <f t="shared" si="20"/>
        <v>11.16</v>
      </c>
      <c r="F1293" s="16">
        <v>2</v>
      </c>
      <c r="G1293" s="16">
        <v>8</v>
      </c>
      <c r="H1293" s="16">
        <v>1.34</v>
      </c>
      <c r="I1293" s="16">
        <v>9</v>
      </c>
      <c r="J1293" s="16">
        <v>135</v>
      </c>
      <c r="K1293" s="16">
        <v>4.08</v>
      </c>
      <c r="L1293" s="16">
        <v>67.400000000000006</v>
      </c>
      <c r="M1293" s="16">
        <v>3</v>
      </c>
      <c r="N1293" s="18">
        <f>IF(Risk_Calculation_Engine!U1293="Low",1,IF(Risk_Calculation_Engine!U1293="Medium",2,3))</f>
        <v>1</v>
      </c>
      <c r="O1293" s="18" t="str">
        <f>Risk_Calculation_Engine!U1293</f>
        <v>Low</v>
      </c>
    </row>
    <row r="1294" spans="1:15" ht="15" customHeight="1" x14ac:dyDescent="0.25">
      <c r="A1294" s="16">
        <v>1290</v>
      </c>
      <c r="B1294" s="16">
        <v>122.1</v>
      </c>
      <c r="C1294" s="16">
        <v>3</v>
      </c>
      <c r="D1294" s="16">
        <v>565.1</v>
      </c>
      <c r="E1294" s="17">
        <f t="shared" si="20"/>
        <v>15.13</v>
      </c>
      <c r="F1294" s="16">
        <v>2</v>
      </c>
      <c r="G1294" s="16">
        <v>1</v>
      </c>
      <c r="H1294" s="16">
        <v>1.43</v>
      </c>
      <c r="I1294" s="16">
        <v>5</v>
      </c>
      <c r="J1294" s="16">
        <v>693</v>
      </c>
      <c r="K1294" s="16">
        <v>5.68</v>
      </c>
      <c r="L1294" s="16">
        <v>69.900000000000006</v>
      </c>
      <c r="M1294" s="16">
        <v>2</v>
      </c>
      <c r="N1294" s="18">
        <f>IF(Risk_Calculation_Engine!U1294="Low",1,IF(Risk_Calculation_Engine!U1294="Medium",2,3))</f>
        <v>2</v>
      </c>
      <c r="O1294" s="18" t="str">
        <f>Risk_Calculation_Engine!U1294</f>
        <v>Medium</v>
      </c>
    </row>
    <row r="1295" spans="1:15" ht="15" customHeight="1" x14ac:dyDescent="0.25">
      <c r="A1295" s="16">
        <v>1291</v>
      </c>
      <c r="B1295" s="16">
        <v>149.80000000000001</v>
      </c>
      <c r="C1295" s="16">
        <v>4</v>
      </c>
      <c r="D1295" s="16">
        <v>875.9</v>
      </c>
      <c r="E1295" s="17">
        <f t="shared" si="20"/>
        <v>15.99</v>
      </c>
      <c r="F1295" s="16">
        <v>2</v>
      </c>
      <c r="G1295" s="16">
        <v>6</v>
      </c>
      <c r="H1295" s="16">
        <v>1.53</v>
      </c>
      <c r="I1295" s="16">
        <v>15</v>
      </c>
      <c r="J1295" s="16">
        <v>1902</v>
      </c>
      <c r="K1295" s="16">
        <v>12.7</v>
      </c>
      <c r="L1295" s="16">
        <v>82.3</v>
      </c>
      <c r="M1295" s="16">
        <v>3</v>
      </c>
      <c r="N1295" s="18">
        <f>IF(Risk_Calculation_Engine!U1295="Low",1,IF(Risk_Calculation_Engine!U1295="Medium",2,3))</f>
        <v>3</v>
      </c>
      <c r="O1295" s="18" t="str">
        <f>Risk_Calculation_Engine!U1295</f>
        <v>High</v>
      </c>
    </row>
    <row r="1296" spans="1:15" ht="15" customHeight="1" x14ac:dyDescent="0.25">
      <c r="A1296" s="16">
        <v>1292</v>
      </c>
      <c r="B1296" s="16">
        <v>33</v>
      </c>
      <c r="C1296" s="16">
        <v>5</v>
      </c>
      <c r="D1296" s="16">
        <v>192.8</v>
      </c>
      <c r="E1296" s="17">
        <f t="shared" si="20"/>
        <v>14.05</v>
      </c>
      <c r="F1296" s="16">
        <v>2</v>
      </c>
      <c r="G1296" s="16">
        <v>8</v>
      </c>
      <c r="H1296" s="16">
        <v>1.1399999999999999</v>
      </c>
      <c r="I1296" s="16">
        <v>11</v>
      </c>
      <c r="J1296" s="16">
        <v>814</v>
      </c>
      <c r="K1296" s="16">
        <v>24.67</v>
      </c>
      <c r="L1296" s="16">
        <v>73.900000000000006</v>
      </c>
      <c r="M1296" s="16">
        <v>3</v>
      </c>
      <c r="N1296" s="18">
        <f>IF(Risk_Calculation_Engine!U1296="Low",1,IF(Risk_Calculation_Engine!U1296="Medium",2,3))</f>
        <v>3</v>
      </c>
      <c r="O1296" s="18" t="str">
        <f>Risk_Calculation_Engine!U1296</f>
        <v>High</v>
      </c>
    </row>
    <row r="1297" spans="1:15" ht="15" customHeight="1" x14ac:dyDescent="0.25">
      <c r="A1297" s="16">
        <v>1293</v>
      </c>
      <c r="B1297" s="16">
        <v>73</v>
      </c>
      <c r="C1297" s="16">
        <v>3</v>
      </c>
      <c r="D1297" s="16">
        <v>266.89999999999998</v>
      </c>
      <c r="E1297" s="17">
        <f t="shared" si="20"/>
        <v>7.02</v>
      </c>
      <c r="F1297" s="16">
        <v>3</v>
      </c>
      <c r="G1297" s="16">
        <v>5</v>
      </c>
      <c r="H1297" s="16">
        <v>2.5</v>
      </c>
      <c r="I1297" s="16">
        <v>7</v>
      </c>
      <c r="J1297" s="16">
        <v>284</v>
      </c>
      <c r="K1297" s="16">
        <v>3.89</v>
      </c>
      <c r="L1297" s="16">
        <v>66.099999999999994</v>
      </c>
      <c r="M1297" s="16">
        <v>1</v>
      </c>
      <c r="N1297" s="18">
        <f>IF(Risk_Calculation_Engine!U1297="Low",1,IF(Risk_Calculation_Engine!U1297="Medium",2,3))</f>
        <v>2</v>
      </c>
      <c r="O1297" s="18" t="str">
        <f>Risk_Calculation_Engine!U1297</f>
        <v>Medium</v>
      </c>
    </row>
    <row r="1298" spans="1:15" ht="15" customHeight="1" x14ac:dyDescent="0.25">
      <c r="A1298" s="16">
        <v>1294</v>
      </c>
      <c r="B1298" s="16">
        <v>54</v>
      </c>
      <c r="C1298" s="16">
        <v>5</v>
      </c>
      <c r="D1298" s="16">
        <v>242.5</v>
      </c>
      <c r="E1298" s="17">
        <f t="shared" si="20"/>
        <v>19.86</v>
      </c>
      <c r="F1298" s="16">
        <v>3</v>
      </c>
      <c r="G1298" s="16">
        <v>9</v>
      </c>
      <c r="H1298" s="16">
        <v>0.86</v>
      </c>
      <c r="I1298" s="16">
        <v>10</v>
      </c>
      <c r="J1298" s="16">
        <v>742</v>
      </c>
      <c r="K1298" s="16">
        <v>13.74</v>
      </c>
      <c r="L1298" s="16">
        <v>73.400000000000006</v>
      </c>
      <c r="M1298" s="16">
        <v>2</v>
      </c>
      <c r="N1298" s="18">
        <f>IF(Risk_Calculation_Engine!U1298="Low",1,IF(Risk_Calculation_Engine!U1298="Medium",2,3))</f>
        <v>2</v>
      </c>
      <c r="O1298" s="18" t="str">
        <f>Risk_Calculation_Engine!U1298</f>
        <v>Medium</v>
      </c>
    </row>
    <row r="1299" spans="1:15" ht="15" customHeight="1" x14ac:dyDescent="0.25">
      <c r="A1299" s="16">
        <v>1295</v>
      </c>
      <c r="B1299" s="16">
        <v>149.80000000000001</v>
      </c>
      <c r="C1299" s="16">
        <v>2</v>
      </c>
      <c r="D1299" s="16">
        <v>655.1</v>
      </c>
      <c r="E1299" s="17">
        <f t="shared" si="20"/>
        <v>12.19</v>
      </c>
      <c r="F1299" s="16">
        <v>2</v>
      </c>
      <c r="G1299" s="16">
        <v>4</v>
      </c>
      <c r="H1299" s="16">
        <v>1.85</v>
      </c>
      <c r="I1299" s="16">
        <v>8</v>
      </c>
      <c r="J1299" s="16">
        <v>664</v>
      </c>
      <c r="K1299" s="16">
        <v>4.43</v>
      </c>
      <c r="L1299" s="16">
        <v>62.6</v>
      </c>
      <c r="M1299" s="16">
        <v>1</v>
      </c>
      <c r="N1299" s="18">
        <f>IF(Risk_Calculation_Engine!U1299="Low",1,IF(Risk_Calculation_Engine!U1299="Medium",2,3))</f>
        <v>3</v>
      </c>
      <c r="O1299" s="18" t="str">
        <f>Risk_Calculation_Engine!U1299</f>
        <v>High</v>
      </c>
    </row>
    <row r="1300" spans="1:15" ht="15" customHeight="1" x14ac:dyDescent="0.25">
      <c r="A1300" s="16">
        <v>1296</v>
      </c>
      <c r="B1300" s="16">
        <v>59.5</v>
      </c>
      <c r="C1300" s="16">
        <v>3</v>
      </c>
      <c r="D1300" s="16">
        <v>264.89999999999998</v>
      </c>
      <c r="E1300" s="17">
        <f t="shared" si="20"/>
        <v>14.12</v>
      </c>
      <c r="F1300" s="16">
        <v>2</v>
      </c>
      <c r="G1300" s="16">
        <v>4</v>
      </c>
      <c r="H1300" s="16">
        <v>1.24</v>
      </c>
      <c r="I1300" s="16">
        <v>5</v>
      </c>
      <c r="J1300" s="16">
        <v>307</v>
      </c>
      <c r="K1300" s="16">
        <v>5.16</v>
      </c>
      <c r="L1300" s="16">
        <v>82.7</v>
      </c>
      <c r="M1300" s="16">
        <v>2</v>
      </c>
      <c r="N1300" s="18">
        <f>IF(Risk_Calculation_Engine!U1300="Low",1,IF(Risk_Calculation_Engine!U1300="Medium",2,3))</f>
        <v>1</v>
      </c>
      <c r="O1300" s="18" t="str">
        <f>Risk_Calculation_Engine!U1300</f>
        <v>Low</v>
      </c>
    </row>
    <row r="1301" spans="1:15" ht="15" customHeight="1" x14ac:dyDescent="0.25">
      <c r="A1301" s="16">
        <v>1297</v>
      </c>
      <c r="B1301" s="16">
        <v>23.8</v>
      </c>
      <c r="C1301" s="16">
        <v>1</v>
      </c>
      <c r="D1301" s="16">
        <v>54.3</v>
      </c>
      <c r="E1301" s="17">
        <f t="shared" si="20"/>
        <v>9.2799999999999994</v>
      </c>
      <c r="F1301" s="16">
        <v>3</v>
      </c>
      <c r="G1301" s="16">
        <v>6</v>
      </c>
      <c r="H1301" s="16">
        <v>1.21</v>
      </c>
      <c r="I1301" s="16">
        <v>14</v>
      </c>
      <c r="J1301" s="16">
        <v>38</v>
      </c>
      <c r="K1301" s="16">
        <v>1.6</v>
      </c>
      <c r="L1301" s="16">
        <v>72.599999999999994</v>
      </c>
      <c r="M1301" s="16">
        <v>3</v>
      </c>
      <c r="N1301" s="18">
        <f>IF(Risk_Calculation_Engine!U1301="Low",1,IF(Risk_Calculation_Engine!U1301="Medium",2,3))</f>
        <v>1</v>
      </c>
      <c r="O1301" s="18" t="str">
        <f>Risk_Calculation_Engine!U1301</f>
        <v>Low</v>
      </c>
    </row>
    <row r="1302" spans="1:15" ht="15" customHeight="1" x14ac:dyDescent="0.25">
      <c r="A1302" s="16">
        <v>1298</v>
      </c>
      <c r="B1302" s="16">
        <v>61.9</v>
      </c>
      <c r="C1302" s="16">
        <v>4</v>
      </c>
      <c r="D1302" s="16">
        <v>432.8</v>
      </c>
      <c r="E1302" s="17">
        <f t="shared" si="20"/>
        <v>8.0299999999999994</v>
      </c>
      <c r="F1302" s="16">
        <v>1</v>
      </c>
      <c r="G1302" s="16">
        <v>7</v>
      </c>
      <c r="H1302" s="16">
        <v>2.5</v>
      </c>
      <c r="I1302" s="16">
        <v>14</v>
      </c>
      <c r="J1302" s="16">
        <v>547</v>
      </c>
      <c r="K1302" s="16">
        <v>8.84</v>
      </c>
      <c r="L1302" s="16">
        <v>51.3</v>
      </c>
      <c r="M1302" s="16">
        <v>3</v>
      </c>
      <c r="N1302" s="18">
        <f>IF(Risk_Calculation_Engine!U1302="Low",1,IF(Risk_Calculation_Engine!U1302="Medium",2,3))</f>
        <v>3</v>
      </c>
      <c r="O1302" s="18" t="str">
        <f>Risk_Calculation_Engine!U1302</f>
        <v>High</v>
      </c>
    </row>
    <row r="1303" spans="1:15" ht="15" customHeight="1" x14ac:dyDescent="0.25">
      <c r="A1303" s="16">
        <v>1299</v>
      </c>
      <c r="B1303" s="16">
        <v>145.69999999999999</v>
      </c>
      <c r="C1303" s="16">
        <v>2</v>
      </c>
      <c r="D1303" s="16">
        <v>496.8</v>
      </c>
      <c r="E1303" s="17">
        <f t="shared" si="20"/>
        <v>14.91</v>
      </c>
      <c r="F1303" s="16">
        <v>3</v>
      </c>
      <c r="G1303" s="16">
        <v>7</v>
      </c>
      <c r="H1303" s="16">
        <v>1.4</v>
      </c>
      <c r="I1303" s="16">
        <v>13</v>
      </c>
      <c r="J1303" s="16">
        <v>700</v>
      </c>
      <c r="K1303" s="16">
        <v>4.8</v>
      </c>
      <c r="L1303" s="16">
        <v>67.2</v>
      </c>
      <c r="M1303" s="16">
        <v>3</v>
      </c>
      <c r="N1303" s="18">
        <f>IF(Risk_Calculation_Engine!U1303="Low",1,IF(Risk_Calculation_Engine!U1303="Medium",2,3))</f>
        <v>2</v>
      </c>
      <c r="O1303" s="18" t="str">
        <f>Risk_Calculation_Engine!U1303</f>
        <v>Medium</v>
      </c>
    </row>
    <row r="1304" spans="1:15" ht="15" customHeight="1" x14ac:dyDescent="0.25">
      <c r="A1304" s="16">
        <v>1300</v>
      </c>
      <c r="B1304" s="16">
        <v>51.3</v>
      </c>
      <c r="C1304" s="16">
        <v>3</v>
      </c>
      <c r="D1304" s="16">
        <v>334.5</v>
      </c>
      <c r="E1304" s="17">
        <f t="shared" si="20"/>
        <v>10.050000000000001</v>
      </c>
      <c r="F1304" s="16">
        <v>1</v>
      </c>
      <c r="G1304" s="16">
        <v>4</v>
      </c>
      <c r="H1304" s="16">
        <v>1.86</v>
      </c>
      <c r="I1304" s="16">
        <v>7</v>
      </c>
      <c r="J1304" s="16">
        <v>215</v>
      </c>
      <c r="K1304" s="16">
        <v>4.1900000000000004</v>
      </c>
      <c r="L1304" s="16">
        <v>87</v>
      </c>
      <c r="M1304" s="16">
        <v>2</v>
      </c>
      <c r="N1304" s="18">
        <f>IF(Risk_Calculation_Engine!U1304="Low",1,IF(Risk_Calculation_Engine!U1304="Medium",2,3))</f>
        <v>2</v>
      </c>
      <c r="O1304" s="18" t="str">
        <f>Risk_Calculation_Engine!U1304</f>
        <v>Medium</v>
      </c>
    </row>
    <row r="1305" spans="1:15" ht="15" customHeight="1" x14ac:dyDescent="0.25">
      <c r="A1305" s="16">
        <v>1301</v>
      </c>
      <c r="B1305" s="16">
        <v>36.4</v>
      </c>
      <c r="C1305" s="16">
        <v>4</v>
      </c>
      <c r="D1305" s="16">
        <v>180.3</v>
      </c>
      <c r="E1305" s="17">
        <f t="shared" si="20"/>
        <v>6.92</v>
      </c>
      <c r="F1305" s="16">
        <v>2</v>
      </c>
      <c r="G1305" s="16">
        <v>15</v>
      </c>
      <c r="H1305" s="16">
        <v>2.27</v>
      </c>
      <c r="I1305" s="16">
        <v>6</v>
      </c>
      <c r="J1305" s="16">
        <v>205</v>
      </c>
      <c r="K1305" s="16">
        <v>5.63</v>
      </c>
      <c r="L1305" s="16">
        <v>52.4</v>
      </c>
      <c r="M1305" s="16">
        <v>1</v>
      </c>
      <c r="N1305" s="18">
        <f>IF(Risk_Calculation_Engine!U1305="Low",1,IF(Risk_Calculation_Engine!U1305="Medium",2,3))</f>
        <v>3</v>
      </c>
      <c r="O1305" s="18" t="str">
        <f>Risk_Calculation_Engine!U1305</f>
        <v>High</v>
      </c>
    </row>
    <row r="1306" spans="1:15" ht="15" customHeight="1" x14ac:dyDescent="0.25">
      <c r="A1306" s="16">
        <v>1302</v>
      </c>
      <c r="B1306" s="16">
        <v>57.2</v>
      </c>
      <c r="C1306" s="16">
        <v>3</v>
      </c>
      <c r="D1306" s="16">
        <v>168.5</v>
      </c>
      <c r="E1306" s="17">
        <f t="shared" si="20"/>
        <v>9.64</v>
      </c>
      <c r="F1306" s="16">
        <v>3</v>
      </c>
      <c r="G1306" s="16">
        <v>6</v>
      </c>
      <c r="H1306" s="16">
        <v>1.6</v>
      </c>
      <c r="I1306" s="16">
        <v>3</v>
      </c>
      <c r="J1306" s="16">
        <v>173</v>
      </c>
      <c r="K1306" s="16">
        <v>3.02</v>
      </c>
      <c r="L1306" s="16">
        <v>89.6</v>
      </c>
      <c r="M1306" s="16">
        <v>1</v>
      </c>
      <c r="N1306" s="18">
        <f>IF(Risk_Calculation_Engine!U1306="Low",1,IF(Risk_Calculation_Engine!U1306="Medium",2,3))</f>
        <v>1</v>
      </c>
      <c r="O1306" s="18" t="str">
        <f>Risk_Calculation_Engine!U1306</f>
        <v>Low</v>
      </c>
    </row>
    <row r="1307" spans="1:15" ht="15" customHeight="1" x14ac:dyDescent="0.25">
      <c r="A1307" s="16">
        <v>1303</v>
      </c>
      <c r="B1307" s="16">
        <v>24.6</v>
      </c>
      <c r="C1307" s="16">
        <v>1</v>
      </c>
      <c r="D1307" s="16">
        <v>70</v>
      </c>
      <c r="E1307" s="17">
        <f t="shared" si="20"/>
        <v>4.82</v>
      </c>
      <c r="F1307" s="16">
        <v>2</v>
      </c>
      <c r="G1307" s="16">
        <v>7</v>
      </c>
      <c r="H1307" s="16">
        <v>2.5</v>
      </c>
      <c r="I1307" s="16">
        <v>12</v>
      </c>
      <c r="J1307" s="16">
        <v>51</v>
      </c>
      <c r="K1307" s="16">
        <v>2.0699999999999998</v>
      </c>
      <c r="L1307" s="16">
        <v>67.900000000000006</v>
      </c>
      <c r="M1307" s="16">
        <v>1</v>
      </c>
      <c r="N1307" s="18">
        <f>IF(Risk_Calculation_Engine!U1307="Low",1,IF(Risk_Calculation_Engine!U1307="Medium",2,3))</f>
        <v>2</v>
      </c>
      <c r="O1307" s="18" t="str">
        <f>Risk_Calculation_Engine!U1307</f>
        <v>Medium</v>
      </c>
    </row>
    <row r="1308" spans="1:15" ht="15" customHeight="1" x14ac:dyDescent="0.25">
      <c r="A1308" s="16">
        <v>1304</v>
      </c>
      <c r="B1308" s="16">
        <v>54</v>
      </c>
      <c r="C1308" s="16">
        <v>1</v>
      </c>
      <c r="D1308" s="16">
        <v>260.39999999999998</v>
      </c>
      <c r="E1308" s="17">
        <f t="shared" si="20"/>
        <v>18.73</v>
      </c>
      <c r="F1308" s="16">
        <v>1</v>
      </c>
      <c r="G1308" s="16">
        <v>13</v>
      </c>
      <c r="H1308" s="16">
        <v>0.93</v>
      </c>
      <c r="I1308" s="16">
        <v>7</v>
      </c>
      <c r="J1308" s="16">
        <v>81</v>
      </c>
      <c r="K1308" s="16">
        <v>1.5</v>
      </c>
      <c r="L1308" s="16">
        <v>74.400000000000006</v>
      </c>
      <c r="M1308" s="16">
        <v>2</v>
      </c>
      <c r="N1308" s="18">
        <f>IF(Risk_Calculation_Engine!U1308="Low",1,IF(Risk_Calculation_Engine!U1308="Medium",2,3))</f>
        <v>1</v>
      </c>
      <c r="O1308" s="18" t="str">
        <f>Risk_Calculation_Engine!U1308</f>
        <v>Low</v>
      </c>
    </row>
    <row r="1309" spans="1:15" ht="15" customHeight="1" x14ac:dyDescent="0.25">
      <c r="A1309" s="16">
        <v>1305</v>
      </c>
      <c r="B1309" s="16">
        <v>39</v>
      </c>
      <c r="C1309" s="16">
        <v>3</v>
      </c>
      <c r="D1309" s="16">
        <v>139.19999999999999</v>
      </c>
      <c r="E1309" s="17">
        <f t="shared" si="20"/>
        <v>7.65</v>
      </c>
      <c r="F1309" s="16">
        <v>3</v>
      </c>
      <c r="G1309" s="16">
        <v>7</v>
      </c>
      <c r="H1309" s="16">
        <v>1.91</v>
      </c>
      <c r="I1309" s="16">
        <v>14</v>
      </c>
      <c r="J1309" s="16">
        <v>248</v>
      </c>
      <c r="K1309" s="16">
        <v>6.36</v>
      </c>
      <c r="L1309" s="16">
        <v>74.3</v>
      </c>
      <c r="M1309" s="16">
        <v>2</v>
      </c>
      <c r="N1309" s="18">
        <f>IF(Risk_Calculation_Engine!U1309="Low",1,IF(Risk_Calculation_Engine!U1309="Medium",2,3))</f>
        <v>2</v>
      </c>
      <c r="O1309" s="18" t="str">
        <f>Risk_Calculation_Engine!U1309</f>
        <v>Medium</v>
      </c>
    </row>
    <row r="1310" spans="1:15" ht="15" customHeight="1" x14ac:dyDescent="0.25">
      <c r="A1310" s="16">
        <v>1306</v>
      </c>
      <c r="B1310" s="16">
        <v>149.80000000000001</v>
      </c>
      <c r="C1310" s="16">
        <v>3</v>
      </c>
      <c r="D1310" s="16">
        <v>676</v>
      </c>
      <c r="E1310" s="17">
        <f t="shared" si="20"/>
        <v>9.1</v>
      </c>
      <c r="F1310" s="16">
        <v>2</v>
      </c>
      <c r="G1310" s="16">
        <v>4</v>
      </c>
      <c r="H1310" s="16">
        <v>2.5</v>
      </c>
      <c r="I1310" s="16">
        <v>14</v>
      </c>
      <c r="J1310" s="16">
        <v>1241</v>
      </c>
      <c r="K1310" s="16">
        <v>8.2799999999999994</v>
      </c>
      <c r="L1310" s="16">
        <v>85.9</v>
      </c>
      <c r="M1310" s="16">
        <v>2</v>
      </c>
      <c r="N1310" s="18">
        <f>IF(Risk_Calculation_Engine!U1310="Low",1,IF(Risk_Calculation_Engine!U1310="Medium",2,3))</f>
        <v>3</v>
      </c>
      <c r="O1310" s="18" t="str">
        <f>Risk_Calculation_Engine!U1310</f>
        <v>High</v>
      </c>
    </row>
    <row r="1311" spans="1:15" ht="15" customHeight="1" x14ac:dyDescent="0.25">
      <c r="A1311" s="16">
        <v>1307</v>
      </c>
      <c r="B1311" s="16">
        <v>6.7</v>
      </c>
      <c r="C1311" s="16">
        <v>2</v>
      </c>
      <c r="D1311" s="16">
        <v>23.5</v>
      </c>
      <c r="E1311" s="17">
        <f t="shared" si="20"/>
        <v>4.83</v>
      </c>
      <c r="F1311" s="16">
        <v>2</v>
      </c>
      <c r="G1311" s="16">
        <v>3</v>
      </c>
      <c r="H1311" s="16">
        <v>1.84</v>
      </c>
      <c r="I1311" s="16">
        <v>4</v>
      </c>
      <c r="J1311" s="16">
        <v>21</v>
      </c>
      <c r="K1311" s="16">
        <v>3.13</v>
      </c>
      <c r="L1311" s="16">
        <v>75.2</v>
      </c>
      <c r="M1311" s="16">
        <v>1</v>
      </c>
      <c r="N1311" s="18">
        <f>IF(Risk_Calculation_Engine!U1311="Low",1,IF(Risk_Calculation_Engine!U1311="Medium",2,3))</f>
        <v>1</v>
      </c>
      <c r="O1311" s="18" t="str">
        <f>Risk_Calculation_Engine!U1311</f>
        <v>Low</v>
      </c>
    </row>
    <row r="1312" spans="1:15" ht="15" customHeight="1" x14ac:dyDescent="0.25">
      <c r="A1312" s="16">
        <v>1308</v>
      </c>
      <c r="B1312" s="16">
        <v>28.4</v>
      </c>
      <c r="C1312" s="16">
        <v>4</v>
      </c>
      <c r="D1312" s="16">
        <v>127.4</v>
      </c>
      <c r="E1312" s="17">
        <f t="shared" si="20"/>
        <v>17.600000000000001</v>
      </c>
      <c r="F1312" s="16">
        <v>2</v>
      </c>
      <c r="G1312" s="16">
        <v>6</v>
      </c>
      <c r="H1312" s="16">
        <v>0.81</v>
      </c>
      <c r="I1312" s="16">
        <v>14</v>
      </c>
      <c r="J1312" s="16">
        <v>194</v>
      </c>
      <c r="K1312" s="16">
        <v>6.83</v>
      </c>
      <c r="L1312" s="16">
        <v>80.900000000000006</v>
      </c>
      <c r="M1312" s="16">
        <v>1</v>
      </c>
      <c r="N1312" s="18">
        <f>IF(Risk_Calculation_Engine!U1312="Low",1,IF(Risk_Calculation_Engine!U1312="Medium",2,3))</f>
        <v>1</v>
      </c>
      <c r="O1312" s="18" t="str">
        <f>Risk_Calculation_Engine!U1312</f>
        <v>Low</v>
      </c>
    </row>
    <row r="1313" spans="1:15" ht="15" customHeight="1" x14ac:dyDescent="0.25">
      <c r="A1313" s="16">
        <v>1309</v>
      </c>
      <c r="B1313" s="16">
        <v>36.299999999999997</v>
      </c>
      <c r="C1313" s="16">
        <v>2</v>
      </c>
      <c r="D1313" s="16">
        <v>149.69999999999999</v>
      </c>
      <c r="E1313" s="17">
        <f t="shared" si="20"/>
        <v>7.69</v>
      </c>
      <c r="F1313" s="16">
        <v>2</v>
      </c>
      <c r="G1313" s="16">
        <v>1</v>
      </c>
      <c r="H1313" s="16">
        <v>1.94</v>
      </c>
      <c r="I1313" s="16">
        <v>4</v>
      </c>
      <c r="J1313" s="16">
        <v>73</v>
      </c>
      <c r="K1313" s="16">
        <v>2.0099999999999998</v>
      </c>
      <c r="L1313" s="16">
        <v>61.3</v>
      </c>
      <c r="M1313" s="16">
        <v>1</v>
      </c>
      <c r="N1313" s="18">
        <f>IF(Risk_Calculation_Engine!U1313="Low",1,IF(Risk_Calculation_Engine!U1313="Medium",2,3))</f>
        <v>1</v>
      </c>
      <c r="O1313" s="18" t="str">
        <f>Risk_Calculation_Engine!U1313</f>
        <v>Low</v>
      </c>
    </row>
    <row r="1314" spans="1:15" ht="15" customHeight="1" x14ac:dyDescent="0.25">
      <c r="A1314" s="16">
        <v>1310</v>
      </c>
      <c r="B1314" s="16">
        <v>24.8</v>
      </c>
      <c r="C1314" s="16">
        <v>4</v>
      </c>
      <c r="D1314" s="16">
        <v>133</v>
      </c>
      <c r="E1314" s="17">
        <f t="shared" si="20"/>
        <v>5.77</v>
      </c>
      <c r="F1314" s="16">
        <v>2</v>
      </c>
      <c r="G1314" s="16">
        <v>5</v>
      </c>
      <c r="H1314" s="16">
        <v>2.5</v>
      </c>
      <c r="I1314" s="16">
        <v>9</v>
      </c>
      <c r="J1314" s="16">
        <v>367</v>
      </c>
      <c r="K1314" s="16">
        <v>14.8</v>
      </c>
      <c r="L1314" s="16">
        <v>66.8</v>
      </c>
      <c r="M1314" s="16">
        <v>3</v>
      </c>
      <c r="N1314" s="18">
        <f>IF(Risk_Calculation_Engine!U1314="Low",1,IF(Risk_Calculation_Engine!U1314="Medium",2,3))</f>
        <v>2</v>
      </c>
      <c r="O1314" s="18" t="str">
        <f>Risk_Calculation_Engine!U1314</f>
        <v>Medium</v>
      </c>
    </row>
    <row r="1315" spans="1:15" ht="15" customHeight="1" x14ac:dyDescent="0.25">
      <c r="A1315" s="16">
        <v>1311</v>
      </c>
      <c r="B1315" s="16">
        <v>87.4</v>
      </c>
      <c r="C1315" s="16">
        <v>3</v>
      </c>
      <c r="D1315" s="16">
        <v>550.70000000000005</v>
      </c>
      <c r="E1315" s="17">
        <f t="shared" si="20"/>
        <v>15.91</v>
      </c>
      <c r="F1315" s="16">
        <v>1</v>
      </c>
      <c r="G1315" s="16">
        <v>7</v>
      </c>
      <c r="H1315" s="16">
        <v>1.35</v>
      </c>
      <c r="I1315" s="16">
        <v>9</v>
      </c>
      <c r="J1315" s="16">
        <v>533</v>
      </c>
      <c r="K1315" s="16">
        <v>6.1</v>
      </c>
      <c r="L1315" s="16">
        <v>57.8</v>
      </c>
      <c r="M1315" s="16">
        <v>2</v>
      </c>
      <c r="N1315" s="18">
        <f>IF(Risk_Calculation_Engine!U1315="Low",1,IF(Risk_Calculation_Engine!U1315="Medium",2,3))</f>
        <v>2</v>
      </c>
      <c r="O1315" s="18" t="str">
        <f>Risk_Calculation_Engine!U1315</f>
        <v>Medium</v>
      </c>
    </row>
    <row r="1316" spans="1:15" ht="15" customHeight="1" x14ac:dyDescent="0.25">
      <c r="A1316" s="16">
        <v>1312</v>
      </c>
      <c r="B1316" s="16">
        <v>32.4</v>
      </c>
      <c r="C1316" s="16">
        <v>2</v>
      </c>
      <c r="D1316" s="16">
        <v>133.19999999999999</v>
      </c>
      <c r="E1316" s="17">
        <f t="shared" si="20"/>
        <v>10.78</v>
      </c>
      <c r="F1316" s="16">
        <v>2</v>
      </c>
      <c r="G1316" s="16">
        <v>5</v>
      </c>
      <c r="H1316" s="16">
        <v>1.34</v>
      </c>
      <c r="I1316" s="16">
        <v>15</v>
      </c>
      <c r="J1316" s="16">
        <v>169</v>
      </c>
      <c r="K1316" s="16">
        <v>5.22</v>
      </c>
      <c r="L1316" s="16">
        <v>78.3</v>
      </c>
      <c r="M1316" s="16">
        <v>1</v>
      </c>
      <c r="N1316" s="18">
        <f>IF(Risk_Calculation_Engine!U1316="Low",1,IF(Risk_Calculation_Engine!U1316="Medium",2,3))</f>
        <v>1</v>
      </c>
      <c r="O1316" s="18" t="str">
        <f>Risk_Calculation_Engine!U1316</f>
        <v>Low</v>
      </c>
    </row>
    <row r="1317" spans="1:15" ht="15" customHeight="1" x14ac:dyDescent="0.25">
      <c r="A1317" s="16">
        <v>1313</v>
      </c>
      <c r="B1317" s="16">
        <v>13.8</v>
      </c>
      <c r="C1317" s="16">
        <v>2</v>
      </c>
      <c r="D1317" s="16">
        <v>34.799999999999997</v>
      </c>
      <c r="E1317" s="17">
        <f t="shared" si="20"/>
        <v>4.59</v>
      </c>
      <c r="F1317" s="16">
        <v>3</v>
      </c>
      <c r="G1317" s="16">
        <v>7</v>
      </c>
      <c r="H1317" s="16">
        <v>2.16</v>
      </c>
      <c r="I1317" s="16">
        <v>11</v>
      </c>
      <c r="J1317" s="16">
        <v>75</v>
      </c>
      <c r="K1317" s="16">
        <v>5.43</v>
      </c>
      <c r="L1317" s="16">
        <v>85.1</v>
      </c>
      <c r="M1317" s="16">
        <v>2</v>
      </c>
      <c r="N1317" s="18">
        <f>IF(Risk_Calculation_Engine!U1317="Low",1,IF(Risk_Calculation_Engine!U1317="Medium",2,3))</f>
        <v>2</v>
      </c>
      <c r="O1317" s="18" t="str">
        <f>Risk_Calculation_Engine!U1317</f>
        <v>Medium</v>
      </c>
    </row>
    <row r="1318" spans="1:15" ht="15" customHeight="1" x14ac:dyDescent="0.25">
      <c r="A1318" s="16">
        <v>1314</v>
      </c>
      <c r="B1318" s="16">
        <v>67.8</v>
      </c>
      <c r="C1318" s="16">
        <v>3</v>
      </c>
      <c r="D1318" s="16">
        <v>400.7</v>
      </c>
      <c r="E1318" s="17">
        <f t="shared" si="20"/>
        <v>9.93</v>
      </c>
      <c r="F1318" s="16">
        <v>1</v>
      </c>
      <c r="G1318" s="16">
        <v>6</v>
      </c>
      <c r="H1318" s="16">
        <v>1.98</v>
      </c>
      <c r="I1318" s="16">
        <v>14</v>
      </c>
      <c r="J1318" s="16">
        <v>608</v>
      </c>
      <c r="K1318" s="16">
        <v>8.9700000000000006</v>
      </c>
      <c r="L1318" s="16">
        <v>56.9</v>
      </c>
      <c r="M1318" s="16">
        <v>1</v>
      </c>
      <c r="N1318" s="18">
        <f>IF(Risk_Calculation_Engine!U1318="Low",1,IF(Risk_Calculation_Engine!U1318="Medium",2,3))</f>
        <v>2</v>
      </c>
      <c r="O1318" s="18" t="str">
        <f>Risk_Calculation_Engine!U1318</f>
        <v>Medium</v>
      </c>
    </row>
    <row r="1319" spans="1:15" ht="15" customHeight="1" x14ac:dyDescent="0.25">
      <c r="A1319" s="16">
        <v>1315</v>
      </c>
      <c r="B1319" s="16">
        <v>48.8</v>
      </c>
      <c r="C1319" s="16">
        <v>1</v>
      </c>
      <c r="D1319" s="16">
        <v>168.9</v>
      </c>
      <c r="E1319" s="17">
        <f t="shared" si="20"/>
        <v>9.4700000000000006</v>
      </c>
      <c r="F1319" s="16">
        <v>2</v>
      </c>
      <c r="G1319" s="16">
        <v>7</v>
      </c>
      <c r="H1319" s="16">
        <v>1.63</v>
      </c>
      <c r="I1319" s="16">
        <v>10</v>
      </c>
      <c r="J1319" s="16">
        <v>133</v>
      </c>
      <c r="K1319" s="16">
        <v>2.73</v>
      </c>
      <c r="L1319" s="16">
        <v>34.799999999999997</v>
      </c>
      <c r="M1319" s="16">
        <v>2</v>
      </c>
      <c r="N1319" s="18">
        <f>IF(Risk_Calculation_Engine!U1319="Low",1,IF(Risk_Calculation_Engine!U1319="Medium",2,3))</f>
        <v>1</v>
      </c>
      <c r="O1319" s="18" t="str">
        <f>Risk_Calculation_Engine!U1319</f>
        <v>Low</v>
      </c>
    </row>
    <row r="1320" spans="1:15" ht="15" customHeight="1" x14ac:dyDescent="0.25">
      <c r="A1320" s="16">
        <v>1316</v>
      </c>
      <c r="B1320" s="16">
        <v>33.9</v>
      </c>
      <c r="C1320" s="16">
        <v>3</v>
      </c>
      <c r="D1320" s="16">
        <v>125.1</v>
      </c>
      <c r="E1320" s="17">
        <f t="shared" si="20"/>
        <v>12.13</v>
      </c>
      <c r="F1320" s="16">
        <v>2</v>
      </c>
      <c r="G1320" s="16">
        <v>7</v>
      </c>
      <c r="H1320" s="16">
        <v>1.17</v>
      </c>
      <c r="I1320" s="16">
        <v>13</v>
      </c>
      <c r="J1320" s="16">
        <v>162</v>
      </c>
      <c r="K1320" s="16">
        <v>4.78</v>
      </c>
      <c r="L1320" s="16">
        <v>71.7</v>
      </c>
      <c r="M1320" s="16">
        <v>3</v>
      </c>
      <c r="N1320" s="18">
        <f>IF(Risk_Calculation_Engine!U1320="Low",1,IF(Risk_Calculation_Engine!U1320="Medium",2,3))</f>
        <v>1</v>
      </c>
      <c r="O1320" s="18" t="str">
        <f>Risk_Calculation_Engine!U1320</f>
        <v>Low</v>
      </c>
    </row>
    <row r="1321" spans="1:15" ht="15" customHeight="1" x14ac:dyDescent="0.25">
      <c r="A1321" s="16">
        <v>1317</v>
      </c>
      <c r="B1321" s="16">
        <v>149.80000000000001</v>
      </c>
      <c r="C1321" s="16">
        <v>5</v>
      </c>
      <c r="D1321" s="16">
        <v>666.6</v>
      </c>
      <c r="E1321" s="17">
        <f t="shared" si="20"/>
        <v>17.57</v>
      </c>
      <c r="F1321" s="16">
        <v>3</v>
      </c>
      <c r="G1321" s="16">
        <v>7</v>
      </c>
      <c r="H1321" s="16">
        <v>1.29</v>
      </c>
      <c r="I1321" s="16">
        <v>14</v>
      </c>
      <c r="J1321" s="16">
        <v>2870</v>
      </c>
      <c r="K1321" s="16">
        <v>19.16</v>
      </c>
      <c r="L1321" s="16">
        <v>86.2</v>
      </c>
      <c r="M1321" s="16">
        <v>2</v>
      </c>
      <c r="N1321" s="18">
        <f>IF(Risk_Calculation_Engine!U1321="Low",1,IF(Risk_Calculation_Engine!U1321="Medium",2,3))</f>
        <v>3</v>
      </c>
      <c r="O1321" s="18" t="str">
        <f>Risk_Calculation_Engine!U1321</f>
        <v>High</v>
      </c>
    </row>
    <row r="1322" spans="1:15" ht="15" customHeight="1" x14ac:dyDescent="0.25">
      <c r="A1322" s="16">
        <v>1318</v>
      </c>
      <c r="B1322" s="16">
        <v>89.7</v>
      </c>
      <c r="C1322" s="16">
        <v>4</v>
      </c>
      <c r="D1322" s="16">
        <v>442.1</v>
      </c>
      <c r="E1322" s="17">
        <f t="shared" si="20"/>
        <v>19.239999999999998</v>
      </c>
      <c r="F1322" s="16">
        <v>2</v>
      </c>
      <c r="G1322" s="16">
        <v>3</v>
      </c>
      <c r="H1322" s="16">
        <v>1.05</v>
      </c>
      <c r="I1322" s="16">
        <v>14</v>
      </c>
      <c r="J1322" s="16">
        <v>1312</v>
      </c>
      <c r="K1322" s="16">
        <v>14.63</v>
      </c>
      <c r="L1322" s="16">
        <v>94.1</v>
      </c>
      <c r="M1322" s="16">
        <v>1</v>
      </c>
      <c r="N1322" s="18">
        <f>IF(Risk_Calculation_Engine!U1322="Low",1,IF(Risk_Calculation_Engine!U1322="Medium",2,3))</f>
        <v>1</v>
      </c>
      <c r="O1322" s="18" t="str">
        <f>Risk_Calculation_Engine!U1322</f>
        <v>Low</v>
      </c>
    </row>
    <row r="1323" spans="1:15" ht="15" customHeight="1" x14ac:dyDescent="0.25">
      <c r="A1323" s="16">
        <v>1319</v>
      </c>
      <c r="B1323" s="16">
        <v>82.1</v>
      </c>
      <c r="C1323" s="16">
        <v>3</v>
      </c>
      <c r="D1323" s="16">
        <v>290.8</v>
      </c>
      <c r="E1323" s="17">
        <f t="shared" si="20"/>
        <v>22.74</v>
      </c>
      <c r="F1323" s="16">
        <v>3</v>
      </c>
      <c r="G1323" s="16">
        <v>5</v>
      </c>
      <c r="H1323" s="16">
        <v>0.79</v>
      </c>
      <c r="I1323" s="16">
        <v>8</v>
      </c>
      <c r="J1323" s="16">
        <v>558</v>
      </c>
      <c r="K1323" s="16">
        <v>6.8</v>
      </c>
      <c r="L1323" s="16">
        <v>60</v>
      </c>
      <c r="M1323" s="16">
        <v>1</v>
      </c>
      <c r="N1323" s="18">
        <f>IF(Risk_Calculation_Engine!U1323="Low",1,IF(Risk_Calculation_Engine!U1323="Medium",2,3))</f>
        <v>1</v>
      </c>
      <c r="O1323" s="18" t="str">
        <f>Risk_Calculation_Engine!U1323</f>
        <v>Low</v>
      </c>
    </row>
    <row r="1324" spans="1:15" ht="15" customHeight="1" x14ac:dyDescent="0.25">
      <c r="A1324" s="16">
        <v>1320</v>
      </c>
      <c r="B1324" s="16">
        <v>91.3</v>
      </c>
      <c r="C1324" s="16">
        <v>4</v>
      </c>
      <c r="D1324" s="16">
        <v>717.3</v>
      </c>
      <c r="E1324" s="17">
        <f t="shared" si="20"/>
        <v>9.25</v>
      </c>
      <c r="F1324" s="16">
        <v>1</v>
      </c>
      <c r="G1324" s="16">
        <v>7</v>
      </c>
      <c r="H1324" s="16">
        <v>2.5</v>
      </c>
      <c r="I1324" s="16">
        <v>7</v>
      </c>
      <c r="J1324" s="16">
        <v>1159</v>
      </c>
      <c r="K1324" s="16">
        <v>12.69</v>
      </c>
      <c r="L1324" s="16">
        <v>82.1</v>
      </c>
      <c r="M1324" s="16">
        <v>1</v>
      </c>
      <c r="N1324" s="18">
        <f>IF(Risk_Calculation_Engine!U1324="Low",1,IF(Risk_Calculation_Engine!U1324="Medium",2,3))</f>
        <v>3</v>
      </c>
      <c r="O1324" s="18" t="str">
        <f>Risk_Calculation_Engine!U1324</f>
        <v>High</v>
      </c>
    </row>
    <row r="1325" spans="1:15" ht="15" customHeight="1" x14ac:dyDescent="0.25">
      <c r="A1325" s="16">
        <v>1321</v>
      </c>
      <c r="B1325" s="16">
        <v>87.7</v>
      </c>
      <c r="C1325" s="16">
        <v>4</v>
      </c>
      <c r="D1325" s="16">
        <v>519.6</v>
      </c>
      <c r="E1325" s="17">
        <f t="shared" si="20"/>
        <v>9.52</v>
      </c>
      <c r="F1325" s="16">
        <v>2</v>
      </c>
      <c r="G1325" s="16">
        <v>6</v>
      </c>
      <c r="H1325" s="16">
        <v>2.2200000000000002</v>
      </c>
      <c r="I1325" s="16">
        <v>15</v>
      </c>
      <c r="J1325" s="16">
        <v>1234</v>
      </c>
      <c r="K1325" s="16">
        <v>14.07</v>
      </c>
      <c r="L1325" s="16">
        <v>65</v>
      </c>
      <c r="M1325" s="16">
        <v>3</v>
      </c>
      <c r="N1325" s="18">
        <f>IF(Risk_Calculation_Engine!U1325="Low",1,IF(Risk_Calculation_Engine!U1325="Medium",2,3))</f>
        <v>3</v>
      </c>
      <c r="O1325" s="18" t="str">
        <f>Risk_Calculation_Engine!U1325</f>
        <v>High</v>
      </c>
    </row>
    <row r="1326" spans="1:15" ht="15" customHeight="1" x14ac:dyDescent="0.25">
      <c r="A1326" s="16">
        <v>1322</v>
      </c>
      <c r="B1326" s="16">
        <v>51</v>
      </c>
      <c r="C1326" s="16">
        <v>4</v>
      </c>
      <c r="D1326" s="16">
        <v>217.8</v>
      </c>
      <c r="E1326" s="17">
        <f t="shared" si="20"/>
        <v>7.82</v>
      </c>
      <c r="F1326" s="16">
        <v>3</v>
      </c>
      <c r="G1326" s="16">
        <v>7</v>
      </c>
      <c r="H1326" s="16">
        <v>2.12</v>
      </c>
      <c r="I1326" s="16">
        <v>12</v>
      </c>
      <c r="J1326" s="16">
        <v>568</v>
      </c>
      <c r="K1326" s="16">
        <v>11.14</v>
      </c>
      <c r="L1326" s="16">
        <v>70.8</v>
      </c>
      <c r="M1326" s="16">
        <v>2</v>
      </c>
      <c r="N1326" s="18">
        <f>IF(Risk_Calculation_Engine!U1326="Low",1,IF(Risk_Calculation_Engine!U1326="Medium",2,3))</f>
        <v>3</v>
      </c>
      <c r="O1326" s="18" t="str">
        <f>Risk_Calculation_Engine!U1326</f>
        <v>High</v>
      </c>
    </row>
    <row r="1327" spans="1:15" ht="15" customHeight="1" x14ac:dyDescent="0.25">
      <c r="A1327" s="16">
        <v>1323</v>
      </c>
      <c r="B1327" s="16">
        <v>32.700000000000003</v>
      </c>
      <c r="C1327" s="16">
        <v>3</v>
      </c>
      <c r="D1327" s="16">
        <v>113.4</v>
      </c>
      <c r="E1327" s="17">
        <f t="shared" si="20"/>
        <v>6.57</v>
      </c>
      <c r="F1327" s="16">
        <v>3</v>
      </c>
      <c r="G1327" s="16">
        <v>4</v>
      </c>
      <c r="H1327" s="16">
        <v>2.1</v>
      </c>
      <c r="I1327" s="16">
        <v>14</v>
      </c>
      <c r="J1327" s="16">
        <v>234</v>
      </c>
      <c r="K1327" s="16">
        <v>7.16</v>
      </c>
      <c r="L1327" s="16">
        <v>43.5</v>
      </c>
      <c r="M1327" s="16">
        <v>2</v>
      </c>
      <c r="N1327" s="18">
        <f>IF(Risk_Calculation_Engine!U1327="Low",1,IF(Risk_Calculation_Engine!U1327="Medium",2,3))</f>
        <v>2</v>
      </c>
      <c r="O1327" s="18" t="str">
        <f>Risk_Calculation_Engine!U1327</f>
        <v>Medium</v>
      </c>
    </row>
    <row r="1328" spans="1:15" ht="15" customHeight="1" x14ac:dyDescent="0.25">
      <c r="A1328" s="16">
        <v>1324</v>
      </c>
      <c r="B1328" s="16">
        <v>69.099999999999994</v>
      </c>
      <c r="C1328" s="16">
        <v>3</v>
      </c>
      <c r="D1328" s="16">
        <v>327.2</v>
      </c>
      <c r="E1328" s="17">
        <f t="shared" si="20"/>
        <v>12.81</v>
      </c>
      <c r="F1328" s="16">
        <v>2</v>
      </c>
      <c r="G1328" s="16">
        <v>6</v>
      </c>
      <c r="H1328" s="16">
        <v>1.45</v>
      </c>
      <c r="I1328" s="16">
        <v>10</v>
      </c>
      <c r="J1328" s="16">
        <v>451</v>
      </c>
      <c r="K1328" s="16">
        <v>6.53</v>
      </c>
      <c r="L1328" s="16">
        <v>55.6</v>
      </c>
      <c r="M1328" s="16">
        <v>2</v>
      </c>
      <c r="N1328" s="18">
        <f>IF(Risk_Calculation_Engine!U1328="Low",1,IF(Risk_Calculation_Engine!U1328="Medium",2,3))</f>
        <v>1</v>
      </c>
      <c r="O1328" s="18" t="str">
        <f>Risk_Calculation_Engine!U1328</f>
        <v>Low</v>
      </c>
    </row>
    <row r="1329" spans="1:15" ht="15" customHeight="1" x14ac:dyDescent="0.25">
      <c r="A1329" s="16">
        <v>1325</v>
      </c>
      <c r="B1329" s="16">
        <v>50.2</v>
      </c>
      <c r="C1329" s="16">
        <v>3</v>
      </c>
      <c r="D1329" s="16">
        <v>245.5</v>
      </c>
      <c r="E1329" s="17">
        <f t="shared" si="20"/>
        <v>12.51</v>
      </c>
      <c r="F1329" s="16">
        <v>2</v>
      </c>
      <c r="G1329" s="16">
        <v>7</v>
      </c>
      <c r="H1329" s="16">
        <v>1.37</v>
      </c>
      <c r="I1329" s="16">
        <v>15</v>
      </c>
      <c r="J1329" s="16">
        <v>253</v>
      </c>
      <c r="K1329" s="16">
        <v>5.04</v>
      </c>
      <c r="L1329" s="16">
        <v>51.2</v>
      </c>
      <c r="M1329" s="16">
        <v>1</v>
      </c>
      <c r="N1329" s="18">
        <f>IF(Risk_Calculation_Engine!U1329="Low",1,IF(Risk_Calculation_Engine!U1329="Medium",2,3))</f>
        <v>2</v>
      </c>
      <c r="O1329" s="18" t="str">
        <f>Risk_Calculation_Engine!U1329</f>
        <v>Medium</v>
      </c>
    </row>
    <row r="1330" spans="1:15" ht="15" customHeight="1" x14ac:dyDescent="0.25">
      <c r="A1330" s="16">
        <v>1326</v>
      </c>
      <c r="B1330" s="16">
        <v>6.6</v>
      </c>
      <c r="C1330" s="16">
        <v>1</v>
      </c>
      <c r="D1330" s="16">
        <v>16</v>
      </c>
      <c r="E1330" s="17">
        <f t="shared" si="20"/>
        <v>8.31</v>
      </c>
      <c r="F1330" s="16">
        <v>2</v>
      </c>
      <c r="G1330" s="16">
        <v>8</v>
      </c>
      <c r="H1330" s="16">
        <v>0.96</v>
      </c>
      <c r="I1330" s="16">
        <v>12</v>
      </c>
      <c r="J1330" s="16">
        <v>10</v>
      </c>
      <c r="K1330" s="16">
        <v>1.52</v>
      </c>
      <c r="L1330" s="16">
        <v>53.5</v>
      </c>
      <c r="M1330" s="16">
        <v>2</v>
      </c>
      <c r="N1330" s="18">
        <f>IF(Risk_Calculation_Engine!U1330="Low",1,IF(Risk_Calculation_Engine!U1330="Medium",2,3))</f>
        <v>1</v>
      </c>
      <c r="O1330" s="18" t="str">
        <f>Risk_Calculation_Engine!U1330</f>
        <v>Low</v>
      </c>
    </row>
    <row r="1331" spans="1:15" ht="15" customHeight="1" x14ac:dyDescent="0.25">
      <c r="A1331" s="16">
        <v>1327</v>
      </c>
      <c r="B1331" s="16">
        <v>22.6</v>
      </c>
      <c r="C1331" s="16">
        <v>3</v>
      </c>
      <c r="D1331" s="16">
        <v>132.6</v>
      </c>
      <c r="E1331" s="17">
        <f t="shared" si="20"/>
        <v>6.24</v>
      </c>
      <c r="F1331" s="16">
        <v>1</v>
      </c>
      <c r="G1331" s="16">
        <v>0</v>
      </c>
      <c r="H1331" s="16">
        <v>2.31</v>
      </c>
      <c r="I1331" s="16">
        <v>12</v>
      </c>
      <c r="J1331" s="16">
        <v>154</v>
      </c>
      <c r="K1331" s="16">
        <v>6.81</v>
      </c>
      <c r="L1331" s="16">
        <v>31</v>
      </c>
      <c r="M1331" s="16">
        <v>2</v>
      </c>
      <c r="N1331" s="18">
        <f>IF(Risk_Calculation_Engine!U1331="Low",1,IF(Risk_Calculation_Engine!U1331="Medium",2,3))</f>
        <v>2</v>
      </c>
      <c r="O1331" s="18" t="str">
        <f>Risk_Calculation_Engine!U1331</f>
        <v>Medium</v>
      </c>
    </row>
    <row r="1332" spans="1:15" ht="15" customHeight="1" x14ac:dyDescent="0.25">
      <c r="A1332" s="16">
        <v>1328</v>
      </c>
      <c r="B1332" s="16">
        <v>44.8</v>
      </c>
      <c r="C1332" s="16">
        <v>5</v>
      </c>
      <c r="D1332" s="16">
        <v>168.6</v>
      </c>
      <c r="E1332" s="17">
        <f t="shared" si="20"/>
        <v>6.17</v>
      </c>
      <c r="F1332" s="16">
        <v>3</v>
      </c>
      <c r="G1332" s="16">
        <v>3</v>
      </c>
      <c r="H1332" s="16">
        <v>2.5</v>
      </c>
      <c r="I1332" s="16">
        <v>5</v>
      </c>
      <c r="J1332" s="16">
        <v>1194</v>
      </c>
      <c r="K1332" s="16">
        <v>26.65</v>
      </c>
      <c r="L1332" s="16">
        <v>77.2</v>
      </c>
      <c r="M1332" s="16">
        <v>3</v>
      </c>
      <c r="N1332" s="18">
        <f>IF(Risk_Calculation_Engine!U1332="Low",1,IF(Risk_Calculation_Engine!U1332="Medium",2,3))</f>
        <v>3</v>
      </c>
      <c r="O1332" s="18" t="str">
        <f>Risk_Calculation_Engine!U1332</f>
        <v>High</v>
      </c>
    </row>
    <row r="1333" spans="1:15" ht="15" customHeight="1" x14ac:dyDescent="0.25">
      <c r="A1333" s="16">
        <v>1329</v>
      </c>
      <c r="B1333" s="16">
        <v>124</v>
      </c>
      <c r="C1333" s="16">
        <v>5</v>
      </c>
      <c r="D1333" s="16">
        <v>525.20000000000005</v>
      </c>
      <c r="E1333" s="17">
        <f t="shared" si="20"/>
        <v>11.16</v>
      </c>
      <c r="F1333" s="16">
        <v>3</v>
      </c>
      <c r="G1333" s="16">
        <v>10</v>
      </c>
      <c r="H1333" s="16">
        <v>1.9</v>
      </c>
      <c r="I1333" s="16">
        <v>10</v>
      </c>
      <c r="J1333" s="16">
        <v>3161</v>
      </c>
      <c r="K1333" s="16">
        <v>25.49</v>
      </c>
      <c r="L1333" s="16">
        <v>80.599999999999994</v>
      </c>
      <c r="M1333" s="16">
        <v>3</v>
      </c>
      <c r="N1333" s="18">
        <f>IF(Risk_Calculation_Engine!U1333="Low",1,IF(Risk_Calculation_Engine!U1333="Medium",2,3))</f>
        <v>3</v>
      </c>
      <c r="O1333" s="18" t="str">
        <f>Risk_Calculation_Engine!U1333</f>
        <v>High</v>
      </c>
    </row>
    <row r="1334" spans="1:15" ht="15" customHeight="1" x14ac:dyDescent="0.25">
      <c r="A1334" s="16">
        <v>1330</v>
      </c>
      <c r="B1334" s="16">
        <v>69.3</v>
      </c>
      <c r="C1334" s="16">
        <v>2</v>
      </c>
      <c r="D1334" s="16">
        <v>248.6</v>
      </c>
      <c r="E1334" s="17">
        <f t="shared" si="20"/>
        <v>6.99</v>
      </c>
      <c r="F1334" s="16">
        <v>2</v>
      </c>
      <c r="G1334" s="16">
        <v>7</v>
      </c>
      <c r="H1334" s="16">
        <v>2.46</v>
      </c>
      <c r="I1334" s="16">
        <v>12</v>
      </c>
      <c r="J1334" s="16">
        <v>197</v>
      </c>
      <c r="K1334" s="16">
        <v>2.84</v>
      </c>
      <c r="L1334" s="16">
        <v>87.3</v>
      </c>
      <c r="M1334" s="16">
        <v>1</v>
      </c>
      <c r="N1334" s="18">
        <f>IF(Risk_Calculation_Engine!U1334="Low",1,IF(Risk_Calculation_Engine!U1334="Medium",2,3))</f>
        <v>2</v>
      </c>
      <c r="O1334" s="18" t="str">
        <f>Risk_Calculation_Engine!U1334</f>
        <v>Medium</v>
      </c>
    </row>
    <row r="1335" spans="1:15" ht="15" customHeight="1" x14ac:dyDescent="0.25">
      <c r="A1335" s="16">
        <v>1331</v>
      </c>
      <c r="B1335" s="16">
        <v>27.3</v>
      </c>
      <c r="C1335" s="16">
        <v>3</v>
      </c>
      <c r="D1335" s="16">
        <v>134.69999999999999</v>
      </c>
      <c r="E1335" s="17">
        <f t="shared" si="20"/>
        <v>5.86</v>
      </c>
      <c r="F1335" s="16">
        <v>1</v>
      </c>
      <c r="G1335" s="16">
        <v>5</v>
      </c>
      <c r="H1335" s="16">
        <v>2.4700000000000002</v>
      </c>
      <c r="I1335" s="16">
        <v>12</v>
      </c>
      <c r="J1335" s="16">
        <v>220</v>
      </c>
      <c r="K1335" s="16">
        <v>8.06</v>
      </c>
      <c r="L1335" s="16">
        <v>80.3</v>
      </c>
      <c r="M1335" s="16">
        <v>3</v>
      </c>
      <c r="N1335" s="18">
        <f>IF(Risk_Calculation_Engine!U1335="Low",1,IF(Risk_Calculation_Engine!U1335="Medium",2,3))</f>
        <v>2</v>
      </c>
      <c r="O1335" s="18" t="str">
        <f>Risk_Calculation_Engine!U1335</f>
        <v>Medium</v>
      </c>
    </row>
    <row r="1336" spans="1:15" ht="15" customHeight="1" x14ac:dyDescent="0.25">
      <c r="A1336" s="16">
        <v>1332</v>
      </c>
      <c r="B1336" s="16">
        <v>20.6</v>
      </c>
      <c r="C1336" s="16">
        <v>3</v>
      </c>
      <c r="D1336" s="16">
        <v>93.4</v>
      </c>
      <c r="E1336" s="17">
        <f t="shared" si="20"/>
        <v>5.23</v>
      </c>
      <c r="F1336" s="16">
        <v>2</v>
      </c>
      <c r="G1336" s="16">
        <v>5</v>
      </c>
      <c r="H1336" s="16">
        <v>2.5</v>
      </c>
      <c r="I1336" s="16">
        <v>15</v>
      </c>
      <c r="J1336" s="16">
        <v>64</v>
      </c>
      <c r="K1336" s="16">
        <v>3.11</v>
      </c>
      <c r="L1336" s="16">
        <v>50.5</v>
      </c>
      <c r="M1336" s="16">
        <v>1</v>
      </c>
      <c r="N1336" s="18">
        <f>IF(Risk_Calculation_Engine!U1336="Low",1,IF(Risk_Calculation_Engine!U1336="Medium",2,3))</f>
        <v>2</v>
      </c>
      <c r="O1336" s="18" t="str">
        <f>Risk_Calculation_Engine!U1336</f>
        <v>Medium</v>
      </c>
    </row>
    <row r="1337" spans="1:15" ht="15" customHeight="1" x14ac:dyDescent="0.25">
      <c r="A1337" s="16">
        <v>1333</v>
      </c>
      <c r="B1337" s="16">
        <v>143.80000000000001</v>
      </c>
      <c r="C1337" s="16">
        <v>3</v>
      </c>
      <c r="D1337" s="16">
        <v>941.3</v>
      </c>
      <c r="E1337" s="17">
        <f t="shared" si="20"/>
        <v>22.49</v>
      </c>
      <c r="F1337" s="16">
        <v>1</v>
      </c>
      <c r="G1337" s="16">
        <v>5</v>
      </c>
      <c r="H1337" s="16">
        <v>1.1100000000000001</v>
      </c>
      <c r="I1337" s="16">
        <v>7</v>
      </c>
      <c r="J1337" s="16">
        <v>940</v>
      </c>
      <c r="K1337" s="16">
        <v>6.54</v>
      </c>
      <c r="L1337" s="16">
        <v>71.099999999999994</v>
      </c>
      <c r="M1337" s="16">
        <v>1</v>
      </c>
      <c r="N1337" s="18">
        <f>IF(Risk_Calculation_Engine!U1337="Low",1,IF(Risk_Calculation_Engine!U1337="Medium",2,3))</f>
        <v>2</v>
      </c>
      <c r="O1337" s="18" t="str">
        <f>Risk_Calculation_Engine!U1337</f>
        <v>Medium</v>
      </c>
    </row>
    <row r="1338" spans="1:15" ht="15" customHeight="1" x14ac:dyDescent="0.25">
      <c r="A1338" s="16">
        <v>1334</v>
      </c>
      <c r="B1338" s="16">
        <v>53.1</v>
      </c>
      <c r="C1338" s="16">
        <v>4</v>
      </c>
      <c r="D1338" s="16">
        <v>304.89999999999998</v>
      </c>
      <c r="E1338" s="17">
        <f t="shared" si="20"/>
        <v>20.93</v>
      </c>
      <c r="F1338" s="16">
        <v>2</v>
      </c>
      <c r="G1338" s="16">
        <v>4</v>
      </c>
      <c r="H1338" s="16">
        <v>0.87</v>
      </c>
      <c r="I1338" s="16">
        <v>6</v>
      </c>
      <c r="J1338" s="16">
        <v>760</v>
      </c>
      <c r="K1338" s="16">
        <v>14.31</v>
      </c>
      <c r="L1338" s="16">
        <v>54.1</v>
      </c>
      <c r="M1338" s="16">
        <v>1</v>
      </c>
      <c r="N1338" s="18">
        <f>IF(Risk_Calculation_Engine!U1338="Low",1,IF(Risk_Calculation_Engine!U1338="Medium",2,3))</f>
        <v>1</v>
      </c>
      <c r="O1338" s="18" t="str">
        <f>Risk_Calculation_Engine!U1338</f>
        <v>Low</v>
      </c>
    </row>
    <row r="1339" spans="1:15" ht="15" customHeight="1" x14ac:dyDescent="0.25">
      <c r="A1339" s="16">
        <v>1335</v>
      </c>
      <c r="B1339" s="16">
        <v>1.1000000000000001</v>
      </c>
      <c r="C1339" s="16">
        <v>1</v>
      </c>
      <c r="D1339" s="16">
        <v>2.4</v>
      </c>
      <c r="E1339" s="17">
        <f t="shared" si="20"/>
        <v>2.71</v>
      </c>
      <c r="F1339" s="16">
        <v>2</v>
      </c>
      <c r="G1339" s="16">
        <v>6</v>
      </c>
      <c r="H1339" s="16">
        <v>1.73</v>
      </c>
      <c r="I1339" s="16">
        <v>15</v>
      </c>
      <c r="J1339" s="16">
        <v>3</v>
      </c>
      <c r="K1339" s="16">
        <v>2.73</v>
      </c>
      <c r="L1339" s="16">
        <v>88.8</v>
      </c>
      <c r="M1339" s="16">
        <v>1</v>
      </c>
      <c r="N1339" s="18">
        <f>IF(Risk_Calculation_Engine!U1339="Low",1,IF(Risk_Calculation_Engine!U1339="Medium",2,3))</f>
        <v>1</v>
      </c>
      <c r="O1339" s="18" t="str">
        <f>Risk_Calculation_Engine!U1339</f>
        <v>Low</v>
      </c>
    </row>
    <row r="1340" spans="1:15" ht="15" customHeight="1" x14ac:dyDescent="0.25">
      <c r="A1340" s="16">
        <v>1336</v>
      </c>
      <c r="B1340" s="16">
        <v>56</v>
      </c>
      <c r="C1340" s="16">
        <v>4</v>
      </c>
      <c r="D1340" s="16">
        <v>417.9</v>
      </c>
      <c r="E1340" s="17">
        <f t="shared" si="20"/>
        <v>13.26</v>
      </c>
      <c r="F1340" s="16">
        <v>1</v>
      </c>
      <c r="G1340" s="16">
        <v>4</v>
      </c>
      <c r="H1340" s="16">
        <v>1.5</v>
      </c>
      <c r="I1340" s="16">
        <v>15</v>
      </c>
      <c r="J1340" s="16">
        <v>618</v>
      </c>
      <c r="K1340" s="16">
        <v>11.04</v>
      </c>
      <c r="L1340" s="16">
        <v>90.5</v>
      </c>
      <c r="M1340" s="16">
        <v>1</v>
      </c>
      <c r="N1340" s="18">
        <f>IF(Risk_Calculation_Engine!U1340="Low",1,IF(Risk_Calculation_Engine!U1340="Medium",2,3))</f>
        <v>2</v>
      </c>
      <c r="O1340" s="18" t="str">
        <f>Risk_Calculation_Engine!U1340</f>
        <v>Medium</v>
      </c>
    </row>
    <row r="1341" spans="1:15" ht="15" customHeight="1" x14ac:dyDescent="0.25">
      <c r="A1341" s="16">
        <v>1337</v>
      </c>
      <c r="B1341" s="16">
        <v>105</v>
      </c>
      <c r="C1341" s="16">
        <v>5</v>
      </c>
      <c r="D1341" s="16">
        <v>623.6</v>
      </c>
      <c r="E1341" s="17">
        <f t="shared" si="20"/>
        <v>8.9</v>
      </c>
      <c r="F1341" s="16">
        <v>2</v>
      </c>
      <c r="G1341" s="16">
        <v>7</v>
      </c>
      <c r="H1341" s="16">
        <v>2.5</v>
      </c>
      <c r="I1341" s="16">
        <v>5</v>
      </c>
      <c r="J1341" s="16">
        <v>2137</v>
      </c>
      <c r="K1341" s="16">
        <v>20.350000000000001</v>
      </c>
      <c r="L1341" s="16">
        <v>40.9</v>
      </c>
      <c r="M1341" s="16">
        <v>3</v>
      </c>
      <c r="N1341" s="18">
        <f>IF(Risk_Calculation_Engine!U1341="Low",1,IF(Risk_Calculation_Engine!U1341="Medium",2,3))</f>
        <v>3</v>
      </c>
      <c r="O1341" s="18" t="str">
        <f>Risk_Calculation_Engine!U1341</f>
        <v>High</v>
      </c>
    </row>
    <row r="1342" spans="1:15" ht="15" customHeight="1" x14ac:dyDescent="0.25">
      <c r="A1342" s="16">
        <v>1338</v>
      </c>
      <c r="B1342" s="16">
        <v>19.899999999999999</v>
      </c>
      <c r="C1342" s="16">
        <v>4</v>
      </c>
      <c r="D1342" s="16">
        <v>78.400000000000006</v>
      </c>
      <c r="E1342" s="17">
        <f t="shared" si="20"/>
        <v>11.85</v>
      </c>
      <c r="F1342" s="16">
        <v>3</v>
      </c>
      <c r="G1342" s="16">
        <v>6</v>
      </c>
      <c r="H1342" s="16">
        <v>1.05</v>
      </c>
      <c r="I1342" s="16">
        <v>7</v>
      </c>
      <c r="J1342" s="16">
        <v>177</v>
      </c>
      <c r="K1342" s="16">
        <v>8.89</v>
      </c>
      <c r="L1342" s="16">
        <v>40.4</v>
      </c>
      <c r="M1342" s="16">
        <v>2</v>
      </c>
      <c r="N1342" s="18">
        <f>IF(Risk_Calculation_Engine!U1342="Low",1,IF(Risk_Calculation_Engine!U1342="Medium",2,3))</f>
        <v>1</v>
      </c>
      <c r="O1342" s="18" t="str">
        <f>Risk_Calculation_Engine!U1342</f>
        <v>Low</v>
      </c>
    </row>
    <row r="1343" spans="1:15" ht="15" customHeight="1" x14ac:dyDescent="0.25">
      <c r="A1343" s="16">
        <v>1339</v>
      </c>
      <c r="B1343" s="16">
        <v>65.099999999999994</v>
      </c>
      <c r="C1343" s="16">
        <v>4</v>
      </c>
      <c r="D1343" s="16">
        <v>400.4</v>
      </c>
      <c r="E1343" s="17">
        <f t="shared" si="20"/>
        <v>7.86</v>
      </c>
      <c r="F1343" s="16">
        <v>1</v>
      </c>
      <c r="G1343" s="16">
        <v>5</v>
      </c>
      <c r="H1343" s="16">
        <v>2.5</v>
      </c>
      <c r="I1343" s="16">
        <v>15</v>
      </c>
      <c r="J1343" s="16">
        <v>797</v>
      </c>
      <c r="K1343" s="16">
        <v>12.24</v>
      </c>
      <c r="L1343" s="16">
        <v>63.3</v>
      </c>
      <c r="M1343" s="16">
        <v>2</v>
      </c>
      <c r="N1343" s="18">
        <f>IF(Risk_Calculation_Engine!U1343="Low",1,IF(Risk_Calculation_Engine!U1343="Medium",2,3))</f>
        <v>3</v>
      </c>
      <c r="O1343" s="18" t="str">
        <f>Risk_Calculation_Engine!U1343</f>
        <v>High</v>
      </c>
    </row>
    <row r="1344" spans="1:15" ht="15" customHeight="1" x14ac:dyDescent="0.25">
      <c r="A1344" s="16">
        <v>1340</v>
      </c>
      <c r="B1344" s="16">
        <v>70.2</v>
      </c>
      <c r="C1344" s="16">
        <v>3</v>
      </c>
      <c r="D1344" s="16">
        <v>334.4</v>
      </c>
      <c r="E1344" s="17">
        <f t="shared" si="20"/>
        <v>12.37</v>
      </c>
      <c r="F1344" s="16">
        <v>2</v>
      </c>
      <c r="G1344" s="16">
        <v>6</v>
      </c>
      <c r="H1344" s="16">
        <v>1.51</v>
      </c>
      <c r="I1344" s="16">
        <v>5</v>
      </c>
      <c r="J1344" s="16">
        <v>314</v>
      </c>
      <c r="K1344" s="16">
        <v>4.47</v>
      </c>
      <c r="L1344" s="16">
        <v>90</v>
      </c>
      <c r="M1344" s="16">
        <v>1</v>
      </c>
      <c r="N1344" s="18">
        <f>IF(Risk_Calculation_Engine!U1344="Low",1,IF(Risk_Calculation_Engine!U1344="Medium",2,3))</f>
        <v>1</v>
      </c>
      <c r="O1344" s="18" t="str">
        <f>Risk_Calculation_Engine!U1344</f>
        <v>Low</v>
      </c>
    </row>
    <row r="1345" spans="1:15" ht="15" customHeight="1" x14ac:dyDescent="0.25">
      <c r="A1345" s="16">
        <v>1341</v>
      </c>
      <c r="B1345" s="16">
        <v>21.2</v>
      </c>
      <c r="C1345" s="16">
        <v>3</v>
      </c>
      <c r="D1345" s="16">
        <v>96</v>
      </c>
      <c r="E1345" s="17">
        <f t="shared" si="20"/>
        <v>13.04</v>
      </c>
      <c r="F1345" s="16">
        <v>2</v>
      </c>
      <c r="G1345" s="16">
        <v>5</v>
      </c>
      <c r="H1345" s="16">
        <v>1.01</v>
      </c>
      <c r="I1345" s="16">
        <v>13</v>
      </c>
      <c r="J1345" s="16">
        <v>68</v>
      </c>
      <c r="K1345" s="16">
        <v>3.21</v>
      </c>
      <c r="L1345" s="16">
        <v>77.900000000000006</v>
      </c>
      <c r="M1345" s="16">
        <v>1</v>
      </c>
      <c r="N1345" s="18">
        <f>IF(Risk_Calculation_Engine!U1345="Low",1,IF(Risk_Calculation_Engine!U1345="Medium",2,3))</f>
        <v>1</v>
      </c>
      <c r="O1345" s="18" t="str">
        <f>Risk_Calculation_Engine!U1345</f>
        <v>Low</v>
      </c>
    </row>
    <row r="1346" spans="1:15" ht="15" customHeight="1" x14ac:dyDescent="0.25">
      <c r="A1346" s="16">
        <v>1342</v>
      </c>
      <c r="B1346" s="16">
        <v>149.80000000000001</v>
      </c>
      <c r="C1346" s="16">
        <v>2</v>
      </c>
      <c r="D1346" s="16">
        <v>940.1</v>
      </c>
      <c r="E1346" s="17">
        <f t="shared" si="20"/>
        <v>9.98</v>
      </c>
      <c r="F1346" s="16">
        <v>1</v>
      </c>
      <c r="G1346" s="16">
        <v>12</v>
      </c>
      <c r="H1346" s="16">
        <v>2.5</v>
      </c>
      <c r="I1346" s="16">
        <v>4</v>
      </c>
      <c r="J1346" s="16">
        <v>800</v>
      </c>
      <c r="K1346" s="16">
        <v>5.34</v>
      </c>
      <c r="L1346" s="16">
        <v>85.2</v>
      </c>
      <c r="M1346" s="16">
        <v>1</v>
      </c>
      <c r="N1346" s="18">
        <f>IF(Risk_Calculation_Engine!U1346="Low",1,IF(Risk_Calculation_Engine!U1346="Medium",2,3))</f>
        <v>3</v>
      </c>
      <c r="O1346" s="18" t="str">
        <f>Risk_Calculation_Engine!U1346</f>
        <v>High</v>
      </c>
    </row>
    <row r="1347" spans="1:15" ht="15" customHeight="1" x14ac:dyDescent="0.25">
      <c r="A1347" s="16">
        <v>1343</v>
      </c>
      <c r="B1347" s="16">
        <v>71.2</v>
      </c>
      <c r="C1347" s="16">
        <v>4</v>
      </c>
      <c r="D1347" s="16">
        <v>412.1</v>
      </c>
      <c r="E1347" s="17">
        <f t="shared" si="20"/>
        <v>17.690000000000001</v>
      </c>
      <c r="F1347" s="16">
        <v>2</v>
      </c>
      <c r="G1347" s="16">
        <v>9</v>
      </c>
      <c r="H1347" s="16">
        <v>1.1200000000000001</v>
      </c>
      <c r="I1347" s="16">
        <v>5</v>
      </c>
      <c r="J1347" s="16">
        <v>399</v>
      </c>
      <c r="K1347" s="16">
        <v>5.6</v>
      </c>
      <c r="L1347" s="16">
        <v>65.5</v>
      </c>
      <c r="M1347" s="16">
        <v>1</v>
      </c>
      <c r="N1347" s="18">
        <f>IF(Risk_Calculation_Engine!U1347="Low",1,IF(Risk_Calculation_Engine!U1347="Medium",2,3))</f>
        <v>1</v>
      </c>
      <c r="O1347" s="18" t="str">
        <f>Risk_Calculation_Engine!U1347</f>
        <v>Low</v>
      </c>
    </row>
    <row r="1348" spans="1:15" ht="15" customHeight="1" x14ac:dyDescent="0.25">
      <c r="A1348" s="16">
        <v>1344</v>
      </c>
      <c r="B1348" s="16">
        <v>44.6</v>
      </c>
      <c r="C1348" s="16">
        <v>1</v>
      </c>
      <c r="D1348" s="16">
        <v>131.5</v>
      </c>
      <c r="E1348" s="17">
        <f t="shared" si="20"/>
        <v>5.82</v>
      </c>
      <c r="F1348" s="16">
        <v>2</v>
      </c>
      <c r="G1348" s="16">
        <v>5</v>
      </c>
      <c r="H1348" s="16">
        <v>2.4700000000000002</v>
      </c>
      <c r="I1348" s="16">
        <v>13</v>
      </c>
      <c r="J1348" s="16">
        <v>104</v>
      </c>
      <c r="K1348" s="16">
        <v>2.33</v>
      </c>
      <c r="L1348" s="16">
        <v>54.3</v>
      </c>
      <c r="M1348" s="16">
        <v>2</v>
      </c>
      <c r="N1348" s="18">
        <f>IF(Risk_Calculation_Engine!U1348="Low",1,IF(Risk_Calculation_Engine!U1348="Medium",2,3))</f>
        <v>2</v>
      </c>
      <c r="O1348" s="18" t="str">
        <f>Risk_Calculation_Engine!U1348</f>
        <v>Medium</v>
      </c>
    </row>
    <row r="1349" spans="1:15" ht="15" customHeight="1" x14ac:dyDescent="0.25">
      <c r="A1349" s="16">
        <v>1345</v>
      </c>
      <c r="B1349" s="16">
        <v>53.4</v>
      </c>
      <c r="C1349" s="16">
        <v>4</v>
      </c>
      <c r="D1349" s="16">
        <v>368.8</v>
      </c>
      <c r="E1349" s="17">
        <f t="shared" ref="E1349:E1412" si="21">ROUND(3.67*D1349^0.28/H1349,2)</f>
        <v>10.97</v>
      </c>
      <c r="F1349" s="16">
        <v>1</v>
      </c>
      <c r="G1349" s="16">
        <v>8</v>
      </c>
      <c r="H1349" s="16">
        <v>1.75</v>
      </c>
      <c r="I1349" s="16">
        <v>10</v>
      </c>
      <c r="J1349" s="16">
        <v>500</v>
      </c>
      <c r="K1349" s="16">
        <v>9.36</v>
      </c>
      <c r="L1349" s="16">
        <v>79.7</v>
      </c>
      <c r="M1349" s="16">
        <v>1</v>
      </c>
      <c r="N1349" s="18">
        <f>IF(Risk_Calculation_Engine!U1349="Low",1,IF(Risk_Calculation_Engine!U1349="Medium",2,3))</f>
        <v>2</v>
      </c>
      <c r="O1349" s="18" t="str">
        <f>Risk_Calculation_Engine!U1349</f>
        <v>Medium</v>
      </c>
    </row>
    <row r="1350" spans="1:15" ht="15" customHeight="1" x14ac:dyDescent="0.25">
      <c r="A1350" s="16">
        <v>1346</v>
      </c>
      <c r="B1350" s="16">
        <v>17.100000000000001</v>
      </c>
      <c r="C1350" s="16">
        <v>3</v>
      </c>
      <c r="D1350" s="16">
        <v>81.400000000000006</v>
      </c>
      <c r="E1350" s="17">
        <f t="shared" si="21"/>
        <v>5.03</v>
      </c>
      <c r="F1350" s="16">
        <v>1</v>
      </c>
      <c r="G1350" s="16">
        <v>3</v>
      </c>
      <c r="H1350" s="16">
        <v>2.5</v>
      </c>
      <c r="I1350" s="16">
        <v>10</v>
      </c>
      <c r="J1350" s="16">
        <v>56</v>
      </c>
      <c r="K1350" s="16">
        <v>3.27</v>
      </c>
      <c r="L1350" s="16">
        <v>63.4</v>
      </c>
      <c r="M1350" s="16">
        <v>1</v>
      </c>
      <c r="N1350" s="18">
        <f>IF(Risk_Calculation_Engine!U1350="Low",1,IF(Risk_Calculation_Engine!U1350="Medium",2,3))</f>
        <v>2</v>
      </c>
      <c r="O1350" s="18" t="str">
        <f>Risk_Calculation_Engine!U1350</f>
        <v>Medium</v>
      </c>
    </row>
    <row r="1351" spans="1:15" ht="15" customHeight="1" x14ac:dyDescent="0.25">
      <c r="A1351" s="16">
        <v>1347</v>
      </c>
      <c r="B1351" s="16">
        <v>16.3</v>
      </c>
      <c r="C1351" s="16">
        <v>3</v>
      </c>
      <c r="D1351" s="16">
        <v>45.6</v>
      </c>
      <c r="E1351" s="17">
        <f t="shared" si="21"/>
        <v>4.28</v>
      </c>
      <c r="F1351" s="16">
        <v>3</v>
      </c>
      <c r="G1351" s="16">
        <v>6</v>
      </c>
      <c r="H1351" s="16">
        <v>2.5</v>
      </c>
      <c r="I1351" s="16">
        <v>14</v>
      </c>
      <c r="J1351" s="16">
        <v>65</v>
      </c>
      <c r="K1351" s="16">
        <v>3.99</v>
      </c>
      <c r="L1351" s="16">
        <v>32.6</v>
      </c>
      <c r="M1351" s="16">
        <v>2</v>
      </c>
      <c r="N1351" s="18">
        <f>IF(Risk_Calculation_Engine!U1351="Low",1,IF(Risk_Calculation_Engine!U1351="Medium",2,3))</f>
        <v>1</v>
      </c>
      <c r="O1351" s="18" t="str">
        <f>Risk_Calculation_Engine!U1351</f>
        <v>Low</v>
      </c>
    </row>
    <row r="1352" spans="1:15" ht="15" customHeight="1" x14ac:dyDescent="0.25">
      <c r="A1352" s="16">
        <v>1348</v>
      </c>
      <c r="B1352" s="16">
        <v>40.9</v>
      </c>
      <c r="C1352" s="16">
        <v>3</v>
      </c>
      <c r="D1352" s="16">
        <v>148.6</v>
      </c>
      <c r="E1352" s="17">
        <f t="shared" si="21"/>
        <v>9.99</v>
      </c>
      <c r="F1352" s="16">
        <v>2</v>
      </c>
      <c r="G1352" s="16">
        <v>9</v>
      </c>
      <c r="H1352" s="16">
        <v>1.49</v>
      </c>
      <c r="I1352" s="16">
        <v>6</v>
      </c>
      <c r="J1352" s="16">
        <v>147</v>
      </c>
      <c r="K1352" s="16">
        <v>3.59</v>
      </c>
      <c r="L1352" s="16">
        <v>77.900000000000006</v>
      </c>
      <c r="M1352" s="16">
        <v>3</v>
      </c>
      <c r="N1352" s="18">
        <f>IF(Risk_Calculation_Engine!U1352="Low",1,IF(Risk_Calculation_Engine!U1352="Medium",2,3))</f>
        <v>1</v>
      </c>
      <c r="O1352" s="18" t="str">
        <f>Risk_Calculation_Engine!U1352</f>
        <v>Low</v>
      </c>
    </row>
    <row r="1353" spans="1:15" ht="15" customHeight="1" x14ac:dyDescent="0.25">
      <c r="A1353" s="16">
        <v>1349</v>
      </c>
      <c r="B1353" s="16">
        <v>43.3</v>
      </c>
      <c r="C1353" s="16">
        <v>5</v>
      </c>
      <c r="D1353" s="16">
        <v>269.39999999999998</v>
      </c>
      <c r="E1353" s="17">
        <f t="shared" si="21"/>
        <v>7.03</v>
      </c>
      <c r="F1353" s="16">
        <v>2</v>
      </c>
      <c r="G1353" s="16">
        <v>4</v>
      </c>
      <c r="H1353" s="16">
        <v>2.5</v>
      </c>
      <c r="I1353" s="16">
        <v>9</v>
      </c>
      <c r="J1353" s="16">
        <v>557</v>
      </c>
      <c r="K1353" s="16">
        <v>12.86</v>
      </c>
      <c r="L1353" s="16">
        <v>38.9</v>
      </c>
      <c r="M1353" s="16">
        <v>1</v>
      </c>
      <c r="N1353" s="18">
        <f>IF(Risk_Calculation_Engine!U1353="Low",1,IF(Risk_Calculation_Engine!U1353="Medium",2,3))</f>
        <v>3</v>
      </c>
      <c r="O1353" s="18" t="str">
        <f>Risk_Calculation_Engine!U1353</f>
        <v>High</v>
      </c>
    </row>
    <row r="1354" spans="1:15" ht="15" customHeight="1" x14ac:dyDescent="0.25">
      <c r="A1354" s="16">
        <v>1350</v>
      </c>
      <c r="B1354" s="16">
        <v>50.4</v>
      </c>
      <c r="C1354" s="16">
        <v>2</v>
      </c>
      <c r="D1354" s="16">
        <v>216.7</v>
      </c>
      <c r="E1354" s="17">
        <f t="shared" si="21"/>
        <v>8.23</v>
      </c>
      <c r="F1354" s="16">
        <v>2</v>
      </c>
      <c r="G1354" s="16">
        <v>8</v>
      </c>
      <c r="H1354" s="16">
        <v>2.0099999999999998</v>
      </c>
      <c r="I1354" s="16">
        <v>10</v>
      </c>
      <c r="J1354" s="16">
        <v>229</v>
      </c>
      <c r="K1354" s="16">
        <v>4.54</v>
      </c>
      <c r="L1354" s="16">
        <v>74.900000000000006</v>
      </c>
      <c r="M1354" s="16">
        <v>3</v>
      </c>
      <c r="N1354" s="18">
        <f>IF(Risk_Calculation_Engine!U1354="Low",1,IF(Risk_Calculation_Engine!U1354="Medium",2,3))</f>
        <v>2</v>
      </c>
      <c r="O1354" s="18" t="str">
        <f>Risk_Calculation_Engine!U1354</f>
        <v>Medium</v>
      </c>
    </row>
    <row r="1355" spans="1:15" ht="15" customHeight="1" x14ac:dyDescent="0.25">
      <c r="A1355" s="16">
        <v>1351</v>
      </c>
      <c r="B1355" s="16">
        <v>149.80000000000001</v>
      </c>
      <c r="C1355" s="16">
        <v>2</v>
      </c>
      <c r="D1355" s="16">
        <v>501.5</v>
      </c>
      <c r="E1355" s="17">
        <f t="shared" si="21"/>
        <v>12.76</v>
      </c>
      <c r="F1355" s="16">
        <v>3</v>
      </c>
      <c r="G1355" s="16">
        <v>3</v>
      </c>
      <c r="H1355" s="16">
        <v>1.64</v>
      </c>
      <c r="I1355" s="16">
        <v>12</v>
      </c>
      <c r="J1355" s="16">
        <v>642</v>
      </c>
      <c r="K1355" s="16">
        <v>4.29</v>
      </c>
      <c r="L1355" s="16">
        <v>34.1</v>
      </c>
      <c r="M1355" s="16">
        <v>2</v>
      </c>
      <c r="N1355" s="18">
        <f>IF(Risk_Calculation_Engine!U1355="Low",1,IF(Risk_Calculation_Engine!U1355="Medium",2,3))</f>
        <v>1</v>
      </c>
      <c r="O1355" s="18" t="str">
        <f>Risk_Calculation_Engine!U1355</f>
        <v>Low</v>
      </c>
    </row>
    <row r="1356" spans="1:15" ht="15" customHeight="1" x14ac:dyDescent="0.25">
      <c r="A1356" s="16">
        <v>1352</v>
      </c>
      <c r="B1356" s="16">
        <v>100.8</v>
      </c>
      <c r="C1356" s="16">
        <v>2</v>
      </c>
      <c r="D1356" s="16">
        <v>447</v>
      </c>
      <c r="E1356" s="17">
        <f t="shared" si="21"/>
        <v>11.65</v>
      </c>
      <c r="F1356" s="16">
        <v>2</v>
      </c>
      <c r="G1356" s="16">
        <v>6</v>
      </c>
      <c r="H1356" s="16">
        <v>1.74</v>
      </c>
      <c r="I1356" s="16">
        <v>7</v>
      </c>
      <c r="J1356" s="16">
        <v>376</v>
      </c>
      <c r="K1356" s="16">
        <v>3.73</v>
      </c>
      <c r="L1356" s="16">
        <v>78.2</v>
      </c>
      <c r="M1356" s="16">
        <v>2</v>
      </c>
      <c r="N1356" s="18">
        <f>IF(Risk_Calculation_Engine!U1356="Low",1,IF(Risk_Calculation_Engine!U1356="Medium",2,3))</f>
        <v>1</v>
      </c>
      <c r="O1356" s="18" t="str">
        <f>Risk_Calculation_Engine!U1356</f>
        <v>Low</v>
      </c>
    </row>
    <row r="1357" spans="1:15" ht="15" customHeight="1" x14ac:dyDescent="0.25">
      <c r="A1357" s="16">
        <v>1353</v>
      </c>
      <c r="B1357" s="16">
        <v>8.1999999999999993</v>
      </c>
      <c r="C1357" s="16">
        <v>4</v>
      </c>
      <c r="D1357" s="16">
        <v>26.1</v>
      </c>
      <c r="E1357" s="17">
        <f t="shared" si="21"/>
        <v>3.66</v>
      </c>
      <c r="F1357" s="16">
        <v>3</v>
      </c>
      <c r="G1357" s="16">
        <v>8</v>
      </c>
      <c r="H1357" s="16">
        <v>2.5</v>
      </c>
      <c r="I1357" s="16">
        <v>11</v>
      </c>
      <c r="J1357" s="16">
        <v>110</v>
      </c>
      <c r="K1357" s="16">
        <v>13.41</v>
      </c>
      <c r="L1357" s="16">
        <v>89.9</v>
      </c>
      <c r="M1357" s="16">
        <v>2</v>
      </c>
      <c r="N1357" s="18">
        <f>IF(Risk_Calculation_Engine!U1357="Low",1,IF(Risk_Calculation_Engine!U1357="Medium",2,3))</f>
        <v>3</v>
      </c>
      <c r="O1357" s="18" t="str">
        <f>Risk_Calculation_Engine!U1357</f>
        <v>High</v>
      </c>
    </row>
    <row r="1358" spans="1:15" ht="15" customHeight="1" x14ac:dyDescent="0.25">
      <c r="A1358" s="16">
        <v>1354</v>
      </c>
      <c r="B1358" s="16">
        <v>141.5</v>
      </c>
      <c r="C1358" s="16">
        <v>5</v>
      </c>
      <c r="D1358" s="16">
        <v>830.1</v>
      </c>
      <c r="E1358" s="17">
        <f t="shared" si="21"/>
        <v>16.510000000000002</v>
      </c>
      <c r="F1358" s="16">
        <v>2</v>
      </c>
      <c r="G1358" s="16">
        <v>8</v>
      </c>
      <c r="H1358" s="16">
        <v>1.46</v>
      </c>
      <c r="I1358" s="16">
        <v>8</v>
      </c>
      <c r="J1358" s="16">
        <v>3192</v>
      </c>
      <c r="K1358" s="16">
        <v>22.56</v>
      </c>
      <c r="L1358" s="16">
        <v>60.3</v>
      </c>
      <c r="M1358" s="16">
        <v>2</v>
      </c>
      <c r="N1358" s="18">
        <f>IF(Risk_Calculation_Engine!U1358="Low",1,IF(Risk_Calculation_Engine!U1358="Medium",2,3))</f>
        <v>3</v>
      </c>
      <c r="O1358" s="18" t="str">
        <f>Risk_Calculation_Engine!U1358</f>
        <v>High</v>
      </c>
    </row>
    <row r="1359" spans="1:15" ht="15" customHeight="1" x14ac:dyDescent="0.25">
      <c r="A1359" s="16">
        <v>1355</v>
      </c>
      <c r="B1359" s="16">
        <v>40.700000000000003</v>
      </c>
      <c r="C1359" s="16">
        <v>3</v>
      </c>
      <c r="D1359" s="16">
        <v>184.8</v>
      </c>
      <c r="E1359" s="17">
        <f t="shared" si="21"/>
        <v>12.27</v>
      </c>
      <c r="F1359" s="16">
        <v>2</v>
      </c>
      <c r="G1359" s="16">
        <v>6</v>
      </c>
      <c r="H1359" s="16">
        <v>1.29</v>
      </c>
      <c r="I1359" s="16">
        <v>10</v>
      </c>
      <c r="J1359" s="16">
        <v>289</v>
      </c>
      <c r="K1359" s="16">
        <v>7.1</v>
      </c>
      <c r="L1359" s="16">
        <v>56.1</v>
      </c>
      <c r="M1359" s="16">
        <v>3</v>
      </c>
      <c r="N1359" s="18">
        <f>IF(Risk_Calculation_Engine!U1359="Low",1,IF(Risk_Calculation_Engine!U1359="Medium",2,3))</f>
        <v>1</v>
      </c>
      <c r="O1359" s="18" t="str">
        <f>Risk_Calculation_Engine!U1359</f>
        <v>Low</v>
      </c>
    </row>
    <row r="1360" spans="1:15" ht="15" customHeight="1" x14ac:dyDescent="0.25">
      <c r="A1360" s="16">
        <v>1356</v>
      </c>
      <c r="B1360" s="16">
        <v>108.1</v>
      </c>
      <c r="C1360" s="16">
        <v>5</v>
      </c>
      <c r="D1360" s="16">
        <v>639.29999999999995</v>
      </c>
      <c r="E1360" s="17">
        <f t="shared" si="21"/>
        <v>18.98</v>
      </c>
      <c r="F1360" s="16">
        <v>2</v>
      </c>
      <c r="G1360" s="16">
        <v>10</v>
      </c>
      <c r="H1360" s="16">
        <v>1.18</v>
      </c>
      <c r="I1360" s="16">
        <v>14</v>
      </c>
      <c r="J1360" s="16">
        <v>2138</v>
      </c>
      <c r="K1360" s="16">
        <v>19.78</v>
      </c>
      <c r="L1360" s="16">
        <v>71</v>
      </c>
      <c r="M1360" s="16">
        <v>1</v>
      </c>
      <c r="N1360" s="18">
        <f>IF(Risk_Calculation_Engine!U1360="Low",1,IF(Risk_Calculation_Engine!U1360="Medium",2,3))</f>
        <v>3</v>
      </c>
      <c r="O1360" s="18" t="str">
        <f>Risk_Calculation_Engine!U1360</f>
        <v>High</v>
      </c>
    </row>
    <row r="1361" spans="1:15" ht="15" customHeight="1" x14ac:dyDescent="0.25">
      <c r="A1361" s="16">
        <v>1357</v>
      </c>
      <c r="B1361" s="16">
        <v>43.7</v>
      </c>
      <c r="C1361" s="16">
        <v>3</v>
      </c>
      <c r="D1361" s="16">
        <v>185.2</v>
      </c>
      <c r="E1361" s="17">
        <f t="shared" si="21"/>
        <v>8.3800000000000008</v>
      </c>
      <c r="F1361" s="16">
        <v>2</v>
      </c>
      <c r="G1361" s="16">
        <v>5</v>
      </c>
      <c r="H1361" s="16">
        <v>1.89</v>
      </c>
      <c r="I1361" s="16">
        <v>8</v>
      </c>
      <c r="J1361" s="16">
        <v>314</v>
      </c>
      <c r="K1361" s="16">
        <v>7.19</v>
      </c>
      <c r="L1361" s="16">
        <v>61.5</v>
      </c>
      <c r="M1361" s="16">
        <v>2</v>
      </c>
      <c r="N1361" s="18">
        <f>IF(Risk_Calculation_Engine!U1361="Low",1,IF(Risk_Calculation_Engine!U1361="Medium",2,3))</f>
        <v>2</v>
      </c>
      <c r="O1361" s="18" t="str">
        <f>Risk_Calculation_Engine!U1361</f>
        <v>Medium</v>
      </c>
    </row>
    <row r="1362" spans="1:15" ht="15" customHeight="1" x14ac:dyDescent="0.25">
      <c r="A1362" s="16">
        <v>1358</v>
      </c>
      <c r="B1362" s="16">
        <v>67.599999999999994</v>
      </c>
      <c r="C1362" s="16">
        <v>4</v>
      </c>
      <c r="D1362" s="16">
        <v>397</v>
      </c>
      <c r="E1362" s="17">
        <f t="shared" si="21"/>
        <v>16.2</v>
      </c>
      <c r="F1362" s="16">
        <v>2</v>
      </c>
      <c r="G1362" s="16">
        <v>2</v>
      </c>
      <c r="H1362" s="16">
        <v>1.21</v>
      </c>
      <c r="I1362" s="16">
        <v>11</v>
      </c>
      <c r="J1362" s="16">
        <v>491</v>
      </c>
      <c r="K1362" s="16">
        <v>7.26</v>
      </c>
      <c r="L1362" s="16">
        <v>74.3</v>
      </c>
      <c r="M1362" s="16">
        <v>2</v>
      </c>
      <c r="N1362" s="18">
        <f>IF(Risk_Calculation_Engine!U1362="Low",1,IF(Risk_Calculation_Engine!U1362="Medium",2,3))</f>
        <v>1</v>
      </c>
      <c r="O1362" s="18" t="str">
        <f>Risk_Calculation_Engine!U1362</f>
        <v>Low</v>
      </c>
    </row>
    <row r="1363" spans="1:15" ht="15" customHeight="1" x14ac:dyDescent="0.25">
      <c r="A1363" s="16">
        <v>1359</v>
      </c>
      <c r="B1363" s="16">
        <v>18.600000000000001</v>
      </c>
      <c r="C1363" s="16">
        <v>1</v>
      </c>
      <c r="D1363" s="16">
        <v>70.400000000000006</v>
      </c>
      <c r="E1363" s="17">
        <f t="shared" si="21"/>
        <v>4.83</v>
      </c>
      <c r="F1363" s="16">
        <v>1</v>
      </c>
      <c r="G1363" s="16">
        <v>8</v>
      </c>
      <c r="H1363" s="16">
        <v>2.5</v>
      </c>
      <c r="I1363" s="16">
        <v>15</v>
      </c>
      <c r="J1363" s="16">
        <v>28</v>
      </c>
      <c r="K1363" s="16">
        <v>1.51</v>
      </c>
      <c r="L1363" s="16">
        <v>93.7</v>
      </c>
      <c r="M1363" s="16">
        <v>3</v>
      </c>
      <c r="N1363" s="18">
        <f>IF(Risk_Calculation_Engine!U1363="Low",1,IF(Risk_Calculation_Engine!U1363="Medium",2,3))</f>
        <v>2</v>
      </c>
      <c r="O1363" s="18" t="str">
        <f>Risk_Calculation_Engine!U1363</f>
        <v>Medium</v>
      </c>
    </row>
    <row r="1364" spans="1:15" ht="15" customHeight="1" x14ac:dyDescent="0.25">
      <c r="A1364" s="16">
        <v>1360</v>
      </c>
      <c r="B1364" s="16">
        <v>80</v>
      </c>
      <c r="C1364" s="16">
        <v>3</v>
      </c>
      <c r="D1364" s="16">
        <v>341.5</v>
      </c>
      <c r="E1364" s="17">
        <f t="shared" si="21"/>
        <v>12.96</v>
      </c>
      <c r="F1364" s="16">
        <v>2</v>
      </c>
      <c r="G1364" s="16">
        <v>7</v>
      </c>
      <c r="H1364" s="16">
        <v>1.45</v>
      </c>
      <c r="I1364" s="16">
        <v>12</v>
      </c>
      <c r="J1364" s="16">
        <v>383</v>
      </c>
      <c r="K1364" s="16">
        <v>4.79</v>
      </c>
      <c r="L1364" s="16">
        <v>66.7</v>
      </c>
      <c r="M1364" s="16">
        <v>2</v>
      </c>
      <c r="N1364" s="18">
        <f>IF(Risk_Calculation_Engine!U1364="Low",1,IF(Risk_Calculation_Engine!U1364="Medium",2,3))</f>
        <v>2</v>
      </c>
      <c r="O1364" s="18" t="str">
        <f>Risk_Calculation_Engine!U1364</f>
        <v>Medium</v>
      </c>
    </row>
    <row r="1365" spans="1:15" ht="15" customHeight="1" x14ac:dyDescent="0.25">
      <c r="A1365" s="16">
        <v>1361</v>
      </c>
      <c r="B1365" s="16">
        <v>117.4</v>
      </c>
      <c r="C1365" s="16">
        <v>4</v>
      </c>
      <c r="D1365" s="16">
        <v>559</v>
      </c>
      <c r="E1365" s="17">
        <f t="shared" si="21"/>
        <v>10.37</v>
      </c>
      <c r="F1365" s="16">
        <v>2</v>
      </c>
      <c r="G1365" s="16">
        <v>5</v>
      </c>
      <c r="H1365" s="16">
        <v>2.08</v>
      </c>
      <c r="I1365" s="16">
        <v>15</v>
      </c>
      <c r="J1365" s="16">
        <v>1457</v>
      </c>
      <c r="K1365" s="16">
        <v>12.41</v>
      </c>
      <c r="L1365" s="16">
        <v>32.200000000000003</v>
      </c>
      <c r="M1365" s="16">
        <v>3</v>
      </c>
      <c r="N1365" s="18">
        <f>IF(Risk_Calculation_Engine!U1365="Low",1,IF(Risk_Calculation_Engine!U1365="Medium",2,3))</f>
        <v>3</v>
      </c>
      <c r="O1365" s="18" t="str">
        <f>Risk_Calculation_Engine!U1365</f>
        <v>High</v>
      </c>
    </row>
    <row r="1366" spans="1:15" ht="15" customHeight="1" x14ac:dyDescent="0.25">
      <c r="A1366" s="16">
        <v>1362</v>
      </c>
      <c r="B1366" s="16">
        <v>10.5</v>
      </c>
      <c r="C1366" s="16">
        <v>3</v>
      </c>
      <c r="D1366" s="16">
        <v>56.7</v>
      </c>
      <c r="E1366" s="17">
        <f t="shared" si="21"/>
        <v>4.55</v>
      </c>
      <c r="F1366" s="16">
        <v>1</v>
      </c>
      <c r="G1366" s="16">
        <v>8</v>
      </c>
      <c r="H1366" s="16">
        <v>2.5</v>
      </c>
      <c r="I1366" s="16">
        <v>10</v>
      </c>
      <c r="J1366" s="16">
        <v>59</v>
      </c>
      <c r="K1366" s="16">
        <v>5.62</v>
      </c>
      <c r="L1366" s="16">
        <v>71.3</v>
      </c>
      <c r="M1366" s="16">
        <v>2</v>
      </c>
      <c r="N1366" s="18">
        <f>IF(Risk_Calculation_Engine!U1366="Low",1,IF(Risk_Calculation_Engine!U1366="Medium",2,3))</f>
        <v>3</v>
      </c>
      <c r="O1366" s="18" t="str">
        <f>Risk_Calculation_Engine!U1366</f>
        <v>High</v>
      </c>
    </row>
    <row r="1367" spans="1:15" ht="15" customHeight="1" x14ac:dyDescent="0.25">
      <c r="A1367" s="16">
        <v>1363</v>
      </c>
      <c r="B1367" s="16">
        <v>118.8</v>
      </c>
      <c r="C1367" s="16">
        <v>3</v>
      </c>
      <c r="D1367" s="16">
        <v>704.9</v>
      </c>
      <c r="E1367" s="17">
        <f t="shared" si="21"/>
        <v>9.2100000000000009</v>
      </c>
      <c r="F1367" s="16">
        <v>1</v>
      </c>
      <c r="G1367" s="16">
        <v>6</v>
      </c>
      <c r="H1367" s="16">
        <v>2.5</v>
      </c>
      <c r="I1367" s="16">
        <v>6</v>
      </c>
      <c r="J1367" s="16">
        <v>1040</v>
      </c>
      <c r="K1367" s="16">
        <v>8.75</v>
      </c>
      <c r="L1367" s="16">
        <v>43.4</v>
      </c>
      <c r="M1367" s="16">
        <v>2</v>
      </c>
      <c r="N1367" s="18">
        <f>IF(Risk_Calculation_Engine!U1367="Low",1,IF(Risk_Calculation_Engine!U1367="Medium",2,3))</f>
        <v>3</v>
      </c>
      <c r="O1367" s="18" t="str">
        <f>Risk_Calculation_Engine!U1367</f>
        <v>High</v>
      </c>
    </row>
    <row r="1368" spans="1:15" ht="15" customHeight="1" x14ac:dyDescent="0.25">
      <c r="A1368" s="16">
        <v>1364</v>
      </c>
      <c r="B1368" s="16">
        <v>32.6</v>
      </c>
      <c r="C1368" s="16">
        <v>4</v>
      </c>
      <c r="D1368" s="16">
        <v>123.8</v>
      </c>
      <c r="E1368" s="17">
        <f t="shared" si="21"/>
        <v>7.86</v>
      </c>
      <c r="F1368" s="16">
        <v>3</v>
      </c>
      <c r="G1368" s="16">
        <v>10</v>
      </c>
      <c r="H1368" s="16">
        <v>1.8</v>
      </c>
      <c r="I1368" s="16">
        <v>15</v>
      </c>
      <c r="J1368" s="16">
        <v>176</v>
      </c>
      <c r="K1368" s="16">
        <v>5.4</v>
      </c>
      <c r="L1368" s="16">
        <v>47.9</v>
      </c>
      <c r="M1368" s="16">
        <v>3</v>
      </c>
      <c r="N1368" s="18">
        <f>IF(Risk_Calculation_Engine!U1368="Low",1,IF(Risk_Calculation_Engine!U1368="Medium",2,3))</f>
        <v>3</v>
      </c>
      <c r="O1368" s="18" t="str">
        <f>Risk_Calculation_Engine!U1368</f>
        <v>High</v>
      </c>
    </row>
    <row r="1369" spans="1:15" ht="15" customHeight="1" x14ac:dyDescent="0.25">
      <c r="A1369" s="16">
        <v>1365</v>
      </c>
      <c r="B1369" s="16">
        <v>149.80000000000001</v>
      </c>
      <c r="C1369" s="16">
        <v>5</v>
      </c>
      <c r="D1369" s="16">
        <v>934.9</v>
      </c>
      <c r="E1369" s="17">
        <f t="shared" si="21"/>
        <v>32.78</v>
      </c>
      <c r="F1369" s="16">
        <v>2</v>
      </c>
      <c r="G1369" s="16">
        <v>10</v>
      </c>
      <c r="H1369" s="16">
        <v>0.76</v>
      </c>
      <c r="I1369" s="16">
        <v>11</v>
      </c>
      <c r="J1369" s="16">
        <v>2381</v>
      </c>
      <c r="K1369" s="16">
        <v>15.89</v>
      </c>
      <c r="L1369" s="16">
        <v>57.9</v>
      </c>
      <c r="M1369" s="16">
        <v>3</v>
      </c>
      <c r="N1369" s="18">
        <f>IF(Risk_Calculation_Engine!U1369="Low",1,IF(Risk_Calculation_Engine!U1369="Medium",2,3))</f>
        <v>3</v>
      </c>
      <c r="O1369" s="18" t="str">
        <f>Risk_Calculation_Engine!U1369</f>
        <v>High</v>
      </c>
    </row>
    <row r="1370" spans="1:15" ht="15" customHeight="1" x14ac:dyDescent="0.25">
      <c r="A1370" s="16">
        <v>1366</v>
      </c>
      <c r="B1370" s="16">
        <v>109.6</v>
      </c>
      <c r="C1370" s="16">
        <v>3</v>
      </c>
      <c r="D1370" s="16">
        <v>418.8</v>
      </c>
      <c r="E1370" s="17">
        <f t="shared" si="21"/>
        <v>25.51</v>
      </c>
      <c r="F1370" s="16">
        <v>3</v>
      </c>
      <c r="G1370" s="16">
        <v>7</v>
      </c>
      <c r="H1370" s="16">
        <v>0.78</v>
      </c>
      <c r="I1370" s="16">
        <v>6</v>
      </c>
      <c r="J1370" s="16">
        <v>431</v>
      </c>
      <c r="K1370" s="16">
        <v>3.93</v>
      </c>
      <c r="L1370" s="16">
        <v>91</v>
      </c>
      <c r="M1370" s="16">
        <v>2</v>
      </c>
      <c r="N1370" s="18">
        <f>IF(Risk_Calculation_Engine!U1370="Low",1,IF(Risk_Calculation_Engine!U1370="Medium",2,3))</f>
        <v>1</v>
      </c>
      <c r="O1370" s="18" t="str">
        <f>Risk_Calculation_Engine!U1370</f>
        <v>Low</v>
      </c>
    </row>
    <row r="1371" spans="1:15" ht="15" customHeight="1" x14ac:dyDescent="0.25">
      <c r="A1371" s="16">
        <v>1367</v>
      </c>
      <c r="B1371" s="16">
        <v>95.8</v>
      </c>
      <c r="C1371" s="16">
        <v>4</v>
      </c>
      <c r="D1371" s="16">
        <v>580.9</v>
      </c>
      <c r="E1371" s="17">
        <f t="shared" si="21"/>
        <v>8.7200000000000006</v>
      </c>
      <c r="F1371" s="16">
        <v>2</v>
      </c>
      <c r="G1371" s="16">
        <v>6</v>
      </c>
      <c r="H1371" s="16">
        <v>2.5</v>
      </c>
      <c r="I1371" s="16">
        <v>7</v>
      </c>
      <c r="J1371" s="16">
        <v>1261</v>
      </c>
      <c r="K1371" s="16">
        <v>13.16</v>
      </c>
      <c r="L1371" s="16">
        <v>70.900000000000006</v>
      </c>
      <c r="M1371" s="16">
        <v>3</v>
      </c>
      <c r="N1371" s="18">
        <f>IF(Risk_Calculation_Engine!U1371="Low",1,IF(Risk_Calculation_Engine!U1371="Medium",2,3))</f>
        <v>3</v>
      </c>
      <c r="O1371" s="18" t="str">
        <f>Risk_Calculation_Engine!U1371</f>
        <v>High</v>
      </c>
    </row>
    <row r="1372" spans="1:15" ht="15" customHeight="1" x14ac:dyDescent="0.25">
      <c r="A1372" s="16">
        <v>1368</v>
      </c>
      <c r="B1372" s="16">
        <v>53.6</v>
      </c>
      <c r="C1372" s="16">
        <v>4</v>
      </c>
      <c r="D1372" s="16">
        <v>189.1</v>
      </c>
      <c r="E1372" s="17">
        <f t="shared" si="21"/>
        <v>14.61</v>
      </c>
      <c r="F1372" s="16">
        <v>3</v>
      </c>
      <c r="G1372" s="16">
        <v>4</v>
      </c>
      <c r="H1372" s="16">
        <v>1.0900000000000001</v>
      </c>
      <c r="I1372" s="16">
        <v>6</v>
      </c>
      <c r="J1372" s="16">
        <v>525</v>
      </c>
      <c r="K1372" s="16">
        <v>9.7899999999999991</v>
      </c>
      <c r="L1372" s="16">
        <v>70.400000000000006</v>
      </c>
      <c r="M1372" s="16">
        <v>1</v>
      </c>
      <c r="N1372" s="18">
        <f>IF(Risk_Calculation_Engine!U1372="Low",1,IF(Risk_Calculation_Engine!U1372="Medium",2,3))</f>
        <v>1</v>
      </c>
      <c r="O1372" s="18" t="str">
        <f>Risk_Calculation_Engine!U1372</f>
        <v>Low</v>
      </c>
    </row>
    <row r="1373" spans="1:15" ht="15" customHeight="1" x14ac:dyDescent="0.25">
      <c r="A1373" s="16">
        <v>1369</v>
      </c>
      <c r="B1373" s="16">
        <v>149.80000000000001</v>
      </c>
      <c r="C1373" s="16">
        <v>3</v>
      </c>
      <c r="D1373" s="16">
        <v>591.29999999999995</v>
      </c>
      <c r="E1373" s="17">
        <f t="shared" si="21"/>
        <v>15.43</v>
      </c>
      <c r="F1373" s="16">
        <v>3</v>
      </c>
      <c r="G1373" s="16">
        <v>7</v>
      </c>
      <c r="H1373" s="16">
        <v>1.42</v>
      </c>
      <c r="I1373" s="16">
        <v>13</v>
      </c>
      <c r="J1373" s="16">
        <v>1007</v>
      </c>
      <c r="K1373" s="16">
        <v>6.72</v>
      </c>
      <c r="L1373" s="16">
        <v>78.7</v>
      </c>
      <c r="M1373" s="16">
        <v>3</v>
      </c>
      <c r="N1373" s="18">
        <f>IF(Risk_Calculation_Engine!U1373="Low",1,IF(Risk_Calculation_Engine!U1373="Medium",2,3))</f>
        <v>3</v>
      </c>
      <c r="O1373" s="18" t="str">
        <f>Risk_Calculation_Engine!U1373</f>
        <v>High</v>
      </c>
    </row>
    <row r="1374" spans="1:15" ht="15" customHeight="1" x14ac:dyDescent="0.25">
      <c r="A1374" s="16">
        <v>1370</v>
      </c>
      <c r="B1374" s="16">
        <v>40.9</v>
      </c>
      <c r="C1374" s="16">
        <v>5</v>
      </c>
      <c r="D1374" s="16">
        <v>286.3</v>
      </c>
      <c r="E1374" s="17">
        <f t="shared" si="21"/>
        <v>7.16</v>
      </c>
      <c r="F1374" s="16">
        <v>1</v>
      </c>
      <c r="G1374" s="16">
        <v>5</v>
      </c>
      <c r="H1374" s="16">
        <v>2.5</v>
      </c>
      <c r="I1374" s="16">
        <v>4</v>
      </c>
      <c r="J1374" s="16">
        <v>808</v>
      </c>
      <c r="K1374" s="16">
        <v>19.760000000000002</v>
      </c>
      <c r="L1374" s="16">
        <v>56.4</v>
      </c>
      <c r="M1374" s="16">
        <v>3</v>
      </c>
      <c r="N1374" s="18">
        <f>IF(Risk_Calculation_Engine!U1374="Low",1,IF(Risk_Calculation_Engine!U1374="Medium",2,3))</f>
        <v>3</v>
      </c>
      <c r="O1374" s="18" t="str">
        <f>Risk_Calculation_Engine!U1374</f>
        <v>High</v>
      </c>
    </row>
    <row r="1375" spans="1:15" ht="15" customHeight="1" x14ac:dyDescent="0.25">
      <c r="A1375" s="16">
        <v>1371</v>
      </c>
      <c r="B1375" s="16">
        <v>23.2</v>
      </c>
      <c r="C1375" s="16">
        <v>3</v>
      </c>
      <c r="D1375" s="16">
        <v>62.3</v>
      </c>
      <c r="E1375" s="17">
        <f t="shared" si="21"/>
        <v>8.98</v>
      </c>
      <c r="F1375" s="16">
        <v>3</v>
      </c>
      <c r="G1375" s="16">
        <v>2</v>
      </c>
      <c r="H1375" s="16">
        <v>1.3</v>
      </c>
      <c r="I1375" s="16">
        <v>12</v>
      </c>
      <c r="J1375" s="16">
        <v>81</v>
      </c>
      <c r="K1375" s="16">
        <v>3.49</v>
      </c>
      <c r="L1375" s="16">
        <v>61.1</v>
      </c>
      <c r="M1375" s="16">
        <v>2</v>
      </c>
      <c r="N1375" s="18">
        <f>IF(Risk_Calculation_Engine!U1375="Low",1,IF(Risk_Calculation_Engine!U1375="Medium",2,3))</f>
        <v>1</v>
      </c>
      <c r="O1375" s="18" t="str">
        <f>Risk_Calculation_Engine!U1375</f>
        <v>Low</v>
      </c>
    </row>
    <row r="1376" spans="1:15" ht="15" customHeight="1" x14ac:dyDescent="0.25">
      <c r="A1376" s="16">
        <v>1372</v>
      </c>
      <c r="B1376" s="16">
        <v>33.700000000000003</v>
      </c>
      <c r="C1376" s="16">
        <v>4</v>
      </c>
      <c r="D1376" s="16">
        <v>220.7</v>
      </c>
      <c r="E1376" s="17">
        <f t="shared" si="21"/>
        <v>17.149999999999999</v>
      </c>
      <c r="F1376" s="16">
        <v>1</v>
      </c>
      <c r="G1376" s="16">
        <v>4</v>
      </c>
      <c r="H1376" s="16">
        <v>0.97</v>
      </c>
      <c r="I1376" s="16">
        <v>10</v>
      </c>
      <c r="J1376" s="16">
        <v>433</v>
      </c>
      <c r="K1376" s="16">
        <v>12.85</v>
      </c>
      <c r="L1376" s="16">
        <v>39.9</v>
      </c>
      <c r="M1376" s="16">
        <v>1</v>
      </c>
      <c r="N1376" s="18">
        <f>IF(Risk_Calculation_Engine!U1376="Low",1,IF(Risk_Calculation_Engine!U1376="Medium",2,3))</f>
        <v>1</v>
      </c>
      <c r="O1376" s="18" t="str">
        <f>Risk_Calculation_Engine!U1376</f>
        <v>Low</v>
      </c>
    </row>
    <row r="1377" spans="1:15" ht="15" customHeight="1" x14ac:dyDescent="0.25">
      <c r="A1377" s="16">
        <v>1373</v>
      </c>
      <c r="B1377" s="16">
        <v>133.30000000000001</v>
      </c>
      <c r="C1377" s="16">
        <v>2</v>
      </c>
      <c r="D1377" s="16">
        <v>526.9</v>
      </c>
      <c r="E1377" s="17">
        <f t="shared" si="21"/>
        <v>14.74</v>
      </c>
      <c r="F1377" s="16">
        <v>2</v>
      </c>
      <c r="G1377" s="16">
        <v>5</v>
      </c>
      <c r="H1377" s="16">
        <v>1.44</v>
      </c>
      <c r="I1377" s="16">
        <v>3</v>
      </c>
      <c r="J1377" s="16">
        <v>705</v>
      </c>
      <c r="K1377" s="16">
        <v>5.29</v>
      </c>
      <c r="L1377" s="16">
        <v>73.099999999999994</v>
      </c>
      <c r="M1377" s="16">
        <v>1</v>
      </c>
      <c r="N1377" s="18">
        <f>IF(Risk_Calculation_Engine!U1377="Low",1,IF(Risk_Calculation_Engine!U1377="Medium",2,3))</f>
        <v>2</v>
      </c>
      <c r="O1377" s="18" t="str">
        <f>Risk_Calculation_Engine!U1377</f>
        <v>Medium</v>
      </c>
    </row>
    <row r="1378" spans="1:15" ht="15" customHeight="1" x14ac:dyDescent="0.25">
      <c r="A1378" s="16">
        <v>1374</v>
      </c>
      <c r="B1378" s="16">
        <v>66.5</v>
      </c>
      <c r="C1378" s="16">
        <v>3</v>
      </c>
      <c r="D1378" s="16">
        <v>255</v>
      </c>
      <c r="E1378" s="17">
        <f t="shared" si="21"/>
        <v>7.63</v>
      </c>
      <c r="F1378" s="16">
        <v>3</v>
      </c>
      <c r="G1378" s="16">
        <v>8</v>
      </c>
      <c r="H1378" s="16">
        <v>2.27</v>
      </c>
      <c r="I1378" s="16">
        <v>10</v>
      </c>
      <c r="J1378" s="16">
        <v>442</v>
      </c>
      <c r="K1378" s="16">
        <v>6.65</v>
      </c>
      <c r="L1378" s="16">
        <v>80</v>
      </c>
      <c r="M1378" s="16">
        <v>1</v>
      </c>
      <c r="N1378" s="18">
        <f>IF(Risk_Calculation_Engine!U1378="Low",1,IF(Risk_Calculation_Engine!U1378="Medium",2,3))</f>
        <v>2</v>
      </c>
      <c r="O1378" s="18" t="str">
        <f>Risk_Calculation_Engine!U1378</f>
        <v>Medium</v>
      </c>
    </row>
    <row r="1379" spans="1:15" ht="15" customHeight="1" x14ac:dyDescent="0.25">
      <c r="A1379" s="16">
        <v>1375</v>
      </c>
      <c r="B1379" s="16">
        <v>58.8</v>
      </c>
      <c r="C1379" s="16">
        <v>3</v>
      </c>
      <c r="D1379" s="16">
        <v>283.5</v>
      </c>
      <c r="E1379" s="17">
        <f t="shared" si="21"/>
        <v>13.83</v>
      </c>
      <c r="F1379" s="16">
        <v>2</v>
      </c>
      <c r="G1379" s="16">
        <v>7</v>
      </c>
      <c r="H1379" s="16">
        <v>1.29</v>
      </c>
      <c r="I1379" s="16">
        <v>12</v>
      </c>
      <c r="J1379" s="16">
        <v>276</v>
      </c>
      <c r="K1379" s="16">
        <v>4.6900000000000004</v>
      </c>
      <c r="L1379" s="16">
        <v>37.4</v>
      </c>
      <c r="M1379" s="16">
        <v>1</v>
      </c>
      <c r="N1379" s="18">
        <f>IF(Risk_Calculation_Engine!U1379="Low",1,IF(Risk_Calculation_Engine!U1379="Medium",2,3))</f>
        <v>1</v>
      </c>
      <c r="O1379" s="18" t="str">
        <f>Risk_Calculation_Engine!U1379</f>
        <v>Low</v>
      </c>
    </row>
    <row r="1380" spans="1:15" ht="15" customHeight="1" x14ac:dyDescent="0.25">
      <c r="A1380" s="16">
        <v>1376</v>
      </c>
      <c r="B1380" s="16">
        <v>41.4</v>
      </c>
      <c r="C1380" s="16">
        <v>3</v>
      </c>
      <c r="D1380" s="16">
        <v>197.3</v>
      </c>
      <c r="E1380" s="17">
        <f t="shared" si="21"/>
        <v>7.57</v>
      </c>
      <c r="F1380" s="16">
        <v>2</v>
      </c>
      <c r="G1380" s="16">
        <v>2</v>
      </c>
      <c r="H1380" s="16">
        <v>2.13</v>
      </c>
      <c r="I1380" s="16">
        <v>12</v>
      </c>
      <c r="J1380" s="16">
        <v>304</v>
      </c>
      <c r="K1380" s="16">
        <v>7.34</v>
      </c>
      <c r="L1380" s="16">
        <v>76.5</v>
      </c>
      <c r="M1380" s="16">
        <v>2</v>
      </c>
      <c r="N1380" s="18">
        <f>IF(Risk_Calculation_Engine!U1380="Low",1,IF(Risk_Calculation_Engine!U1380="Medium",2,3))</f>
        <v>2</v>
      </c>
      <c r="O1380" s="18" t="str">
        <f>Risk_Calculation_Engine!U1380</f>
        <v>Medium</v>
      </c>
    </row>
    <row r="1381" spans="1:15" ht="15" customHeight="1" x14ac:dyDescent="0.25">
      <c r="A1381" s="16">
        <v>1377</v>
      </c>
      <c r="B1381" s="16">
        <v>56.2</v>
      </c>
      <c r="C1381" s="16">
        <v>5</v>
      </c>
      <c r="D1381" s="16">
        <v>295.10000000000002</v>
      </c>
      <c r="E1381" s="17">
        <f t="shared" si="21"/>
        <v>18.41</v>
      </c>
      <c r="F1381" s="16">
        <v>2</v>
      </c>
      <c r="G1381" s="16">
        <v>6</v>
      </c>
      <c r="H1381" s="16">
        <v>0.98</v>
      </c>
      <c r="I1381" s="16">
        <v>9</v>
      </c>
      <c r="J1381" s="16">
        <v>1215</v>
      </c>
      <c r="K1381" s="16">
        <v>21.62</v>
      </c>
      <c r="L1381" s="16">
        <v>57.4</v>
      </c>
      <c r="M1381" s="16">
        <v>3</v>
      </c>
      <c r="N1381" s="18">
        <f>IF(Risk_Calculation_Engine!U1381="Low",1,IF(Risk_Calculation_Engine!U1381="Medium",2,3))</f>
        <v>2</v>
      </c>
      <c r="O1381" s="18" t="str">
        <f>Risk_Calculation_Engine!U1381</f>
        <v>Medium</v>
      </c>
    </row>
    <row r="1382" spans="1:15" ht="15" customHeight="1" x14ac:dyDescent="0.25">
      <c r="A1382" s="16">
        <v>1378</v>
      </c>
      <c r="B1382" s="16">
        <v>38.9</v>
      </c>
      <c r="C1382" s="16">
        <v>5</v>
      </c>
      <c r="D1382" s="16">
        <v>321.89999999999998</v>
      </c>
      <c r="E1382" s="17">
        <f t="shared" si="21"/>
        <v>15.94</v>
      </c>
      <c r="F1382" s="16">
        <v>1</v>
      </c>
      <c r="G1382" s="16">
        <v>6</v>
      </c>
      <c r="H1382" s="16">
        <v>1.1599999999999999</v>
      </c>
      <c r="I1382" s="16">
        <v>7</v>
      </c>
      <c r="J1382" s="16">
        <v>989</v>
      </c>
      <c r="K1382" s="16">
        <v>25.42</v>
      </c>
      <c r="L1382" s="16">
        <v>42.9</v>
      </c>
      <c r="M1382" s="16">
        <v>2</v>
      </c>
      <c r="N1382" s="18">
        <f>IF(Risk_Calculation_Engine!U1382="Low",1,IF(Risk_Calculation_Engine!U1382="Medium",2,3))</f>
        <v>2</v>
      </c>
      <c r="O1382" s="18" t="str">
        <f>Risk_Calculation_Engine!U1382</f>
        <v>Medium</v>
      </c>
    </row>
    <row r="1383" spans="1:15" ht="15" customHeight="1" x14ac:dyDescent="0.25">
      <c r="A1383" s="16">
        <v>1379</v>
      </c>
      <c r="B1383" s="16">
        <v>102.8</v>
      </c>
      <c r="C1383" s="16">
        <v>2</v>
      </c>
      <c r="D1383" s="16">
        <v>589.79999999999995</v>
      </c>
      <c r="E1383" s="17">
        <f t="shared" si="21"/>
        <v>15.1</v>
      </c>
      <c r="F1383" s="16">
        <v>1</v>
      </c>
      <c r="G1383" s="16">
        <v>3</v>
      </c>
      <c r="H1383" s="16">
        <v>1.45</v>
      </c>
      <c r="I1383" s="16">
        <v>5</v>
      </c>
      <c r="J1383" s="16">
        <v>254</v>
      </c>
      <c r="K1383" s="16">
        <v>2.4700000000000002</v>
      </c>
      <c r="L1383" s="16">
        <v>66.599999999999994</v>
      </c>
      <c r="M1383" s="16">
        <v>2</v>
      </c>
      <c r="N1383" s="18">
        <f>IF(Risk_Calculation_Engine!U1383="Low",1,IF(Risk_Calculation_Engine!U1383="Medium",2,3))</f>
        <v>1</v>
      </c>
      <c r="O1383" s="18" t="str">
        <f>Risk_Calculation_Engine!U1383</f>
        <v>Low</v>
      </c>
    </row>
    <row r="1384" spans="1:15" ht="15" customHeight="1" x14ac:dyDescent="0.25">
      <c r="A1384" s="16">
        <v>1380</v>
      </c>
      <c r="B1384" s="16">
        <v>49.4</v>
      </c>
      <c r="C1384" s="16">
        <v>3</v>
      </c>
      <c r="D1384" s="16">
        <v>258.3</v>
      </c>
      <c r="E1384" s="17">
        <f t="shared" si="21"/>
        <v>6.95</v>
      </c>
      <c r="F1384" s="16">
        <v>1</v>
      </c>
      <c r="G1384" s="16">
        <v>4</v>
      </c>
      <c r="H1384" s="16">
        <v>2.5</v>
      </c>
      <c r="I1384" s="16">
        <v>3</v>
      </c>
      <c r="J1384" s="16">
        <v>418</v>
      </c>
      <c r="K1384" s="16">
        <v>8.4600000000000009</v>
      </c>
      <c r="L1384" s="16">
        <v>68.599999999999994</v>
      </c>
      <c r="M1384" s="16">
        <v>3</v>
      </c>
      <c r="N1384" s="18">
        <f>IF(Risk_Calculation_Engine!U1384="Low",1,IF(Risk_Calculation_Engine!U1384="Medium",2,3))</f>
        <v>2</v>
      </c>
      <c r="O1384" s="18" t="str">
        <f>Risk_Calculation_Engine!U1384</f>
        <v>Medium</v>
      </c>
    </row>
    <row r="1385" spans="1:15" ht="15" customHeight="1" x14ac:dyDescent="0.25">
      <c r="A1385" s="16">
        <v>1381</v>
      </c>
      <c r="B1385" s="16">
        <v>34.299999999999997</v>
      </c>
      <c r="C1385" s="16">
        <v>3</v>
      </c>
      <c r="D1385" s="16">
        <v>213.8</v>
      </c>
      <c r="E1385" s="17">
        <f t="shared" si="21"/>
        <v>12.12</v>
      </c>
      <c r="F1385" s="16">
        <v>1</v>
      </c>
      <c r="G1385" s="16">
        <v>9</v>
      </c>
      <c r="H1385" s="16">
        <v>1.36</v>
      </c>
      <c r="I1385" s="16">
        <v>7</v>
      </c>
      <c r="J1385" s="16">
        <v>285</v>
      </c>
      <c r="K1385" s="16">
        <v>8.31</v>
      </c>
      <c r="L1385" s="16">
        <v>65.3</v>
      </c>
      <c r="M1385" s="16">
        <v>3</v>
      </c>
      <c r="N1385" s="18">
        <f>IF(Risk_Calculation_Engine!U1385="Low",1,IF(Risk_Calculation_Engine!U1385="Medium",2,3))</f>
        <v>2</v>
      </c>
      <c r="O1385" s="18" t="str">
        <f>Risk_Calculation_Engine!U1385</f>
        <v>Medium</v>
      </c>
    </row>
    <row r="1386" spans="1:15" ht="15" customHeight="1" x14ac:dyDescent="0.25">
      <c r="A1386" s="16">
        <v>1382</v>
      </c>
      <c r="B1386" s="16">
        <v>125.3</v>
      </c>
      <c r="C1386" s="16">
        <v>3</v>
      </c>
      <c r="D1386" s="16">
        <v>660.5</v>
      </c>
      <c r="E1386" s="17">
        <f t="shared" si="21"/>
        <v>17.66</v>
      </c>
      <c r="F1386" s="16">
        <v>2</v>
      </c>
      <c r="G1386" s="16">
        <v>5</v>
      </c>
      <c r="H1386" s="16">
        <v>1.28</v>
      </c>
      <c r="I1386" s="16">
        <v>11</v>
      </c>
      <c r="J1386" s="16">
        <v>600</v>
      </c>
      <c r="K1386" s="16">
        <v>4.79</v>
      </c>
      <c r="L1386" s="16">
        <v>91.6</v>
      </c>
      <c r="M1386" s="16">
        <v>2</v>
      </c>
      <c r="N1386" s="18">
        <f>IF(Risk_Calculation_Engine!U1386="Low",1,IF(Risk_Calculation_Engine!U1386="Medium",2,3))</f>
        <v>1</v>
      </c>
      <c r="O1386" s="18" t="str">
        <f>Risk_Calculation_Engine!U1386</f>
        <v>Low</v>
      </c>
    </row>
    <row r="1387" spans="1:15" ht="15" customHeight="1" x14ac:dyDescent="0.25">
      <c r="A1387" s="16">
        <v>1383</v>
      </c>
      <c r="B1387" s="16">
        <v>23.9</v>
      </c>
      <c r="C1387" s="16">
        <v>3</v>
      </c>
      <c r="D1387" s="16">
        <v>108.5</v>
      </c>
      <c r="E1387" s="17">
        <f t="shared" si="21"/>
        <v>10.65</v>
      </c>
      <c r="F1387" s="16">
        <v>2</v>
      </c>
      <c r="G1387" s="16">
        <v>4</v>
      </c>
      <c r="H1387" s="16">
        <v>1.28</v>
      </c>
      <c r="I1387" s="16">
        <v>3</v>
      </c>
      <c r="J1387" s="16">
        <v>174</v>
      </c>
      <c r="K1387" s="16">
        <v>7.28</v>
      </c>
      <c r="L1387" s="16">
        <v>44.5</v>
      </c>
      <c r="M1387" s="16">
        <v>2</v>
      </c>
      <c r="N1387" s="18">
        <f>IF(Risk_Calculation_Engine!U1387="Low",1,IF(Risk_Calculation_Engine!U1387="Medium",2,3))</f>
        <v>1</v>
      </c>
      <c r="O1387" s="18" t="str">
        <f>Risk_Calculation_Engine!U1387</f>
        <v>Low</v>
      </c>
    </row>
    <row r="1388" spans="1:15" ht="15" customHeight="1" x14ac:dyDescent="0.25">
      <c r="A1388" s="16">
        <v>1384</v>
      </c>
      <c r="B1388" s="16">
        <v>67.3</v>
      </c>
      <c r="C1388" s="16">
        <v>5</v>
      </c>
      <c r="D1388" s="16">
        <v>457.2</v>
      </c>
      <c r="E1388" s="17">
        <f t="shared" si="21"/>
        <v>9.57</v>
      </c>
      <c r="F1388" s="16">
        <v>2</v>
      </c>
      <c r="G1388" s="16">
        <v>4</v>
      </c>
      <c r="H1388" s="16">
        <v>2.13</v>
      </c>
      <c r="I1388" s="16">
        <v>15</v>
      </c>
      <c r="J1388" s="16">
        <v>925</v>
      </c>
      <c r="K1388" s="16">
        <v>13.74</v>
      </c>
      <c r="L1388" s="16">
        <v>39.5</v>
      </c>
      <c r="M1388" s="16">
        <v>2</v>
      </c>
      <c r="N1388" s="18">
        <f>IF(Risk_Calculation_Engine!U1388="Low",1,IF(Risk_Calculation_Engine!U1388="Medium",2,3))</f>
        <v>3</v>
      </c>
      <c r="O1388" s="18" t="str">
        <f>Risk_Calculation_Engine!U1388</f>
        <v>High</v>
      </c>
    </row>
    <row r="1389" spans="1:15" ht="15" customHeight="1" x14ac:dyDescent="0.25">
      <c r="A1389" s="16">
        <v>1385</v>
      </c>
      <c r="B1389" s="16">
        <v>6.5</v>
      </c>
      <c r="C1389" s="16">
        <v>4</v>
      </c>
      <c r="D1389" s="16">
        <v>23.8</v>
      </c>
      <c r="E1389" s="17">
        <f t="shared" si="21"/>
        <v>3.75</v>
      </c>
      <c r="F1389" s="16">
        <v>2</v>
      </c>
      <c r="G1389" s="16">
        <v>7</v>
      </c>
      <c r="H1389" s="16">
        <v>2.38</v>
      </c>
      <c r="I1389" s="16">
        <v>10</v>
      </c>
      <c r="J1389" s="16">
        <v>48</v>
      </c>
      <c r="K1389" s="16">
        <v>7.38</v>
      </c>
      <c r="L1389" s="16">
        <v>48.2</v>
      </c>
      <c r="M1389" s="16">
        <v>2</v>
      </c>
      <c r="N1389" s="18">
        <f>IF(Risk_Calculation_Engine!U1389="Low",1,IF(Risk_Calculation_Engine!U1389="Medium",2,3))</f>
        <v>3</v>
      </c>
      <c r="O1389" s="18" t="str">
        <f>Risk_Calculation_Engine!U1389</f>
        <v>High</v>
      </c>
    </row>
    <row r="1390" spans="1:15" ht="15" customHeight="1" x14ac:dyDescent="0.25">
      <c r="A1390" s="16">
        <v>1386</v>
      </c>
      <c r="B1390" s="16">
        <v>14.8</v>
      </c>
      <c r="C1390" s="16">
        <v>1</v>
      </c>
      <c r="D1390" s="16">
        <v>63.4</v>
      </c>
      <c r="E1390" s="17">
        <f t="shared" si="21"/>
        <v>4.6900000000000004</v>
      </c>
      <c r="F1390" s="16">
        <v>1</v>
      </c>
      <c r="G1390" s="16">
        <v>7</v>
      </c>
      <c r="H1390" s="16">
        <v>2.5</v>
      </c>
      <c r="I1390" s="16">
        <v>6</v>
      </c>
      <c r="J1390" s="16">
        <v>34</v>
      </c>
      <c r="K1390" s="16">
        <v>2.2999999999999998</v>
      </c>
      <c r="L1390" s="16">
        <v>85.7</v>
      </c>
      <c r="M1390" s="16">
        <v>1</v>
      </c>
      <c r="N1390" s="18">
        <f>IF(Risk_Calculation_Engine!U1390="Low",1,IF(Risk_Calculation_Engine!U1390="Medium",2,3))</f>
        <v>2</v>
      </c>
      <c r="O1390" s="18" t="str">
        <f>Risk_Calculation_Engine!U1390</f>
        <v>Medium</v>
      </c>
    </row>
    <row r="1391" spans="1:15" ht="15" customHeight="1" x14ac:dyDescent="0.25">
      <c r="A1391" s="16">
        <v>1387</v>
      </c>
      <c r="B1391" s="16">
        <v>44.9</v>
      </c>
      <c r="C1391" s="16">
        <v>3</v>
      </c>
      <c r="D1391" s="16">
        <v>299.60000000000002</v>
      </c>
      <c r="E1391" s="17">
        <f t="shared" si="21"/>
        <v>7.25</v>
      </c>
      <c r="F1391" s="16">
        <v>1</v>
      </c>
      <c r="G1391" s="16">
        <v>4</v>
      </c>
      <c r="H1391" s="16">
        <v>2.5</v>
      </c>
      <c r="I1391" s="16">
        <v>15</v>
      </c>
      <c r="J1391" s="16">
        <v>148</v>
      </c>
      <c r="K1391" s="16">
        <v>3.3</v>
      </c>
      <c r="L1391" s="16">
        <v>93.7</v>
      </c>
      <c r="M1391" s="16">
        <v>2</v>
      </c>
      <c r="N1391" s="18">
        <f>IF(Risk_Calculation_Engine!U1391="Low",1,IF(Risk_Calculation_Engine!U1391="Medium",2,3))</f>
        <v>2</v>
      </c>
      <c r="O1391" s="18" t="str">
        <f>Risk_Calculation_Engine!U1391</f>
        <v>Medium</v>
      </c>
    </row>
    <row r="1392" spans="1:15" ht="15" customHeight="1" x14ac:dyDescent="0.25">
      <c r="A1392" s="16">
        <v>1388</v>
      </c>
      <c r="B1392" s="16">
        <v>38.200000000000003</v>
      </c>
      <c r="C1392" s="16">
        <v>4</v>
      </c>
      <c r="D1392" s="16">
        <v>149.6</v>
      </c>
      <c r="E1392" s="17">
        <f t="shared" si="21"/>
        <v>7.89</v>
      </c>
      <c r="F1392" s="16">
        <v>3</v>
      </c>
      <c r="G1392" s="16">
        <v>1</v>
      </c>
      <c r="H1392" s="16">
        <v>1.89</v>
      </c>
      <c r="I1392" s="16">
        <v>5</v>
      </c>
      <c r="J1392" s="16">
        <v>228</v>
      </c>
      <c r="K1392" s="16">
        <v>5.97</v>
      </c>
      <c r="L1392" s="16">
        <v>31.9</v>
      </c>
      <c r="M1392" s="16">
        <v>2</v>
      </c>
      <c r="N1392" s="18">
        <f>IF(Risk_Calculation_Engine!U1392="Low",1,IF(Risk_Calculation_Engine!U1392="Medium",2,3))</f>
        <v>2</v>
      </c>
      <c r="O1392" s="18" t="str">
        <f>Risk_Calculation_Engine!U1392</f>
        <v>Medium</v>
      </c>
    </row>
    <row r="1393" spans="1:15" ht="15" customHeight="1" x14ac:dyDescent="0.25">
      <c r="A1393" s="16">
        <v>1389</v>
      </c>
      <c r="B1393" s="16">
        <v>38.200000000000003</v>
      </c>
      <c r="C1393" s="16">
        <v>3</v>
      </c>
      <c r="D1393" s="16">
        <v>109.5</v>
      </c>
      <c r="E1393" s="17">
        <f t="shared" si="21"/>
        <v>11.2</v>
      </c>
      <c r="F1393" s="16">
        <v>3</v>
      </c>
      <c r="G1393" s="16">
        <v>2</v>
      </c>
      <c r="H1393" s="16">
        <v>1.22</v>
      </c>
      <c r="I1393" s="16">
        <v>15</v>
      </c>
      <c r="J1393" s="16">
        <v>266</v>
      </c>
      <c r="K1393" s="16">
        <v>6.96</v>
      </c>
      <c r="L1393" s="16">
        <v>82.6</v>
      </c>
      <c r="M1393" s="16">
        <v>2</v>
      </c>
      <c r="N1393" s="18">
        <f>IF(Risk_Calculation_Engine!U1393="Low",1,IF(Risk_Calculation_Engine!U1393="Medium",2,3))</f>
        <v>1</v>
      </c>
      <c r="O1393" s="18" t="str">
        <f>Risk_Calculation_Engine!U1393</f>
        <v>Low</v>
      </c>
    </row>
    <row r="1394" spans="1:15" ht="15" customHeight="1" x14ac:dyDescent="0.25">
      <c r="A1394" s="16">
        <v>1390</v>
      </c>
      <c r="B1394" s="16">
        <v>110.4</v>
      </c>
      <c r="C1394" s="16">
        <v>2</v>
      </c>
      <c r="D1394" s="16">
        <v>438.5</v>
      </c>
      <c r="E1394" s="17">
        <f t="shared" si="21"/>
        <v>13.17</v>
      </c>
      <c r="F1394" s="16">
        <v>2</v>
      </c>
      <c r="G1394" s="16">
        <v>7</v>
      </c>
      <c r="H1394" s="16">
        <v>1.53</v>
      </c>
      <c r="I1394" s="16">
        <v>6</v>
      </c>
      <c r="J1394" s="16">
        <v>641</v>
      </c>
      <c r="K1394" s="16">
        <v>5.81</v>
      </c>
      <c r="L1394" s="16">
        <v>59.7</v>
      </c>
      <c r="M1394" s="16">
        <v>3</v>
      </c>
      <c r="N1394" s="18">
        <f>IF(Risk_Calculation_Engine!U1394="Low",1,IF(Risk_Calculation_Engine!U1394="Medium",2,3))</f>
        <v>2</v>
      </c>
      <c r="O1394" s="18" t="str">
        <f>Risk_Calculation_Engine!U1394</f>
        <v>Medium</v>
      </c>
    </row>
    <row r="1395" spans="1:15" ht="15" customHeight="1" x14ac:dyDescent="0.25">
      <c r="A1395" s="16">
        <v>1391</v>
      </c>
      <c r="B1395" s="16">
        <v>115.2</v>
      </c>
      <c r="C1395" s="16">
        <v>3</v>
      </c>
      <c r="D1395" s="16">
        <v>653.4</v>
      </c>
      <c r="E1395" s="17">
        <f t="shared" si="21"/>
        <v>20.3</v>
      </c>
      <c r="F1395" s="16">
        <v>1</v>
      </c>
      <c r="G1395" s="16">
        <v>10</v>
      </c>
      <c r="H1395" s="16">
        <v>1.1100000000000001</v>
      </c>
      <c r="I1395" s="16">
        <v>7</v>
      </c>
      <c r="J1395" s="16">
        <v>369</v>
      </c>
      <c r="K1395" s="16">
        <v>3.2</v>
      </c>
      <c r="L1395" s="16">
        <v>42</v>
      </c>
      <c r="M1395" s="16">
        <v>3</v>
      </c>
      <c r="N1395" s="18">
        <f>IF(Risk_Calculation_Engine!U1395="Low",1,IF(Risk_Calculation_Engine!U1395="Medium",2,3))</f>
        <v>2</v>
      </c>
      <c r="O1395" s="18" t="str">
        <f>Risk_Calculation_Engine!U1395</f>
        <v>Medium</v>
      </c>
    </row>
    <row r="1396" spans="1:15" ht="15" customHeight="1" x14ac:dyDescent="0.25">
      <c r="A1396" s="16">
        <v>1392</v>
      </c>
      <c r="B1396" s="16">
        <v>78.099999999999994</v>
      </c>
      <c r="C1396" s="16">
        <v>3</v>
      </c>
      <c r="D1396" s="16">
        <v>226.1</v>
      </c>
      <c r="E1396" s="17">
        <f t="shared" si="21"/>
        <v>9.6199999999999992</v>
      </c>
      <c r="F1396" s="16">
        <v>3</v>
      </c>
      <c r="G1396" s="16">
        <v>5</v>
      </c>
      <c r="H1396" s="16">
        <v>1.74</v>
      </c>
      <c r="I1396" s="16">
        <v>8</v>
      </c>
      <c r="J1396" s="16">
        <v>245</v>
      </c>
      <c r="K1396" s="16">
        <v>3.14</v>
      </c>
      <c r="L1396" s="16">
        <v>91.8</v>
      </c>
      <c r="M1396" s="16">
        <v>2</v>
      </c>
      <c r="N1396" s="18">
        <f>IF(Risk_Calculation_Engine!U1396="Low",1,IF(Risk_Calculation_Engine!U1396="Medium",2,3))</f>
        <v>1</v>
      </c>
      <c r="O1396" s="18" t="str">
        <f>Risk_Calculation_Engine!U1396</f>
        <v>Low</v>
      </c>
    </row>
    <row r="1397" spans="1:15" ht="15" customHeight="1" x14ac:dyDescent="0.25">
      <c r="A1397" s="16">
        <v>1393</v>
      </c>
      <c r="B1397" s="16">
        <v>22.6</v>
      </c>
      <c r="C1397" s="16">
        <v>2</v>
      </c>
      <c r="D1397" s="16">
        <v>66.5</v>
      </c>
      <c r="E1397" s="17">
        <f t="shared" si="21"/>
        <v>10.07</v>
      </c>
      <c r="F1397" s="16">
        <v>3</v>
      </c>
      <c r="G1397" s="16">
        <v>5</v>
      </c>
      <c r="H1397" s="16">
        <v>1.18</v>
      </c>
      <c r="I1397" s="16">
        <v>15</v>
      </c>
      <c r="J1397" s="16">
        <v>52</v>
      </c>
      <c r="K1397" s="16">
        <v>2.2999999999999998</v>
      </c>
      <c r="L1397" s="16">
        <v>79</v>
      </c>
      <c r="M1397" s="16">
        <v>1</v>
      </c>
      <c r="N1397" s="18">
        <f>IF(Risk_Calculation_Engine!U1397="Low",1,IF(Risk_Calculation_Engine!U1397="Medium",2,3))</f>
        <v>1</v>
      </c>
      <c r="O1397" s="18" t="str">
        <f>Risk_Calculation_Engine!U1397</f>
        <v>Low</v>
      </c>
    </row>
    <row r="1398" spans="1:15" ht="15" customHeight="1" x14ac:dyDescent="0.25">
      <c r="A1398" s="16">
        <v>1394</v>
      </c>
      <c r="B1398" s="16">
        <v>55.9</v>
      </c>
      <c r="C1398" s="16">
        <v>4</v>
      </c>
      <c r="D1398" s="16">
        <v>328.3</v>
      </c>
      <c r="E1398" s="17">
        <f t="shared" si="21"/>
        <v>7.44</v>
      </c>
      <c r="F1398" s="16">
        <v>2</v>
      </c>
      <c r="G1398" s="16">
        <v>8</v>
      </c>
      <c r="H1398" s="16">
        <v>2.5</v>
      </c>
      <c r="I1398" s="16">
        <v>6</v>
      </c>
      <c r="J1398" s="16">
        <v>280</v>
      </c>
      <c r="K1398" s="16">
        <v>5.01</v>
      </c>
      <c r="L1398" s="16">
        <v>82.8</v>
      </c>
      <c r="M1398" s="16">
        <v>1</v>
      </c>
      <c r="N1398" s="18">
        <f>IF(Risk_Calculation_Engine!U1398="Low",1,IF(Risk_Calculation_Engine!U1398="Medium",2,3))</f>
        <v>3</v>
      </c>
      <c r="O1398" s="18" t="str">
        <f>Risk_Calculation_Engine!U1398</f>
        <v>High</v>
      </c>
    </row>
    <row r="1399" spans="1:15" ht="15" customHeight="1" x14ac:dyDescent="0.25">
      <c r="A1399" s="16">
        <v>1395</v>
      </c>
      <c r="B1399" s="16">
        <v>149.80000000000001</v>
      </c>
      <c r="C1399" s="16">
        <v>3</v>
      </c>
      <c r="D1399" s="16">
        <v>1119.7</v>
      </c>
      <c r="E1399" s="17">
        <f t="shared" si="21"/>
        <v>14.32</v>
      </c>
      <c r="F1399" s="16">
        <v>1</v>
      </c>
      <c r="G1399" s="16">
        <v>9</v>
      </c>
      <c r="H1399" s="16">
        <v>1.83</v>
      </c>
      <c r="I1399" s="16">
        <v>15</v>
      </c>
      <c r="J1399" s="16">
        <v>1284</v>
      </c>
      <c r="K1399" s="16">
        <v>8.57</v>
      </c>
      <c r="L1399" s="16">
        <v>79.2</v>
      </c>
      <c r="M1399" s="16">
        <v>2</v>
      </c>
      <c r="N1399" s="18">
        <f>IF(Risk_Calculation_Engine!U1399="Low",1,IF(Risk_Calculation_Engine!U1399="Medium",2,3))</f>
        <v>3</v>
      </c>
      <c r="O1399" s="18" t="str">
        <f>Risk_Calculation_Engine!U1399</f>
        <v>High</v>
      </c>
    </row>
    <row r="1400" spans="1:15" ht="15" customHeight="1" x14ac:dyDescent="0.25">
      <c r="A1400" s="16">
        <v>1396</v>
      </c>
      <c r="B1400" s="16">
        <v>149.80000000000001</v>
      </c>
      <c r="C1400" s="16">
        <v>4</v>
      </c>
      <c r="D1400" s="16">
        <v>1077.8</v>
      </c>
      <c r="E1400" s="17">
        <f t="shared" si="21"/>
        <v>10.37</v>
      </c>
      <c r="F1400" s="16">
        <v>1</v>
      </c>
      <c r="G1400" s="16">
        <v>8</v>
      </c>
      <c r="H1400" s="16">
        <v>2.5</v>
      </c>
      <c r="I1400" s="16">
        <v>7</v>
      </c>
      <c r="J1400" s="16">
        <v>1459</v>
      </c>
      <c r="K1400" s="16">
        <v>9.74</v>
      </c>
      <c r="L1400" s="16">
        <v>87.9</v>
      </c>
      <c r="M1400" s="16">
        <v>3</v>
      </c>
      <c r="N1400" s="18">
        <f>IF(Risk_Calculation_Engine!U1400="Low",1,IF(Risk_Calculation_Engine!U1400="Medium",2,3))</f>
        <v>3</v>
      </c>
      <c r="O1400" s="18" t="str">
        <f>Risk_Calculation_Engine!U1400</f>
        <v>High</v>
      </c>
    </row>
    <row r="1401" spans="1:15" ht="15" customHeight="1" x14ac:dyDescent="0.25">
      <c r="A1401" s="16">
        <v>1397</v>
      </c>
      <c r="B1401" s="16">
        <v>126.2</v>
      </c>
      <c r="C1401" s="16">
        <v>3</v>
      </c>
      <c r="D1401" s="16">
        <v>623.79999999999995</v>
      </c>
      <c r="E1401" s="17">
        <f t="shared" si="21"/>
        <v>9.51</v>
      </c>
      <c r="F1401" s="16">
        <v>2</v>
      </c>
      <c r="G1401" s="16">
        <v>7</v>
      </c>
      <c r="H1401" s="16">
        <v>2.34</v>
      </c>
      <c r="I1401" s="16">
        <v>6</v>
      </c>
      <c r="J1401" s="16">
        <v>903</v>
      </c>
      <c r="K1401" s="16">
        <v>7.16</v>
      </c>
      <c r="L1401" s="16">
        <v>48.1</v>
      </c>
      <c r="M1401" s="16">
        <v>2</v>
      </c>
      <c r="N1401" s="18">
        <f>IF(Risk_Calculation_Engine!U1401="Low",1,IF(Risk_Calculation_Engine!U1401="Medium",2,3))</f>
        <v>3</v>
      </c>
      <c r="O1401" s="18" t="str">
        <f>Risk_Calculation_Engine!U1401</f>
        <v>High</v>
      </c>
    </row>
    <row r="1402" spans="1:15" ht="15" customHeight="1" x14ac:dyDescent="0.25">
      <c r="A1402" s="16">
        <v>1398</v>
      </c>
      <c r="B1402" s="16">
        <v>23.6</v>
      </c>
      <c r="C1402" s="16">
        <v>5</v>
      </c>
      <c r="D1402" s="16">
        <v>95.4</v>
      </c>
      <c r="E1402" s="17">
        <f t="shared" si="21"/>
        <v>5.87</v>
      </c>
      <c r="F1402" s="16">
        <v>3</v>
      </c>
      <c r="G1402" s="16">
        <v>5</v>
      </c>
      <c r="H1402" s="16">
        <v>2.2400000000000002</v>
      </c>
      <c r="I1402" s="16">
        <v>11</v>
      </c>
      <c r="J1402" s="16">
        <v>389</v>
      </c>
      <c r="K1402" s="16">
        <v>16.48</v>
      </c>
      <c r="L1402" s="16">
        <v>71.599999999999994</v>
      </c>
      <c r="M1402" s="16">
        <v>1</v>
      </c>
      <c r="N1402" s="18">
        <f>IF(Risk_Calculation_Engine!U1402="Low",1,IF(Risk_Calculation_Engine!U1402="Medium",2,3))</f>
        <v>3</v>
      </c>
      <c r="O1402" s="18" t="str">
        <f>Risk_Calculation_Engine!U1402</f>
        <v>High</v>
      </c>
    </row>
    <row r="1403" spans="1:15" ht="15" customHeight="1" x14ac:dyDescent="0.25">
      <c r="A1403" s="16">
        <v>1399</v>
      </c>
      <c r="B1403" s="16">
        <v>56.3</v>
      </c>
      <c r="C1403" s="16">
        <v>2</v>
      </c>
      <c r="D1403" s="16">
        <v>215.2</v>
      </c>
      <c r="E1403" s="17">
        <f t="shared" si="21"/>
        <v>17.2</v>
      </c>
      <c r="F1403" s="16">
        <v>2</v>
      </c>
      <c r="G1403" s="16">
        <v>6</v>
      </c>
      <c r="H1403" s="16">
        <v>0.96</v>
      </c>
      <c r="I1403" s="16">
        <v>12</v>
      </c>
      <c r="J1403" s="16">
        <v>337</v>
      </c>
      <c r="K1403" s="16">
        <v>5.99</v>
      </c>
      <c r="L1403" s="16">
        <v>47.3</v>
      </c>
      <c r="M1403" s="16">
        <v>1</v>
      </c>
      <c r="N1403" s="18">
        <f>IF(Risk_Calculation_Engine!U1403="Low",1,IF(Risk_Calculation_Engine!U1403="Medium",2,3))</f>
        <v>1</v>
      </c>
      <c r="O1403" s="18" t="str">
        <f>Risk_Calculation_Engine!U1403</f>
        <v>Low</v>
      </c>
    </row>
    <row r="1404" spans="1:15" ht="15" customHeight="1" x14ac:dyDescent="0.25">
      <c r="A1404" s="16">
        <v>1400</v>
      </c>
      <c r="B1404" s="16">
        <v>74.099999999999994</v>
      </c>
      <c r="C1404" s="16">
        <v>2</v>
      </c>
      <c r="D1404" s="16">
        <v>285.3</v>
      </c>
      <c r="E1404" s="17">
        <f t="shared" si="21"/>
        <v>8.43</v>
      </c>
      <c r="F1404" s="16">
        <v>2</v>
      </c>
      <c r="G1404" s="16">
        <v>5</v>
      </c>
      <c r="H1404" s="16">
        <v>2.12</v>
      </c>
      <c r="I1404" s="16">
        <v>7</v>
      </c>
      <c r="J1404" s="16">
        <v>290</v>
      </c>
      <c r="K1404" s="16">
        <v>3.91</v>
      </c>
      <c r="L1404" s="16">
        <v>51.5</v>
      </c>
      <c r="M1404" s="16">
        <v>1</v>
      </c>
      <c r="N1404" s="18">
        <f>IF(Risk_Calculation_Engine!U1404="Low",1,IF(Risk_Calculation_Engine!U1404="Medium",2,3))</f>
        <v>2</v>
      </c>
      <c r="O1404" s="18" t="str">
        <f>Risk_Calculation_Engine!U1404</f>
        <v>Medium</v>
      </c>
    </row>
    <row r="1405" spans="1:15" ht="15" customHeight="1" x14ac:dyDescent="0.25">
      <c r="A1405" s="16">
        <v>1401</v>
      </c>
      <c r="B1405" s="16">
        <v>65.5</v>
      </c>
      <c r="C1405" s="16">
        <v>3</v>
      </c>
      <c r="D1405" s="16">
        <v>331.3</v>
      </c>
      <c r="E1405" s="17">
        <f t="shared" si="21"/>
        <v>7.45</v>
      </c>
      <c r="F1405" s="16">
        <v>2</v>
      </c>
      <c r="G1405" s="16">
        <v>7</v>
      </c>
      <c r="H1405" s="16">
        <v>2.5</v>
      </c>
      <c r="I1405" s="16">
        <v>4</v>
      </c>
      <c r="J1405" s="16">
        <v>566</v>
      </c>
      <c r="K1405" s="16">
        <v>8.64</v>
      </c>
      <c r="L1405" s="16">
        <v>63.1</v>
      </c>
      <c r="M1405" s="16">
        <v>2</v>
      </c>
      <c r="N1405" s="18">
        <f>IF(Risk_Calculation_Engine!U1405="Low",1,IF(Risk_Calculation_Engine!U1405="Medium",2,3))</f>
        <v>3</v>
      </c>
      <c r="O1405" s="18" t="str">
        <f>Risk_Calculation_Engine!U1405</f>
        <v>High</v>
      </c>
    </row>
    <row r="1406" spans="1:15" ht="15" customHeight="1" x14ac:dyDescent="0.25">
      <c r="A1406" s="16">
        <v>1402</v>
      </c>
      <c r="B1406" s="16">
        <v>135.9</v>
      </c>
      <c r="C1406" s="16">
        <v>3</v>
      </c>
      <c r="D1406" s="16">
        <v>531</v>
      </c>
      <c r="E1406" s="17">
        <f t="shared" si="21"/>
        <v>15.52</v>
      </c>
      <c r="F1406" s="16">
        <v>3</v>
      </c>
      <c r="G1406" s="16">
        <v>11</v>
      </c>
      <c r="H1406" s="16">
        <v>1.37</v>
      </c>
      <c r="I1406" s="16">
        <v>8</v>
      </c>
      <c r="J1406" s="16">
        <v>937</v>
      </c>
      <c r="K1406" s="16">
        <v>6.89</v>
      </c>
      <c r="L1406" s="16">
        <v>51.6</v>
      </c>
      <c r="M1406" s="16">
        <v>2</v>
      </c>
      <c r="N1406" s="18">
        <f>IF(Risk_Calculation_Engine!U1406="Low",1,IF(Risk_Calculation_Engine!U1406="Medium",2,3))</f>
        <v>3</v>
      </c>
      <c r="O1406" s="18" t="str">
        <f>Risk_Calculation_Engine!U1406</f>
        <v>High</v>
      </c>
    </row>
    <row r="1407" spans="1:15" ht="15" customHeight="1" x14ac:dyDescent="0.25">
      <c r="A1407" s="16">
        <v>1403</v>
      </c>
      <c r="B1407" s="16">
        <v>106.8</v>
      </c>
      <c r="C1407" s="16">
        <v>3</v>
      </c>
      <c r="D1407" s="16">
        <v>553.1</v>
      </c>
      <c r="E1407" s="17">
        <f t="shared" si="21"/>
        <v>8.6</v>
      </c>
      <c r="F1407" s="16">
        <v>2</v>
      </c>
      <c r="G1407" s="16">
        <v>5</v>
      </c>
      <c r="H1407" s="16">
        <v>2.5</v>
      </c>
      <c r="I1407" s="16">
        <v>10</v>
      </c>
      <c r="J1407" s="16">
        <v>928</v>
      </c>
      <c r="K1407" s="16">
        <v>8.69</v>
      </c>
      <c r="L1407" s="16">
        <v>53.1</v>
      </c>
      <c r="M1407" s="16">
        <v>1</v>
      </c>
      <c r="N1407" s="18">
        <f>IF(Risk_Calculation_Engine!U1407="Low",1,IF(Risk_Calculation_Engine!U1407="Medium",2,3))</f>
        <v>2</v>
      </c>
      <c r="O1407" s="18" t="str">
        <f>Risk_Calculation_Engine!U1407</f>
        <v>Medium</v>
      </c>
    </row>
    <row r="1408" spans="1:15" ht="15" customHeight="1" x14ac:dyDescent="0.25">
      <c r="A1408" s="16">
        <v>1404</v>
      </c>
      <c r="B1408" s="16">
        <v>22.3</v>
      </c>
      <c r="C1408" s="16">
        <v>4</v>
      </c>
      <c r="D1408" s="16">
        <v>67.3</v>
      </c>
      <c r="E1408" s="17">
        <f t="shared" si="21"/>
        <v>13.55</v>
      </c>
      <c r="F1408" s="16">
        <v>3</v>
      </c>
      <c r="G1408" s="16">
        <v>8</v>
      </c>
      <c r="H1408" s="16">
        <v>0.88</v>
      </c>
      <c r="I1408" s="16">
        <v>3</v>
      </c>
      <c r="J1408" s="16">
        <v>222</v>
      </c>
      <c r="K1408" s="16">
        <v>9.9600000000000009</v>
      </c>
      <c r="L1408" s="16">
        <v>21.3</v>
      </c>
      <c r="M1408" s="16">
        <v>2</v>
      </c>
      <c r="N1408" s="18">
        <f>IF(Risk_Calculation_Engine!U1408="Low",1,IF(Risk_Calculation_Engine!U1408="Medium",2,3))</f>
        <v>1</v>
      </c>
      <c r="O1408" s="18" t="str">
        <f>Risk_Calculation_Engine!U1408</f>
        <v>Low</v>
      </c>
    </row>
    <row r="1409" spans="1:15" ht="15" customHeight="1" x14ac:dyDescent="0.25">
      <c r="A1409" s="16">
        <v>1405</v>
      </c>
      <c r="B1409" s="16">
        <v>35.1</v>
      </c>
      <c r="C1409" s="16">
        <v>3</v>
      </c>
      <c r="D1409" s="16">
        <v>143.4</v>
      </c>
      <c r="E1409" s="17">
        <f t="shared" si="21"/>
        <v>14.04</v>
      </c>
      <c r="F1409" s="16">
        <v>2</v>
      </c>
      <c r="G1409" s="16">
        <v>7</v>
      </c>
      <c r="H1409" s="16">
        <v>1.05</v>
      </c>
      <c r="I1409" s="16">
        <v>4</v>
      </c>
      <c r="J1409" s="16">
        <v>290</v>
      </c>
      <c r="K1409" s="16">
        <v>8.26</v>
      </c>
      <c r="L1409" s="16">
        <v>32.299999999999997</v>
      </c>
      <c r="M1409" s="16">
        <v>3</v>
      </c>
      <c r="N1409" s="18">
        <f>IF(Risk_Calculation_Engine!U1409="Low",1,IF(Risk_Calculation_Engine!U1409="Medium",2,3))</f>
        <v>1</v>
      </c>
      <c r="O1409" s="18" t="str">
        <f>Risk_Calculation_Engine!U1409</f>
        <v>Low</v>
      </c>
    </row>
    <row r="1410" spans="1:15" ht="15" customHeight="1" x14ac:dyDescent="0.25">
      <c r="A1410" s="16">
        <v>1406</v>
      </c>
      <c r="B1410" s="16">
        <v>125.8</v>
      </c>
      <c r="C1410" s="16">
        <v>2</v>
      </c>
      <c r="D1410" s="16">
        <v>537.20000000000005</v>
      </c>
      <c r="E1410" s="17">
        <f t="shared" si="21"/>
        <v>13.5</v>
      </c>
      <c r="F1410" s="16">
        <v>2</v>
      </c>
      <c r="G1410" s="16">
        <v>9</v>
      </c>
      <c r="H1410" s="16">
        <v>1.58</v>
      </c>
      <c r="I1410" s="16">
        <v>14</v>
      </c>
      <c r="J1410" s="16">
        <v>420</v>
      </c>
      <c r="K1410" s="16">
        <v>3.34</v>
      </c>
      <c r="L1410" s="16">
        <v>43.1</v>
      </c>
      <c r="M1410" s="16">
        <v>2</v>
      </c>
      <c r="N1410" s="18">
        <f>IF(Risk_Calculation_Engine!U1410="Low",1,IF(Risk_Calculation_Engine!U1410="Medium",2,3))</f>
        <v>2</v>
      </c>
      <c r="O1410" s="18" t="str">
        <f>Risk_Calculation_Engine!U1410</f>
        <v>Medium</v>
      </c>
    </row>
    <row r="1411" spans="1:15" ht="15" customHeight="1" x14ac:dyDescent="0.25">
      <c r="A1411" s="16">
        <v>1407</v>
      </c>
      <c r="B1411" s="16">
        <v>149.80000000000001</v>
      </c>
      <c r="C1411" s="16">
        <v>3</v>
      </c>
      <c r="D1411" s="16">
        <v>761.4</v>
      </c>
      <c r="E1411" s="17">
        <f t="shared" si="21"/>
        <v>18.239999999999998</v>
      </c>
      <c r="F1411" s="16">
        <v>2</v>
      </c>
      <c r="G1411" s="16">
        <v>6</v>
      </c>
      <c r="H1411" s="16">
        <v>1.29</v>
      </c>
      <c r="I1411" s="16">
        <v>3</v>
      </c>
      <c r="J1411" s="16">
        <v>1044</v>
      </c>
      <c r="K1411" s="16">
        <v>6.97</v>
      </c>
      <c r="L1411" s="16">
        <v>26.2</v>
      </c>
      <c r="M1411" s="16">
        <v>1</v>
      </c>
      <c r="N1411" s="18">
        <f>IF(Risk_Calculation_Engine!U1411="Low",1,IF(Risk_Calculation_Engine!U1411="Medium",2,3))</f>
        <v>1</v>
      </c>
      <c r="O1411" s="18" t="str">
        <f>Risk_Calculation_Engine!U1411</f>
        <v>Low</v>
      </c>
    </row>
    <row r="1412" spans="1:15" ht="15" customHeight="1" x14ac:dyDescent="0.25">
      <c r="A1412" s="16">
        <v>1408</v>
      </c>
      <c r="B1412" s="16">
        <v>74.8</v>
      </c>
      <c r="C1412" s="16">
        <v>4</v>
      </c>
      <c r="D1412" s="16">
        <v>443</v>
      </c>
      <c r="E1412" s="17">
        <f t="shared" si="21"/>
        <v>17.28</v>
      </c>
      <c r="F1412" s="16">
        <v>2</v>
      </c>
      <c r="G1412" s="16">
        <v>1</v>
      </c>
      <c r="H1412" s="16">
        <v>1.17</v>
      </c>
      <c r="I1412" s="16">
        <v>8</v>
      </c>
      <c r="J1412" s="16">
        <v>836</v>
      </c>
      <c r="K1412" s="16">
        <v>11.18</v>
      </c>
      <c r="L1412" s="16">
        <v>40</v>
      </c>
      <c r="M1412" s="16">
        <v>2</v>
      </c>
      <c r="N1412" s="18">
        <f>IF(Risk_Calculation_Engine!U1412="Low",1,IF(Risk_Calculation_Engine!U1412="Medium",2,3))</f>
        <v>1</v>
      </c>
      <c r="O1412" s="18" t="str">
        <f>Risk_Calculation_Engine!U1412</f>
        <v>Low</v>
      </c>
    </row>
    <row r="1413" spans="1:15" ht="15" customHeight="1" x14ac:dyDescent="0.25">
      <c r="A1413" s="16">
        <v>1409</v>
      </c>
      <c r="B1413" s="16">
        <v>149.80000000000001</v>
      </c>
      <c r="C1413" s="16">
        <v>5</v>
      </c>
      <c r="D1413" s="16">
        <v>655.7</v>
      </c>
      <c r="E1413" s="17">
        <f t="shared" ref="E1413:E1476" si="22">ROUND(3.67*D1413^0.28/H1413,2)</f>
        <v>17.489999999999998</v>
      </c>
      <c r="F1413" s="16">
        <v>3</v>
      </c>
      <c r="G1413" s="16">
        <v>4</v>
      </c>
      <c r="H1413" s="16">
        <v>1.29</v>
      </c>
      <c r="I1413" s="16">
        <v>12</v>
      </c>
      <c r="J1413" s="16">
        <v>2661</v>
      </c>
      <c r="K1413" s="16">
        <v>17.760000000000002</v>
      </c>
      <c r="L1413" s="16">
        <v>73.2</v>
      </c>
      <c r="M1413" s="16">
        <v>3</v>
      </c>
      <c r="N1413" s="18">
        <f>IF(Risk_Calculation_Engine!U1413="Low",1,IF(Risk_Calculation_Engine!U1413="Medium",2,3))</f>
        <v>2</v>
      </c>
      <c r="O1413" s="18" t="str">
        <f>Risk_Calculation_Engine!U1413</f>
        <v>Medium</v>
      </c>
    </row>
    <row r="1414" spans="1:15" ht="15" customHeight="1" x14ac:dyDescent="0.25">
      <c r="A1414" s="16">
        <v>1410</v>
      </c>
      <c r="B1414" s="16">
        <v>68.2</v>
      </c>
      <c r="C1414" s="16">
        <v>4</v>
      </c>
      <c r="D1414" s="16">
        <v>313.8</v>
      </c>
      <c r="E1414" s="17">
        <f t="shared" si="22"/>
        <v>9.09</v>
      </c>
      <c r="F1414" s="16">
        <v>2</v>
      </c>
      <c r="G1414" s="16">
        <v>9</v>
      </c>
      <c r="H1414" s="16">
        <v>2.02</v>
      </c>
      <c r="I1414" s="16">
        <v>7</v>
      </c>
      <c r="J1414" s="16">
        <v>683</v>
      </c>
      <c r="K1414" s="16">
        <v>10.01</v>
      </c>
      <c r="L1414" s="16">
        <v>86.4</v>
      </c>
      <c r="M1414" s="16">
        <v>1</v>
      </c>
      <c r="N1414" s="18">
        <f>IF(Risk_Calculation_Engine!U1414="Low",1,IF(Risk_Calculation_Engine!U1414="Medium",2,3))</f>
        <v>3</v>
      </c>
      <c r="O1414" s="18" t="str">
        <f>Risk_Calculation_Engine!U1414</f>
        <v>High</v>
      </c>
    </row>
    <row r="1415" spans="1:15" ht="15" customHeight="1" x14ac:dyDescent="0.25">
      <c r="A1415" s="16">
        <v>1411</v>
      </c>
      <c r="B1415" s="16">
        <v>26.5</v>
      </c>
      <c r="C1415" s="16">
        <v>4</v>
      </c>
      <c r="D1415" s="16">
        <v>141.4</v>
      </c>
      <c r="E1415" s="17">
        <f t="shared" si="22"/>
        <v>5.87</v>
      </c>
      <c r="F1415" s="16">
        <v>2</v>
      </c>
      <c r="G1415" s="16">
        <v>6</v>
      </c>
      <c r="H1415" s="16">
        <v>2.5</v>
      </c>
      <c r="I1415" s="16">
        <v>9</v>
      </c>
      <c r="J1415" s="16">
        <v>178</v>
      </c>
      <c r="K1415" s="16">
        <v>6.72</v>
      </c>
      <c r="L1415" s="16">
        <v>84.8</v>
      </c>
      <c r="M1415" s="16">
        <v>1</v>
      </c>
      <c r="N1415" s="18">
        <f>IF(Risk_Calculation_Engine!U1415="Low",1,IF(Risk_Calculation_Engine!U1415="Medium",2,3))</f>
        <v>2</v>
      </c>
      <c r="O1415" s="18" t="str">
        <f>Risk_Calculation_Engine!U1415</f>
        <v>Medium</v>
      </c>
    </row>
    <row r="1416" spans="1:15" ht="15" customHeight="1" x14ac:dyDescent="0.25">
      <c r="A1416" s="16">
        <v>1412</v>
      </c>
      <c r="B1416" s="16">
        <v>99.7</v>
      </c>
      <c r="C1416" s="16">
        <v>4</v>
      </c>
      <c r="D1416" s="16">
        <v>544.5</v>
      </c>
      <c r="E1416" s="17">
        <f t="shared" si="22"/>
        <v>10.199999999999999</v>
      </c>
      <c r="F1416" s="16">
        <v>2</v>
      </c>
      <c r="G1416" s="16">
        <v>10</v>
      </c>
      <c r="H1416" s="16">
        <v>2.1</v>
      </c>
      <c r="I1416" s="16">
        <v>4</v>
      </c>
      <c r="J1416" s="16">
        <v>1402</v>
      </c>
      <c r="K1416" s="16">
        <v>14.06</v>
      </c>
      <c r="L1416" s="16">
        <v>66.5</v>
      </c>
      <c r="M1416" s="16">
        <v>2</v>
      </c>
      <c r="N1416" s="18">
        <f>IF(Risk_Calculation_Engine!U1416="Low",1,IF(Risk_Calculation_Engine!U1416="Medium",2,3))</f>
        <v>3</v>
      </c>
      <c r="O1416" s="18" t="str">
        <f>Risk_Calculation_Engine!U1416</f>
        <v>High</v>
      </c>
    </row>
    <row r="1417" spans="1:15" ht="15" customHeight="1" x14ac:dyDescent="0.25">
      <c r="A1417" s="16">
        <v>1413</v>
      </c>
      <c r="B1417" s="16">
        <v>149.80000000000001</v>
      </c>
      <c r="C1417" s="16">
        <v>4</v>
      </c>
      <c r="D1417" s="16">
        <v>860.4</v>
      </c>
      <c r="E1417" s="17">
        <f t="shared" si="22"/>
        <v>11.32</v>
      </c>
      <c r="F1417" s="16">
        <v>2</v>
      </c>
      <c r="G1417" s="16">
        <v>8</v>
      </c>
      <c r="H1417" s="16">
        <v>2.15</v>
      </c>
      <c r="I1417" s="16">
        <v>13</v>
      </c>
      <c r="J1417" s="16">
        <v>1429</v>
      </c>
      <c r="K1417" s="16">
        <v>9.5399999999999991</v>
      </c>
      <c r="L1417" s="16">
        <v>46.5</v>
      </c>
      <c r="M1417" s="16">
        <v>2</v>
      </c>
      <c r="N1417" s="18">
        <f>IF(Risk_Calculation_Engine!U1417="Low",1,IF(Risk_Calculation_Engine!U1417="Medium",2,3))</f>
        <v>3</v>
      </c>
      <c r="O1417" s="18" t="str">
        <f>Risk_Calculation_Engine!U1417</f>
        <v>High</v>
      </c>
    </row>
    <row r="1418" spans="1:15" ht="15" customHeight="1" x14ac:dyDescent="0.25">
      <c r="A1418" s="16">
        <v>1414</v>
      </c>
      <c r="B1418" s="16">
        <v>17.2</v>
      </c>
      <c r="C1418" s="16">
        <v>3</v>
      </c>
      <c r="D1418" s="16">
        <v>75.099999999999994</v>
      </c>
      <c r="E1418" s="17">
        <f t="shared" si="22"/>
        <v>7.64</v>
      </c>
      <c r="F1418" s="16">
        <v>2</v>
      </c>
      <c r="G1418" s="16">
        <v>5</v>
      </c>
      <c r="H1418" s="16">
        <v>1.61</v>
      </c>
      <c r="I1418" s="16">
        <v>11</v>
      </c>
      <c r="J1418" s="16">
        <v>67</v>
      </c>
      <c r="K1418" s="16">
        <v>3.9</v>
      </c>
      <c r="L1418" s="16">
        <v>77.099999999999994</v>
      </c>
      <c r="M1418" s="16">
        <v>3</v>
      </c>
      <c r="N1418" s="18">
        <f>IF(Risk_Calculation_Engine!U1418="Low",1,IF(Risk_Calculation_Engine!U1418="Medium",2,3))</f>
        <v>1</v>
      </c>
      <c r="O1418" s="18" t="str">
        <f>Risk_Calculation_Engine!U1418</f>
        <v>Low</v>
      </c>
    </row>
    <row r="1419" spans="1:15" ht="15" customHeight="1" x14ac:dyDescent="0.25">
      <c r="A1419" s="16">
        <v>1415</v>
      </c>
      <c r="B1419" s="16">
        <v>149.80000000000001</v>
      </c>
      <c r="C1419" s="16">
        <v>4</v>
      </c>
      <c r="D1419" s="16">
        <v>914.1</v>
      </c>
      <c r="E1419" s="17">
        <f t="shared" si="22"/>
        <v>23.81</v>
      </c>
      <c r="F1419" s="16">
        <v>2</v>
      </c>
      <c r="G1419" s="16">
        <v>7</v>
      </c>
      <c r="H1419" s="16">
        <v>1.04</v>
      </c>
      <c r="I1419" s="16">
        <v>14</v>
      </c>
      <c r="J1419" s="16">
        <v>1804</v>
      </c>
      <c r="K1419" s="16">
        <v>12.04</v>
      </c>
      <c r="L1419" s="16">
        <v>62.9</v>
      </c>
      <c r="M1419" s="16">
        <v>3</v>
      </c>
      <c r="N1419" s="18">
        <f>IF(Risk_Calculation_Engine!U1419="Low",1,IF(Risk_Calculation_Engine!U1419="Medium",2,3))</f>
        <v>3</v>
      </c>
      <c r="O1419" s="18" t="str">
        <f>Risk_Calculation_Engine!U1419</f>
        <v>High</v>
      </c>
    </row>
    <row r="1420" spans="1:15" ht="15" customHeight="1" x14ac:dyDescent="0.25">
      <c r="A1420" s="16">
        <v>1416</v>
      </c>
      <c r="B1420" s="16">
        <v>95.5</v>
      </c>
      <c r="C1420" s="16">
        <v>4</v>
      </c>
      <c r="D1420" s="16">
        <v>554.1</v>
      </c>
      <c r="E1420" s="17">
        <f t="shared" si="22"/>
        <v>13.88</v>
      </c>
      <c r="F1420" s="16">
        <v>2</v>
      </c>
      <c r="G1420" s="16">
        <v>7</v>
      </c>
      <c r="H1420" s="16">
        <v>1.55</v>
      </c>
      <c r="I1420" s="16">
        <v>14</v>
      </c>
      <c r="J1420" s="16">
        <v>1172</v>
      </c>
      <c r="K1420" s="16">
        <v>12.27</v>
      </c>
      <c r="L1420" s="16">
        <v>88.1</v>
      </c>
      <c r="M1420" s="16">
        <v>1</v>
      </c>
      <c r="N1420" s="18">
        <f>IF(Risk_Calculation_Engine!U1420="Low",1,IF(Risk_Calculation_Engine!U1420="Medium",2,3))</f>
        <v>3</v>
      </c>
      <c r="O1420" s="18" t="str">
        <f>Risk_Calculation_Engine!U1420</f>
        <v>High</v>
      </c>
    </row>
    <row r="1421" spans="1:15" ht="15" customHeight="1" x14ac:dyDescent="0.25">
      <c r="A1421" s="16">
        <v>1417</v>
      </c>
      <c r="B1421" s="16">
        <v>33.200000000000003</v>
      </c>
      <c r="C1421" s="16">
        <v>3</v>
      </c>
      <c r="D1421" s="16">
        <v>125.5</v>
      </c>
      <c r="E1421" s="17">
        <f t="shared" si="22"/>
        <v>8.07</v>
      </c>
      <c r="F1421" s="16">
        <v>2</v>
      </c>
      <c r="G1421" s="16">
        <v>5</v>
      </c>
      <c r="H1421" s="16">
        <v>1.76</v>
      </c>
      <c r="I1421" s="16">
        <v>7</v>
      </c>
      <c r="J1421" s="16">
        <v>109</v>
      </c>
      <c r="K1421" s="16">
        <v>3.28</v>
      </c>
      <c r="L1421" s="16">
        <v>52.7</v>
      </c>
      <c r="M1421" s="16">
        <v>3</v>
      </c>
      <c r="N1421" s="18">
        <f>IF(Risk_Calculation_Engine!U1421="Low",1,IF(Risk_Calculation_Engine!U1421="Medium",2,3))</f>
        <v>1</v>
      </c>
      <c r="O1421" s="18" t="str">
        <f>Risk_Calculation_Engine!U1421</f>
        <v>Low</v>
      </c>
    </row>
    <row r="1422" spans="1:15" ht="15" customHeight="1" x14ac:dyDescent="0.25">
      <c r="A1422" s="16">
        <v>1418</v>
      </c>
      <c r="B1422" s="16">
        <v>6.7</v>
      </c>
      <c r="C1422" s="16">
        <v>4</v>
      </c>
      <c r="D1422" s="16">
        <v>28.9</v>
      </c>
      <c r="E1422" s="17">
        <f t="shared" si="22"/>
        <v>3.77</v>
      </c>
      <c r="F1422" s="16">
        <v>2</v>
      </c>
      <c r="G1422" s="16">
        <v>5</v>
      </c>
      <c r="H1422" s="16">
        <v>2.5</v>
      </c>
      <c r="I1422" s="16">
        <v>3</v>
      </c>
      <c r="J1422" s="16">
        <v>56</v>
      </c>
      <c r="K1422" s="16">
        <v>8.36</v>
      </c>
      <c r="L1422" s="16">
        <v>63.2</v>
      </c>
      <c r="M1422" s="16">
        <v>2</v>
      </c>
      <c r="N1422" s="18">
        <f>IF(Risk_Calculation_Engine!U1422="Low",1,IF(Risk_Calculation_Engine!U1422="Medium",2,3))</f>
        <v>2</v>
      </c>
      <c r="O1422" s="18" t="str">
        <f>Risk_Calculation_Engine!U1422</f>
        <v>Medium</v>
      </c>
    </row>
    <row r="1423" spans="1:15" ht="15" customHeight="1" x14ac:dyDescent="0.25">
      <c r="A1423" s="16">
        <v>1419</v>
      </c>
      <c r="B1423" s="16">
        <v>3.5</v>
      </c>
      <c r="C1423" s="16">
        <v>3</v>
      </c>
      <c r="D1423" s="16">
        <v>15.7</v>
      </c>
      <c r="E1423" s="17">
        <f t="shared" si="22"/>
        <v>3.17</v>
      </c>
      <c r="F1423" s="16">
        <v>1</v>
      </c>
      <c r="G1423" s="16">
        <v>6</v>
      </c>
      <c r="H1423" s="16">
        <v>2.5</v>
      </c>
      <c r="I1423" s="16">
        <v>7</v>
      </c>
      <c r="J1423" s="16">
        <v>23</v>
      </c>
      <c r="K1423" s="16">
        <v>6.57</v>
      </c>
      <c r="L1423" s="16">
        <v>74.7</v>
      </c>
      <c r="M1423" s="16">
        <v>2</v>
      </c>
      <c r="N1423" s="18">
        <f>IF(Risk_Calculation_Engine!U1423="Low",1,IF(Risk_Calculation_Engine!U1423="Medium",2,3))</f>
        <v>2</v>
      </c>
      <c r="O1423" s="18" t="str">
        <f>Risk_Calculation_Engine!U1423</f>
        <v>Medium</v>
      </c>
    </row>
    <row r="1424" spans="1:15" ht="15" customHeight="1" x14ac:dyDescent="0.25">
      <c r="A1424" s="16">
        <v>1420</v>
      </c>
      <c r="B1424" s="16">
        <v>38.1</v>
      </c>
      <c r="C1424" s="16">
        <v>3</v>
      </c>
      <c r="D1424" s="16">
        <v>166.6</v>
      </c>
      <c r="E1424" s="17">
        <f t="shared" si="22"/>
        <v>7.92</v>
      </c>
      <c r="F1424" s="16">
        <v>2</v>
      </c>
      <c r="G1424" s="16">
        <v>7</v>
      </c>
      <c r="H1424" s="16">
        <v>1.94</v>
      </c>
      <c r="I1424" s="16">
        <v>4</v>
      </c>
      <c r="J1424" s="16">
        <v>302</v>
      </c>
      <c r="K1424" s="16">
        <v>7.93</v>
      </c>
      <c r="L1424" s="16">
        <v>73.099999999999994</v>
      </c>
      <c r="M1424" s="16">
        <v>1</v>
      </c>
      <c r="N1424" s="18">
        <f>IF(Risk_Calculation_Engine!U1424="Low",1,IF(Risk_Calculation_Engine!U1424="Medium",2,3))</f>
        <v>3</v>
      </c>
      <c r="O1424" s="18" t="str">
        <f>Risk_Calculation_Engine!U1424</f>
        <v>High</v>
      </c>
    </row>
    <row r="1425" spans="1:15" ht="15" customHeight="1" x14ac:dyDescent="0.25">
      <c r="A1425" s="16">
        <v>1421</v>
      </c>
      <c r="B1425" s="16">
        <v>84</v>
      </c>
      <c r="C1425" s="16">
        <v>2</v>
      </c>
      <c r="D1425" s="16">
        <v>342.2</v>
      </c>
      <c r="E1425" s="17">
        <f t="shared" si="22"/>
        <v>7.52</v>
      </c>
      <c r="F1425" s="16">
        <v>2</v>
      </c>
      <c r="G1425" s="16">
        <v>3</v>
      </c>
      <c r="H1425" s="16">
        <v>2.5</v>
      </c>
      <c r="I1425" s="16">
        <v>9</v>
      </c>
      <c r="J1425" s="16">
        <v>272</v>
      </c>
      <c r="K1425" s="16">
        <v>3.24</v>
      </c>
      <c r="L1425" s="16">
        <v>86</v>
      </c>
      <c r="M1425" s="16">
        <v>2</v>
      </c>
      <c r="N1425" s="18">
        <f>IF(Risk_Calculation_Engine!U1425="Low",1,IF(Risk_Calculation_Engine!U1425="Medium",2,3))</f>
        <v>2</v>
      </c>
      <c r="O1425" s="18" t="str">
        <f>Risk_Calculation_Engine!U1425</f>
        <v>Medium</v>
      </c>
    </row>
    <row r="1426" spans="1:15" ht="15" customHeight="1" x14ac:dyDescent="0.25">
      <c r="A1426" s="16">
        <v>1422</v>
      </c>
      <c r="B1426" s="16">
        <v>119.2</v>
      </c>
      <c r="C1426" s="16">
        <v>4</v>
      </c>
      <c r="D1426" s="16">
        <v>567.4</v>
      </c>
      <c r="E1426" s="17">
        <f t="shared" si="22"/>
        <v>29.68</v>
      </c>
      <c r="F1426" s="16">
        <v>2</v>
      </c>
      <c r="G1426" s="16">
        <v>3</v>
      </c>
      <c r="H1426" s="16">
        <v>0.73</v>
      </c>
      <c r="I1426" s="16">
        <v>4</v>
      </c>
      <c r="J1426" s="16">
        <v>953</v>
      </c>
      <c r="K1426" s="16">
        <v>7.99</v>
      </c>
      <c r="L1426" s="16">
        <v>68.400000000000006</v>
      </c>
      <c r="M1426" s="16">
        <v>3</v>
      </c>
      <c r="N1426" s="18">
        <f>IF(Risk_Calculation_Engine!U1426="Low",1,IF(Risk_Calculation_Engine!U1426="Medium",2,3))</f>
        <v>1</v>
      </c>
      <c r="O1426" s="18" t="str">
        <f>Risk_Calculation_Engine!U1426</f>
        <v>Low</v>
      </c>
    </row>
    <row r="1427" spans="1:15" ht="15" customHeight="1" x14ac:dyDescent="0.25">
      <c r="A1427" s="16">
        <v>1423</v>
      </c>
      <c r="B1427" s="16">
        <v>139.80000000000001</v>
      </c>
      <c r="C1427" s="16">
        <v>5</v>
      </c>
      <c r="D1427" s="16">
        <v>860.4</v>
      </c>
      <c r="E1427" s="17">
        <f t="shared" si="22"/>
        <v>16.91</v>
      </c>
      <c r="F1427" s="16">
        <v>2</v>
      </c>
      <c r="G1427" s="16">
        <v>6</v>
      </c>
      <c r="H1427" s="16">
        <v>1.44</v>
      </c>
      <c r="I1427" s="16">
        <v>14</v>
      </c>
      <c r="J1427" s="16">
        <v>3112</v>
      </c>
      <c r="K1427" s="16">
        <v>22.26</v>
      </c>
      <c r="L1427" s="16">
        <v>71</v>
      </c>
      <c r="M1427" s="16">
        <v>1</v>
      </c>
      <c r="N1427" s="18">
        <f>IF(Risk_Calculation_Engine!U1427="Low",1,IF(Risk_Calculation_Engine!U1427="Medium",2,3))</f>
        <v>3</v>
      </c>
      <c r="O1427" s="18" t="str">
        <f>Risk_Calculation_Engine!U1427</f>
        <v>High</v>
      </c>
    </row>
    <row r="1428" spans="1:15" ht="15" customHeight="1" x14ac:dyDescent="0.25">
      <c r="A1428" s="16">
        <v>1424</v>
      </c>
      <c r="B1428" s="16">
        <v>78.400000000000006</v>
      </c>
      <c r="C1428" s="16">
        <v>2</v>
      </c>
      <c r="D1428" s="16">
        <v>229.1</v>
      </c>
      <c r="E1428" s="17">
        <f t="shared" si="22"/>
        <v>10.44</v>
      </c>
      <c r="F1428" s="16">
        <v>3</v>
      </c>
      <c r="G1428" s="16">
        <v>5</v>
      </c>
      <c r="H1428" s="16">
        <v>1.61</v>
      </c>
      <c r="I1428" s="16">
        <v>10</v>
      </c>
      <c r="J1428" s="16">
        <v>226</v>
      </c>
      <c r="K1428" s="16">
        <v>2.88</v>
      </c>
      <c r="L1428" s="16">
        <v>44</v>
      </c>
      <c r="M1428" s="16">
        <v>2</v>
      </c>
      <c r="N1428" s="18">
        <f>IF(Risk_Calculation_Engine!U1428="Low",1,IF(Risk_Calculation_Engine!U1428="Medium",2,3))</f>
        <v>1</v>
      </c>
      <c r="O1428" s="18" t="str">
        <f>Risk_Calculation_Engine!U1428</f>
        <v>Low</v>
      </c>
    </row>
    <row r="1429" spans="1:15" ht="15" customHeight="1" x14ac:dyDescent="0.25">
      <c r="A1429" s="16">
        <v>1425</v>
      </c>
      <c r="B1429" s="16">
        <v>69.099999999999994</v>
      </c>
      <c r="C1429" s="16">
        <v>3</v>
      </c>
      <c r="D1429" s="16">
        <v>232.1</v>
      </c>
      <c r="E1429" s="17">
        <f t="shared" si="22"/>
        <v>8.15</v>
      </c>
      <c r="F1429" s="16">
        <v>3</v>
      </c>
      <c r="G1429" s="16">
        <v>6</v>
      </c>
      <c r="H1429" s="16">
        <v>2.0699999999999998</v>
      </c>
      <c r="I1429" s="16">
        <v>6</v>
      </c>
      <c r="J1429" s="16">
        <v>579</v>
      </c>
      <c r="K1429" s="16">
        <v>8.3800000000000008</v>
      </c>
      <c r="L1429" s="16">
        <v>83.4</v>
      </c>
      <c r="M1429" s="16">
        <v>3</v>
      </c>
      <c r="N1429" s="18">
        <f>IF(Risk_Calculation_Engine!U1429="Low",1,IF(Risk_Calculation_Engine!U1429="Medium",2,3))</f>
        <v>2</v>
      </c>
      <c r="O1429" s="18" t="str">
        <f>Risk_Calculation_Engine!U1429</f>
        <v>Medium</v>
      </c>
    </row>
    <row r="1430" spans="1:15" ht="15" customHeight="1" x14ac:dyDescent="0.25">
      <c r="A1430" s="16">
        <v>1426</v>
      </c>
      <c r="B1430" s="16">
        <v>46.2</v>
      </c>
      <c r="C1430" s="16">
        <v>1</v>
      </c>
      <c r="D1430" s="16">
        <v>128</v>
      </c>
      <c r="E1430" s="17">
        <f t="shared" si="22"/>
        <v>5.71</v>
      </c>
      <c r="F1430" s="16">
        <v>2</v>
      </c>
      <c r="G1430" s="16">
        <v>8</v>
      </c>
      <c r="H1430" s="16">
        <v>2.5</v>
      </c>
      <c r="I1430" s="16">
        <v>14</v>
      </c>
      <c r="J1430" s="16">
        <v>119</v>
      </c>
      <c r="K1430" s="16">
        <v>2.58</v>
      </c>
      <c r="L1430" s="16">
        <v>57.1</v>
      </c>
      <c r="M1430" s="16">
        <v>2</v>
      </c>
      <c r="N1430" s="18">
        <f>IF(Risk_Calculation_Engine!U1430="Low",1,IF(Risk_Calculation_Engine!U1430="Medium",2,3))</f>
        <v>2</v>
      </c>
      <c r="O1430" s="18" t="str">
        <f>Risk_Calculation_Engine!U1430</f>
        <v>Medium</v>
      </c>
    </row>
    <row r="1431" spans="1:15" ht="15" customHeight="1" x14ac:dyDescent="0.25">
      <c r="A1431" s="16">
        <v>1427</v>
      </c>
      <c r="B1431" s="16">
        <v>85.6</v>
      </c>
      <c r="C1431" s="16">
        <v>1</v>
      </c>
      <c r="D1431" s="16">
        <v>321</v>
      </c>
      <c r="E1431" s="17">
        <f t="shared" si="22"/>
        <v>9.77</v>
      </c>
      <c r="F1431" s="16">
        <v>2</v>
      </c>
      <c r="G1431" s="16">
        <v>6</v>
      </c>
      <c r="H1431" s="16">
        <v>1.89</v>
      </c>
      <c r="I1431" s="16">
        <v>13</v>
      </c>
      <c r="J1431" s="16">
        <v>238</v>
      </c>
      <c r="K1431" s="16">
        <v>2.78</v>
      </c>
      <c r="L1431" s="16">
        <v>91.4</v>
      </c>
      <c r="M1431" s="16">
        <v>1</v>
      </c>
      <c r="N1431" s="18">
        <f>IF(Risk_Calculation_Engine!U1431="Low",1,IF(Risk_Calculation_Engine!U1431="Medium",2,3))</f>
        <v>2</v>
      </c>
      <c r="O1431" s="18" t="str">
        <f>Risk_Calculation_Engine!U1431</f>
        <v>Medium</v>
      </c>
    </row>
    <row r="1432" spans="1:15" ht="15" customHeight="1" x14ac:dyDescent="0.25">
      <c r="A1432" s="16">
        <v>1428</v>
      </c>
      <c r="B1432" s="16">
        <v>33.700000000000003</v>
      </c>
      <c r="C1432" s="16">
        <v>5</v>
      </c>
      <c r="D1432" s="16">
        <v>179.4</v>
      </c>
      <c r="E1432" s="17">
        <f t="shared" si="22"/>
        <v>18.46</v>
      </c>
      <c r="F1432" s="16">
        <v>2</v>
      </c>
      <c r="G1432" s="16">
        <v>0</v>
      </c>
      <c r="H1432" s="16">
        <v>0.85</v>
      </c>
      <c r="I1432" s="16">
        <v>8</v>
      </c>
      <c r="J1432" s="16">
        <v>518</v>
      </c>
      <c r="K1432" s="16">
        <v>15.37</v>
      </c>
      <c r="L1432" s="16">
        <v>73.099999999999994</v>
      </c>
      <c r="M1432" s="16">
        <v>1</v>
      </c>
      <c r="N1432" s="18">
        <f>IF(Risk_Calculation_Engine!U1432="Low",1,IF(Risk_Calculation_Engine!U1432="Medium",2,3))</f>
        <v>1</v>
      </c>
      <c r="O1432" s="18" t="str">
        <f>Risk_Calculation_Engine!U1432</f>
        <v>Low</v>
      </c>
    </row>
    <row r="1433" spans="1:15" ht="15" customHeight="1" x14ac:dyDescent="0.25">
      <c r="A1433" s="16">
        <v>1429</v>
      </c>
      <c r="B1433" s="16">
        <v>18.3</v>
      </c>
      <c r="C1433" s="16">
        <v>3</v>
      </c>
      <c r="D1433" s="16">
        <v>71.7</v>
      </c>
      <c r="E1433" s="17">
        <f t="shared" si="22"/>
        <v>5.62</v>
      </c>
      <c r="F1433" s="16">
        <v>2</v>
      </c>
      <c r="G1433" s="16">
        <v>8</v>
      </c>
      <c r="H1433" s="16">
        <v>2.16</v>
      </c>
      <c r="I1433" s="16">
        <v>4</v>
      </c>
      <c r="J1433" s="16">
        <v>73</v>
      </c>
      <c r="K1433" s="16">
        <v>3.99</v>
      </c>
      <c r="L1433" s="16">
        <v>49</v>
      </c>
      <c r="M1433" s="16">
        <v>2</v>
      </c>
      <c r="N1433" s="18">
        <f>IF(Risk_Calculation_Engine!U1433="Low",1,IF(Risk_Calculation_Engine!U1433="Medium",2,3))</f>
        <v>2</v>
      </c>
      <c r="O1433" s="18" t="str">
        <f>Risk_Calculation_Engine!U1433</f>
        <v>Medium</v>
      </c>
    </row>
    <row r="1434" spans="1:15" ht="15" customHeight="1" x14ac:dyDescent="0.25">
      <c r="A1434" s="16">
        <v>1430</v>
      </c>
      <c r="B1434" s="16">
        <v>65.7</v>
      </c>
      <c r="C1434" s="16">
        <v>3</v>
      </c>
      <c r="D1434" s="16">
        <v>308</v>
      </c>
      <c r="E1434" s="17">
        <f t="shared" si="22"/>
        <v>13.14</v>
      </c>
      <c r="F1434" s="16">
        <v>2</v>
      </c>
      <c r="G1434" s="16">
        <v>3</v>
      </c>
      <c r="H1434" s="16">
        <v>1.39</v>
      </c>
      <c r="I1434" s="16">
        <v>7</v>
      </c>
      <c r="J1434" s="16">
        <v>428</v>
      </c>
      <c r="K1434" s="16">
        <v>6.51</v>
      </c>
      <c r="L1434" s="16">
        <v>33.1</v>
      </c>
      <c r="M1434" s="16">
        <v>3</v>
      </c>
      <c r="N1434" s="18">
        <f>IF(Risk_Calculation_Engine!U1434="Low",1,IF(Risk_Calculation_Engine!U1434="Medium",2,3))</f>
        <v>1</v>
      </c>
      <c r="O1434" s="18" t="str">
        <f>Risk_Calculation_Engine!U1434</f>
        <v>Low</v>
      </c>
    </row>
    <row r="1435" spans="1:15" ht="15" customHeight="1" x14ac:dyDescent="0.25">
      <c r="A1435" s="16">
        <v>1431</v>
      </c>
      <c r="B1435" s="16">
        <v>112.6</v>
      </c>
      <c r="C1435" s="16">
        <v>3</v>
      </c>
      <c r="D1435" s="16">
        <v>565.79999999999995</v>
      </c>
      <c r="E1435" s="17">
        <f t="shared" si="22"/>
        <v>10.46</v>
      </c>
      <c r="F1435" s="16">
        <v>2</v>
      </c>
      <c r="G1435" s="16">
        <v>7</v>
      </c>
      <c r="H1435" s="16">
        <v>2.0699999999999998</v>
      </c>
      <c r="I1435" s="16">
        <v>10</v>
      </c>
      <c r="J1435" s="16">
        <v>466</v>
      </c>
      <c r="K1435" s="16">
        <v>4.1399999999999997</v>
      </c>
      <c r="L1435" s="16">
        <v>74.7</v>
      </c>
      <c r="M1435" s="16">
        <v>1</v>
      </c>
      <c r="N1435" s="18">
        <f>IF(Risk_Calculation_Engine!U1435="Low",1,IF(Risk_Calculation_Engine!U1435="Medium",2,3))</f>
        <v>3</v>
      </c>
      <c r="O1435" s="18" t="str">
        <f>Risk_Calculation_Engine!U1435</f>
        <v>High</v>
      </c>
    </row>
    <row r="1436" spans="1:15" ht="15" customHeight="1" x14ac:dyDescent="0.25">
      <c r="A1436" s="16">
        <v>1432</v>
      </c>
      <c r="B1436" s="16">
        <v>14.2</v>
      </c>
      <c r="C1436" s="16">
        <v>5</v>
      </c>
      <c r="D1436" s="16">
        <v>52.6</v>
      </c>
      <c r="E1436" s="17">
        <f t="shared" si="22"/>
        <v>4.95</v>
      </c>
      <c r="F1436" s="16">
        <v>3</v>
      </c>
      <c r="G1436" s="16">
        <v>9</v>
      </c>
      <c r="H1436" s="16">
        <v>2.25</v>
      </c>
      <c r="I1436" s="16">
        <v>12</v>
      </c>
      <c r="J1436" s="16">
        <v>196</v>
      </c>
      <c r="K1436" s="16">
        <v>13.8</v>
      </c>
      <c r="L1436" s="16">
        <v>73.3</v>
      </c>
      <c r="M1436" s="16">
        <v>1</v>
      </c>
      <c r="N1436" s="18">
        <f>IF(Risk_Calculation_Engine!U1436="Low",1,IF(Risk_Calculation_Engine!U1436="Medium",2,3))</f>
        <v>3</v>
      </c>
      <c r="O1436" s="18" t="str">
        <f>Risk_Calculation_Engine!U1436</f>
        <v>High</v>
      </c>
    </row>
    <row r="1437" spans="1:15" ht="15" customHeight="1" x14ac:dyDescent="0.25">
      <c r="A1437" s="16">
        <v>1433</v>
      </c>
      <c r="B1437" s="16">
        <v>38.1</v>
      </c>
      <c r="C1437" s="16">
        <v>3</v>
      </c>
      <c r="D1437" s="16">
        <v>196.1</v>
      </c>
      <c r="E1437" s="17">
        <f t="shared" si="22"/>
        <v>19.39</v>
      </c>
      <c r="F1437" s="16">
        <v>1</v>
      </c>
      <c r="G1437" s="16">
        <v>9</v>
      </c>
      <c r="H1437" s="16">
        <v>0.83</v>
      </c>
      <c r="I1437" s="16">
        <v>6</v>
      </c>
      <c r="J1437" s="16">
        <v>206</v>
      </c>
      <c r="K1437" s="16">
        <v>5.41</v>
      </c>
      <c r="L1437" s="16">
        <v>80.400000000000006</v>
      </c>
      <c r="M1437" s="16">
        <v>2</v>
      </c>
      <c r="N1437" s="18">
        <f>IF(Risk_Calculation_Engine!U1437="Low",1,IF(Risk_Calculation_Engine!U1437="Medium",2,3))</f>
        <v>1</v>
      </c>
      <c r="O1437" s="18" t="str">
        <f>Risk_Calculation_Engine!U1437</f>
        <v>Low</v>
      </c>
    </row>
    <row r="1438" spans="1:15" ht="15" customHeight="1" x14ac:dyDescent="0.25">
      <c r="A1438" s="16">
        <v>1434</v>
      </c>
      <c r="B1438" s="16">
        <v>63.7</v>
      </c>
      <c r="C1438" s="16">
        <v>4</v>
      </c>
      <c r="D1438" s="16">
        <v>302.8</v>
      </c>
      <c r="E1438" s="17">
        <f t="shared" si="22"/>
        <v>11.57</v>
      </c>
      <c r="F1438" s="16">
        <v>2</v>
      </c>
      <c r="G1438" s="16">
        <v>8</v>
      </c>
      <c r="H1438" s="16">
        <v>1.57</v>
      </c>
      <c r="I1438" s="16">
        <v>12</v>
      </c>
      <c r="J1438" s="16">
        <v>613</v>
      </c>
      <c r="K1438" s="16">
        <v>9.6199999999999992</v>
      </c>
      <c r="L1438" s="16">
        <v>64.2</v>
      </c>
      <c r="M1438" s="16">
        <v>2</v>
      </c>
      <c r="N1438" s="18">
        <f>IF(Risk_Calculation_Engine!U1438="Low",1,IF(Risk_Calculation_Engine!U1438="Medium",2,3))</f>
        <v>2</v>
      </c>
      <c r="O1438" s="18" t="str">
        <f>Risk_Calculation_Engine!U1438</f>
        <v>Medium</v>
      </c>
    </row>
    <row r="1439" spans="1:15" ht="15" customHeight="1" x14ac:dyDescent="0.25">
      <c r="A1439" s="16">
        <v>1435</v>
      </c>
      <c r="B1439" s="16">
        <v>62.6</v>
      </c>
      <c r="C1439" s="16">
        <v>3</v>
      </c>
      <c r="D1439" s="16">
        <v>342.6</v>
      </c>
      <c r="E1439" s="17">
        <f t="shared" si="22"/>
        <v>11.83</v>
      </c>
      <c r="F1439" s="16">
        <v>1</v>
      </c>
      <c r="G1439" s="16">
        <v>7</v>
      </c>
      <c r="H1439" s="16">
        <v>1.59</v>
      </c>
      <c r="I1439" s="16">
        <v>6</v>
      </c>
      <c r="J1439" s="16">
        <v>309</v>
      </c>
      <c r="K1439" s="16">
        <v>4.9400000000000004</v>
      </c>
      <c r="L1439" s="16">
        <v>95.6</v>
      </c>
      <c r="M1439" s="16">
        <v>1</v>
      </c>
      <c r="N1439" s="18">
        <f>IF(Risk_Calculation_Engine!U1439="Low",1,IF(Risk_Calculation_Engine!U1439="Medium",2,3))</f>
        <v>2</v>
      </c>
      <c r="O1439" s="18" t="str">
        <f>Risk_Calculation_Engine!U1439</f>
        <v>Medium</v>
      </c>
    </row>
    <row r="1440" spans="1:15" ht="15" customHeight="1" x14ac:dyDescent="0.25">
      <c r="A1440" s="16">
        <v>1436</v>
      </c>
      <c r="B1440" s="16">
        <v>93.6</v>
      </c>
      <c r="C1440" s="16">
        <v>1</v>
      </c>
      <c r="D1440" s="16">
        <v>292</v>
      </c>
      <c r="E1440" s="17">
        <f t="shared" si="22"/>
        <v>9.57</v>
      </c>
      <c r="F1440" s="16">
        <v>2</v>
      </c>
      <c r="G1440" s="16">
        <v>6</v>
      </c>
      <c r="H1440" s="16">
        <v>1.88</v>
      </c>
      <c r="I1440" s="16">
        <v>6</v>
      </c>
      <c r="J1440" s="16">
        <v>147</v>
      </c>
      <c r="K1440" s="16">
        <v>1.57</v>
      </c>
      <c r="L1440" s="16">
        <v>84</v>
      </c>
      <c r="M1440" s="16">
        <v>2</v>
      </c>
      <c r="N1440" s="18">
        <f>IF(Risk_Calculation_Engine!U1440="Low",1,IF(Risk_Calculation_Engine!U1440="Medium",2,3))</f>
        <v>2</v>
      </c>
      <c r="O1440" s="18" t="str">
        <f>Risk_Calculation_Engine!U1440</f>
        <v>Medium</v>
      </c>
    </row>
    <row r="1441" spans="1:15" ht="15" customHeight="1" x14ac:dyDescent="0.25">
      <c r="A1441" s="16">
        <v>1437</v>
      </c>
      <c r="B1441" s="16">
        <v>149.80000000000001</v>
      </c>
      <c r="C1441" s="16">
        <v>4</v>
      </c>
      <c r="D1441" s="16">
        <v>876.8</v>
      </c>
      <c r="E1441" s="17">
        <f t="shared" si="22"/>
        <v>20.23</v>
      </c>
      <c r="F1441" s="16">
        <v>2</v>
      </c>
      <c r="G1441" s="16">
        <v>6</v>
      </c>
      <c r="H1441" s="16">
        <v>1.21</v>
      </c>
      <c r="I1441" s="16">
        <v>8</v>
      </c>
      <c r="J1441" s="16">
        <v>1119</v>
      </c>
      <c r="K1441" s="16">
        <v>7.47</v>
      </c>
      <c r="L1441" s="16">
        <v>92.6</v>
      </c>
      <c r="M1441" s="16">
        <v>2</v>
      </c>
      <c r="N1441" s="18">
        <f>IF(Risk_Calculation_Engine!U1441="Low",1,IF(Risk_Calculation_Engine!U1441="Medium",2,3))</f>
        <v>2</v>
      </c>
      <c r="O1441" s="18" t="str">
        <f>Risk_Calculation_Engine!U1441</f>
        <v>Medium</v>
      </c>
    </row>
    <row r="1442" spans="1:15" ht="15" customHeight="1" x14ac:dyDescent="0.25">
      <c r="A1442" s="16">
        <v>1438</v>
      </c>
      <c r="B1442" s="16">
        <v>3.5</v>
      </c>
      <c r="C1442" s="16">
        <v>1</v>
      </c>
      <c r="D1442" s="16">
        <v>8.6</v>
      </c>
      <c r="E1442" s="17">
        <f t="shared" si="22"/>
        <v>6.21</v>
      </c>
      <c r="F1442" s="16">
        <v>2</v>
      </c>
      <c r="G1442" s="16">
        <v>4</v>
      </c>
      <c r="H1442" s="16">
        <v>1.08</v>
      </c>
      <c r="I1442" s="16">
        <v>5</v>
      </c>
      <c r="J1442" s="16">
        <v>8</v>
      </c>
      <c r="K1442" s="16">
        <v>2.29</v>
      </c>
      <c r="L1442" s="16">
        <v>55.9</v>
      </c>
      <c r="M1442" s="16">
        <v>1</v>
      </c>
      <c r="N1442" s="18">
        <f>IF(Risk_Calculation_Engine!U1442="Low",1,IF(Risk_Calculation_Engine!U1442="Medium",2,3))</f>
        <v>1</v>
      </c>
      <c r="O1442" s="18" t="str">
        <f>Risk_Calculation_Engine!U1442</f>
        <v>Low</v>
      </c>
    </row>
    <row r="1443" spans="1:15" ht="15" customHeight="1" x14ac:dyDescent="0.25">
      <c r="A1443" s="16">
        <v>1439</v>
      </c>
      <c r="B1443" s="16">
        <v>149.80000000000001</v>
      </c>
      <c r="C1443" s="16">
        <v>4</v>
      </c>
      <c r="D1443" s="16">
        <v>765.8</v>
      </c>
      <c r="E1443" s="17">
        <f t="shared" si="22"/>
        <v>9.42</v>
      </c>
      <c r="F1443" s="16">
        <v>2</v>
      </c>
      <c r="G1443" s="16">
        <v>6</v>
      </c>
      <c r="H1443" s="16">
        <v>2.5</v>
      </c>
      <c r="I1443" s="16">
        <v>8</v>
      </c>
      <c r="J1443" s="16">
        <v>1207</v>
      </c>
      <c r="K1443" s="16">
        <v>8.06</v>
      </c>
      <c r="L1443" s="16">
        <v>77.5</v>
      </c>
      <c r="M1443" s="16">
        <v>1</v>
      </c>
      <c r="N1443" s="18">
        <f>IF(Risk_Calculation_Engine!U1443="Low",1,IF(Risk_Calculation_Engine!U1443="Medium",2,3))</f>
        <v>3</v>
      </c>
      <c r="O1443" s="18" t="str">
        <f>Risk_Calculation_Engine!U1443</f>
        <v>High</v>
      </c>
    </row>
    <row r="1444" spans="1:15" ht="15" customHeight="1" x14ac:dyDescent="0.25">
      <c r="A1444" s="16">
        <v>1440</v>
      </c>
      <c r="B1444" s="16">
        <v>149.80000000000001</v>
      </c>
      <c r="C1444" s="16">
        <v>3</v>
      </c>
      <c r="D1444" s="16">
        <v>573.20000000000005</v>
      </c>
      <c r="E1444" s="17">
        <f t="shared" si="22"/>
        <v>12.14</v>
      </c>
      <c r="F1444" s="16">
        <v>3</v>
      </c>
      <c r="G1444" s="16">
        <v>7</v>
      </c>
      <c r="H1444" s="16">
        <v>1.79</v>
      </c>
      <c r="I1444" s="16">
        <v>7</v>
      </c>
      <c r="J1444" s="16">
        <v>1074</v>
      </c>
      <c r="K1444" s="16">
        <v>7.17</v>
      </c>
      <c r="L1444" s="16">
        <v>65.2</v>
      </c>
      <c r="M1444" s="16">
        <v>3</v>
      </c>
      <c r="N1444" s="18">
        <f>IF(Risk_Calculation_Engine!U1444="Low",1,IF(Risk_Calculation_Engine!U1444="Medium",2,3))</f>
        <v>3</v>
      </c>
      <c r="O1444" s="18" t="str">
        <f>Risk_Calculation_Engine!U1444</f>
        <v>High</v>
      </c>
    </row>
    <row r="1445" spans="1:15" ht="15" customHeight="1" x14ac:dyDescent="0.25">
      <c r="A1445" s="16">
        <v>1441</v>
      </c>
      <c r="B1445" s="16">
        <v>120.6</v>
      </c>
      <c r="C1445" s="16">
        <v>4</v>
      </c>
      <c r="D1445" s="16">
        <v>435.5</v>
      </c>
      <c r="E1445" s="17">
        <f t="shared" si="22"/>
        <v>17.96</v>
      </c>
      <c r="F1445" s="16">
        <v>3</v>
      </c>
      <c r="G1445" s="16">
        <v>4</v>
      </c>
      <c r="H1445" s="16">
        <v>1.1200000000000001</v>
      </c>
      <c r="I1445" s="16">
        <v>6</v>
      </c>
      <c r="J1445" s="16">
        <v>1499</v>
      </c>
      <c r="K1445" s="16">
        <v>12.43</v>
      </c>
      <c r="L1445" s="16">
        <v>49.1</v>
      </c>
      <c r="M1445" s="16">
        <v>3</v>
      </c>
      <c r="N1445" s="18">
        <f>IF(Risk_Calculation_Engine!U1445="Low",1,IF(Risk_Calculation_Engine!U1445="Medium",2,3))</f>
        <v>2</v>
      </c>
      <c r="O1445" s="18" t="str">
        <f>Risk_Calculation_Engine!U1445</f>
        <v>Medium</v>
      </c>
    </row>
    <row r="1446" spans="1:15" ht="15" customHeight="1" x14ac:dyDescent="0.25">
      <c r="A1446" s="16">
        <v>1442</v>
      </c>
      <c r="B1446" s="16">
        <v>73.7</v>
      </c>
      <c r="C1446" s="16">
        <v>4</v>
      </c>
      <c r="D1446" s="16">
        <v>437.6</v>
      </c>
      <c r="E1446" s="17">
        <f t="shared" si="22"/>
        <v>15.5</v>
      </c>
      <c r="F1446" s="16">
        <v>2</v>
      </c>
      <c r="G1446" s="16">
        <v>5</v>
      </c>
      <c r="H1446" s="16">
        <v>1.3</v>
      </c>
      <c r="I1446" s="16">
        <v>13</v>
      </c>
      <c r="J1446" s="16">
        <v>895</v>
      </c>
      <c r="K1446" s="16">
        <v>12.14</v>
      </c>
      <c r="L1446" s="16">
        <v>46</v>
      </c>
      <c r="M1446" s="16">
        <v>2</v>
      </c>
      <c r="N1446" s="18">
        <f>IF(Risk_Calculation_Engine!U1446="Low",1,IF(Risk_Calculation_Engine!U1446="Medium",2,3))</f>
        <v>2</v>
      </c>
      <c r="O1446" s="18" t="str">
        <f>Risk_Calculation_Engine!U1446</f>
        <v>Medium</v>
      </c>
    </row>
    <row r="1447" spans="1:15" ht="15" customHeight="1" x14ac:dyDescent="0.25">
      <c r="A1447" s="16">
        <v>1443</v>
      </c>
      <c r="B1447" s="16">
        <v>34.299999999999997</v>
      </c>
      <c r="C1447" s="16">
        <v>4</v>
      </c>
      <c r="D1447" s="16">
        <v>128.19999999999999</v>
      </c>
      <c r="E1447" s="17">
        <f t="shared" si="22"/>
        <v>5.71</v>
      </c>
      <c r="F1447" s="16">
        <v>3</v>
      </c>
      <c r="G1447" s="16">
        <v>3</v>
      </c>
      <c r="H1447" s="16">
        <v>2.5</v>
      </c>
      <c r="I1447" s="16">
        <v>7</v>
      </c>
      <c r="J1447" s="16">
        <v>485</v>
      </c>
      <c r="K1447" s="16">
        <v>14.14</v>
      </c>
      <c r="L1447" s="16">
        <v>49.7</v>
      </c>
      <c r="M1447" s="16">
        <v>3</v>
      </c>
      <c r="N1447" s="18">
        <f>IF(Risk_Calculation_Engine!U1447="Low",1,IF(Risk_Calculation_Engine!U1447="Medium",2,3))</f>
        <v>2</v>
      </c>
      <c r="O1447" s="18" t="str">
        <f>Risk_Calculation_Engine!U1447</f>
        <v>Medium</v>
      </c>
    </row>
    <row r="1448" spans="1:15" ht="15" customHeight="1" x14ac:dyDescent="0.25">
      <c r="A1448" s="16">
        <v>1444</v>
      </c>
      <c r="B1448" s="16">
        <v>119.5</v>
      </c>
      <c r="C1448" s="16">
        <v>1</v>
      </c>
      <c r="D1448" s="16">
        <v>425</v>
      </c>
      <c r="E1448" s="17">
        <f t="shared" si="22"/>
        <v>7.99</v>
      </c>
      <c r="F1448" s="16">
        <v>2</v>
      </c>
      <c r="G1448" s="16">
        <v>6</v>
      </c>
      <c r="H1448" s="16">
        <v>2.5</v>
      </c>
      <c r="I1448" s="16">
        <v>12</v>
      </c>
      <c r="J1448" s="16">
        <v>348</v>
      </c>
      <c r="K1448" s="16">
        <v>2.91</v>
      </c>
      <c r="L1448" s="16">
        <v>78.599999999999994</v>
      </c>
      <c r="M1448" s="16">
        <v>2</v>
      </c>
      <c r="N1448" s="18">
        <f>IF(Risk_Calculation_Engine!U1448="Low",1,IF(Risk_Calculation_Engine!U1448="Medium",2,3))</f>
        <v>2</v>
      </c>
      <c r="O1448" s="18" t="str">
        <f>Risk_Calculation_Engine!U1448</f>
        <v>Medium</v>
      </c>
    </row>
    <row r="1449" spans="1:15" ht="15" customHeight="1" x14ac:dyDescent="0.25">
      <c r="A1449" s="16">
        <v>1445</v>
      </c>
      <c r="B1449" s="16">
        <v>76.8</v>
      </c>
      <c r="C1449" s="16">
        <v>4</v>
      </c>
      <c r="D1449" s="16">
        <v>285.39999999999998</v>
      </c>
      <c r="E1449" s="17">
        <f t="shared" si="22"/>
        <v>14.3</v>
      </c>
      <c r="F1449" s="16">
        <v>3</v>
      </c>
      <c r="G1449" s="16">
        <v>6</v>
      </c>
      <c r="H1449" s="16">
        <v>1.25</v>
      </c>
      <c r="I1449" s="16">
        <v>12</v>
      </c>
      <c r="J1449" s="16">
        <v>497</v>
      </c>
      <c r="K1449" s="16">
        <v>6.47</v>
      </c>
      <c r="L1449" s="16">
        <v>49.8</v>
      </c>
      <c r="M1449" s="16">
        <v>3</v>
      </c>
      <c r="N1449" s="18">
        <f>IF(Risk_Calculation_Engine!U1449="Low",1,IF(Risk_Calculation_Engine!U1449="Medium",2,3))</f>
        <v>1</v>
      </c>
      <c r="O1449" s="18" t="str">
        <f>Risk_Calculation_Engine!U1449</f>
        <v>Low</v>
      </c>
    </row>
    <row r="1450" spans="1:15" ht="15" customHeight="1" x14ac:dyDescent="0.25">
      <c r="A1450" s="16">
        <v>1446</v>
      </c>
      <c r="B1450" s="16">
        <v>47.1</v>
      </c>
      <c r="C1450" s="16">
        <v>5</v>
      </c>
      <c r="D1450" s="16">
        <v>374.6</v>
      </c>
      <c r="E1450" s="17">
        <f t="shared" si="22"/>
        <v>18.37</v>
      </c>
      <c r="F1450" s="16">
        <v>1</v>
      </c>
      <c r="G1450" s="16">
        <v>3</v>
      </c>
      <c r="H1450" s="16">
        <v>1.05</v>
      </c>
      <c r="I1450" s="16">
        <v>11</v>
      </c>
      <c r="J1450" s="16">
        <v>696</v>
      </c>
      <c r="K1450" s="16">
        <v>14.78</v>
      </c>
      <c r="L1450" s="16">
        <v>55.8</v>
      </c>
      <c r="M1450" s="16">
        <v>3</v>
      </c>
      <c r="N1450" s="18">
        <f>IF(Risk_Calculation_Engine!U1450="Low",1,IF(Risk_Calculation_Engine!U1450="Medium",2,3))</f>
        <v>2</v>
      </c>
      <c r="O1450" s="18" t="str">
        <f>Risk_Calculation_Engine!U1450</f>
        <v>Medium</v>
      </c>
    </row>
    <row r="1451" spans="1:15" ht="15" customHeight="1" x14ac:dyDescent="0.25">
      <c r="A1451" s="16">
        <v>1447</v>
      </c>
      <c r="B1451" s="16">
        <v>117.3</v>
      </c>
      <c r="C1451" s="16">
        <v>3</v>
      </c>
      <c r="D1451" s="16">
        <v>743.2</v>
      </c>
      <c r="E1451" s="17">
        <f t="shared" si="22"/>
        <v>21.63</v>
      </c>
      <c r="F1451" s="16">
        <v>1</v>
      </c>
      <c r="G1451" s="16">
        <v>5</v>
      </c>
      <c r="H1451" s="16">
        <v>1.08</v>
      </c>
      <c r="I1451" s="16">
        <v>6</v>
      </c>
      <c r="J1451" s="16">
        <v>906</v>
      </c>
      <c r="K1451" s="16">
        <v>7.72</v>
      </c>
      <c r="L1451" s="16">
        <v>80.900000000000006</v>
      </c>
      <c r="M1451" s="16">
        <v>2</v>
      </c>
      <c r="N1451" s="18">
        <f>IF(Risk_Calculation_Engine!U1451="Low",1,IF(Risk_Calculation_Engine!U1451="Medium",2,3))</f>
        <v>1</v>
      </c>
      <c r="O1451" s="18" t="str">
        <f>Risk_Calculation_Engine!U1451</f>
        <v>Low</v>
      </c>
    </row>
    <row r="1452" spans="1:15" ht="15" customHeight="1" x14ac:dyDescent="0.25">
      <c r="A1452" s="16">
        <v>1448</v>
      </c>
      <c r="B1452" s="16">
        <v>132.5</v>
      </c>
      <c r="C1452" s="16">
        <v>3</v>
      </c>
      <c r="D1452" s="16">
        <v>720.9</v>
      </c>
      <c r="E1452" s="17">
        <f t="shared" si="22"/>
        <v>9.27</v>
      </c>
      <c r="F1452" s="16">
        <v>2</v>
      </c>
      <c r="G1452" s="16">
        <v>6</v>
      </c>
      <c r="H1452" s="16">
        <v>2.5</v>
      </c>
      <c r="I1452" s="16">
        <v>13</v>
      </c>
      <c r="J1452" s="16">
        <v>1019</v>
      </c>
      <c r="K1452" s="16">
        <v>7.69</v>
      </c>
      <c r="L1452" s="16">
        <v>91.7</v>
      </c>
      <c r="M1452" s="16">
        <v>2</v>
      </c>
      <c r="N1452" s="18">
        <f>IF(Risk_Calculation_Engine!U1452="Low",1,IF(Risk_Calculation_Engine!U1452="Medium",2,3))</f>
        <v>3</v>
      </c>
      <c r="O1452" s="18" t="str">
        <f>Risk_Calculation_Engine!U1452</f>
        <v>High</v>
      </c>
    </row>
    <row r="1453" spans="1:15" ht="15" customHeight="1" x14ac:dyDescent="0.25">
      <c r="A1453" s="16">
        <v>1449</v>
      </c>
      <c r="B1453" s="16">
        <v>149.80000000000001</v>
      </c>
      <c r="C1453" s="16">
        <v>4</v>
      </c>
      <c r="D1453" s="16">
        <v>1015.8</v>
      </c>
      <c r="E1453" s="17">
        <f t="shared" si="22"/>
        <v>18.75</v>
      </c>
      <c r="F1453" s="16">
        <v>1</v>
      </c>
      <c r="G1453" s="16">
        <v>9</v>
      </c>
      <c r="H1453" s="16">
        <v>1.36</v>
      </c>
      <c r="I1453" s="16">
        <v>6</v>
      </c>
      <c r="J1453" s="16">
        <v>855</v>
      </c>
      <c r="K1453" s="16">
        <v>5.71</v>
      </c>
      <c r="L1453" s="16">
        <v>32.1</v>
      </c>
      <c r="M1453" s="16">
        <v>1</v>
      </c>
      <c r="N1453" s="18">
        <f>IF(Risk_Calculation_Engine!U1453="Low",1,IF(Risk_Calculation_Engine!U1453="Medium",2,3))</f>
        <v>3</v>
      </c>
      <c r="O1453" s="18" t="str">
        <f>Risk_Calculation_Engine!U1453</f>
        <v>High</v>
      </c>
    </row>
    <row r="1454" spans="1:15" ht="15" customHeight="1" x14ac:dyDescent="0.25">
      <c r="A1454" s="16">
        <v>1450</v>
      </c>
      <c r="B1454" s="16">
        <v>30.8</v>
      </c>
      <c r="C1454" s="16">
        <v>2</v>
      </c>
      <c r="D1454" s="16">
        <v>109.6</v>
      </c>
      <c r="E1454" s="17">
        <f t="shared" si="22"/>
        <v>15.02</v>
      </c>
      <c r="F1454" s="16">
        <v>2</v>
      </c>
      <c r="G1454" s="16">
        <v>2</v>
      </c>
      <c r="H1454" s="16">
        <v>0.91</v>
      </c>
      <c r="I1454" s="16">
        <v>6</v>
      </c>
      <c r="J1454" s="16">
        <v>180</v>
      </c>
      <c r="K1454" s="16">
        <v>5.84</v>
      </c>
      <c r="L1454" s="16">
        <v>83.1</v>
      </c>
      <c r="M1454" s="16">
        <v>2</v>
      </c>
      <c r="N1454" s="18">
        <f>IF(Risk_Calculation_Engine!U1454="Low",1,IF(Risk_Calculation_Engine!U1454="Medium",2,3))</f>
        <v>1</v>
      </c>
      <c r="O1454" s="18" t="str">
        <f>Risk_Calculation_Engine!U1454</f>
        <v>Low</v>
      </c>
    </row>
    <row r="1455" spans="1:15" ht="15" customHeight="1" x14ac:dyDescent="0.25">
      <c r="A1455" s="16">
        <v>1451</v>
      </c>
      <c r="B1455" s="16">
        <v>149.80000000000001</v>
      </c>
      <c r="C1455" s="16">
        <v>4</v>
      </c>
      <c r="D1455" s="16">
        <v>1265.5</v>
      </c>
      <c r="E1455" s="17">
        <f t="shared" si="22"/>
        <v>20.55</v>
      </c>
      <c r="F1455" s="16">
        <v>1</v>
      </c>
      <c r="G1455" s="16">
        <v>3</v>
      </c>
      <c r="H1455" s="16">
        <v>1.32</v>
      </c>
      <c r="I1455" s="16">
        <v>14</v>
      </c>
      <c r="J1455" s="16">
        <v>2032</v>
      </c>
      <c r="K1455" s="16">
        <v>13.56</v>
      </c>
      <c r="L1455" s="16">
        <v>74.099999999999994</v>
      </c>
      <c r="M1455" s="16">
        <v>2</v>
      </c>
      <c r="N1455" s="18">
        <f>IF(Risk_Calculation_Engine!U1455="Low",1,IF(Risk_Calculation_Engine!U1455="Medium",2,3))</f>
        <v>3</v>
      </c>
      <c r="O1455" s="18" t="str">
        <f>Risk_Calculation_Engine!U1455</f>
        <v>High</v>
      </c>
    </row>
    <row r="1456" spans="1:15" ht="15" customHeight="1" x14ac:dyDescent="0.25">
      <c r="A1456" s="16">
        <v>1452</v>
      </c>
      <c r="B1456" s="16">
        <v>47.8</v>
      </c>
      <c r="C1456" s="16">
        <v>4</v>
      </c>
      <c r="D1456" s="16">
        <v>245.3</v>
      </c>
      <c r="E1456" s="17">
        <f t="shared" si="22"/>
        <v>9.16</v>
      </c>
      <c r="F1456" s="16">
        <v>2</v>
      </c>
      <c r="G1456" s="16">
        <v>5</v>
      </c>
      <c r="H1456" s="16">
        <v>1.87</v>
      </c>
      <c r="I1456" s="16">
        <v>7</v>
      </c>
      <c r="J1456" s="16">
        <v>669</v>
      </c>
      <c r="K1456" s="16">
        <v>14</v>
      </c>
      <c r="L1456" s="16">
        <v>62.1</v>
      </c>
      <c r="M1456" s="16">
        <v>2</v>
      </c>
      <c r="N1456" s="18">
        <f>IF(Risk_Calculation_Engine!U1456="Low",1,IF(Risk_Calculation_Engine!U1456="Medium",2,3))</f>
        <v>3</v>
      </c>
      <c r="O1456" s="18" t="str">
        <f>Risk_Calculation_Engine!U1456</f>
        <v>High</v>
      </c>
    </row>
    <row r="1457" spans="1:15" ht="15" customHeight="1" x14ac:dyDescent="0.25">
      <c r="A1457" s="16">
        <v>1453</v>
      </c>
      <c r="B1457" s="16">
        <v>73.900000000000006</v>
      </c>
      <c r="C1457" s="16">
        <v>1</v>
      </c>
      <c r="D1457" s="16">
        <v>340.3</v>
      </c>
      <c r="E1457" s="17">
        <f t="shared" si="22"/>
        <v>12.04</v>
      </c>
      <c r="F1457" s="16">
        <v>1</v>
      </c>
      <c r="G1457" s="16">
        <v>9</v>
      </c>
      <c r="H1457" s="16">
        <v>1.56</v>
      </c>
      <c r="I1457" s="16">
        <v>12</v>
      </c>
      <c r="J1457" s="16">
        <v>104</v>
      </c>
      <c r="K1457" s="16">
        <v>1.41</v>
      </c>
      <c r="L1457" s="16">
        <v>60.2</v>
      </c>
      <c r="M1457" s="16">
        <v>1</v>
      </c>
      <c r="N1457" s="18">
        <f>IF(Risk_Calculation_Engine!U1457="Low",1,IF(Risk_Calculation_Engine!U1457="Medium",2,3))</f>
        <v>2</v>
      </c>
      <c r="O1457" s="18" t="str">
        <f>Risk_Calculation_Engine!U1457</f>
        <v>Medium</v>
      </c>
    </row>
    <row r="1458" spans="1:15" ht="15" customHeight="1" x14ac:dyDescent="0.25">
      <c r="A1458" s="16">
        <v>1454</v>
      </c>
      <c r="B1458" s="16">
        <v>85.7</v>
      </c>
      <c r="C1458" s="16">
        <v>4</v>
      </c>
      <c r="D1458" s="16">
        <v>707.3</v>
      </c>
      <c r="E1458" s="17">
        <f t="shared" si="22"/>
        <v>9.2200000000000006</v>
      </c>
      <c r="F1458" s="16">
        <v>1</v>
      </c>
      <c r="G1458" s="16">
        <v>6</v>
      </c>
      <c r="H1458" s="16">
        <v>2.5</v>
      </c>
      <c r="I1458" s="16">
        <v>3</v>
      </c>
      <c r="J1458" s="16">
        <v>858</v>
      </c>
      <c r="K1458" s="16">
        <v>10.01</v>
      </c>
      <c r="L1458" s="16">
        <v>54.5</v>
      </c>
      <c r="M1458" s="16">
        <v>3</v>
      </c>
      <c r="N1458" s="18">
        <f>IF(Risk_Calculation_Engine!U1458="Low",1,IF(Risk_Calculation_Engine!U1458="Medium",2,3))</f>
        <v>3</v>
      </c>
      <c r="O1458" s="18" t="str">
        <f>Risk_Calculation_Engine!U1458</f>
        <v>High</v>
      </c>
    </row>
    <row r="1459" spans="1:15" ht="15" customHeight="1" x14ac:dyDescent="0.25">
      <c r="A1459" s="16">
        <v>1455</v>
      </c>
      <c r="B1459" s="16">
        <v>142.30000000000001</v>
      </c>
      <c r="C1459" s="16">
        <v>4</v>
      </c>
      <c r="D1459" s="16">
        <v>578.70000000000005</v>
      </c>
      <c r="E1459" s="17">
        <f t="shared" si="22"/>
        <v>11.59</v>
      </c>
      <c r="F1459" s="16">
        <v>3</v>
      </c>
      <c r="G1459" s="16">
        <v>8</v>
      </c>
      <c r="H1459" s="16">
        <v>1.88</v>
      </c>
      <c r="I1459" s="16">
        <v>10</v>
      </c>
      <c r="J1459" s="16">
        <v>1338</v>
      </c>
      <c r="K1459" s="16">
        <v>9.4</v>
      </c>
      <c r="L1459" s="16">
        <v>94.4</v>
      </c>
      <c r="M1459" s="16">
        <v>3</v>
      </c>
      <c r="N1459" s="18">
        <f>IF(Risk_Calculation_Engine!U1459="Low",1,IF(Risk_Calculation_Engine!U1459="Medium",2,3))</f>
        <v>3</v>
      </c>
      <c r="O1459" s="18" t="str">
        <f>Risk_Calculation_Engine!U1459</f>
        <v>High</v>
      </c>
    </row>
    <row r="1460" spans="1:15" ht="15" customHeight="1" x14ac:dyDescent="0.25">
      <c r="A1460" s="16">
        <v>1456</v>
      </c>
      <c r="B1460" s="16">
        <v>108.5</v>
      </c>
      <c r="C1460" s="16">
        <v>3</v>
      </c>
      <c r="D1460" s="16">
        <v>433.6</v>
      </c>
      <c r="E1460" s="17">
        <f t="shared" si="22"/>
        <v>10.050000000000001</v>
      </c>
      <c r="F1460" s="16">
        <v>2</v>
      </c>
      <c r="G1460" s="16">
        <v>2</v>
      </c>
      <c r="H1460" s="16">
        <v>2</v>
      </c>
      <c r="I1460" s="16">
        <v>14</v>
      </c>
      <c r="J1460" s="16">
        <v>560</v>
      </c>
      <c r="K1460" s="16">
        <v>5.16</v>
      </c>
      <c r="L1460" s="16">
        <v>52.6</v>
      </c>
      <c r="M1460" s="16">
        <v>1</v>
      </c>
      <c r="N1460" s="18">
        <f>IF(Risk_Calculation_Engine!U1460="Low",1,IF(Risk_Calculation_Engine!U1460="Medium",2,3))</f>
        <v>2</v>
      </c>
      <c r="O1460" s="18" t="str">
        <f>Risk_Calculation_Engine!U1460</f>
        <v>Medium</v>
      </c>
    </row>
    <row r="1461" spans="1:15" ht="15" customHeight="1" x14ac:dyDescent="0.25">
      <c r="A1461" s="16">
        <v>1457</v>
      </c>
      <c r="B1461" s="16">
        <v>46.4</v>
      </c>
      <c r="C1461" s="16">
        <v>5</v>
      </c>
      <c r="D1461" s="16">
        <v>226.3</v>
      </c>
      <c r="E1461" s="17">
        <f t="shared" si="22"/>
        <v>6.84</v>
      </c>
      <c r="F1461" s="16">
        <v>3</v>
      </c>
      <c r="G1461" s="16">
        <v>7</v>
      </c>
      <c r="H1461" s="16">
        <v>2.4500000000000002</v>
      </c>
      <c r="I1461" s="16">
        <v>12</v>
      </c>
      <c r="J1461" s="16">
        <v>607</v>
      </c>
      <c r="K1461" s="16">
        <v>13.08</v>
      </c>
      <c r="L1461" s="16">
        <v>47.8</v>
      </c>
      <c r="M1461" s="16">
        <v>2</v>
      </c>
      <c r="N1461" s="18">
        <f>IF(Risk_Calculation_Engine!U1461="Low",1,IF(Risk_Calculation_Engine!U1461="Medium",2,3))</f>
        <v>3</v>
      </c>
      <c r="O1461" s="18" t="str">
        <f>Risk_Calculation_Engine!U1461</f>
        <v>High</v>
      </c>
    </row>
    <row r="1462" spans="1:15" ht="15" customHeight="1" x14ac:dyDescent="0.25">
      <c r="A1462" s="16">
        <v>1458</v>
      </c>
      <c r="B1462" s="16">
        <v>4.4000000000000004</v>
      </c>
      <c r="C1462" s="16">
        <v>2</v>
      </c>
      <c r="D1462" s="16">
        <v>11.2</v>
      </c>
      <c r="E1462" s="17">
        <f t="shared" si="22"/>
        <v>3.02</v>
      </c>
      <c r="F1462" s="16">
        <v>2</v>
      </c>
      <c r="G1462" s="16">
        <v>5</v>
      </c>
      <c r="H1462" s="16">
        <v>2.39</v>
      </c>
      <c r="I1462" s="16">
        <v>10</v>
      </c>
      <c r="J1462" s="16">
        <v>11</v>
      </c>
      <c r="K1462" s="16">
        <v>2.5</v>
      </c>
      <c r="L1462" s="16">
        <v>39.299999999999997</v>
      </c>
      <c r="M1462" s="16">
        <v>3</v>
      </c>
      <c r="N1462" s="18">
        <f>IF(Risk_Calculation_Engine!U1462="Low",1,IF(Risk_Calculation_Engine!U1462="Medium",2,3))</f>
        <v>1</v>
      </c>
      <c r="O1462" s="18" t="str">
        <f>Risk_Calculation_Engine!U1462</f>
        <v>Low</v>
      </c>
    </row>
    <row r="1463" spans="1:15" ht="15" customHeight="1" x14ac:dyDescent="0.25">
      <c r="A1463" s="16">
        <v>1459</v>
      </c>
      <c r="B1463" s="16">
        <v>92.8</v>
      </c>
      <c r="C1463" s="16">
        <v>3</v>
      </c>
      <c r="D1463" s="16">
        <v>639.79999999999995</v>
      </c>
      <c r="E1463" s="17">
        <f t="shared" si="22"/>
        <v>17.100000000000001</v>
      </c>
      <c r="F1463" s="16">
        <v>1</v>
      </c>
      <c r="G1463" s="16">
        <v>6</v>
      </c>
      <c r="H1463" s="16">
        <v>1.31</v>
      </c>
      <c r="I1463" s="16">
        <v>14</v>
      </c>
      <c r="J1463" s="16">
        <v>763</v>
      </c>
      <c r="K1463" s="16">
        <v>8.2200000000000006</v>
      </c>
      <c r="L1463" s="16">
        <v>91.4</v>
      </c>
      <c r="M1463" s="16">
        <v>2</v>
      </c>
      <c r="N1463" s="18">
        <f>IF(Risk_Calculation_Engine!U1463="Low",1,IF(Risk_Calculation_Engine!U1463="Medium",2,3))</f>
        <v>2</v>
      </c>
      <c r="O1463" s="18" t="str">
        <f>Risk_Calculation_Engine!U1463</f>
        <v>Medium</v>
      </c>
    </row>
    <row r="1464" spans="1:15" ht="15" customHeight="1" x14ac:dyDescent="0.25">
      <c r="A1464" s="16">
        <v>1460</v>
      </c>
      <c r="B1464" s="16">
        <v>71.5</v>
      </c>
      <c r="C1464" s="16">
        <v>4</v>
      </c>
      <c r="D1464" s="16">
        <v>336.2</v>
      </c>
      <c r="E1464" s="17">
        <f t="shared" si="22"/>
        <v>17.82</v>
      </c>
      <c r="F1464" s="16">
        <v>2</v>
      </c>
      <c r="G1464" s="16">
        <v>6</v>
      </c>
      <c r="H1464" s="16">
        <v>1.05</v>
      </c>
      <c r="I1464" s="16">
        <v>6</v>
      </c>
      <c r="J1464" s="16">
        <v>737</v>
      </c>
      <c r="K1464" s="16">
        <v>10.31</v>
      </c>
      <c r="L1464" s="16">
        <v>79.3</v>
      </c>
      <c r="M1464" s="16">
        <v>3</v>
      </c>
      <c r="N1464" s="18">
        <f>IF(Risk_Calculation_Engine!U1464="Low",1,IF(Risk_Calculation_Engine!U1464="Medium",2,3))</f>
        <v>1</v>
      </c>
      <c r="O1464" s="18" t="str">
        <f>Risk_Calculation_Engine!U1464</f>
        <v>Low</v>
      </c>
    </row>
    <row r="1465" spans="1:15" ht="15" customHeight="1" x14ac:dyDescent="0.25">
      <c r="A1465" s="16">
        <v>1461</v>
      </c>
      <c r="B1465" s="16">
        <v>17</v>
      </c>
      <c r="C1465" s="16">
        <v>2</v>
      </c>
      <c r="D1465" s="16">
        <v>49.4</v>
      </c>
      <c r="E1465" s="17">
        <f t="shared" si="22"/>
        <v>6.04</v>
      </c>
      <c r="F1465" s="16">
        <v>2</v>
      </c>
      <c r="G1465" s="16">
        <v>4</v>
      </c>
      <c r="H1465" s="16">
        <v>1.81</v>
      </c>
      <c r="I1465" s="16">
        <v>7</v>
      </c>
      <c r="J1465" s="16">
        <v>75</v>
      </c>
      <c r="K1465" s="16">
        <v>4.41</v>
      </c>
      <c r="L1465" s="16">
        <v>74.2</v>
      </c>
      <c r="M1465" s="16">
        <v>2</v>
      </c>
      <c r="N1465" s="18">
        <f>IF(Risk_Calculation_Engine!U1465="Low",1,IF(Risk_Calculation_Engine!U1465="Medium",2,3))</f>
        <v>1</v>
      </c>
      <c r="O1465" s="18" t="str">
        <f>Risk_Calculation_Engine!U1465</f>
        <v>Low</v>
      </c>
    </row>
    <row r="1466" spans="1:15" ht="15" customHeight="1" x14ac:dyDescent="0.25">
      <c r="A1466" s="16">
        <v>1462</v>
      </c>
      <c r="B1466" s="16">
        <v>78.400000000000006</v>
      </c>
      <c r="C1466" s="16">
        <v>4</v>
      </c>
      <c r="D1466" s="16">
        <v>546</v>
      </c>
      <c r="E1466" s="17">
        <f t="shared" si="22"/>
        <v>12.61</v>
      </c>
      <c r="F1466" s="16">
        <v>1</v>
      </c>
      <c r="G1466" s="16">
        <v>6</v>
      </c>
      <c r="H1466" s="16">
        <v>1.7</v>
      </c>
      <c r="I1466" s="16">
        <v>3</v>
      </c>
      <c r="J1466" s="16">
        <v>597</v>
      </c>
      <c r="K1466" s="16">
        <v>7.61</v>
      </c>
      <c r="L1466" s="16">
        <v>63</v>
      </c>
      <c r="M1466" s="16">
        <v>1</v>
      </c>
      <c r="N1466" s="18">
        <f>IF(Risk_Calculation_Engine!U1466="Low",1,IF(Risk_Calculation_Engine!U1466="Medium",2,3))</f>
        <v>2</v>
      </c>
      <c r="O1466" s="18" t="str">
        <f>Risk_Calculation_Engine!U1466</f>
        <v>Medium</v>
      </c>
    </row>
    <row r="1467" spans="1:15" ht="15" customHeight="1" x14ac:dyDescent="0.25">
      <c r="A1467" s="16">
        <v>1463</v>
      </c>
      <c r="B1467" s="16">
        <v>63.1</v>
      </c>
      <c r="C1467" s="16">
        <v>1</v>
      </c>
      <c r="D1467" s="16">
        <v>170.1</v>
      </c>
      <c r="E1467" s="17">
        <f t="shared" si="22"/>
        <v>8.18</v>
      </c>
      <c r="F1467" s="16">
        <v>3</v>
      </c>
      <c r="G1467" s="16">
        <v>4</v>
      </c>
      <c r="H1467" s="16">
        <v>1.89</v>
      </c>
      <c r="I1467" s="16">
        <v>12</v>
      </c>
      <c r="J1467" s="16">
        <v>181</v>
      </c>
      <c r="K1467" s="16">
        <v>2.87</v>
      </c>
      <c r="L1467" s="16">
        <v>41.9</v>
      </c>
      <c r="M1467" s="16">
        <v>2</v>
      </c>
      <c r="N1467" s="18">
        <f>IF(Risk_Calculation_Engine!U1467="Low",1,IF(Risk_Calculation_Engine!U1467="Medium",2,3))</f>
        <v>1</v>
      </c>
      <c r="O1467" s="18" t="str">
        <f>Risk_Calculation_Engine!U1467</f>
        <v>Low</v>
      </c>
    </row>
    <row r="1468" spans="1:15" ht="15" customHeight="1" x14ac:dyDescent="0.25">
      <c r="A1468" s="16">
        <v>1464</v>
      </c>
      <c r="B1468" s="16">
        <v>149.80000000000001</v>
      </c>
      <c r="C1468" s="16">
        <v>3</v>
      </c>
      <c r="D1468" s="16">
        <v>625.79999999999995</v>
      </c>
      <c r="E1468" s="17">
        <f t="shared" si="22"/>
        <v>11.36</v>
      </c>
      <c r="F1468" s="16">
        <v>2</v>
      </c>
      <c r="G1468" s="16">
        <v>9</v>
      </c>
      <c r="H1468" s="16">
        <v>1.96</v>
      </c>
      <c r="I1468" s="16">
        <v>12</v>
      </c>
      <c r="J1468" s="16">
        <v>1291</v>
      </c>
      <c r="K1468" s="16">
        <v>8.6199999999999992</v>
      </c>
      <c r="L1468" s="16">
        <v>75.5</v>
      </c>
      <c r="M1468" s="16">
        <v>2</v>
      </c>
      <c r="N1468" s="18">
        <f>IF(Risk_Calculation_Engine!U1468="Low",1,IF(Risk_Calculation_Engine!U1468="Medium",2,3))</f>
        <v>3</v>
      </c>
      <c r="O1468" s="18" t="str">
        <f>Risk_Calculation_Engine!U1468</f>
        <v>High</v>
      </c>
    </row>
    <row r="1469" spans="1:15" ht="15" customHeight="1" x14ac:dyDescent="0.25">
      <c r="A1469" s="16">
        <v>1465</v>
      </c>
      <c r="B1469" s="16">
        <v>149.80000000000001</v>
      </c>
      <c r="C1469" s="16">
        <v>1</v>
      </c>
      <c r="D1469" s="16">
        <v>492.8</v>
      </c>
      <c r="E1469" s="17">
        <f t="shared" si="22"/>
        <v>8.33</v>
      </c>
      <c r="F1469" s="16">
        <v>2</v>
      </c>
      <c r="G1469" s="16">
        <v>5</v>
      </c>
      <c r="H1469" s="16">
        <v>2.5</v>
      </c>
      <c r="I1469" s="16">
        <v>12</v>
      </c>
      <c r="J1469" s="16">
        <v>351</v>
      </c>
      <c r="K1469" s="16">
        <v>2.34</v>
      </c>
      <c r="L1469" s="16">
        <v>70.400000000000006</v>
      </c>
      <c r="M1469" s="16">
        <v>1</v>
      </c>
      <c r="N1469" s="18">
        <f>IF(Risk_Calculation_Engine!U1469="Low",1,IF(Risk_Calculation_Engine!U1469="Medium",2,3))</f>
        <v>3</v>
      </c>
      <c r="O1469" s="18" t="str">
        <f>Risk_Calculation_Engine!U1469</f>
        <v>High</v>
      </c>
    </row>
    <row r="1470" spans="1:15" ht="15" customHeight="1" x14ac:dyDescent="0.25">
      <c r="A1470" s="16">
        <v>1466</v>
      </c>
      <c r="B1470" s="16">
        <v>130.1</v>
      </c>
      <c r="C1470" s="16">
        <v>4</v>
      </c>
      <c r="D1470" s="16">
        <v>679.9</v>
      </c>
      <c r="E1470" s="17">
        <f t="shared" si="22"/>
        <v>15.61</v>
      </c>
      <c r="F1470" s="16">
        <v>2</v>
      </c>
      <c r="G1470" s="16">
        <v>8</v>
      </c>
      <c r="H1470" s="16">
        <v>1.46</v>
      </c>
      <c r="I1470" s="16">
        <v>12</v>
      </c>
      <c r="J1470" s="16">
        <v>1068</v>
      </c>
      <c r="K1470" s="16">
        <v>8.2100000000000009</v>
      </c>
      <c r="L1470" s="16">
        <v>85.5</v>
      </c>
      <c r="M1470" s="16">
        <v>3</v>
      </c>
      <c r="N1470" s="18">
        <f>IF(Risk_Calculation_Engine!U1470="Low",1,IF(Risk_Calculation_Engine!U1470="Medium",2,3))</f>
        <v>3</v>
      </c>
      <c r="O1470" s="18" t="str">
        <f>Risk_Calculation_Engine!U1470</f>
        <v>High</v>
      </c>
    </row>
    <row r="1471" spans="1:15" ht="15" customHeight="1" x14ac:dyDescent="0.25">
      <c r="A1471" s="16">
        <v>1467</v>
      </c>
      <c r="B1471" s="16">
        <v>60</v>
      </c>
      <c r="C1471" s="16">
        <v>4</v>
      </c>
      <c r="D1471" s="16">
        <v>273</v>
      </c>
      <c r="E1471" s="17">
        <f t="shared" si="22"/>
        <v>8.8699999999999992</v>
      </c>
      <c r="F1471" s="16">
        <v>2</v>
      </c>
      <c r="G1471" s="16">
        <v>4</v>
      </c>
      <c r="H1471" s="16">
        <v>1.99</v>
      </c>
      <c r="I1471" s="16">
        <v>4</v>
      </c>
      <c r="J1471" s="16">
        <v>440</v>
      </c>
      <c r="K1471" s="16">
        <v>7.33</v>
      </c>
      <c r="L1471" s="16">
        <v>83.1</v>
      </c>
      <c r="M1471" s="16">
        <v>2</v>
      </c>
      <c r="N1471" s="18">
        <f>IF(Risk_Calculation_Engine!U1471="Low",1,IF(Risk_Calculation_Engine!U1471="Medium",2,3))</f>
        <v>2</v>
      </c>
      <c r="O1471" s="18" t="str">
        <f>Risk_Calculation_Engine!U1471</f>
        <v>Medium</v>
      </c>
    </row>
    <row r="1472" spans="1:15" ht="15" customHeight="1" x14ac:dyDescent="0.25">
      <c r="A1472" s="16">
        <v>1468</v>
      </c>
      <c r="B1472" s="16">
        <v>67.900000000000006</v>
      </c>
      <c r="C1472" s="16">
        <v>4</v>
      </c>
      <c r="D1472" s="16">
        <v>427.8</v>
      </c>
      <c r="E1472" s="17">
        <f t="shared" si="22"/>
        <v>19.059999999999999</v>
      </c>
      <c r="F1472" s="16">
        <v>1</v>
      </c>
      <c r="G1472" s="16">
        <v>5</v>
      </c>
      <c r="H1472" s="16">
        <v>1.05</v>
      </c>
      <c r="I1472" s="16">
        <v>11</v>
      </c>
      <c r="J1472" s="16">
        <v>744</v>
      </c>
      <c r="K1472" s="16">
        <v>10.96</v>
      </c>
      <c r="L1472" s="16">
        <v>46.5</v>
      </c>
      <c r="M1472" s="16">
        <v>2</v>
      </c>
      <c r="N1472" s="18">
        <f>IF(Risk_Calculation_Engine!U1472="Low",1,IF(Risk_Calculation_Engine!U1472="Medium",2,3))</f>
        <v>2</v>
      </c>
      <c r="O1472" s="18" t="str">
        <f>Risk_Calculation_Engine!U1472</f>
        <v>Medium</v>
      </c>
    </row>
    <row r="1473" spans="1:15" ht="15" customHeight="1" x14ac:dyDescent="0.25">
      <c r="A1473" s="16">
        <v>1469</v>
      </c>
      <c r="B1473" s="16">
        <v>29.7</v>
      </c>
      <c r="C1473" s="16">
        <v>5</v>
      </c>
      <c r="D1473" s="16">
        <v>137.9</v>
      </c>
      <c r="E1473" s="17">
        <f t="shared" si="22"/>
        <v>12.46</v>
      </c>
      <c r="F1473" s="16">
        <v>3</v>
      </c>
      <c r="G1473" s="16">
        <v>6</v>
      </c>
      <c r="H1473" s="16">
        <v>1.17</v>
      </c>
      <c r="I1473" s="16">
        <v>12</v>
      </c>
      <c r="J1473" s="16">
        <v>713</v>
      </c>
      <c r="K1473" s="16">
        <v>24.01</v>
      </c>
      <c r="L1473" s="16">
        <v>90.4</v>
      </c>
      <c r="M1473" s="16">
        <v>2</v>
      </c>
      <c r="N1473" s="18">
        <f>IF(Risk_Calculation_Engine!U1473="Low",1,IF(Risk_Calculation_Engine!U1473="Medium",2,3))</f>
        <v>2</v>
      </c>
      <c r="O1473" s="18" t="str">
        <f>Risk_Calculation_Engine!U1473</f>
        <v>Medium</v>
      </c>
    </row>
    <row r="1474" spans="1:15" ht="15" customHeight="1" x14ac:dyDescent="0.25">
      <c r="A1474" s="16">
        <v>1470</v>
      </c>
      <c r="B1474" s="16">
        <v>35.5</v>
      </c>
      <c r="C1474" s="16">
        <v>4</v>
      </c>
      <c r="D1474" s="16">
        <v>184.7</v>
      </c>
      <c r="E1474" s="17">
        <f t="shared" si="22"/>
        <v>9.5299999999999994</v>
      </c>
      <c r="F1474" s="16">
        <v>2</v>
      </c>
      <c r="G1474" s="16">
        <v>6</v>
      </c>
      <c r="H1474" s="16">
        <v>1.66</v>
      </c>
      <c r="I1474" s="16">
        <v>5</v>
      </c>
      <c r="J1474" s="16">
        <v>521</v>
      </c>
      <c r="K1474" s="16">
        <v>14.68</v>
      </c>
      <c r="L1474" s="16">
        <v>72.2</v>
      </c>
      <c r="M1474" s="16">
        <v>2</v>
      </c>
      <c r="N1474" s="18">
        <f>IF(Risk_Calculation_Engine!U1474="Low",1,IF(Risk_Calculation_Engine!U1474="Medium",2,3))</f>
        <v>2</v>
      </c>
      <c r="O1474" s="18" t="str">
        <f>Risk_Calculation_Engine!U1474</f>
        <v>Medium</v>
      </c>
    </row>
    <row r="1475" spans="1:15" ht="15" customHeight="1" x14ac:dyDescent="0.25">
      <c r="A1475" s="16">
        <v>1471</v>
      </c>
      <c r="B1475" s="16">
        <v>57.1</v>
      </c>
      <c r="C1475" s="16">
        <v>4</v>
      </c>
      <c r="D1475" s="16">
        <v>380</v>
      </c>
      <c r="E1475" s="17">
        <f t="shared" si="22"/>
        <v>17.45</v>
      </c>
      <c r="F1475" s="16">
        <v>1</v>
      </c>
      <c r="G1475" s="16">
        <v>10</v>
      </c>
      <c r="H1475" s="16">
        <v>1.1100000000000001</v>
      </c>
      <c r="I1475" s="16">
        <v>9</v>
      </c>
      <c r="J1475" s="16">
        <v>324</v>
      </c>
      <c r="K1475" s="16">
        <v>5.67</v>
      </c>
      <c r="L1475" s="16">
        <v>77.400000000000006</v>
      </c>
      <c r="M1475" s="16">
        <v>2</v>
      </c>
      <c r="N1475" s="18">
        <f>IF(Risk_Calculation_Engine!U1475="Low",1,IF(Risk_Calculation_Engine!U1475="Medium",2,3))</f>
        <v>2</v>
      </c>
      <c r="O1475" s="18" t="str">
        <f>Risk_Calculation_Engine!U1475</f>
        <v>Medium</v>
      </c>
    </row>
    <row r="1476" spans="1:15" ht="15" customHeight="1" x14ac:dyDescent="0.25">
      <c r="A1476" s="16">
        <v>1472</v>
      </c>
      <c r="B1476" s="16">
        <v>52.2</v>
      </c>
      <c r="C1476" s="16">
        <v>3</v>
      </c>
      <c r="D1476" s="16">
        <v>287.39999999999998</v>
      </c>
      <c r="E1476" s="17">
        <f t="shared" si="22"/>
        <v>8.2100000000000009</v>
      </c>
      <c r="F1476" s="16">
        <v>1</v>
      </c>
      <c r="G1476" s="16">
        <v>6</v>
      </c>
      <c r="H1476" s="16">
        <v>2.1800000000000002</v>
      </c>
      <c r="I1476" s="16">
        <v>14</v>
      </c>
      <c r="J1476" s="16">
        <v>261</v>
      </c>
      <c r="K1476" s="16">
        <v>5</v>
      </c>
      <c r="L1476" s="16">
        <v>36</v>
      </c>
      <c r="M1476" s="16">
        <v>2</v>
      </c>
      <c r="N1476" s="18">
        <f>IF(Risk_Calculation_Engine!U1476="Low",1,IF(Risk_Calculation_Engine!U1476="Medium",2,3))</f>
        <v>2</v>
      </c>
      <c r="O1476" s="18" t="str">
        <f>Risk_Calculation_Engine!U1476</f>
        <v>Medium</v>
      </c>
    </row>
    <row r="1477" spans="1:15" ht="15" customHeight="1" x14ac:dyDescent="0.25">
      <c r="A1477" s="16">
        <v>1473</v>
      </c>
      <c r="B1477" s="16">
        <v>15.9</v>
      </c>
      <c r="C1477" s="16">
        <v>5</v>
      </c>
      <c r="D1477" s="16">
        <v>71.3</v>
      </c>
      <c r="E1477" s="17">
        <f t="shared" ref="E1477:E1540" si="23">ROUND(3.67*D1477^0.28/H1477,2)</f>
        <v>5.97</v>
      </c>
      <c r="F1477" s="16">
        <v>2</v>
      </c>
      <c r="G1477" s="16">
        <v>7</v>
      </c>
      <c r="H1477" s="16">
        <v>2.0299999999999998</v>
      </c>
      <c r="I1477" s="16">
        <v>8</v>
      </c>
      <c r="J1477" s="16">
        <v>255</v>
      </c>
      <c r="K1477" s="16">
        <v>16.04</v>
      </c>
      <c r="L1477" s="16">
        <v>57.8</v>
      </c>
      <c r="M1477" s="16">
        <v>2</v>
      </c>
      <c r="N1477" s="18">
        <f>IF(Risk_Calculation_Engine!U1477="Low",1,IF(Risk_Calculation_Engine!U1477="Medium",2,3))</f>
        <v>3</v>
      </c>
      <c r="O1477" s="18" t="str">
        <f>Risk_Calculation_Engine!U1477</f>
        <v>High</v>
      </c>
    </row>
    <row r="1478" spans="1:15" ht="15" customHeight="1" x14ac:dyDescent="0.25">
      <c r="A1478" s="16">
        <v>1474</v>
      </c>
      <c r="B1478" s="16">
        <v>149.80000000000001</v>
      </c>
      <c r="C1478" s="16">
        <v>4</v>
      </c>
      <c r="D1478" s="16">
        <v>609.1</v>
      </c>
      <c r="E1478" s="17">
        <f t="shared" si="23"/>
        <v>17.68</v>
      </c>
      <c r="F1478" s="16">
        <v>3</v>
      </c>
      <c r="G1478" s="16">
        <v>7</v>
      </c>
      <c r="H1478" s="16">
        <v>1.25</v>
      </c>
      <c r="I1478" s="16">
        <v>12</v>
      </c>
      <c r="J1478" s="16">
        <v>1302</v>
      </c>
      <c r="K1478" s="16">
        <v>8.69</v>
      </c>
      <c r="L1478" s="16">
        <v>68.5</v>
      </c>
      <c r="M1478" s="16">
        <v>3</v>
      </c>
      <c r="N1478" s="18">
        <f>IF(Risk_Calculation_Engine!U1478="Low",1,IF(Risk_Calculation_Engine!U1478="Medium",2,3))</f>
        <v>2</v>
      </c>
      <c r="O1478" s="18" t="str">
        <f>Risk_Calculation_Engine!U1478</f>
        <v>Medium</v>
      </c>
    </row>
    <row r="1479" spans="1:15" ht="15" customHeight="1" x14ac:dyDescent="0.25">
      <c r="A1479" s="16">
        <v>1475</v>
      </c>
      <c r="B1479" s="16">
        <v>149.80000000000001</v>
      </c>
      <c r="C1479" s="16">
        <v>5</v>
      </c>
      <c r="D1479" s="16">
        <v>685</v>
      </c>
      <c r="E1479" s="17">
        <f t="shared" si="23"/>
        <v>15.23</v>
      </c>
      <c r="F1479" s="16">
        <v>3</v>
      </c>
      <c r="G1479" s="16">
        <v>2</v>
      </c>
      <c r="H1479" s="16">
        <v>1.5</v>
      </c>
      <c r="I1479" s="16">
        <v>9</v>
      </c>
      <c r="J1479" s="16">
        <v>3149</v>
      </c>
      <c r="K1479" s="16">
        <v>21.02</v>
      </c>
      <c r="L1479" s="16">
        <v>72.3</v>
      </c>
      <c r="M1479" s="16">
        <v>3</v>
      </c>
      <c r="N1479" s="18">
        <f>IF(Risk_Calculation_Engine!U1479="Low",1,IF(Risk_Calculation_Engine!U1479="Medium",2,3))</f>
        <v>3</v>
      </c>
      <c r="O1479" s="18" t="str">
        <f>Risk_Calculation_Engine!U1479</f>
        <v>High</v>
      </c>
    </row>
    <row r="1480" spans="1:15" ht="15" customHeight="1" x14ac:dyDescent="0.25">
      <c r="A1480" s="16">
        <v>1476</v>
      </c>
      <c r="B1480" s="16">
        <v>149.80000000000001</v>
      </c>
      <c r="C1480" s="16">
        <v>3</v>
      </c>
      <c r="D1480" s="16">
        <v>817.7</v>
      </c>
      <c r="E1480" s="17">
        <f t="shared" si="23"/>
        <v>9.6</v>
      </c>
      <c r="F1480" s="16">
        <v>2</v>
      </c>
      <c r="G1480" s="16">
        <v>5</v>
      </c>
      <c r="H1480" s="16">
        <v>2.5</v>
      </c>
      <c r="I1480" s="16">
        <v>11</v>
      </c>
      <c r="J1480" s="16">
        <v>941</v>
      </c>
      <c r="K1480" s="16">
        <v>6.28</v>
      </c>
      <c r="L1480" s="16">
        <v>51.6</v>
      </c>
      <c r="M1480" s="16">
        <v>2</v>
      </c>
      <c r="N1480" s="18">
        <f>IF(Risk_Calculation_Engine!U1480="Low",1,IF(Risk_Calculation_Engine!U1480="Medium",2,3))</f>
        <v>3</v>
      </c>
      <c r="O1480" s="18" t="str">
        <f>Risk_Calculation_Engine!U1480</f>
        <v>High</v>
      </c>
    </row>
    <row r="1481" spans="1:15" ht="15" customHeight="1" x14ac:dyDescent="0.25">
      <c r="A1481" s="16">
        <v>1477</v>
      </c>
      <c r="B1481" s="16">
        <v>149.80000000000001</v>
      </c>
      <c r="C1481" s="16">
        <v>3</v>
      </c>
      <c r="D1481" s="16">
        <v>498.1</v>
      </c>
      <c r="E1481" s="17">
        <f t="shared" si="23"/>
        <v>11.6</v>
      </c>
      <c r="F1481" s="16">
        <v>3</v>
      </c>
      <c r="G1481" s="16">
        <v>8</v>
      </c>
      <c r="H1481" s="16">
        <v>1.8</v>
      </c>
      <c r="I1481" s="16">
        <v>11</v>
      </c>
      <c r="J1481" s="16">
        <v>1251</v>
      </c>
      <c r="K1481" s="16">
        <v>8.35</v>
      </c>
      <c r="L1481" s="16">
        <v>99.6</v>
      </c>
      <c r="M1481" s="16">
        <v>3</v>
      </c>
      <c r="N1481" s="18">
        <f>IF(Risk_Calculation_Engine!U1481="Low",1,IF(Risk_Calculation_Engine!U1481="Medium",2,3))</f>
        <v>3</v>
      </c>
      <c r="O1481" s="18" t="str">
        <f>Risk_Calculation_Engine!U1481</f>
        <v>High</v>
      </c>
    </row>
    <row r="1482" spans="1:15" ht="15" customHeight="1" x14ac:dyDescent="0.25">
      <c r="A1482" s="16">
        <v>1478</v>
      </c>
      <c r="B1482" s="16">
        <v>149.80000000000001</v>
      </c>
      <c r="C1482" s="16">
        <v>4</v>
      </c>
      <c r="D1482" s="16">
        <v>826.1</v>
      </c>
      <c r="E1482" s="17">
        <f t="shared" si="23"/>
        <v>9.6300000000000008</v>
      </c>
      <c r="F1482" s="16">
        <v>2</v>
      </c>
      <c r="G1482" s="16">
        <v>6</v>
      </c>
      <c r="H1482" s="16">
        <v>2.5</v>
      </c>
      <c r="I1482" s="16">
        <v>11</v>
      </c>
      <c r="J1482" s="16">
        <v>1082</v>
      </c>
      <c r="K1482" s="16">
        <v>7.22</v>
      </c>
      <c r="L1482" s="16">
        <v>62.6</v>
      </c>
      <c r="M1482" s="16">
        <v>3</v>
      </c>
      <c r="N1482" s="18">
        <f>IF(Risk_Calculation_Engine!U1482="Low",1,IF(Risk_Calculation_Engine!U1482="Medium",2,3))</f>
        <v>3</v>
      </c>
      <c r="O1482" s="18" t="str">
        <f>Risk_Calculation_Engine!U1482</f>
        <v>High</v>
      </c>
    </row>
    <row r="1483" spans="1:15" ht="15" customHeight="1" x14ac:dyDescent="0.25">
      <c r="A1483" s="16">
        <v>1479</v>
      </c>
      <c r="B1483" s="16">
        <v>30.3</v>
      </c>
      <c r="C1483" s="16">
        <v>2</v>
      </c>
      <c r="D1483" s="16">
        <v>115</v>
      </c>
      <c r="E1483" s="17">
        <f t="shared" si="23"/>
        <v>9.24</v>
      </c>
      <c r="F1483" s="16">
        <v>2</v>
      </c>
      <c r="G1483" s="16">
        <v>3</v>
      </c>
      <c r="H1483" s="16">
        <v>1.5</v>
      </c>
      <c r="I1483" s="16">
        <v>13</v>
      </c>
      <c r="J1483" s="16">
        <v>109</v>
      </c>
      <c r="K1483" s="16">
        <v>3.6</v>
      </c>
      <c r="L1483" s="16">
        <v>60.5</v>
      </c>
      <c r="M1483" s="16">
        <v>1</v>
      </c>
      <c r="N1483" s="18">
        <f>IF(Risk_Calculation_Engine!U1483="Low",1,IF(Risk_Calculation_Engine!U1483="Medium",2,3))</f>
        <v>1</v>
      </c>
      <c r="O1483" s="18" t="str">
        <f>Risk_Calculation_Engine!U1483</f>
        <v>Low</v>
      </c>
    </row>
    <row r="1484" spans="1:15" ht="15" customHeight="1" x14ac:dyDescent="0.25">
      <c r="A1484" s="16">
        <v>1480</v>
      </c>
      <c r="B1484" s="16">
        <v>149.80000000000001</v>
      </c>
      <c r="C1484" s="16">
        <v>2</v>
      </c>
      <c r="D1484" s="16">
        <v>598.4</v>
      </c>
      <c r="E1484" s="17">
        <f t="shared" si="23"/>
        <v>13.92</v>
      </c>
      <c r="F1484" s="16">
        <v>2</v>
      </c>
      <c r="G1484" s="16">
        <v>3</v>
      </c>
      <c r="H1484" s="16">
        <v>1.58</v>
      </c>
      <c r="I1484" s="16">
        <v>14</v>
      </c>
      <c r="J1484" s="16">
        <v>624</v>
      </c>
      <c r="K1484" s="16">
        <v>4.17</v>
      </c>
      <c r="L1484" s="16">
        <v>88.1</v>
      </c>
      <c r="M1484" s="16">
        <v>1</v>
      </c>
      <c r="N1484" s="18">
        <f>IF(Risk_Calculation_Engine!U1484="Low",1,IF(Risk_Calculation_Engine!U1484="Medium",2,3))</f>
        <v>1</v>
      </c>
      <c r="O1484" s="18" t="str">
        <f>Risk_Calculation_Engine!U1484</f>
        <v>Low</v>
      </c>
    </row>
    <row r="1485" spans="1:15" ht="15" customHeight="1" x14ac:dyDescent="0.25">
      <c r="A1485" s="16">
        <v>1481</v>
      </c>
      <c r="B1485" s="16">
        <v>46.1</v>
      </c>
      <c r="C1485" s="16">
        <v>5</v>
      </c>
      <c r="D1485" s="16">
        <v>395.4</v>
      </c>
      <c r="E1485" s="17">
        <f t="shared" si="23"/>
        <v>11.8</v>
      </c>
      <c r="F1485" s="16">
        <v>1</v>
      </c>
      <c r="G1485" s="16">
        <v>7</v>
      </c>
      <c r="H1485" s="16">
        <v>1.66</v>
      </c>
      <c r="I1485" s="16">
        <v>6</v>
      </c>
      <c r="J1485" s="16">
        <v>1093</v>
      </c>
      <c r="K1485" s="16">
        <v>23.71</v>
      </c>
      <c r="L1485" s="16">
        <v>80.3</v>
      </c>
      <c r="M1485" s="16">
        <v>1</v>
      </c>
      <c r="N1485" s="18">
        <f>IF(Risk_Calculation_Engine!U1485="Low",1,IF(Risk_Calculation_Engine!U1485="Medium",2,3))</f>
        <v>3</v>
      </c>
      <c r="O1485" s="18" t="str">
        <f>Risk_Calculation_Engine!U1485</f>
        <v>High</v>
      </c>
    </row>
    <row r="1486" spans="1:15" ht="15" customHeight="1" x14ac:dyDescent="0.25">
      <c r="A1486" s="16">
        <v>1482</v>
      </c>
      <c r="B1486" s="16">
        <v>103.6</v>
      </c>
      <c r="C1486" s="16">
        <v>3</v>
      </c>
      <c r="D1486" s="16">
        <v>708</v>
      </c>
      <c r="E1486" s="17">
        <f t="shared" si="23"/>
        <v>26.49</v>
      </c>
      <c r="F1486" s="16">
        <v>1</v>
      </c>
      <c r="G1486" s="16">
        <v>1</v>
      </c>
      <c r="H1486" s="16">
        <v>0.87</v>
      </c>
      <c r="I1486" s="16">
        <v>15</v>
      </c>
      <c r="J1486" s="16">
        <v>823</v>
      </c>
      <c r="K1486" s="16">
        <v>7.94</v>
      </c>
      <c r="L1486" s="16">
        <v>54.4</v>
      </c>
      <c r="M1486" s="16">
        <v>2</v>
      </c>
      <c r="N1486" s="18">
        <f>IF(Risk_Calculation_Engine!U1486="Low",1,IF(Risk_Calculation_Engine!U1486="Medium",2,3))</f>
        <v>1</v>
      </c>
      <c r="O1486" s="18" t="str">
        <f>Risk_Calculation_Engine!U1486</f>
        <v>Low</v>
      </c>
    </row>
    <row r="1487" spans="1:15" ht="15" customHeight="1" x14ac:dyDescent="0.25">
      <c r="A1487" s="16">
        <v>1483</v>
      </c>
      <c r="B1487" s="16">
        <v>11.6</v>
      </c>
      <c r="C1487" s="16">
        <v>2</v>
      </c>
      <c r="D1487" s="16">
        <v>32.6</v>
      </c>
      <c r="E1487" s="17">
        <f t="shared" si="23"/>
        <v>6.28</v>
      </c>
      <c r="F1487" s="16">
        <v>2</v>
      </c>
      <c r="G1487" s="16">
        <v>4</v>
      </c>
      <c r="H1487" s="16">
        <v>1.55</v>
      </c>
      <c r="I1487" s="16">
        <v>11</v>
      </c>
      <c r="J1487" s="16">
        <v>63</v>
      </c>
      <c r="K1487" s="16">
        <v>5.43</v>
      </c>
      <c r="L1487" s="16">
        <v>77.900000000000006</v>
      </c>
      <c r="M1487" s="16">
        <v>2</v>
      </c>
      <c r="N1487" s="18">
        <f>IF(Risk_Calculation_Engine!U1487="Low",1,IF(Risk_Calculation_Engine!U1487="Medium",2,3))</f>
        <v>1</v>
      </c>
      <c r="O1487" s="18" t="str">
        <f>Risk_Calculation_Engine!U1487</f>
        <v>Low</v>
      </c>
    </row>
    <row r="1488" spans="1:15" ht="15" customHeight="1" x14ac:dyDescent="0.25">
      <c r="A1488" s="16">
        <v>1484</v>
      </c>
      <c r="B1488" s="16">
        <v>40.9</v>
      </c>
      <c r="C1488" s="16">
        <v>3</v>
      </c>
      <c r="D1488" s="16">
        <v>264</v>
      </c>
      <c r="E1488" s="17">
        <f t="shared" si="23"/>
        <v>11.5</v>
      </c>
      <c r="F1488" s="16">
        <v>1</v>
      </c>
      <c r="G1488" s="16">
        <v>7</v>
      </c>
      <c r="H1488" s="16">
        <v>1.52</v>
      </c>
      <c r="I1488" s="16">
        <v>10</v>
      </c>
      <c r="J1488" s="16">
        <v>250</v>
      </c>
      <c r="K1488" s="16">
        <v>6.11</v>
      </c>
      <c r="L1488" s="16">
        <v>52.3</v>
      </c>
      <c r="M1488" s="16">
        <v>2</v>
      </c>
      <c r="N1488" s="18">
        <f>IF(Risk_Calculation_Engine!U1488="Low",1,IF(Risk_Calculation_Engine!U1488="Medium",2,3))</f>
        <v>2</v>
      </c>
      <c r="O1488" s="18" t="str">
        <f>Risk_Calculation_Engine!U1488</f>
        <v>Medium</v>
      </c>
    </row>
    <row r="1489" spans="1:15" ht="15" customHeight="1" x14ac:dyDescent="0.25">
      <c r="A1489" s="16">
        <v>1485</v>
      </c>
      <c r="B1489" s="16">
        <v>132.80000000000001</v>
      </c>
      <c r="C1489" s="16">
        <v>3</v>
      </c>
      <c r="D1489" s="16">
        <v>456.7</v>
      </c>
      <c r="E1489" s="17">
        <f t="shared" si="23"/>
        <v>8.94</v>
      </c>
      <c r="F1489" s="16">
        <v>3</v>
      </c>
      <c r="G1489" s="16">
        <v>3</v>
      </c>
      <c r="H1489" s="16">
        <v>2.2799999999999998</v>
      </c>
      <c r="I1489" s="16">
        <v>7</v>
      </c>
      <c r="J1489" s="16">
        <v>591</v>
      </c>
      <c r="K1489" s="16">
        <v>4.45</v>
      </c>
      <c r="L1489" s="16">
        <v>90</v>
      </c>
      <c r="M1489" s="16">
        <v>2</v>
      </c>
      <c r="N1489" s="18">
        <f>IF(Risk_Calculation_Engine!U1489="Low",1,IF(Risk_Calculation_Engine!U1489="Medium",2,3))</f>
        <v>2</v>
      </c>
      <c r="O1489" s="18" t="str">
        <f>Risk_Calculation_Engine!U1489</f>
        <v>Medium</v>
      </c>
    </row>
    <row r="1490" spans="1:15" ht="15" customHeight="1" x14ac:dyDescent="0.25">
      <c r="A1490" s="16">
        <v>1486</v>
      </c>
      <c r="B1490" s="16">
        <v>107.4</v>
      </c>
      <c r="C1490" s="16">
        <v>4</v>
      </c>
      <c r="D1490" s="16">
        <v>387.6</v>
      </c>
      <c r="E1490" s="17">
        <f t="shared" si="23"/>
        <v>7.79</v>
      </c>
      <c r="F1490" s="16">
        <v>3</v>
      </c>
      <c r="G1490" s="16">
        <v>2</v>
      </c>
      <c r="H1490" s="16">
        <v>2.5</v>
      </c>
      <c r="I1490" s="16">
        <v>8</v>
      </c>
      <c r="J1490" s="16">
        <v>1317</v>
      </c>
      <c r="K1490" s="16">
        <v>12.26</v>
      </c>
      <c r="L1490" s="16">
        <v>66.099999999999994</v>
      </c>
      <c r="M1490" s="16">
        <v>1</v>
      </c>
      <c r="N1490" s="18">
        <f>IF(Risk_Calculation_Engine!U1490="Low",1,IF(Risk_Calculation_Engine!U1490="Medium",2,3))</f>
        <v>3</v>
      </c>
      <c r="O1490" s="18" t="str">
        <f>Risk_Calculation_Engine!U1490</f>
        <v>High</v>
      </c>
    </row>
    <row r="1491" spans="1:15" ht="15" customHeight="1" x14ac:dyDescent="0.25">
      <c r="A1491" s="16">
        <v>1487</v>
      </c>
      <c r="B1491" s="16">
        <v>45.3</v>
      </c>
      <c r="C1491" s="16">
        <v>5</v>
      </c>
      <c r="D1491" s="16">
        <v>276.89999999999998</v>
      </c>
      <c r="E1491" s="17">
        <f t="shared" si="23"/>
        <v>12.22</v>
      </c>
      <c r="F1491" s="16">
        <v>2</v>
      </c>
      <c r="G1491" s="16">
        <v>11</v>
      </c>
      <c r="H1491" s="16">
        <v>1.45</v>
      </c>
      <c r="I1491" s="16">
        <v>11</v>
      </c>
      <c r="J1491" s="16">
        <v>1186</v>
      </c>
      <c r="K1491" s="16">
        <v>26.18</v>
      </c>
      <c r="L1491" s="16">
        <v>73</v>
      </c>
      <c r="M1491" s="16">
        <v>2</v>
      </c>
      <c r="N1491" s="18">
        <f>IF(Risk_Calculation_Engine!U1491="Low",1,IF(Risk_Calculation_Engine!U1491="Medium",2,3))</f>
        <v>3</v>
      </c>
      <c r="O1491" s="18" t="str">
        <f>Risk_Calculation_Engine!U1491</f>
        <v>High</v>
      </c>
    </row>
    <row r="1492" spans="1:15" ht="15" customHeight="1" x14ac:dyDescent="0.25">
      <c r="A1492" s="16">
        <v>1488</v>
      </c>
      <c r="B1492" s="16">
        <v>67.8</v>
      </c>
      <c r="C1492" s="16">
        <v>5</v>
      </c>
      <c r="D1492" s="16">
        <v>437.4</v>
      </c>
      <c r="E1492" s="17">
        <f t="shared" si="23"/>
        <v>26.5</v>
      </c>
      <c r="F1492" s="16">
        <v>2</v>
      </c>
      <c r="G1492" s="16">
        <v>7</v>
      </c>
      <c r="H1492" s="16">
        <v>0.76</v>
      </c>
      <c r="I1492" s="16">
        <v>7</v>
      </c>
      <c r="J1492" s="16">
        <v>958</v>
      </c>
      <c r="K1492" s="16">
        <v>14.13</v>
      </c>
      <c r="L1492" s="16">
        <v>35.200000000000003</v>
      </c>
      <c r="M1492" s="16">
        <v>1</v>
      </c>
      <c r="N1492" s="18">
        <f>IF(Risk_Calculation_Engine!U1492="Low",1,IF(Risk_Calculation_Engine!U1492="Medium",2,3))</f>
        <v>2</v>
      </c>
      <c r="O1492" s="18" t="str">
        <f>Risk_Calculation_Engine!U1492</f>
        <v>Medium</v>
      </c>
    </row>
    <row r="1493" spans="1:15" ht="15" customHeight="1" x14ac:dyDescent="0.25">
      <c r="A1493" s="16">
        <v>1489</v>
      </c>
      <c r="B1493" s="16">
        <v>37</v>
      </c>
      <c r="C1493" s="16">
        <v>4</v>
      </c>
      <c r="D1493" s="16">
        <v>159.1</v>
      </c>
      <c r="E1493" s="17">
        <f t="shared" si="23"/>
        <v>8.57</v>
      </c>
      <c r="F1493" s="16">
        <v>2</v>
      </c>
      <c r="G1493" s="16">
        <v>7</v>
      </c>
      <c r="H1493" s="16">
        <v>1.77</v>
      </c>
      <c r="I1493" s="16">
        <v>6</v>
      </c>
      <c r="J1493" s="16">
        <v>258</v>
      </c>
      <c r="K1493" s="16">
        <v>6.97</v>
      </c>
      <c r="L1493" s="16">
        <v>80.2</v>
      </c>
      <c r="M1493" s="16">
        <v>2</v>
      </c>
      <c r="N1493" s="18">
        <f>IF(Risk_Calculation_Engine!U1493="Low",1,IF(Risk_Calculation_Engine!U1493="Medium",2,3))</f>
        <v>2</v>
      </c>
      <c r="O1493" s="18" t="str">
        <f>Risk_Calculation_Engine!U1493</f>
        <v>Medium</v>
      </c>
    </row>
    <row r="1494" spans="1:15" ht="15" customHeight="1" x14ac:dyDescent="0.25">
      <c r="A1494" s="16">
        <v>1490</v>
      </c>
      <c r="B1494" s="16">
        <v>132.5</v>
      </c>
      <c r="C1494" s="16">
        <v>4</v>
      </c>
      <c r="D1494" s="16">
        <v>972.2</v>
      </c>
      <c r="E1494" s="17">
        <f t="shared" si="23"/>
        <v>22.69</v>
      </c>
      <c r="F1494" s="16">
        <v>1</v>
      </c>
      <c r="G1494" s="16">
        <v>5</v>
      </c>
      <c r="H1494" s="16">
        <v>1.1100000000000001</v>
      </c>
      <c r="I1494" s="16">
        <v>13</v>
      </c>
      <c r="J1494" s="16">
        <v>692</v>
      </c>
      <c r="K1494" s="16">
        <v>5.22</v>
      </c>
      <c r="L1494" s="16">
        <v>54.1</v>
      </c>
      <c r="M1494" s="16">
        <v>1</v>
      </c>
      <c r="N1494" s="18">
        <f>IF(Risk_Calculation_Engine!U1494="Low",1,IF(Risk_Calculation_Engine!U1494="Medium",2,3))</f>
        <v>2</v>
      </c>
      <c r="O1494" s="18" t="str">
        <f>Risk_Calculation_Engine!U1494</f>
        <v>Medium</v>
      </c>
    </row>
    <row r="1495" spans="1:15" ht="15" customHeight="1" x14ac:dyDescent="0.25">
      <c r="A1495" s="16">
        <v>1491</v>
      </c>
      <c r="B1495" s="16">
        <v>149.80000000000001</v>
      </c>
      <c r="C1495" s="16">
        <v>3</v>
      </c>
      <c r="D1495" s="16">
        <v>813</v>
      </c>
      <c r="E1495" s="17">
        <f t="shared" si="23"/>
        <v>13.02</v>
      </c>
      <c r="F1495" s="16">
        <v>2</v>
      </c>
      <c r="G1495" s="16">
        <v>7</v>
      </c>
      <c r="H1495" s="16">
        <v>1.84</v>
      </c>
      <c r="I1495" s="16">
        <v>8</v>
      </c>
      <c r="J1495" s="16">
        <v>1048</v>
      </c>
      <c r="K1495" s="16">
        <v>7</v>
      </c>
      <c r="L1495" s="16">
        <v>68.599999999999994</v>
      </c>
      <c r="M1495" s="16">
        <v>1</v>
      </c>
      <c r="N1495" s="18">
        <f>IF(Risk_Calculation_Engine!U1495="Low",1,IF(Risk_Calculation_Engine!U1495="Medium",2,3))</f>
        <v>3</v>
      </c>
      <c r="O1495" s="18" t="str">
        <f>Risk_Calculation_Engine!U1495</f>
        <v>High</v>
      </c>
    </row>
    <row r="1496" spans="1:15" ht="15" customHeight="1" x14ac:dyDescent="0.25">
      <c r="A1496" s="16">
        <v>1492</v>
      </c>
      <c r="B1496" s="16">
        <v>30.4</v>
      </c>
      <c r="C1496" s="16">
        <v>5</v>
      </c>
      <c r="D1496" s="16">
        <v>242.3</v>
      </c>
      <c r="E1496" s="17">
        <f t="shared" si="23"/>
        <v>9.3800000000000008</v>
      </c>
      <c r="F1496" s="16">
        <v>1</v>
      </c>
      <c r="G1496" s="16">
        <v>1</v>
      </c>
      <c r="H1496" s="16">
        <v>1.82</v>
      </c>
      <c r="I1496" s="16">
        <v>11</v>
      </c>
      <c r="J1496" s="16">
        <v>572</v>
      </c>
      <c r="K1496" s="16">
        <v>18.82</v>
      </c>
      <c r="L1496" s="16">
        <v>74.400000000000006</v>
      </c>
      <c r="M1496" s="16">
        <v>1</v>
      </c>
      <c r="N1496" s="18">
        <f>IF(Risk_Calculation_Engine!U1496="Low",1,IF(Risk_Calculation_Engine!U1496="Medium",2,3))</f>
        <v>3</v>
      </c>
      <c r="O1496" s="18" t="str">
        <f>Risk_Calculation_Engine!U1496</f>
        <v>High</v>
      </c>
    </row>
    <row r="1497" spans="1:15" ht="15" customHeight="1" x14ac:dyDescent="0.25">
      <c r="A1497" s="16">
        <v>1493</v>
      </c>
      <c r="B1497" s="16">
        <v>62.3</v>
      </c>
      <c r="C1497" s="16">
        <v>2</v>
      </c>
      <c r="D1497" s="16">
        <v>243.3</v>
      </c>
      <c r="E1497" s="17">
        <f t="shared" si="23"/>
        <v>14.01</v>
      </c>
      <c r="F1497" s="16">
        <v>2</v>
      </c>
      <c r="G1497" s="16">
        <v>4</v>
      </c>
      <c r="H1497" s="16">
        <v>1.22</v>
      </c>
      <c r="I1497" s="16">
        <v>3</v>
      </c>
      <c r="J1497" s="16">
        <v>158</v>
      </c>
      <c r="K1497" s="16">
        <v>2.54</v>
      </c>
      <c r="L1497" s="16">
        <v>93.9</v>
      </c>
      <c r="M1497" s="16">
        <v>3</v>
      </c>
      <c r="N1497" s="18">
        <f>IF(Risk_Calculation_Engine!U1497="Low",1,IF(Risk_Calculation_Engine!U1497="Medium",2,3))</f>
        <v>1</v>
      </c>
      <c r="O1497" s="18" t="str">
        <f>Risk_Calculation_Engine!U1497</f>
        <v>Low</v>
      </c>
    </row>
    <row r="1498" spans="1:15" ht="15" customHeight="1" x14ac:dyDescent="0.25">
      <c r="A1498" s="16">
        <v>1494</v>
      </c>
      <c r="B1498" s="16">
        <v>15.1</v>
      </c>
      <c r="C1498" s="16">
        <v>2</v>
      </c>
      <c r="D1498" s="16">
        <v>69.400000000000006</v>
      </c>
      <c r="E1498" s="17">
        <f t="shared" si="23"/>
        <v>6.8</v>
      </c>
      <c r="F1498" s="16">
        <v>1</v>
      </c>
      <c r="G1498" s="16">
        <v>7</v>
      </c>
      <c r="H1498" s="16">
        <v>1.77</v>
      </c>
      <c r="I1498" s="16">
        <v>4</v>
      </c>
      <c r="J1498" s="16">
        <v>42</v>
      </c>
      <c r="K1498" s="16">
        <v>2.78</v>
      </c>
      <c r="L1498" s="16">
        <v>80.3</v>
      </c>
      <c r="M1498" s="16">
        <v>1</v>
      </c>
      <c r="N1498" s="18">
        <f>IF(Risk_Calculation_Engine!U1498="Low",1,IF(Risk_Calculation_Engine!U1498="Medium",2,3))</f>
        <v>1</v>
      </c>
      <c r="O1498" s="18" t="str">
        <f>Risk_Calculation_Engine!U1498</f>
        <v>Low</v>
      </c>
    </row>
    <row r="1499" spans="1:15" ht="15" customHeight="1" x14ac:dyDescent="0.25">
      <c r="A1499" s="16">
        <v>1495</v>
      </c>
      <c r="B1499" s="16">
        <v>76.599999999999994</v>
      </c>
      <c r="C1499" s="16">
        <v>5</v>
      </c>
      <c r="D1499" s="16">
        <v>658</v>
      </c>
      <c r="E1499" s="17">
        <f t="shared" si="23"/>
        <v>24.55</v>
      </c>
      <c r="F1499" s="16">
        <v>1</v>
      </c>
      <c r="G1499" s="16">
        <v>5</v>
      </c>
      <c r="H1499" s="16">
        <v>0.92</v>
      </c>
      <c r="I1499" s="16">
        <v>14</v>
      </c>
      <c r="J1499" s="16">
        <v>1602</v>
      </c>
      <c r="K1499" s="16">
        <v>20.91</v>
      </c>
      <c r="L1499" s="16">
        <v>69.099999999999994</v>
      </c>
      <c r="M1499" s="16">
        <v>2</v>
      </c>
      <c r="N1499" s="18">
        <f>IF(Risk_Calculation_Engine!U1499="Low",1,IF(Risk_Calculation_Engine!U1499="Medium",2,3))</f>
        <v>3</v>
      </c>
      <c r="O1499" s="18" t="str">
        <f>Risk_Calculation_Engine!U1499</f>
        <v>High</v>
      </c>
    </row>
    <row r="1500" spans="1:15" ht="15" customHeight="1" x14ac:dyDescent="0.25">
      <c r="A1500" s="16">
        <v>1496</v>
      </c>
      <c r="B1500" s="16">
        <v>95.5</v>
      </c>
      <c r="C1500" s="16">
        <v>5</v>
      </c>
      <c r="D1500" s="16">
        <v>849.6</v>
      </c>
      <c r="E1500" s="17">
        <f t="shared" si="23"/>
        <v>12.83</v>
      </c>
      <c r="F1500" s="16">
        <v>1</v>
      </c>
      <c r="G1500" s="16">
        <v>3</v>
      </c>
      <c r="H1500" s="16">
        <v>1.89</v>
      </c>
      <c r="I1500" s="16">
        <v>4</v>
      </c>
      <c r="J1500" s="16">
        <v>1609</v>
      </c>
      <c r="K1500" s="16">
        <v>16.850000000000001</v>
      </c>
      <c r="L1500" s="16">
        <v>90.7</v>
      </c>
      <c r="M1500" s="16">
        <v>3</v>
      </c>
      <c r="N1500" s="18">
        <f>IF(Risk_Calculation_Engine!U1500="Low",1,IF(Risk_Calculation_Engine!U1500="Medium",2,3))</f>
        <v>3</v>
      </c>
      <c r="O1500" s="18" t="str">
        <f>Risk_Calculation_Engine!U1500</f>
        <v>High</v>
      </c>
    </row>
    <row r="1501" spans="1:15" ht="15" customHeight="1" x14ac:dyDescent="0.25">
      <c r="A1501" s="16">
        <v>1497</v>
      </c>
      <c r="B1501" s="16">
        <v>81.599999999999994</v>
      </c>
      <c r="C1501" s="16">
        <v>3</v>
      </c>
      <c r="D1501" s="16">
        <v>242.6</v>
      </c>
      <c r="E1501" s="17">
        <f t="shared" si="23"/>
        <v>7.18</v>
      </c>
      <c r="F1501" s="16">
        <v>3</v>
      </c>
      <c r="G1501" s="16">
        <v>10</v>
      </c>
      <c r="H1501" s="16">
        <v>2.38</v>
      </c>
      <c r="I1501" s="16">
        <v>13</v>
      </c>
      <c r="J1501" s="16">
        <v>359</v>
      </c>
      <c r="K1501" s="16">
        <v>4.4000000000000004</v>
      </c>
      <c r="L1501" s="16">
        <v>31.1</v>
      </c>
      <c r="M1501" s="16">
        <v>2</v>
      </c>
      <c r="N1501" s="18">
        <f>IF(Risk_Calculation_Engine!U1501="Low",1,IF(Risk_Calculation_Engine!U1501="Medium",2,3))</f>
        <v>3</v>
      </c>
      <c r="O1501" s="18" t="str">
        <f>Risk_Calculation_Engine!U1501</f>
        <v>High</v>
      </c>
    </row>
    <row r="1502" spans="1:15" ht="15" customHeight="1" x14ac:dyDescent="0.25">
      <c r="A1502" s="16">
        <v>1498</v>
      </c>
      <c r="B1502" s="16">
        <v>89.8</v>
      </c>
      <c r="C1502" s="16">
        <v>4</v>
      </c>
      <c r="D1502" s="16">
        <v>629.79999999999995</v>
      </c>
      <c r="E1502" s="17">
        <f t="shared" si="23"/>
        <v>10.72</v>
      </c>
      <c r="F1502" s="16">
        <v>1</v>
      </c>
      <c r="G1502" s="16">
        <v>6</v>
      </c>
      <c r="H1502" s="16">
        <v>2.08</v>
      </c>
      <c r="I1502" s="16">
        <v>14</v>
      </c>
      <c r="J1502" s="16">
        <v>993</v>
      </c>
      <c r="K1502" s="16">
        <v>11.06</v>
      </c>
      <c r="L1502" s="16">
        <v>29.9</v>
      </c>
      <c r="M1502" s="16">
        <v>1</v>
      </c>
      <c r="N1502" s="18">
        <f>IF(Risk_Calculation_Engine!U1502="Low",1,IF(Risk_Calculation_Engine!U1502="Medium",2,3))</f>
        <v>3</v>
      </c>
      <c r="O1502" s="18" t="str">
        <f>Risk_Calculation_Engine!U1502</f>
        <v>High</v>
      </c>
    </row>
    <row r="1503" spans="1:15" ht="15" customHeight="1" x14ac:dyDescent="0.25">
      <c r="A1503" s="16">
        <v>1499</v>
      </c>
      <c r="B1503" s="16">
        <v>56.9</v>
      </c>
      <c r="C1503" s="16">
        <v>3</v>
      </c>
      <c r="D1503" s="16">
        <v>252.6</v>
      </c>
      <c r="E1503" s="17">
        <f t="shared" si="23"/>
        <v>12.99</v>
      </c>
      <c r="F1503" s="16">
        <v>2</v>
      </c>
      <c r="G1503" s="16">
        <v>7</v>
      </c>
      <c r="H1503" s="16">
        <v>1.33</v>
      </c>
      <c r="I1503" s="16">
        <v>9</v>
      </c>
      <c r="J1503" s="16">
        <v>189</v>
      </c>
      <c r="K1503" s="16">
        <v>3.32</v>
      </c>
      <c r="L1503" s="16">
        <v>28.1</v>
      </c>
      <c r="M1503" s="16">
        <v>2</v>
      </c>
      <c r="N1503" s="18">
        <f>IF(Risk_Calculation_Engine!U1503="Low",1,IF(Risk_Calculation_Engine!U1503="Medium",2,3))</f>
        <v>1</v>
      </c>
      <c r="O1503" s="18" t="str">
        <f>Risk_Calculation_Engine!U1503</f>
        <v>Low</v>
      </c>
    </row>
    <row r="1504" spans="1:15" ht="15" customHeight="1" x14ac:dyDescent="0.25">
      <c r="A1504" s="16">
        <v>1500</v>
      </c>
      <c r="B1504" s="16">
        <v>58</v>
      </c>
      <c r="C1504" s="16">
        <v>3</v>
      </c>
      <c r="D1504" s="16">
        <v>273.60000000000002</v>
      </c>
      <c r="E1504" s="17">
        <f t="shared" si="23"/>
        <v>7.71</v>
      </c>
      <c r="F1504" s="16">
        <v>2</v>
      </c>
      <c r="G1504" s="16">
        <v>2</v>
      </c>
      <c r="H1504" s="16">
        <v>2.29</v>
      </c>
      <c r="I1504" s="16">
        <v>14</v>
      </c>
      <c r="J1504" s="16">
        <v>180</v>
      </c>
      <c r="K1504" s="16">
        <v>3.1</v>
      </c>
      <c r="L1504" s="16">
        <v>81</v>
      </c>
      <c r="M1504" s="16">
        <v>1</v>
      </c>
      <c r="N1504" s="18">
        <f>IF(Risk_Calculation_Engine!U1504="Low",1,IF(Risk_Calculation_Engine!U1504="Medium",2,3))</f>
        <v>1</v>
      </c>
      <c r="O1504" s="18" t="str">
        <f>Risk_Calculation_Engine!U1504</f>
        <v>Low</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showGridLines="0" topLeftCell="A15" zoomScaleNormal="100" workbookViewId="0">
      <selection activeCell="E5" sqref="E5"/>
    </sheetView>
  </sheetViews>
  <sheetFormatPr defaultColWidth="8.7109375" defaultRowHeight="15" x14ac:dyDescent="0.25"/>
  <cols>
    <col min="1" max="1" width="4" customWidth="1"/>
    <col min="2" max="2" width="16" customWidth="1"/>
    <col min="3" max="3" width="10" customWidth="1"/>
    <col min="4" max="4" width="14" customWidth="1"/>
    <col min="5" max="5" width="16" customWidth="1"/>
    <col min="6" max="8" width="42" customWidth="1"/>
  </cols>
  <sheetData>
    <row r="1" spans="1:8" ht="21.75" customHeight="1" x14ac:dyDescent="0.25">
      <c r="A1" s="14" t="s">
        <v>17</v>
      </c>
      <c r="B1" s="14"/>
      <c r="C1" s="14"/>
      <c r="D1" s="14"/>
      <c r="E1" s="14"/>
      <c r="F1" s="14"/>
      <c r="G1" s="14"/>
      <c r="H1" s="14"/>
    </row>
    <row r="2" spans="1:8" ht="27.75" customHeight="1" x14ac:dyDescent="0.25">
      <c r="A2" s="13" t="s">
        <v>18</v>
      </c>
      <c r="B2" s="13"/>
      <c r="C2" s="13"/>
      <c r="D2" s="13"/>
      <c r="E2" s="13"/>
      <c r="F2" s="13"/>
      <c r="G2" s="13"/>
      <c r="H2" s="13"/>
    </row>
    <row r="4" spans="1:8" ht="39.75" customHeight="1" x14ac:dyDescent="0.25">
      <c r="A4" s="15" t="s">
        <v>19</v>
      </c>
      <c r="B4" s="15" t="s">
        <v>20</v>
      </c>
      <c r="C4" s="15" t="s">
        <v>21</v>
      </c>
      <c r="D4" s="15" t="s">
        <v>22</v>
      </c>
      <c r="E4" s="15" t="s">
        <v>23</v>
      </c>
      <c r="F4" s="15" t="s">
        <v>24</v>
      </c>
      <c r="G4" s="15" t="s">
        <v>25</v>
      </c>
      <c r="H4" s="15" t="s">
        <v>26</v>
      </c>
    </row>
    <row r="5" spans="1:8" ht="78" customHeight="1" x14ac:dyDescent="0.25">
      <c r="A5" s="19">
        <v>1</v>
      </c>
      <c r="B5" s="19" t="s">
        <v>2</v>
      </c>
      <c r="C5" s="20" t="s">
        <v>27</v>
      </c>
      <c r="D5" s="20" t="s">
        <v>28</v>
      </c>
      <c r="E5" s="20" t="s">
        <v>29</v>
      </c>
      <c r="F5" s="20" t="s">
        <v>30</v>
      </c>
      <c r="G5" s="20" t="s">
        <v>31</v>
      </c>
      <c r="H5" s="20" t="s">
        <v>32</v>
      </c>
    </row>
    <row r="6" spans="1:8" ht="78" customHeight="1" x14ac:dyDescent="0.25">
      <c r="A6" s="19">
        <v>2</v>
      </c>
      <c r="B6" s="19" t="s">
        <v>3</v>
      </c>
      <c r="C6" s="20" t="s">
        <v>33</v>
      </c>
      <c r="D6" s="20" t="s">
        <v>34</v>
      </c>
      <c r="E6" s="20" t="s">
        <v>35</v>
      </c>
      <c r="F6" s="20" t="s">
        <v>36</v>
      </c>
      <c r="G6" s="20" t="s">
        <v>37</v>
      </c>
      <c r="H6" s="20" t="s">
        <v>38</v>
      </c>
    </row>
    <row r="7" spans="1:8" ht="78" customHeight="1" x14ac:dyDescent="0.25">
      <c r="A7" s="19">
        <v>3</v>
      </c>
      <c r="B7" s="19" t="s">
        <v>4</v>
      </c>
      <c r="C7" s="20" t="s">
        <v>39</v>
      </c>
      <c r="D7" s="20" t="s">
        <v>34</v>
      </c>
      <c r="E7" s="20" t="s">
        <v>40</v>
      </c>
      <c r="F7" s="20" t="s">
        <v>41</v>
      </c>
      <c r="G7" s="20" t="s">
        <v>42</v>
      </c>
      <c r="H7" s="20" t="s">
        <v>43</v>
      </c>
    </row>
    <row r="8" spans="1:8" ht="78" customHeight="1" x14ac:dyDescent="0.25">
      <c r="A8" s="19">
        <v>4</v>
      </c>
      <c r="B8" s="19" t="s">
        <v>5</v>
      </c>
      <c r="C8" s="20" t="s">
        <v>33</v>
      </c>
      <c r="D8" s="20" t="s">
        <v>34</v>
      </c>
      <c r="E8" s="20" t="s">
        <v>44</v>
      </c>
      <c r="F8" s="20" t="s">
        <v>45</v>
      </c>
      <c r="G8" s="20" t="s">
        <v>46</v>
      </c>
      <c r="H8" s="20" t="s">
        <v>47</v>
      </c>
    </row>
    <row r="9" spans="1:8" ht="78" customHeight="1" x14ac:dyDescent="0.25">
      <c r="A9" s="19">
        <v>5</v>
      </c>
      <c r="B9" s="19" t="s">
        <v>6</v>
      </c>
      <c r="C9" s="20" t="s">
        <v>48</v>
      </c>
      <c r="D9" s="20" t="s">
        <v>49</v>
      </c>
      <c r="E9" s="20" t="s">
        <v>50</v>
      </c>
      <c r="F9" s="20" t="s">
        <v>51</v>
      </c>
      <c r="G9" s="20" t="s">
        <v>52</v>
      </c>
      <c r="H9" s="20" t="s">
        <v>53</v>
      </c>
    </row>
    <row r="10" spans="1:8" ht="78" customHeight="1" x14ac:dyDescent="0.25">
      <c r="A10" s="19">
        <v>6</v>
      </c>
      <c r="B10" s="19" t="s">
        <v>7</v>
      </c>
      <c r="C10" s="20" t="s">
        <v>54</v>
      </c>
      <c r="D10" s="20" t="s">
        <v>34</v>
      </c>
      <c r="E10" s="20" t="s">
        <v>55</v>
      </c>
      <c r="F10" s="20" t="s">
        <v>56</v>
      </c>
      <c r="G10" s="20" t="s">
        <v>57</v>
      </c>
      <c r="H10" s="20" t="s">
        <v>58</v>
      </c>
    </row>
    <row r="11" spans="1:8" ht="78" customHeight="1" x14ac:dyDescent="0.25">
      <c r="A11" s="19">
        <v>7</v>
      </c>
      <c r="B11" s="19" t="s">
        <v>8</v>
      </c>
      <c r="C11" s="20" t="s">
        <v>59</v>
      </c>
      <c r="D11" s="20" t="s">
        <v>60</v>
      </c>
      <c r="E11" s="20" t="s">
        <v>61</v>
      </c>
      <c r="F11" s="20" t="s">
        <v>62</v>
      </c>
      <c r="G11" s="20" t="s">
        <v>63</v>
      </c>
      <c r="H11" s="20" t="s">
        <v>64</v>
      </c>
    </row>
    <row r="12" spans="1:8" ht="78" customHeight="1" x14ac:dyDescent="0.25">
      <c r="A12" s="19">
        <v>8</v>
      </c>
      <c r="B12" s="19" t="s">
        <v>9</v>
      </c>
      <c r="C12" s="20" t="s">
        <v>48</v>
      </c>
      <c r="D12" s="20" t="s">
        <v>65</v>
      </c>
      <c r="E12" s="20" t="s">
        <v>66</v>
      </c>
      <c r="F12" s="20" t="s">
        <v>67</v>
      </c>
      <c r="G12" s="20" t="s">
        <v>68</v>
      </c>
      <c r="H12" s="20" t="s">
        <v>69</v>
      </c>
    </row>
    <row r="13" spans="1:8" ht="78" customHeight="1" x14ac:dyDescent="0.25">
      <c r="A13" s="19">
        <v>9</v>
      </c>
      <c r="B13" s="19" t="s">
        <v>10</v>
      </c>
      <c r="C13" s="20" t="s">
        <v>54</v>
      </c>
      <c r="D13" s="20" t="s">
        <v>60</v>
      </c>
      <c r="E13" s="20" t="s">
        <v>70</v>
      </c>
      <c r="F13" s="20" t="s">
        <v>71</v>
      </c>
      <c r="G13" s="20" t="s">
        <v>72</v>
      </c>
      <c r="H13" s="20" t="s">
        <v>73</v>
      </c>
    </row>
    <row r="14" spans="1:8" ht="78" customHeight="1" x14ac:dyDescent="0.25">
      <c r="A14" s="19">
        <v>10</v>
      </c>
      <c r="B14" s="19" t="s">
        <v>11</v>
      </c>
      <c r="C14" s="20" t="s">
        <v>74</v>
      </c>
      <c r="D14" s="20" t="s">
        <v>75</v>
      </c>
      <c r="E14" s="20" t="s">
        <v>76</v>
      </c>
      <c r="F14" s="20" t="s">
        <v>77</v>
      </c>
      <c r="G14" s="20" t="s">
        <v>78</v>
      </c>
      <c r="H14" s="20" t="s">
        <v>79</v>
      </c>
    </row>
    <row r="15" spans="1:8" ht="78" customHeight="1" x14ac:dyDescent="0.25">
      <c r="A15" s="19">
        <v>11</v>
      </c>
      <c r="B15" s="19" t="s">
        <v>12</v>
      </c>
      <c r="C15" s="20" t="s">
        <v>74</v>
      </c>
      <c r="D15" s="20" t="s">
        <v>75</v>
      </c>
      <c r="E15" s="20" t="s">
        <v>80</v>
      </c>
      <c r="F15" s="20" t="s">
        <v>81</v>
      </c>
      <c r="G15" s="20" t="s">
        <v>82</v>
      </c>
      <c r="H15" s="20" t="s">
        <v>83</v>
      </c>
    </row>
    <row r="16" spans="1:8" ht="78" customHeight="1" x14ac:dyDescent="0.25">
      <c r="A16" s="19">
        <v>12</v>
      </c>
      <c r="B16" s="19" t="s">
        <v>13</v>
      </c>
      <c r="C16" s="20" t="s">
        <v>48</v>
      </c>
      <c r="D16" s="20" t="s">
        <v>84</v>
      </c>
      <c r="E16" s="20" t="s">
        <v>85</v>
      </c>
      <c r="F16" s="20" t="s">
        <v>86</v>
      </c>
      <c r="G16" s="20" t="s">
        <v>87</v>
      </c>
      <c r="H16" s="20" t="s">
        <v>88</v>
      </c>
    </row>
    <row r="17" spans="1:8" ht="78" customHeight="1" x14ac:dyDescent="0.25">
      <c r="A17" s="19">
        <v>13</v>
      </c>
      <c r="B17" s="19" t="s">
        <v>14</v>
      </c>
      <c r="C17" s="20" t="s">
        <v>48</v>
      </c>
      <c r="D17" s="20" t="s">
        <v>60</v>
      </c>
      <c r="E17" s="20" t="s">
        <v>89</v>
      </c>
      <c r="F17" s="20" t="s">
        <v>90</v>
      </c>
      <c r="G17" s="20" t="s">
        <v>91</v>
      </c>
      <c r="H17" s="20" t="s">
        <v>92</v>
      </c>
    </row>
    <row r="18" spans="1:8" ht="78" customHeight="1" x14ac:dyDescent="0.25">
      <c r="A18" s="19">
        <v>14</v>
      </c>
      <c r="B18" s="19" t="s">
        <v>93</v>
      </c>
      <c r="C18" s="20" t="s">
        <v>94</v>
      </c>
      <c r="D18" s="20" t="s">
        <v>95</v>
      </c>
      <c r="E18" s="20" t="s">
        <v>96</v>
      </c>
      <c r="F18" s="20" t="s">
        <v>97</v>
      </c>
      <c r="G18" s="20" t="s">
        <v>98</v>
      </c>
      <c r="H18" s="20" t="s">
        <v>99</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
  <sheetViews>
    <sheetView showGridLines="0" topLeftCell="B1" zoomScaleNormal="100" workbookViewId="0">
      <selection sqref="A1:F1"/>
    </sheetView>
  </sheetViews>
  <sheetFormatPr defaultColWidth="8.7109375" defaultRowHeight="15" x14ac:dyDescent="0.25"/>
  <cols>
    <col min="1" max="1" width="16" customWidth="1"/>
    <col min="2" max="2" width="12" customWidth="1"/>
    <col min="3" max="3" width="20" customWidth="1"/>
    <col min="4" max="5" width="42" customWidth="1"/>
    <col min="6" max="6" width="26" customWidth="1"/>
  </cols>
  <sheetData>
    <row r="1" spans="1:6" ht="21.75" customHeight="1" x14ac:dyDescent="0.25">
      <c r="A1" s="12" t="s">
        <v>100</v>
      </c>
      <c r="B1" s="12"/>
      <c r="C1" s="12"/>
      <c r="D1" s="12"/>
      <c r="E1" s="12"/>
      <c r="F1" s="12"/>
    </row>
    <row r="2" spans="1:6" ht="78" customHeight="1" x14ac:dyDescent="0.25">
      <c r="A2" s="13" t="s">
        <v>101</v>
      </c>
      <c r="B2" s="13"/>
      <c r="C2" s="13"/>
      <c r="D2" s="13"/>
      <c r="E2" s="13"/>
      <c r="F2" s="13"/>
    </row>
    <row r="4" spans="1:6" ht="45.75" customHeight="1" x14ac:dyDescent="0.25">
      <c r="A4" s="21" t="s">
        <v>102</v>
      </c>
      <c r="B4" s="21" t="s">
        <v>21</v>
      </c>
      <c r="C4" s="21" t="s">
        <v>103</v>
      </c>
      <c r="D4" s="21" t="s">
        <v>104</v>
      </c>
      <c r="E4" s="21" t="s">
        <v>105</v>
      </c>
      <c r="F4" s="21" t="s">
        <v>106</v>
      </c>
    </row>
    <row r="5" spans="1:6" ht="109.5" customHeight="1" x14ac:dyDescent="0.25">
      <c r="A5" s="19" t="s">
        <v>107</v>
      </c>
      <c r="B5" s="20" t="s">
        <v>33</v>
      </c>
      <c r="C5" s="20" t="s">
        <v>108</v>
      </c>
      <c r="D5" s="20" t="s">
        <v>109</v>
      </c>
      <c r="E5" s="20" t="s">
        <v>110</v>
      </c>
      <c r="F5" s="20" t="s">
        <v>111</v>
      </c>
    </row>
    <row r="6" spans="1:6" ht="109.5" customHeight="1" x14ac:dyDescent="0.25">
      <c r="A6" s="19" t="s">
        <v>112</v>
      </c>
      <c r="B6" s="20" t="s">
        <v>39</v>
      </c>
      <c r="C6" s="20" t="s">
        <v>113</v>
      </c>
      <c r="D6" s="20" t="s">
        <v>114</v>
      </c>
      <c r="E6" s="20" t="s">
        <v>115</v>
      </c>
      <c r="F6" s="20" t="s">
        <v>116</v>
      </c>
    </row>
    <row r="7" spans="1:6" ht="109.5" customHeight="1" x14ac:dyDescent="0.25">
      <c r="A7" s="19" t="s">
        <v>117</v>
      </c>
      <c r="B7" s="20" t="s">
        <v>59</v>
      </c>
      <c r="C7" s="20" t="s">
        <v>118</v>
      </c>
      <c r="D7" s="20" t="s">
        <v>119</v>
      </c>
      <c r="E7" s="20" t="s">
        <v>120</v>
      </c>
      <c r="F7" s="20" t="s">
        <v>121</v>
      </c>
    </row>
    <row r="8" spans="1:6" ht="109.5" customHeight="1" x14ac:dyDescent="0.25">
      <c r="A8" s="19" t="s">
        <v>122</v>
      </c>
      <c r="B8" s="20" t="s">
        <v>48</v>
      </c>
      <c r="C8" s="20" t="s">
        <v>123</v>
      </c>
      <c r="D8" s="20" t="s">
        <v>124</v>
      </c>
      <c r="E8" s="20" t="s">
        <v>125</v>
      </c>
      <c r="F8" s="20" t="s">
        <v>126</v>
      </c>
    </row>
    <row r="9" spans="1:6" ht="109.5" customHeight="1" x14ac:dyDescent="0.25">
      <c r="A9" s="19" t="s">
        <v>127</v>
      </c>
      <c r="B9" s="20" t="s">
        <v>54</v>
      </c>
      <c r="C9" s="20" t="s">
        <v>128</v>
      </c>
      <c r="D9" s="20" t="s">
        <v>129</v>
      </c>
      <c r="E9" s="20" t="s">
        <v>130</v>
      </c>
      <c r="F9" s="20" t="s">
        <v>131</v>
      </c>
    </row>
    <row r="10" spans="1:6" ht="109.5" customHeight="1" x14ac:dyDescent="0.25">
      <c r="A10" s="19" t="s">
        <v>132</v>
      </c>
      <c r="B10" s="20" t="s">
        <v>133</v>
      </c>
      <c r="C10" s="20" t="s">
        <v>134</v>
      </c>
      <c r="D10" s="20" t="s">
        <v>135</v>
      </c>
      <c r="E10" s="20" t="s">
        <v>136</v>
      </c>
      <c r="F10" s="20" t="s">
        <v>137</v>
      </c>
    </row>
    <row r="12" spans="1:6" ht="25.5" customHeight="1" x14ac:dyDescent="0.25">
      <c r="A12" s="11" t="s">
        <v>138</v>
      </c>
      <c r="B12" s="11"/>
      <c r="C12" s="11"/>
      <c r="D12" s="11"/>
      <c r="E12" s="11"/>
      <c r="F12" s="11"/>
    </row>
  </sheetData>
  <mergeCells count="3">
    <mergeCell ref="A1:F1"/>
    <mergeCell ref="A2:F2"/>
    <mergeCell ref="A12:F1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504"/>
  <sheetViews>
    <sheetView showGridLines="0" tabSelected="1" zoomScaleNormal="100" workbookViewId="0">
      <pane xSplit="1" ySplit="4" topLeftCell="M5" activePane="bottomRight" state="frozen"/>
      <selection pane="topRight" activeCell="B1" sqref="B1"/>
      <selection pane="bottomLeft" activeCell="A5" sqref="A5"/>
      <selection pane="bottomRight" activeCell="Y12" sqref="Y12"/>
    </sheetView>
  </sheetViews>
  <sheetFormatPr defaultColWidth="8.7109375" defaultRowHeight="15" x14ac:dyDescent="0.25"/>
  <cols>
    <col min="1" max="3" width="11" customWidth="1"/>
    <col min="4" max="4" width="9" customWidth="1"/>
    <col min="5" max="6" width="11" customWidth="1"/>
    <col min="7" max="7" width="9" customWidth="1"/>
    <col min="8" max="9" width="11" customWidth="1"/>
    <col min="10" max="10" width="9" customWidth="1"/>
    <col min="11" max="12" width="11" customWidth="1"/>
    <col min="13" max="13" width="9" customWidth="1"/>
    <col min="14" max="15" width="11" customWidth="1"/>
    <col min="16" max="16" width="9" customWidth="1"/>
    <col min="17" max="18" width="11" customWidth="1"/>
    <col min="19" max="19" width="9" customWidth="1"/>
    <col min="20" max="20" width="14" customWidth="1"/>
    <col min="21" max="21" width="11" customWidth="1"/>
    <col min="24" max="24" width="30" customWidth="1"/>
    <col min="25" max="25" width="12" customWidth="1"/>
  </cols>
  <sheetData>
    <row r="1" spans="1:25" ht="21.75" customHeight="1" x14ac:dyDescent="0.25">
      <c r="A1" s="10" t="s">
        <v>139</v>
      </c>
      <c r="B1" s="10"/>
      <c r="C1" s="10"/>
      <c r="D1" s="10"/>
      <c r="E1" s="10"/>
      <c r="F1" s="10"/>
      <c r="G1" s="10"/>
      <c r="H1" s="10"/>
      <c r="I1" s="10"/>
      <c r="J1" s="10"/>
      <c r="K1" s="10"/>
      <c r="L1" s="10"/>
      <c r="M1" s="10"/>
      <c r="N1" s="10"/>
      <c r="O1" s="10"/>
      <c r="P1" s="10"/>
      <c r="Q1" s="10"/>
      <c r="R1" s="10"/>
      <c r="S1" s="10"/>
      <c r="T1" s="10"/>
      <c r="U1" s="10"/>
    </row>
    <row r="2" spans="1:25" ht="30" customHeight="1" x14ac:dyDescent="0.25">
      <c r="A2" s="9" t="s">
        <v>140</v>
      </c>
      <c r="B2" s="9"/>
      <c r="C2" s="9"/>
      <c r="D2" s="9"/>
      <c r="E2" s="9"/>
      <c r="F2" s="9"/>
      <c r="G2" s="9"/>
      <c r="H2" s="9"/>
      <c r="I2" s="9"/>
      <c r="J2" s="9"/>
      <c r="K2" s="9"/>
      <c r="L2" s="9"/>
      <c r="M2" s="9"/>
      <c r="N2" s="9"/>
      <c r="O2" s="9"/>
      <c r="P2" s="9"/>
      <c r="Q2" s="9"/>
      <c r="R2" s="9"/>
      <c r="S2" s="9"/>
      <c r="T2" s="9"/>
      <c r="U2" s="9"/>
    </row>
    <row r="4" spans="1:25" ht="33.75" customHeight="1" x14ac:dyDescent="0.25">
      <c r="A4" s="22" t="s">
        <v>2</v>
      </c>
      <c r="B4" s="23" t="s">
        <v>141</v>
      </c>
      <c r="C4" s="23" t="s">
        <v>142</v>
      </c>
      <c r="D4" s="23" t="s">
        <v>143</v>
      </c>
      <c r="E4" s="24" t="s">
        <v>144</v>
      </c>
      <c r="F4" s="24" t="s">
        <v>145</v>
      </c>
      <c r="G4" s="24" t="s">
        <v>146</v>
      </c>
      <c r="H4" s="25" t="s">
        <v>147</v>
      </c>
      <c r="I4" s="25" t="s">
        <v>148</v>
      </c>
      <c r="J4" s="25" t="s">
        <v>149</v>
      </c>
      <c r="K4" s="26" t="s">
        <v>150</v>
      </c>
      <c r="L4" s="26" t="s">
        <v>151</v>
      </c>
      <c r="M4" s="26" t="s">
        <v>152</v>
      </c>
      <c r="N4" s="27" t="s">
        <v>153</v>
      </c>
      <c r="O4" s="27" t="s">
        <v>154</v>
      </c>
      <c r="P4" s="27" t="s">
        <v>155</v>
      </c>
      <c r="Q4" s="28" t="s">
        <v>156</v>
      </c>
      <c r="R4" s="28" t="s">
        <v>157</v>
      </c>
      <c r="S4" s="28" t="s">
        <v>158</v>
      </c>
      <c r="T4" s="22" t="s">
        <v>159</v>
      </c>
      <c r="U4" s="22" t="s">
        <v>16</v>
      </c>
      <c r="X4" s="8" t="s">
        <v>160</v>
      </c>
      <c r="Y4" s="8"/>
    </row>
    <row r="5" spans="1:25" ht="15" customHeight="1" x14ac:dyDescent="0.25">
      <c r="A5" s="29">
        <f>Dataset!A5</f>
        <v>1</v>
      </c>
      <c r="B5" s="29">
        <f>IF(Dataset!B5&lt;25,0.3,IF(Dataset!B5&lt;75,0.5,IF(Dataset!B5&lt;120,0.65,0.8)))</f>
        <v>0.65</v>
      </c>
      <c r="C5" s="29">
        <f>IF(Dataset!B5&lt;25,1,IF(Dataset!B5&lt;75,2,IF(Dataset!B5&lt;120,3,4)))</f>
        <v>3</v>
      </c>
      <c r="D5" s="29">
        <f t="shared" ref="D5:D68" si="0">B5*C5</f>
        <v>1.9500000000000002</v>
      </c>
      <c r="E5" s="29">
        <f>IF(Dataset!C5&lt;=1,0.3,IF(Dataset!C5=2,0.4,IF(Dataset!C5=3,0.5,IF(Dataset!C5=4,0.65,0.8))))</f>
        <v>0.65</v>
      </c>
      <c r="F5" s="29">
        <f>IF(Dataset!C5&lt;=2,1,IF(Dataset!C5=3,2,IF(Dataset!C5=4,3,4)))</f>
        <v>3</v>
      </c>
      <c r="G5" s="29">
        <f t="shared" ref="G5:G68" si="1">E5*F5</f>
        <v>1.9500000000000002</v>
      </c>
      <c r="H5" s="29">
        <f>IF(Dataset!G5&lt;=3,0.25,IF(Dataset!G5&lt;=6,0.45,IF(Dataset!G5&lt;=9,0.65,0.85)))</f>
        <v>0.45</v>
      </c>
      <c r="I5" s="29">
        <f>IF(Dataset!G5&lt;=3,1,IF(Dataset!G5&lt;=6,2,IF(Dataset!G5&lt;=9,3,4)))</f>
        <v>2</v>
      </c>
      <c r="J5" s="29">
        <f t="shared" ref="J5:J68" si="2">H5*I5</f>
        <v>0.9</v>
      </c>
      <c r="K5" s="29">
        <f>IF(Dataset!H5&lt;1,0.2,IF(Dataset!H5&lt;1.3,0.45,IF(Dataset!H5&lt;1.8,0.7,0.9)))</f>
        <v>0.9</v>
      </c>
      <c r="L5" s="29">
        <f>IF(Dataset!H5&lt;1,1,IF(Dataset!H5&lt;1.3,2,IF(Dataset!H5&lt;1.8,3,4)))</f>
        <v>4</v>
      </c>
      <c r="M5" s="29">
        <f t="shared" ref="M5:M68" si="3">K5*L5</f>
        <v>3.6</v>
      </c>
      <c r="N5" s="29">
        <f>IF(Dataset!F5=1,0.75,IF(Dataset!F5=2,0.45,0.2))</f>
        <v>0.2</v>
      </c>
      <c r="O5" s="29">
        <f>IF(Dataset!F5=1,3,IF(Dataset!F5=2,2,1))</f>
        <v>1</v>
      </c>
      <c r="P5" s="29">
        <f t="shared" ref="P5:P68" si="4">N5*O5</f>
        <v>0.2</v>
      </c>
      <c r="Q5" s="29">
        <f>IF(Dataset!K5&lt;5,0.2,IF(Dataset!K5&lt;10,0.45,IF(Dataset!K5&lt;18,0.7,0.9)))</f>
        <v>0.7</v>
      </c>
      <c r="R5" s="29">
        <f>IF(Dataset!K5&lt;5,1,IF(Dataset!K5&lt;10,2,IF(Dataset!K5&lt;18,3,4)))</f>
        <v>3</v>
      </c>
      <c r="S5" s="29">
        <f t="shared" ref="S5:S68" si="5">Q5*R5</f>
        <v>2.0999999999999996</v>
      </c>
      <c r="T5" s="29">
        <f t="shared" ref="T5:T68" si="6">$Y$6*D5+$Y$7*G5+$Y$8*J5+$Y$9*M5+$Y$10*P5+$Y$11*S5</f>
        <v>1.9820000000000002</v>
      </c>
      <c r="U5" s="29" t="str">
        <f t="shared" ref="U5:U68" si="7">IF(T5&lt;=$Y$15,"Low",IF(T5&lt;=$Y$16,"Medium","High"))</f>
        <v>High</v>
      </c>
      <c r="X5" s="30" t="s">
        <v>161</v>
      </c>
      <c r="Y5" s="30" t="s">
        <v>162</v>
      </c>
    </row>
    <row r="6" spans="1:25" ht="15" customHeight="1" x14ac:dyDescent="0.25">
      <c r="A6" s="29">
        <f>Dataset!A6</f>
        <v>2</v>
      </c>
      <c r="B6" s="29">
        <f>IF(Dataset!B6&lt;25,0.3,IF(Dataset!B6&lt;75,0.5,IF(Dataset!B6&lt;120,0.65,0.8)))</f>
        <v>0.65</v>
      </c>
      <c r="C6" s="29">
        <f>IF(Dataset!B6&lt;25,1,IF(Dataset!B6&lt;75,2,IF(Dataset!B6&lt;120,3,4)))</f>
        <v>3</v>
      </c>
      <c r="D6" s="29">
        <f t="shared" si="0"/>
        <v>1.9500000000000002</v>
      </c>
      <c r="E6" s="29">
        <f>IF(Dataset!C6&lt;=1,0.3,IF(Dataset!C6=2,0.4,IF(Dataset!C6=3,0.5,IF(Dataset!C6=4,0.65,0.8))))</f>
        <v>0.4</v>
      </c>
      <c r="F6" s="29">
        <f>IF(Dataset!C6&lt;=2,1,IF(Dataset!C6=3,2,IF(Dataset!C6=4,3,4)))</f>
        <v>1</v>
      </c>
      <c r="G6" s="29">
        <f t="shared" si="1"/>
        <v>0.4</v>
      </c>
      <c r="H6" s="29">
        <f>IF(Dataset!G6&lt;=3,0.25,IF(Dataset!G6&lt;=6,0.45,IF(Dataset!G6&lt;=9,0.65,0.85)))</f>
        <v>0.45</v>
      </c>
      <c r="I6" s="29">
        <f>IF(Dataset!G6&lt;=3,1,IF(Dataset!G6&lt;=6,2,IF(Dataset!G6&lt;=9,3,4)))</f>
        <v>2</v>
      </c>
      <c r="J6" s="29">
        <f t="shared" si="2"/>
        <v>0.9</v>
      </c>
      <c r="K6" s="29">
        <f>IF(Dataset!H6&lt;1,0.2,IF(Dataset!H6&lt;1.3,0.45,IF(Dataset!H6&lt;1.8,0.7,0.9)))</f>
        <v>0.9</v>
      </c>
      <c r="L6" s="29">
        <f>IF(Dataset!H6&lt;1,1,IF(Dataset!H6&lt;1.3,2,IF(Dataset!H6&lt;1.8,3,4)))</f>
        <v>4</v>
      </c>
      <c r="M6" s="29">
        <f t="shared" si="3"/>
        <v>3.6</v>
      </c>
      <c r="N6" s="29">
        <f>IF(Dataset!F6=1,0.75,IF(Dataset!F6=2,0.45,0.2))</f>
        <v>0.45</v>
      </c>
      <c r="O6" s="29">
        <f>IF(Dataset!F6=1,3,IF(Dataset!F6=2,2,1))</f>
        <v>2</v>
      </c>
      <c r="P6" s="29">
        <f t="shared" si="4"/>
        <v>0.9</v>
      </c>
      <c r="Q6" s="29">
        <f>IF(Dataset!K6&lt;5,0.2,IF(Dataset!K6&lt;10,0.45,IF(Dataset!K6&lt;18,0.7,0.9)))</f>
        <v>0.2</v>
      </c>
      <c r="R6" s="29">
        <f>IF(Dataset!K6&lt;5,1,IF(Dataset!K6&lt;10,2,IF(Dataset!K6&lt;18,3,4)))</f>
        <v>1</v>
      </c>
      <c r="S6" s="29">
        <f t="shared" si="5"/>
        <v>0.2</v>
      </c>
      <c r="T6" s="29">
        <f t="shared" si="6"/>
        <v>1.5690000000000002</v>
      </c>
      <c r="U6" s="29" t="str">
        <f t="shared" si="7"/>
        <v>Medium</v>
      </c>
      <c r="X6" s="31" t="s">
        <v>163</v>
      </c>
      <c r="Y6" s="32">
        <v>0.18</v>
      </c>
    </row>
    <row r="7" spans="1:25" ht="15" customHeight="1" x14ac:dyDescent="0.25">
      <c r="A7" s="29">
        <f>Dataset!A7</f>
        <v>3</v>
      </c>
      <c r="B7" s="29">
        <f>IF(Dataset!B7&lt;25,0.3,IF(Dataset!B7&lt;75,0.5,IF(Dataset!B7&lt;120,0.65,0.8)))</f>
        <v>0.5</v>
      </c>
      <c r="C7" s="29">
        <f>IF(Dataset!B7&lt;25,1,IF(Dataset!B7&lt;75,2,IF(Dataset!B7&lt;120,3,4)))</f>
        <v>2</v>
      </c>
      <c r="D7" s="29">
        <f t="shared" si="0"/>
        <v>1</v>
      </c>
      <c r="E7" s="29">
        <f>IF(Dataset!C7&lt;=1,0.3,IF(Dataset!C7=2,0.4,IF(Dataset!C7=3,0.5,IF(Dataset!C7=4,0.65,0.8))))</f>
        <v>0.65</v>
      </c>
      <c r="F7" s="29">
        <f>IF(Dataset!C7&lt;=2,1,IF(Dataset!C7=3,2,IF(Dataset!C7=4,3,4)))</f>
        <v>3</v>
      </c>
      <c r="G7" s="29">
        <f t="shared" si="1"/>
        <v>1.9500000000000002</v>
      </c>
      <c r="H7" s="29">
        <f>IF(Dataset!G7&lt;=3,0.25,IF(Dataset!G7&lt;=6,0.45,IF(Dataset!G7&lt;=9,0.65,0.85)))</f>
        <v>0.25</v>
      </c>
      <c r="I7" s="29">
        <f>IF(Dataset!G7&lt;=3,1,IF(Dataset!G7&lt;=6,2,IF(Dataset!G7&lt;=9,3,4)))</f>
        <v>1</v>
      </c>
      <c r="J7" s="29">
        <f t="shared" si="2"/>
        <v>0.25</v>
      </c>
      <c r="K7" s="29">
        <f>IF(Dataset!H7&lt;1,0.2,IF(Dataset!H7&lt;1.3,0.45,IF(Dataset!H7&lt;1.8,0.7,0.9)))</f>
        <v>0.7</v>
      </c>
      <c r="L7" s="29">
        <f>IF(Dataset!H7&lt;1,1,IF(Dataset!H7&lt;1.3,2,IF(Dataset!H7&lt;1.8,3,4)))</f>
        <v>3</v>
      </c>
      <c r="M7" s="29">
        <f t="shared" si="3"/>
        <v>2.0999999999999996</v>
      </c>
      <c r="N7" s="29">
        <f>IF(Dataset!F7=1,0.75,IF(Dataset!F7=2,0.45,0.2))</f>
        <v>0.2</v>
      </c>
      <c r="O7" s="29">
        <f>IF(Dataset!F7=1,3,IF(Dataset!F7=2,2,1))</f>
        <v>1</v>
      </c>
      <c r="P7" s="29">
        <f t="shared" si="4"/>
        <v>0.2</v>
      </c>
      <c r="Q7" s="29">
        <f>IF(Dataset!K7&lt;5,0.2,IF(Dataset!K7&lt;10,0.45,IF(Dataset!K7&lt;18,0.7,0.9)))</f>
        <v>0.7</v>
      </c>
      <c r="R7" s="29">
        <f>IF(Dataset!K7&lt;5,1,IF(Dataset!K7&lt;10,2,IF(Dataset!K7&lt;18,3,4)))</f>
        <v>3</v>
      </c>
      <c r="S7" s="29">
        <f t="shared" si="5"/>
        <v>2.0999999999999996</v>
      </c>
      <c r="T7" s="29">
        <f t="shared" si="6"/>
        <v>1.3210000000000002</v>
      </c>
      <c r="U7" s="29" t="str">
        <f t="shared" si="7"/>
        <v>Low</v>
      </c>
      <c r="X7" s="31" t="s">
        <v>164</v>
      </c>
      <c r="Y7" s="32">
        <v>0.14000000000000001</v>
      </c>
    </row>
    <row r="8" spans="1:25" ht="15" customHeight="1" x14ac:dyDescent="0.25">
      <c r="A8" s="29">
        <f>Dataset!A8</f>
        <v>4</v>
      </c>
      <c r="B8" s="29">
        <f>IF(Dataset!B8&lt;25,0.3,IF(Dataset!B8&lt;75,0.5,IF(Dataset!B8&lt;120,0.65,0.8)))</f>
        <v>0.5</v>
      </c>
      <c r="C8" s="29">
        <f>IF(Dataset!B8&lt;25,1,IF(Dataset!B8&lt;75,2,IF(Dataset!B8&lt;120,3,4)))</f>
        <v>2</v>
      </c>
      <c r="D8" s="29">
        <f t="shared" si="0"/>
        <v>1</v>
      </c>
      <c r="E8" s="29">
        <f>IF(Dataset!C8&lt;=1,0.3,IF(Dataset!C8=2,0.4,IF(Dataset!C8=3,0.5,IF(Dataset!C8=4,0.65,0.8))))</f>
        <v>0.5</v>
      </c>
      <c r="F8" s="29">
        <f>IF(Dataset!C8&lt;=2,1,IF(Dataset!C8=3,2,IF(Dataset!C8=4,3,4)))</f>
        <v>2</v>
      </c>
      <c r="G8" s="29">
        <f t="shared" si="1"/>
        <v>1</v>
      </c>
      <c r="H8" s="29">
        <f>IF(Dataset!G8&lt;=3,0.25,IF(Dataset!G8&lt;=6,0.45,IF(Dataset!G8&lt;=9,0.65,0.85)))</f>
        <v>0.85</v>
      </c>
      <c r="I8" s="29">
        <f>IF(Dataset!G8&lt;=3,1,IF(Dataset!G8&lt;=6,2,IF(Dataset!G8&lt;=9,3,4)))</f>
        <v>4</v>
      </c>
      <c r="J8" s="29">
        <f t="shared" si="2"/>
        <v>3.4</v>
      </c>
      <c r="K8" s="29">
        <f>IF(Dataset!H8&lt;1,0.2,IF(Dataset!H8&lt;1.3,0.45,IF(Dataset!H8&lt;1.8,0.7,0.9)))</f>
        <v>0.45</v>
      </c>
      <c r="L8" s="29">
        <f>IF(Dataset!H8&lt;1,1,IF(Dataset!H8&lt;1.3,2,IF(Dataset!H8&lt;1.8,3,4)))</f>
        <v>2</v>
      </c>
      <c r="M8" s="29">
        <f t="shared" si="3"/>
        <v>0.9</v>
      </c>
      <c r="N8" s="29">
        <f>IF(Dataset!F8=1,0.75,IF(Dataset!F8=2,0.45,0.2))</f>
        <v>0.2</v>
      </c>
      <c r="O8" s="29">
        <f>IF(Dataset!F8=1,3,IF(Dataset!F8=2,2,1))</f>
        <v>1</v>
      </c>
      <c r="P8" s="29">
        <f t="shared" si="4"/>
        <v>0.2</v>
      </c>
      <c r="Q8" s="29">
        <f>IF(Dataset!K8&lt;5,0.2,IF(Dataset!K8&lt;10,0.45,IF(Dataset!K8&lt;18,0.7,0.9)))</f>
        <v>0.45</v>
      </c>
      <c r="R8" s="29">
        <f>IF(Dataset!K8&lt;5,1,IF(Dataset!K8&lt;10,2,IF(Dataset!K8&lt;18,3,4)))</f>
        <v>2</v>
      </c>
      <c r="S8" s="29">
        <f t="shared" si="5"/>
        <v>0.9</v>
      </c>
      <c r="T8" s="29">
        <f t="shared" si="6"/>
        <v>1.3620000000000001</v>
      </c>
      <c r="U8" s="29" t="str">
        <f t="shared" si="7"/>
        <v>Medium</v>
      </c>
      <c r="X8" s="31" t="s">
        <v>165</v>
      </c>
      <c r="Y8" s="32">
        <v>0.2</v>
      </c>
    </row>
    <row r="9" spans="1:25" ht="15" customHeight="1" x14ac:dyDescent="0.25">
      <c r="A9" s="29">
        <f>Dataset!A9</f>
        <v>5</v>
      </c>
      <c r="B9" s="29">
        <f>IF(Dataset!B9&lt;25,0.3,IF(Dataset!B9&lt;75,0.5,IF(Dataset!B9&lt;120,0.65,0.8)))</f>
        <v>0.65</v>
      </c>
      <c r="C9" s="29">
        <f>IF(Dataset!B9&lt;25,1,IF(Dataset!B9&lt;75,2,IF(Dataset!B9&lt;120,3,4)))</f>
        <v>3</v>
      </c>
      <c r="D9" s="29">
        <f t="shared" si="0"/>
        <v>1.9500000000000002</v>
      </c>
      <c r="E9" s="29">
        <f>IF(Dataset!C9&lt;=1,0.3,IF(Dataset!C9=2,0.4,IF(Dataset!C9=3,0.5,IF(Dataset!C9=4,0.65,0.8))))</f>
        <v>0.5</v>
      </c>
      <c r="F9" s="29">
        <f>IF(Dataset!C9&lt;=2,1,IF(Dataset!C9=3,2,IF(Dataset!C9=4,3,4)))</f>
        <v>2</v>
      </c>
      <c r="G9" s="29">
        <f t="shared" si="1"/>
        <v>1</v>
      </c>
      <c r="H9" s="29">
        <f>IF(Dataset!G9&lt;=3,0.25,IF(Dataset!G9&lt;=6,0.45,IF(Dataset!G9&lt;=9,0.65,0.85)))</f>
        <v>0.25</v>
      </c>
      <c r="I9" s="29">
        <f>IF(Dataset!G9&lt;=3,1,IF(Dataset!G9&lt;=6,2,IF(Dataset!G9&lt;=9,3,4)))</f>
        <v>1</v>
      </c>
      <c r="J9" s="29">
        <f t="shared" si="2"/>
        <v>0.25</v>
      </c>
      <c r="K9" s="29">
        <f>IF(Dataset!H9&lt;1,0.2,IF(Dataset!H9&lt;1.3,0.45,IF(Dataset!H9&lt;1.8,0.7,0.9)))</f>
        <v>0.2</v>
      </c>
      <c r="L9" s="29">
        <f>IF(Dataset!H9&lt;1,1,IF(Dataset!H9&lt;1.3,2,IF(Dataset!H9&lt;1.8,3,4)))</f>
        <v>1</v>
      </c>
      <c r="M9" s="29">
        <f t="shared" si="3"/>
        <v>0.2</v>
      </c>
      <c r="N9" s="29">
        <f>IF(Dataset!F9=1,0.75,IF(Dataset!F9=2,0.45,0.2))</f>
        <v>0.45</v>
      </c>
      <c r="O9" s="29">
        <f>IF(Dataset!F9=1,3,IF(Dataset!F9=2,2,1))</f>
        <v>2</v>
      </c>
      <c r="P9" s="29">
        <f t="shared" si="4"/>
        <v>0.9</v>
      </c>
      <c r="Q9" s="29">
        <f>IF(Dataset!K9&lt;5,0.2,IF(Dataset!K9&lt;10,0.45,IF(Dataset!K9&lt;18,0.7,0.9)))</f>
        <v>0.45</v>
      </c>
      <c r="R9" s="29">
        <f>IF(Dataset!K9&lt;5,1,IF(Dataset!K9&lt;10,2,IF(Dataset!K9&lt;18,3,4)))</f>
        <v>2</v>
      </c>
      <c r="S9" s="29">
        <f t="shared" si="5"/>
        <v>0.9</v>
      </c>
      <c r="T9" s="29">
        <f t="shared" si="6"/>
        <v>0.80500000000000005</v>
      </c>
      <c r="U9" s="29" t="str">
        <f t="shared" si="7"/>
        <v>Low</v>
      </c>
      <c r="X9" s="31" t="s">
        <v>166</v>
      </c>
      <c r="Y9" s="32">
        <v>0.24</v>
      </c>
    </row>
    <row r="10" spans="1:25" ht="15" customHeight="1" x14ac:dyDescent="0.25">
      <c r="A10" s="29">
        <f>Dataset!A10</f>
        <v>6</v>
      </c>
      <c r="B10" s="29">
        <f>IF(Dataset!B10&lt;25,0.3,IF(Dataset!B10&lt;75,0.5,IF(Dataset!B10&lt;120,0.65,0.8)))</f>
        <v>0.5</v>
      </c>
      <c r="C10" s="29">
        <f>IF(Dataset!B10&lt;25,1,IF(Dataset!B10&lt;75,2,IF(Dataset!B10&lt;120,3,4)))</f>
        <v>2</v>
      </c>
      <c r="D10" s="29">
        <f t="shared" si="0"/>
        <v>1</v>
      </c>
      <c r="E10" s="29">
        <f>IF(Dataset!C10&lt;=1,0.3,IF(Dataset!C10=2,0.4,IF(Dataset!C10=3,0.5,IF(Dataset!C10=4,0.65,0.8))))</f>
        <v>0.4</v>
      </c>
      <c r="F10" s="29">
        <f>IF(Dataset!C10&lt;=2,1,IF(Dataset!C10=3,2,IF(Dataset!C10=4,3,4)))</f>
        <v>1</v>
      </c>
      <c r="G10" s="29">
        <f t="shared" si="1"/>
        <v>0.4</v>
      </c>
      <c r="H10" s="29">
        <f>IF(Dataset!G10&lt;=3,0.25,IF(Dataset!G10&lt;=6,0.45,IF(Dataset!G10&lt;=9,0.65,0.85)))</f>
        <v>0.25</v>
      </c>
      <c r="I10" s="29">
        <f>IF(Dataset!G10&lt;=3,1,IF(Dataset!G10&lt;=6,2,IF(Dataset!G10&lt;=9,3,4)))</f>
        <v>1</v>
      </c>
      <c r="J10" s="29">
        <f t="shared" si="2"/>
        <v>0.25</v>
      </c>
      <c r="K10" s="29">
        <f>IF(Dataset!H10&lt;1,0.2,IF(Dataset!H10&lt;1.3,0.45,IF(Dataset!H10&lt;1.8,0.7,0.9)))</f>
        <v>0.2</v>
      </c>
      <c r="L10" s="29">
        <f>IF(Dataset!H10&lt;1,1,IF(Dataset!H10&lt;1.3,2,IF(Dataset!H10&lt;1.8,3,4)))</f>
        <v>1</v>
      </c>
      <c r="M10" s="29">
        <f t="shared" si="3"/>
        <v>0.2</v>
      </c>
      <c r="N10" s="29">
        <f>IF(Dataset!F10=1,0.75,IF(Dataset!F10=2,0.45,0.2))</f>
        <v>0.75</v>
      </c>
      <c r="O10" s="29">
        <f>IF(Dataset!F10=1,3,IF(Dataset!F10=2,2,1))</f>
        <v>3</v>
      </c>
      <c r="P10" s="29">
        <f t="shared" si="4"/>
        <v>2.25</v>
      </c>
      <c r="Q10" s="29">
        <f>IF(Dataset!K10&lt;5,0.2,IF(Dataset!K10&lt;10,0.45,IF(Dataset!K10&lt;18,0.7,0.9)))</f>
        <v>0.45</v>
      </c>
      <c r="R10" s="29">
        <f>IF(Dataset!K10&lt;5,1,IF(Dataset!K10&lt;10,2,IF(Dataset!K10&lt;18,3,4)))</f>
        <v>2</v>
      </c>
      <c r="S10" s="29">
        <f t="shared" si="5"/>
        <v>0.9</v>
      </c>
      <c r="T10" s="29">
        <f t="shared" si="6"/>
        <v>0.68499999999999994</v>
      </c>
      <c r="U10" s="29" t="str">
        <f t="shared" si="7"/>
        <v>Low</v>
      </c>
      <c r="X10" s="31" t="s">
        <v>167</v>
      </c>
      <c r="Y10" s="32">
        <v>0.1</v>
      </c>
    </row>
    <row r="11" spans="1:25" ht="15" customHeight="1" x14ac:dyDescent="0.25">
      <c r="A11" s="29">
        <f>Dataset!A11</f>
        <v>7</v>
      </c>
      <c r="B11" s="29">
        <f>IF(Dataset!B11&lt;25,0.3,IF(Dataset!B11&lt;75,0.5,IF(Dataset!B11&lt;120,0.65,0.8)))</f>
        <v>0.65</v>
      </c>
      <c r="C11" s="29">
        <f>IF(Dataset!B11&lt;25,1,IF(Dataset!B11&lt;75,2,IF(Dataset!B11&lt;120,3,4)))</f>
        <v>3</v>
      </c>
      <c r="D11" s="29">
        <f t="shared" si="0"/>
        <v>1.9500000000000002</v>
      </c>
      <c r="E11" s="29">
        <f>IF(Dataset!C11&lt;=1,0.3,IF(Dataset!C11=2,0.4,IF(Dataset!C11=3,0.5,IF(Dataset!C11=4,0.65,0.8))))</f>
        <v>0.5</v>
      </c>
      <c r="F11" s="29">
        <f>IF(Dataset!C11&lt;=2,1,IF(Dataset!C11=3,2,IF(Dataset!C11=4,3,4)))</f>
        <v>2</v>
      </c>
      <c r="G11" s="29">
        <f t="shared" si="1"/>
        <v>1</v>
      </c>
      <c r="H11" s="29">
        <f>IF(Dataset!G11&lt;=3,0.25,IF(Dataset!G11&lt;=6,0.45,IF(Dataset!G11&lt;=9,0.65,0.85)))</f>
        <v>0.85</v>
      </c>
      <c r="I11" s="29">
        <f>IF(Dataset!G11&lt;=3,1,IF(Dataset!G11&lt;=6,2,IF(Dataset!G11&lt;=9,3,4)))</f>
        <v>4</v>
      </c>
      <c r="J11" s="29">
        <f t="shared" si="2"/>
        <v>3.4</v>
      </c>
      <c r="K11" s="29">
        <f>IF(Dataset!H11&lt;1,0.2,IF(Dataset!H11&lt;1.3,0.45,IF(Dataset!H11&lt;1.8,0.7,0.9)))</f>
        <v>0.45</v>
      </c>
      <c r="L11" s="29">
        <f>IF(Dataset!H11&lt;1,1,IF(Dataset!H11&lt;1.3,2,IF(Dataset!H11&lt;1.8,3,4)))</f>
        <v>2</v>
      </c>
      <c r="M11" s="29">
        <f t="shared" si="3"/>
        <v>0.9</v>
      </c>
      <c r="N11" s="29">
        <f>IF(Dataset!F11=1,0.75,IF(Dataset!F11=2,0.45,0.2))</f>
        <v>0.2</v>
      </c>
      <c r="O11" s="29">
        <f>IF(Dataset!F11=1,3,IF(Dataset!F11=2,2,1))</f>
        <v>1</v>
      </c>
      <c r="P11" s="29">
        <f t="shared" si="4"/>
        <v>0.2</v>
      </c>
      <c r="Q11" s="29">
        <f>IF(Dataset!K11&lt;5,0.2,IF(Dataset!K11&lt;10,0.45,IF(Dataset!K11&lt;18,0.7,0.9)))</f>
        <v>0.45</v>
      </c>
      <c r="R11" s="29">
        <f>IF(Dataset!K11&lt;5,1,IF(Dataset!K11&lt;10,2,IF(Dataset!K11&lt;18,3,4)))</f>
        <v>2</v>
      </c>
      <c r="S11" s="29">
        <f t="shared" si="5"/>
        <v>0.9</v>
      </c>
      <c r="T11" s="29">
        <f t="shared" si="6"/>
        <v>1.5330000000000001</v>
      </c>
      <c r="U11" s="29" t="str">
        <f t="shared" si="7"/>
        <v>Medium</v>
      </c>
      <c r="X11" s="31" t="s">
        <v>168</v>
      </c>
      <c r="Y11" s="32">
        <v>0.14000000000000001</v>
      </c>
    </row>
    <row r="12" spans="1:25" ht="15" customHeight="1" x14ac:dyDescent="0.25">
      <c r="A12" s="29">
        <f>Dataset!A12</f>
        <v>8</v>
      </c>
      <c r="B12" s="29">
        <f>IF(Dataset!B12&lt;25,0.3,IF(Dataset!B12&lt;75,0.5,IF(Dataset!B12&lt;120,0.65,0.8)))</f>
        <v>0.65</v>
      </c>
      <c r="C12" s="29">
        <f>IF(Dataset!B12&lt;25,1,IF(Dataset!B12&lt;75,2,IF(Dataset!B12&lt;120,3,4)))</f>
        <v>3</v>
      </c>
      <c r="D12" s="29">
        <f t="shared" si="0"/>
        <v>1.9500000000000002</v>
      </c>
      <c r="E12" s="29">
        <f>IF(Dataset!C12&lt;=1,0.3,IF(Dataset!C12=2,0.4,IF(Dataset!C12=3,0.5,IF(Dataset!C12=4,0.65,0.8))))</f>
        <v>0.5</v>
      </c>
      <c r="F12" s="29">
        <f>IF(Dataset!C12&lt;=2,1,IF(Dataset!C12=3,2,IF(Dataset!C12=4,3,4)))</f>
        <v>2</v>
      </c>
      <c r="G12" s="29">
        <f t="shared" si="1"/>
        <v>1</v>
      </c>
      <c r="H12" s="29">
        <f>IF(Dataset!G12&lt;=3,0.25,IF(Dataset!G12&lt;=6,0.45,IF(Dataset!G12&lt;=9,0.65,0.85)))</f>
        <v>0.85</v>
      </c>
      <c r="I12" s="29">
        <f>IF(Dataset!G12&lt;=3,1,IF(Dataset!G12&lt;=6,2,IF(Dataset!G12&lt;=9,3,4)))</f>
        <v>4</v>
      </c>
      <c r="J12" s="29">
        <f t="shared" si="2"/>
        <v>3.4</v>
      </c>
      <c r="K12" s="29">
        <f>IF(Dataset!H12&lt;1,0.2,IF(Dataset!H12&lt;1.3,0.45,IF(Dataset!H12&lt;1.8,0.7,0.9)))</f>
        <v>0.9</v>
      </c>
      <c r="L12" s="29">
        <f>IF(Dataset!H12&lt;1,1,IF(Dataset!H12&lt;1.3,2,IF(Dataset!H12&lt;1.8,3,4)))</f>
        <v>4</v>
      </c>
      <c r="M12" s="29">
        <f t="shared" si="3"/>
        <v>3.6</v>
      </c>
      <c r="N12" s="29">
        <f>IF(Dataset!F12=1,0.75,IF(Dataset!F12=2,0.45,0.2))</f>
        <v>0.75</v>
      </c>
      <c r="O12" s="29">
        <f>IF(Dataset!F12=1,3,IF(Dataset!F12=2,2,1))</f>
        <v>3</v>
      </c>
      <c r="P12" s="29">
        <f t="shared" si="4"/>
        <v>2.25</v>
      </c>
      <c r="Q12" s="29">
        <f>IF(Dataset!K12&lt;5,0.2,IF(Dataset!K12&lt;10,0.45,IF(Dataset!K12&lt;18,0.7,0.9)))</f>
        <v>0.45</v>
      </c>
      <c r="R12" s="29">
        <f>IF(Dataset!K12&lt;5,1,IF(Dataset!K12&lt;10,2,IF(Dataset!K12&lt;18,3,4)))</f>
        <v>2</v>
      </c>
      <c r="S12" s="29">
        <f t="shared" si="5"/>
        <v>0.9</v>
      </c>
      <c r="T12" s="29">
        <f t="shared" si="6"/>
        <v>2.3860000000000001</v>
      </c>
      <c r="U12" s="29" t="str">
        <f t="shared" si="7"/>
        <v>High</v>
      </c>
      <c r="X12" s="30" t="s">
        <v>169</v>
      </c>
      <c r="Y12" s="33">
        <f>SUM(Y6:Y11)</f>
        <v>1</v>
      </c>
    </row>
    <row r="13" spans="1:25" ht="15" customHeight="1" x14ac:dyDescent="0.25">
      <c r="A13" s="29">
        <f>Dataset!A13</f>
        <v>9</v>
      </c>
      <c r="B13" s="29">
        <f>IF(Dataset!B13&lt;25,0.3,IF(Dataset!B13&lt;75,0.5,IF(Dataset!B13&lt;120,0.65,0.8)))</f>
        <v>0.65</v>
      </c>
      <c r="C13" s="29">
        <f>IF(Dataset!B13&lt;25,1,IF(Dataset!B13&lt;75,2,IF(Dataset!B13&lt;120,3,4)))</f>
        <v>3</v>
      </c>
      <c r="D13" s="29">
        <f t="shared" si="0"/>
        <v>1.9500000000000002</v>
      </c>
      <c r="E13" s="29">
        <f>IF(Dataset!C13&lt;=1,0.3,IF(Dataset!C13=2,0.4,IF(Dataset!C13=3,0.5,IF(Dataset!C13=4,0.65,0.8))))</f>
        <v>0.5</v>
      </c>
      <c r="F13" s="29">
        <f>IF(Dataset!C13&lt;=2,1,IF(Dataset!C13=3,2,IF(Dataset!C13=4,3,4)))</f>
        <v>2</v>
      </c>
      <c r="G13" s="29">
        <f t="shared" si="1"/>
        <v>1</v>
      </c>
      <c r="H13" s="29">
        <f>IF(Dataset!G13&lt;=3,0.25,IF(Dataset!G13&lt;=6,0.45,IF(Dataset!G13&lt;=9,0.65,0.85)))</f>
        <v>0.45</v>
      </c>
      <c r="I13" s="29">
        <f>IF(Dataset!G13&lt;=3,1,IF(Dataset!G13&lt;=6,2,IF(Dataset!G13&lt;=9,3,4)))</f>
        <v>2</v>
      </c>
      <c r="J13" s="29">
        <f t="shared" si="2"/>
        <v>0.9</v>
      </c>
      <c r="K13" s="29">
        <f>IF(Dataset!H13&lt;1,0.2,IF(Dataset!H13&lt;1.3,0.45,IF(Dataset!H13&lt;1.8,0.7,0.9)))</f>
        <v>0.9</v>
      </c>
      <c r="L13" s="29">
        <f>IF(Dataset!H13&lt;1,1,IF(Dataset!H13&lt;1.3,2,IF(Dataset!H13&lt;1.8,3,4)))</f>
        <v>4</v>
      </c>
      <c r="M13" s="29">
        <f t="shared" si="3"/>
        <v>3.6</v>
      </c>
      <c r="N13" s="29">
        <f>IF(Dataset!F13=1,0.75,IF(Dataset!F13=2,0.45,0.2))</f>
        <v>0.45</v>
      </c>
      <c r="O13" s="29">
        <f>IF(Dataset!F13=1,3,IF(Dataset!F13=2,2,1))</f>
        <v>2</v>
      </c>
      <c r="P13" s="29">
        <f t="shared" si="4"/>
        <v>0.9</v>
      </c>
      <c r="Q13" s="29">
        <f>IF(Dataset!K13&lt;5,0.2,IF(Dataset!K13&lt;10,0.45,IF(Dataset!K13&lt;18,0.7,0.9)))</f>
        <v>0.45</v>
      </c>
      <c r="R13" s="29">
        <f>IF(Dataset!K13&lt;5,1,IF(Dataset!K13&lt;10,2,IF(Dataset!K13&lt;18,3,4)))</f>
        <v>2</v>
      </c>
      <c r="S13" s="29">
        <f t="shared" si="5"/>
        <v>0.9</v>
      </c>
      <c r="T13" s="29">
        <f t="shared" si="6"/>
        <v>1.7510000000000003</v>
      </c>
      <c r="U13" s="29" t="str">
        <f t="shared" si="7"/>
        <v>Medium</v>
      </c>
    </row>
    <row r="14" spans="1:25" ht="15" customHeight="1" x14ac:dyDescent="0.25">
      <c r="A14" s="29">
        <f>Dataset!A14</f>
        <v>10</v>
      </c>
      <c r="B14" s="29">
        <f>IF(Dataset!B14&lt;25,0.3,IF(Dataset!B14&lt;75,0.5,IF(Dataset!B14&lt;120,0.65,0.8)))</f>
        <v>0.5</v>
      </c>
      <c r="C14" s="29">
        <f>IF(Dataset!B14&lt;25,1,IF(Dataset!B14&lt;75,2,IF(Dataset!B14&lt;120,3,4)))</f>
        <v>2</v>
      </c>
      <c r="D14" s="29">
        <f t="shared" si="0"/>
        <v>1</v>
      </c>
      <c r="E14" s="29">
        <f>IF(Dataset!C14&lt;=1,0.3,IF(Dataset!C14=2,0.4,IF(Dataset!C14=3,0.5,IF(Dataset!C14=4,0.65,0.8))))</f>
        <v>0.4</v>
      </c>
      <c r="F14" s="29">
        <f>IF(Dataset!C14&lt;=2,1,IF(Dataset!C14=3,2,IF(Dataset!C14=4,3,4)))</f>
        <v>1</v>
      </c>
      <c r="G14" s="29">
        <f t="shared" si="1"/>
        <v>0.4</v>
      </c>
      <c r="H14" s="29">
        <f>IF(Dataset!G14&lt;=3,0.25,IF(Dataset!G14&lt;=6,0.45,IF(Dataset!G14&lt;=9,0.65,0.85)))</f>
        <v>0.65</v>
      </c>
      <c r="I14" s="29">
        <f>IF(Dataset!G14&lt;=3,1,IF(Dataset!G14&lt;=6,2,IF(Dataset!G14&lt;=9,3,4)))</f>
        <v>3</v>
      </c>
      <c r="J14" s="29">
        <f t="shared" si="2"/>
        <v>1.9500000000000002</v>
      </c>
      <c r="K14" s="29">
        <f>IF(Dataset!H14&lt;1,0.2,IF(Dataset!H14&lt;1.3,0.45,IF(Dataset!H14&lt;1.8,0.7,0.9)))</f>
        <v>0.9</v>
      </c>
      <c r="L14" s="29">
        <f>IF(Dataset!H14&lt;1,1,IF(Dataset!H14&lt;1.3,2,IF(Dataset!H14&lt;1.8,3,4)))</f>
        <v>4</v>
      </c>
      <c r="M14" s="29">
        <f t="shared" si="3"/>
        <v>3.6</v>
      </c>
      <c r="N14" s="29">
        <f>IF(Dataset!F14=1,0.75,IF(Dataset!F14=2,0.45,0.2))</f>
        <v>0.45</v>
      </c>
      <c r="O14" s="29">
        <f>IF(Dataset!F14=1,3,IF(Dataset!F14=2,2,1))</f>
        <v>2</v>
      </c>
      <c r="P14" s="29">
        <f t="shared" si="4"/>
        <v>0.9</v>
      </c>
      <c r="Q14" s="29">
        <f>IF(Dataset!K14&lt;5,0.2,IF(Dataset!K14&lt;10,0.45,IF(Dataset!K14&lt;18,0.7,0.9)))</f>
        <v>0.2</v>
      </c>
      <c r="R14" s="29">
        <f>IF(Dataset!K14&lt;5,1,IF(Dataset!K14&lt;10,2,IF(Dataset!K14&lt;18,3,4)))</f>
        <v>1</v>
      </c>
      <c r="S14" s="29">
        <f t="shared" si="5"/>
        <v>0.2</v>
      </c>
      <c r="T14" s="29">
        <f t="shared" si="6"/>
        <v>1.6080000000000003</v>
      </c>
      <c r="U14" s="29" t="str">
        <f t="shared" si="7"/>
        <v>Medium</v>
      </c>
      <c r="X14" s="8" t="s">
        <v>170</v>
      </c>
      <c r="Y14" s="8"/>
    </row>
    <row r="15" spans="1:25" ht="15" customHeight="1" x14ac:dyDescent="0.25">
      <c r="A15" s="29">
        <f>Dataset!A15</f>
        <v>11</v>
      </c>
      <c r="B15" s="29">
        <f>IF(Dataset!B15&lt;25,0.3,IF(Dataset!B15&lt;75,0.5,IF(Dataset!B15&lt;120,0.65,0.8)))</f>
        <v>0.8</v>
      </c>
      <c r="C15" s="29">
        <f>IF(Dataset!B15&lt;25,1,IF(Dataset!B15&lt;75,2,IF(Dataset!B15&lt;120,3,4)))</f>
        <v>4</v>
      </c>
      <c r="D15" s="29">
        <f t="shared" si="0"/>
        <v>3.2</v>
      </c>
      <c r="E15" s="29">
        <f>IF(Dataset!C15&lt;=1,0.3,IF(Dataset!C15=2,0.4,IF(Dataset!C15=3,0.5,IF(Dataset!C15=4,0.65,0.8))))</f>
        <v>0.4</v>
      </c>
      <c r="F15" s="29">
        <f>IF(Dataset!C15&lt;=2,1,IF(Dataset!C15=3,2,IF(Dataset!C15=4,3,4)))</f>
        <v>1</v>
      </c>
      <c r="G15" s="29">
        <f t="shared" si="1"/>
        <v>0.4</v>
      </c>
      <c r="H15" s="29">
        <f>IF(Dataset!G15&lt;=3,0.25,IF(Dataset!G15&lt;=6,0.45,IF(Dataset!G15&lt;=9,0.65,0.85)))</f>
        <v>0.85</v>
      </c>
      <c r="I15" s="29">
        <f>IF(Dataset!G15&lt;=3,1,IF(Dataset!G15&lt;=6,2,IF(Dataset!G15&lt;=9,3,4)))</f>
        <v>4</v>
      </c>
      <c r="J15" s="29">
        <f t="shared" si="2"/>
        <v>3.4</v>
      </c>
      <c r="K15" s="29">
        <f>IF(Dataset!H15&lt;1,0.2,IF(Dataset!H15&lt;1.3,0.45,IF(Dataset!H15&lt;1.8,0.7,0.9)))</f>
        <v>0.7</v>
      </c>
      <c r="L15" s="29">
        <f>IF(Dataset!H15&lt;1,1,IF(Dataset!H15&lt;1.3,2,IF(Dataset!H15&lt;1.8,3,4)))</f>
        <v>3</v>
      </c>
      <c r="M15" s="29">
        <f t="shared" si="3"/>
        <v>2.0999999999999996</v>
      </c>
      <c r="N15" s="29">
        <f>IF(Dataset!F15=1,0.75,IF(Dataset!F15=2,0.45,0.2))</f>
        <v>0.45</v>
      </c>
      <c r="O15" s="29">
        <f>IF(Dataset!F15=1,3,IF(Dataset!F15=2,2,1))</f>
        <v>2</v>
      </c>
      <c r="P15" s="29">
        <f t="shared" si="4"/>
        <v>0.9</v>
      </c>
      <c r="Q15" s="29">
        <f>IF(Dataset!K15&lt;5,0.2,IF(Dataset!K15&lt;10,0.45,IF(Dataset!K15&lt;18,0.7,0.9)))</f>
        <v>0.2</v>
      </c>
      <c r="R15" s="29">
        <f>IF(Dataset!K15&lt;5,1,IF(Dataset!K15&lt;10,2,IF(Dataset!K15&lt;18,3,4)))</f>
        <v>1</v>
      </c>
      <c r="S15" s="29">
        <f t="shared" si="5"/>
        <v>0.2</v>
      </c>
      <c r="T15" s="29">
        <f t="shared" si="6"/>
        <v>1.9339999999999999</v>
      </c>
      <c r="U15" s="29" t="str">
        <f t="shared" si="7"/>
        <v>High</v>
      </c>
      <c r="X15" s="31" t="s">
        <v>171</v>
      </c>
      <c r="Y15" s="33">
        <f>PERCENTILE(T5:T1504,1/3)</f>
        <v>1.3530000000000002</v>
      </c>
    </row>
    <row r="16" spans="1:25" ht="15" customHeight="1" x14ac:dyDescent="0.25">
      <c r="A16" s="29">
        <f>Dataset!A16</f>
        <v>12</v>
      </c>
      <c r="B16" s="29">
        <f>IF(Dataset!B16&lt;25,0.3,IF(Dataset!B16&lt;75,0.5,IF(Dataset!B16&lt;120,0.65,0.8)))</f>
        <v>0.5</v>
      </c>
      <c r="C16" s="29">
        <f>IF(Dataset!B16&lt;25,1,IF(Dataset!B16&lt;75,2,IF(Dataset!B16&lt;120,3,4)))</f>
        <v>2</v>
      </c>
      <c r="D16" s="29">
        <f t="shared" si="0"/>
        <v>1</v>
      </c>
      <c r="E16" s="29">
        <f>IF(Dataset!C16&lt;=1,0.3,IF(Dataset!C16=2,0.4,IF(Dataset!C16=3,0.5,IF(Dataset!C16=4,0.65,0.8))))</f>
        <v>0.5</v>
      </c>
      <c r="F16" s="29">
        <f>IF(Dataset!C16&lt;=2,1,IF(Dataset!C16=3,2,IF(Dataset!C16=4,3,4)))</f>
        <v>2</v>
      </c>
      <c r="G16" s="29">
        <f t="shared" si="1"/>
        <v>1</v>
      </c>
      <c r="H16" s="29">
        <f>IF(Dataset!G16&lt;=3,0.25,IF(Dataset!G16&lt;=6,0.45,IF(Dataset!G16&lt;=9,0.65,0.85)))</f>
        <v>0.65</v>
      </c>
      <c r="I16" s="29">
        <f>IF(Dataset!G16&lt;=3,1,IF(Dataset!G16&lt;=6,2,IF(Dataset!G16&lt;=9,3,4)))</f>
        <v>3</v>
      </c>
      <c r="J16" s="29">
        <f t="shared" si="2"/>
        <v>1.9500000000000002</v>
      </c>
      <c r="K16" s="29">
        <f>IF(Dataset!H16&lt;1,0.2,IF(Dataset!H16&lt;1.3,0.45,IF(Dataset!H16&lt;1.8,0.7,0.9)))</f>
        <v>0.9</v>
      </c>
      <c r="L16" s="29">
        <f>IF(Dataset!H16&lt;1,1,IF(Dataset!H16&lt;1.3,2,IF(Dataset!H16&lt;1.8,3,4)))</f>
        <v>4</v>
      </c>
      <c r="M16" s="29">
        <f t="shared" si="3"/>
        <v>3.6</v>
      </c>
      <c r="N16" s="29">
        <f>IF(Dataset!F16=1,0.75,IF(Dataset!F16=2,0.45,0.2))</f>
        <v>0.75</v>
      </c>
      <c r="O16" s="29">
        <f>IF(Dataset!F16=1,3,IF(Dataset!F16=2,2,1))</f>
        <v>3</v>
      </c>
      <c r="P16" s="29">
        <f t="shared" si="4"/>
        <v>2.25</v>
      </c>
      <c r="Q16" s="29">
        <f>IF(Dataset!K16&lt;5,0.2,IF(Dataset!K16&lt;10,0.45,IF(Dataset!K16&lt;18,0.7,0.9)))</f>
        <v>0.45</v>
      </c>
      <c r="R16" s="29">
        <f>IF(Dataset!K16&lt;5,1,IF(Dataset!K16&lt;10,2,IF(Dataset!K16&lt;18,3,4)))</f>
        <v>2</v>
      </c>
      <c r="S16" s="29">
        <f t="shared" si="5"/>
        <v>0.9</v>
      </c>
      <c r="T16" s="29">
        <f t="shared" si="6"/>
        <v>1.9250000000000003</v>
      </c>
      <c r="U16" s="29" t="str">
        <f t="shared" si="7"/>
        <v>High</v>
      </c>
      <c r="X16" s="31" t="s">
        <v>172</v>
      </c>
      <c r="Y16" s="33">
        <f>PERCENTILE(T5:T1504,2/3)</f>
        <v>1.7553333333333334</v>
      </c>
    </row>
    <row r="17" spans="1:25" ht="15" customHeight="1" x14ac:dyDescent="0.25">
      <c r="A17" s="29">
        <f>Dataset!A17</f>
        <v>13</v>
      </c>
      <c r="B17" s="29">
        <f>IF(Dataset!B17&lt;25,0.3,IF(Dataset!B17&lt;75,0.5,IF(Dataset!B17&lt;120,0.65,0.8)))</f>
        <v>0.65</v>
      </c>
      <c r="C17" s="29">
        <f>IF(Dataset!B17&lt;25,1,IF(Dataset!B17&lt;75,2,IF(Dataset!B17&lt;120,3,4)))</f>
        <v>3</v>
      </c>
      <c r="D17" s="29">
        <f t="shared" si="0"/>
        <v>1.9500000000000002</v>
      </c>
      <c r="E17" s="29">
        <f>IF(Dataset!C17&lt;=1,0.3,IF(Dataset!C17=2,0.4,IF(Dataset!C17=3,0.5,IF(Dataset!C17=4,0.65,0.8))))</f>
        <v>0.4</v>
      </c>
      <c r="F17" s="29">
        <f>IF(Dataset!C17&lt;=2,1,IF(Dataset!C17=3,2,IF(Dataset!C17=4,3,4)))</f>
        <v>1</v>
      </c>
      <c r="G17" s="29">
        <f t="shared" si="1"/>
        <v>0.4</v>
      </c>
      <c r="H17" s="29">
        <f>IF(Dataset!G17&lt;=3,0.25,IF(Dataset!G17&lt;=6,0.45,IF(Dataset!G17&lt;=9,0.65,0.85)))</f>
        <v>0.45</v>
      </c>
      <c r="I17" s="29">
        <f>IF(Dataset!G17&lt;=3,1,IF(Dataset!G17&lt;=6,2,IF(Dataset!G17&lt;=9,3,4)))</f>
        <v>2</v>
      </c>
      <c r="J17" s="29">
        <f t="shared" si="2"/>
        <v>0.9</v>
      </c>
      <c r="K17" s="29">
        <f>IF(Dataset!H17&lt;1,0.2,IF(Dataset!H17&lt;1.3,0.45,IF(Dataset!H17&lt;1.8,0.7,0.9)))</f>
        <v>0.7</v>
      </c>
      <c r="L17" s="29">
        <f>IF(Dataset!H17&lt;1,1,IF(Dataset!H17&lt;1.3,2,IF(Dataset!H17&lt;1.8,3,4)))</f>
        <v>3</v>
      </c>
      <c r="M17" s="29">
        <f t="shared" si="3"/>
        <v>2.0999999999999996</v>
      </c>
      <c r="N17" s="29">
        <f>IF(Dataset!F17=1,0.75,IF(Dataset!F17=2,0.45,0.2))</f>
        <v>0.45</v>
      </c>
      <c r="O17" s="29">
        <f>IF(Dataset!F17=1,3,IF(Dataset!F17=2,2,1))</f>
        <v>2</v>
      </c>
      <c r="P17" s="29">
        <f t="shared" si="4"/>
        <v>0.9</v>
      </c>
      <c r="Q17" s="29">
        <f>IF(Dataset!K17&lt;5,0.2,IF(Dataset!K17&lt;10,0.45,IF(Dataset!K17&lt;18,0.7,0.9)))</f>
        <v>0.2</v>
      </c>
      <c r="R17" s="29">
        <f>IF(Dataset!K17&lt;5,1,IF(Dataset!K17&lt;10,2,IF(Dataset!K17&lt;18,3,4)))</f>
        <v>1</v>
      </c>
      <c r="S17" s="29">
        <f t="shared" si="5"/>
        <v>0.2</v>
      </c>
      <c r="T17" s="29">
        <f t="shared" si="6"/>
        <v>1.2090000000000001</v>
      </c>
      <c r="U17" s="29" t="str">
        <f t="shared" si="7"/>
        <v>Low</v>
      </c>
    </row>
    <row r="18" spans="1:25" ht="15" customHeight="1" x14ac:dyDescent="0.25">
      <c r="A18" s="29">
        <f>Dataset!A18</f>
        <v>14</v>
      </c>
      <c r="B18" s="29">
        <f>IF(Dataset!B18&lt;25,0.3,IF(Dataset!B18&lt;75,0.5,IF(Dataset!B18&lt;120,0.65,0.8)))</f>
        <v>0.65</v>
      </c>
      <c r="C18" s="29">
        <f>IF(Dataset!B18&lt;25,1,IF(Dataset!B18&lt;75,2,IF(Dataset!B18&lt;120,3,4)))</f>
        <v>3</v>
      </c>
      <c r="D18" s="29">
        <f t="shared" si="0"/>
        <v>1.9500000000000002</v>
      </c>
      <c r="E18" s="29">
        <f>IF(Dataset!C18&lt;=1,0.3,IF(Dataset!C18=2,0.4,IF(Dataset!C18=3,0.5,IF(Dataset!C18=4,0.65,0.8))))</f>
        <v>0.65</v>
      </c>
      <c r="F18" s="29">
        <f>IF(Dataset!C18&lt;=2,1,IF(Dataset!C18=3,2,IF(Dataset!C18=4,3,4)))</f>
        <v>3</v>
      </c>
      <c r="G18" s="29">
        <f t="shared" si="1"/>
        <v>1.9500000000000002</v>
      </c>
      <c r="H18" s="29">
        <f>IF(Dataset!G18&lt;=3,0.25,IF(Dataset!G18&lt;=6,0.45,IF(Dataset!G18&lt;=9,0.65,0.85)))</f>
        <v>0.65</v>
      </c>
      <c r="I18" s="29">
        <f>IF(Dataset!G18&lt;=3,1,IF(Dataset!G18&lt;=6,2,IF(Dataset!G18&lt;=9,3,4)))</f>
        <v>3</v>
      </c>
      <c r="J18" s="29">
        <f t="shared" si="2"/>
        <v>1.9500000000000002</v>
      </c>
      <c r="K18" s="29">
        <f>IF(Dataset!H18&lt;1,0.2,IF(Dataset!H18&lt;1.3,0.45,IF(Dataset!H18&lt;1.8,0.7,0.9)))</f>
        <v>0.7</v>
      </c>
      <c r="L18" s="29">
        <f>IF(Dataset!H18&lt;1,1,IF(Dataset!H18&lt;1.3,2,IF(Dataset!H18&lt;1.8,3,4)))</f>
        <v>3</v>
      </c>
      <c r="M18" s="29">
        <f t="shared" si="3"/>
        <v>2.0999999999999996</v>
      </c>
      <c r="N18" s="29">
        <f>IF(Dataset!F18=1,0.75,IF(Dataset!F18=2,0.45,0.2))</f>
        <v>0.75</v>
      </c>
      <c r="O18" s="29">
        <f>IF(Dataset!F18=1,3,IF(Dataset!F18=2,2,1))</f>
        <v>3</v>
      </c>
      <c r="P18" s="29">
        <f t="shared" si="4"/>
        <v>2.25</v>
      </c>
      <c r="Q18" s="29">
        <f>IF(Dataset!K18&lt;5,0.2,IF(Dataset!K18&lt;10,0.45,IF(Dataset!K18&lt;18,0.7,0.9)))</f>
        <v>0.7</v>
      </c>
      <c r="R18" s="29">
        <f>IF(Dataset!K18&lt;5,1,IF(Dataset!K18&lt;10,2,IF(Dataset!K18&lt;18,3,4)))</f>
        <v>3</v>
      </c>
      <c r="S18" s="29">
        <f t="shared" si="5"/>
        <v>2.0999999999999996</v>
      </c>
      <c r="T18" s="29">
        <f t="shared" si="6"/>
        <v>2.0370000000000004</v>
      </c>
      <c r="U18" s="29" t="str">
        <f t="shared" si="7"/>
        <v>High</v>
      </c>
      <c r="X18" s="7" t="s">
        <v>173</v>
      </c>
      <c r="Y18" s="7"/>
    </row>
    <row r="19" spans="1:25" ht="15" customHeight="1" x14ac:dyDescent="0.25">
      <c r="A19" s="29">
        <f>Dataset!A19</f>
        <v>15</v>
      </c>
      <c r="B19" s="29">
        <f>IF(Dataset!B19&lt;25,0.3,IF(Dataset!B19&lt;75,0.5,IF(Dataset!B19&lt;120,0.65,0.8)))</f>
        <v>0.5</v>
      </c>
      <c r="C19" s="29">
        <f>IF(Dataset!B19&lt;25,1,IF(Dataset!B19&lt;75,2,IF(Dataset!B19&lt;120,3,4)))</f>
        <v>2</v>
      </c>
      <c r="D19" s="29">
        <f t="shared" si="0"/>
        <v>1</v>
      </c>
      <c r="E19" s="29">
        <f>IF(Dataset!C19&lt;=1,0.3,IF(Dataset!C19=2,0.4,IF(Dataset!C19=3,0.5,IF(Dataset!C19=4,0.65,0.8))))</f>
        <v>0.8</v>
      </c>
      <c r="F19" s="29">
        <f>IF(Dataset!C19&lt;=2,1,IF(Dataset!C19=3,2,IF(Dataset!C19=4,3,4)))</f>
        <v>4</v>
      </c>
      <c r="G19" s="29">
        <f t="shared" si="1"/>
        <v>3.2</v>
      </c>
      <c r="H19" s="29">
        <f>IF(Dataset!G19&lt;=3,0.25,IF(Dataset!G19&lt;=6,0.45,IF(Dataset!G19&lt;=9,0.65,0.85)))</f>
        <v>0.45</v>
      </c>
      <c r="I19" s="29">
        <f>IF(Dataset!G19&lt;=3,1,IF(Dataset!G19&lt;=6,2,IF(Dataset!G19&lt;=9,3,4)))</f>
        <v>2</v>
      </c>
      <c r="J19" s="29">
        <f t="shared" si="2"/>
        <v>0.9</v>
      </c>
      <c r="K19" s="29">
        <f>IF(Dataset!H19&lt;1,0.2,IF(Dataset!H19&lt;1.3,0.45,IF(Dataset!H19&lt;1.8,0.7,0.9)))</f>
        <v>0.9</v>
      </c>
      <c r="L19" s="29">
        <f>IF(Dataset!H19&lt;1,1,IF(Dataset!H19&lt;1.3,2,IF(Dataset!H19&lt;1.8,3,4)))</f>
        <v>4</v>
      </c>
      <c r="M19" s="29">
        <f t="shared" si="3"/>
        <v>3.6</v>
      </c>
      <c r="N19" s="29">
        <f>IF(Dataset!F19=1,0.75,IF(Dataset!F19=2,0.45,0.2))</f>
        <v>0.2</v>
      </c>
      <c r="O19" s="29">
        <f>IF(Dataset!F19=1,3,IF(Dataset!F19=2,2,1))</f>
        <v>1</v>
      </c>
      <c r="P19" s="29">
        <f t="shared" si="4"/>
        <v>0.2</v>
      </c>
      <c r="Q19" s="29">
        <f>IF(Dataset!K19&lt;5,0.2,IF(Dataset!K19&lt;10,0.45,IF(Dataset!K19&lt;18,0.7,0.9)))</f>
        <v>0.7</v>
      </c>
      <c r="R19" s="29">
        <f>IF(Dataset!K19&lt;5,1,IF(Dataset!K19&lt;10,2,IF(Dataset!K19&lt;18,3,4)))</f>
        <v>3</v>
      </c>
      <c r="S19" s="29">
        <f t="shared" si="5"/>
        <v>2.0999999999999996</v>
      </c>
      <c r="T19" s="29">
        <f t="shared" si="6"/>
        <v>1.9860000000000002</v>
      </c>
      <c r="U19" s="29" t="str">
        <f t="shared" si="7"/>
        <v>High</v>
      </c>
      <c r="X19" s="31" t="s">
        <v>174</v>
      </c>
      <c r="Y19" s="33">
        <f>COUNTIF(U5:U1504,"Low")</f>
        <v>501</v>
      </c>
    </row>
    <row r="20" spans="1:25" ht="15" customHeight="1" x14ac:dyDescent="0.25">
      <c r="A20" s="29">
        <f>Dataset!A20</f>
        <v>16</v>
      </c>
      <c r="B20" s="29">
        <f>IF(Dataset!B20&lt;25,0.3,IF(Dataset!B20&lt;75,0.5,IF(Dataset!B20&lt;120,0.65,0.8)))</f>
        <v>0.65</v>
      </c>
      <c r="C20" s="29">
        <f>IF(Dataset!B20&lt;25,1,IF(Dataset!B20&lt;75,2,IF(Dataset!B20&lt;120,3,4)))</f>
        <v>3</v>
      </c>
      <c r="D20" s="29">
        <f t="shared" si="0"/>
        <v>1.9500000000000002</v>
      </c>
      <c r="E20" s="29">
        <f>IF(Dataset!C20&lt;=1,0.3,IF(Dataset!C20=2,0.4,IF(Dataset!C20=3,0.5,IF(Dataset!C20=4,0.65,0.8))))</f>
        <v>0.5</v>
      </c>
      <c r="F20" s="29">
        <f>IF(Dataset!C20&lt;=2,1,IF(Dataset!C20=3,2,IF(Dataset!C20=4,3,4)))</f>
        <v>2</v>
      </c>
      <c r="G20" s="29">
        <f t="shared" si="1"/>
        <v>1</v>
      </c>
      <c r="H20" s="29">
        <f>IF(Dataset!G20&lt;=3,0.25,IF(Dataset!G20&lt;=6,0.45,IF(Dataset!G20&lt;=9,0.65,0.85)))</f>
        <v>0.65</v>
      </c>
      <c r="I20" s="29">
        <f>IF(Dataset!G20&lt;=3,1,IF(Dataset!G20&lt;=6,2,IF(Dataset!G20&lt;=9,3,4)))</f>
        <v>3</v>
      </c>
      <c r="J20" s="29">
        <f t="shared" si="2"/>
        <v>1.9500000000000002</v>
      </c>
      <c r="K20" s="29">
        <f>IF(Dataset!H20&lt;1,0.2,IF(Dataset!H20&lt;1.3,0.45,IF(Dataset!H20&lt;1.8,0.7,0.9)))</f>
        <v>0.7</v>
      </c>
      <c r="L20" s="29">
        <f>IF(Dataset!H20&lt;1,1,IF(Dataset!H20&lt;1.3,2,IF(Dataset!H20&lt;1.8,3,4)))</f>
        <v>3</v>
      </c>
      <c r="M20" s="29">
        <f t="shared" si="3"/>
        <v>2.0999999999999996</v>
      </c>
      <c r="N20" s="29">
        <f>IF(Dataset!F20=1,0.75,IF(Dataset!F20=2,0.45,0.2))</f>
        <v>0.75</v>
      </c>
      <c r="O20" s="29">
        <f>IF(Dataset!F20=1,3,IF(Dataset!F20=2,2,1))</f>
        <v>3</v>
      </c>
      <c r="P20" s="29">
        <f t="shared" si="4"/>
        <v>2.25</v>
      </c>
      <c r="Q20" s="29">
        <f>IF(Dataset!K20&lt;5,0.2,IF(Dataset!K20&lt;10,0.45,IF(Dataset!K20&lt;18,0.7,0.9)))</f>
        <v>0.2</v>
      </c>
      <c r="R20" s="29">
        <f>IF(Dataset!K20&lt;5,1,IF(Dataset!K20&lt;10,2,IF(Dataset!K20&lt;18,3,4)))</f>
        <v>1</v>
      </c>
      <c r="S20" s="29">
        <f t="shared" si="5"/>
        <v>0.2</v>
      </c>
      <c r="T20" s="29">
        <f t="shared" si="6"/>
        <v>1.6380000000000001</v>
      </c>
      <c r="U20" s="29" t="str">
        <f t="shared" si="7"/>
        <v>Medium</v>
      </c>
      <c r="X20" s="31" t="s">
        <v>175</v>
      </c>
      <c r="Y20" s="33">
        <f>COUNTIF(U5:U1504,"Medium")</f>
        <v>499</v>
      </c>
    </row>
    <row r="21" spans="1:25" ht="15" customHeight="1" x14ac:dyDescent="0.25">
      <c r="A21" s="29">
        <f>Dataset!A21</f>
        <v>17</v>
      </c>
      <c r="B21" s="29">
        <f>IF(Dataset!B21&lt;25,0.3,IF(Dataset!B21&lt;75,0.5,IF(Dataset!B21&lt;120,0.65,0.8)))</f>
        <v>0.5</v>
      </c>
      <c r="C21" s="29">
        <f>IF(Dataset!B21&lt;25,1,IF(Dataset!B21&lt;75,2,IF(Dataset!B21&lt;120,3,4)))</f>
        <v>2</v>
      </c>
      <c r="D21" s="29">
        <f t="shared" si="0"/>
        <v>1</v>
      </c>
      <c r="E21" s="29">
        <f>IF(Dataset!C21&lt;=1,0.3,IF(Dataset!C21=2,0.4,IF(Dataset!C21=3,0.5,IF(Dataset!C21=4,0.65,0.8))))</f>
        <v>0.8</v>
      </c>
      <c r="F21" s="29">
        <f>IF(Dataset!C21&lt;=2,1,IF(Dataset!C21=3,2,IF(Dataset!C21=4,3,4)))</f>
        <v>4</v>
      </c>
      <c r="G21" s="29">
        <f t="shared" si="1"/>
        <v>3.2</v>
      </c>
      <c r="H21" s="29">
        <f>IF(Dataset!G21&lt;=3,0.25,IF(Dataset!G21&lt;=6,0.45,IF(Dataset!G21&lt;=9,0.65,0.85)))</f>
        <v>0.25</v>
      </c>
      <c r="I21" s="29">
        <f>IF(Dataset!G21&lt;=3,1,IF(Dataset!G21&lt;=6,2,IF(Dataset!G21&lt;=9,3,4)))</f>
        <v>1</v>
      </c>
      <c r="J21" s="29">
        <f t="shared" si="2"/>
        <v>0.25</v>
      </c>
      <c r="K21" s="29">
        <f>IF(Dataset!H21&lt;1,0.2,IF(Dataset!H21&lt;1.3,0.45,IF(Dataset!H21&lt;1.8,0.7,0.9)))</f>
        <v>0.9</v>
      </c>
      <c r="L21" s="29">
        <f>IF(Dataset!H21&lt;1,1,IF(Dataset!H21&lt;1.3,2,IF(Dataset!H21&lt;1.8,3,4)))</f>
        <v>4</v>
      </c>
      <c r="M21" s="29">
        <f t="shared" si="3"/>
        <v>3.6</v>
      </c>
      <c r="N21" s="29">
        <f>IF(Dataset!F21=1,0.75,IF(Dataset!F21=2,0.45,0.2))</f>
        <v>0.45</v>
      </c>
      <c r="O21" s="29">
        <f>IF(Dataset!F21=1,3,IF(Dataset!F21=2,2,1))</f>
        <v>2</v>
      </c>
      <c r="P21" s="29">
        <f t="shared" si="4"/>
        <v>0.9</v>
      </c>
      <c r="Q21" s="29">
        <f>IF(Dataset!K21&lt;5,0.2,IF(Dataset!K21&lt;10,0.45,IF(Dataset!K21&lt;18,0.7,0.9)))</f>
        <v>0.7</v>
      </c>
      <c r="R21" s="29">
        <f>IF(Dataset!K21&lt;5,1,IF(Dataset!K21&lt;10,2,IF(Dataset!K21&lt;18,3,4)))</f>
        <v>3</v>
      </c>
      <c r="S21" s="29">
        <f t="shared" si="5"/>
        <v>2.0999999999999996</v>
      </c>
      <c r="T21" s="29">
        <f t="shared" si="6"/>
        <v>1.9260000000000004</v>
      </c>
      <c r="U21" s="29" t="str">
        <f t="shared" si="7"/>
        <v>High</v>
      </c>
      <c r="X21" s="31" t="s">
        <v>176</v>
      </c>
      <c r="Y21" s="33">
        <f>COUNTIF(U5:U1504,"High")</f>
        <v>500</v>
      </c>
    </row>
    <row r="22" spans="1:25" ht="15" customHeight="1" x14ac:dyDescent="0.25">
      <c r="A22" s="29">
        <f>Dataset!A22</f>
        <v>18</v>
      </c>
      <c r="B22" s="29">
        <f>IF(Dataset!B22&lt;25,0.3,IF(Dataset!B22&lt;75,0.5,IF(Dataset!B22&lt;120,0.65,0.8)))</f>
        <v>0.5</v>
      </c>
      <c r="C22" s="29">
        <f>IF(Dataset!B22&lt;25,1,IF(Dataset!B22&lt;75,2,IF(Dataset!B22&lt;120,3,4)))</f>
        <v>2</v>
      </c>
      <c r="D22" s="29">
        <f t="shared" si="0"/>
        <v>1</v>
      </c>
      <c r="E22" s="29">
        <f>IF(Dataset!C22&lt;=1,0.3,IF(Dataset!C22=2,0.4,IF(Dataset!C22=3,0.5,IF(Dataset!C22=4,0.65,0.8))))</f>
        <v>0.4</v>
      </c>
      <c r="F22" s="29">
        <f>IF(Dataset!C22&lt;=2,1,IF(Dataset!C22=3,2,IF(Dataset!C22=4,3,4)))</f>
        <v>1</v>
      </c>
      <c r="G22" s="29">
        <f t="shared" si="1"/>
        <v>0.4</v>
      </c>
      <c r="H22" s="29">
        <f>IF(Dataset!G22&lt;=3,0.25,IF(Dataset!G22&lt;=6,0.45,IF(Dataset!G22&lt;=9,0.65,0.85)))</f>
        <v>0.65</v>
      </c>
      <c r="I22" s="29">
        <f>IF(Dataset!G22&lt;=3,1,IF(Dataset!G22&lt;=6,2,IF(Dataset!G22&lt;=9,3,4)))</f>
        <v>3</v>
      </c>
      <c r="J22" s="29">
        <f t="shared" si="2"/>
        <v>1.9500000000000002</v>
      </c>
      <c r="K22" s="29">
        <f>IF(Dataset!H22&lt;1,0.2,IF(Dataset!H22&lt;1.3,0.45,IF(Dataset!H22&lt;1.8,0.7,0.9)))</f>
        <v>0.9</v>
      </c>
      <c r="L22" s="29">
        <f>IF(Dataset!H22&lt;1,1,IF(Dataset!H22&lt;1.3,2,IF(Dataset!H22&lt;1.8,3,4)))</f>
        <v>4</v>
      </c>
      <c r="M22" s="29">
        <f t="shared" si="3"/>
        <v>3.6</v>
      </c>
      <c r="N22" s="29">
        <f>IF(Dataset!F22=1,0.75,IF(Dataset!F22=2,0.45,0.2))</f>
        <v>0.2</v>
      </c>
      <c r="O22" s="29">
        <f>IF(Dataset!F22=1,3,IF(Dataset!F22=2,2,1))</f>
        <v>1</v>
      </c>
      <c r="P22" s="29">
        <f t="shared" si="4"/>
        <v>0.2</v>
      </c>
      <c r="Q22" s="29">
        <f>IF(Dataset!K22&lt;5,0.2,IF(Dataset!K22&lt;10,0.45,IF(Dataset!K22&lt;18,0.7,0.9)))</f>
        <v>0.2</v>
      </c>
      <c r="R22" s="29">
        <f>IF(Dataset!K22&lt;5,1,IF(Dataset!K22&lt;10,2,IF(Dataset!K22&lt;18,3,4)))</f>
        <v>1</v>
      </c>
      <c r="S22" s="29">
        <f t="shared" si="5"/>
        <v>0.2</v>
      </c>
      <c r="T22" s="29">
        <f t="shared" si="6"/>
        <v>1.5380000000000003</v>
      </c>
      <c r="U22" s="29" t="str">
        <f t="shared" si="7"/>
        <v>Medium</v>
      </c>
    </row>
    <row r="23" spans="1:25" ht="15" customHeight="1" x14ac:dyDescent="0.25">
      <c r="A23" s="29">
        <f>Dataset!A23</f>
        <v>19</v>
      </c>
      <c r="B23" s="29">
        <f>IF(Dataset!B23&lt;25,0.3,IF(Dataset!B23&lt;75,0.5,IF(Dataset!B23&lt;120,0.65,0.8)))</f>
        <v>0.65</v>
      </c>
      <c r="C23" s="29">
        <f>IF(Dataset!B23&lt;25,1,IF(Dataset!B23&lt;75,2,IF(Dataset!B23&lt;120,3,4)))</f>
        <v>3</v>
      </c>
      <c r="D23" s="29">
        <f t="shared" si="0"/>
        <v>1.9500000000000002</v>
      </c>
      <c r="E23" s="29">
        <f>IF(Dataset!C23&lt;=1,0.3,IF(Dataset!C23=2,0.4,IF(Dataset!C23=3,0.5,IF(Dataset!C23=4,0.65,0.8))))</f>
        <v>0.3</v>
      </c>
      <c r="F23" s="29">
        <f>IF(Dataset!C23&lt;=2,1,IF(Dataset!C23=3,2,IF(Dataset!C23=4,3,4)))</f>
        <v>1</v>
      </c>
      <c r="G23" s="29">
        <f t="shared" si="1"/>
        <v>0.3</v>
      </c>
      <c r="H23" s="29">
        <f>IF(Dataset!G23&lt;=3,0.25,IF(Dataset!G23&lt;=6,0.45,IF(Dataset!G23&lt;=9,0.65,0.85)))</f>
        <v>0.65</v>
      </c>
      <c r="I23" s="29">
        <f>IF(Dataset!G23&lt;=3,1,IF(Dataset!G23&lt;=6,2,IF(Dataset!G23&lt;=9,3,4)))</f>
        <v>3</v>
      </c>
      <c r="J23" s="29">
        <f t="shared" si="2"/>
        <v>1.9500000000000002</v>
      </c>
      <c r="K23" s="29">
        <f>IF(Dataset!H23&lt;1,0.2,IF(Dataset!H23&lt;1.3,0.45,IF(Dataset!H23&lt;1.8,0.7,0.9)))</f>
        <v>0.9</v>
      </c>
      <c r="L23" s="29">
        <f>IF(Dataset!H23&lt;1,1,IF(Dataset!H23&lt;1.3,2,IF(Dataset!H23&lt;1.8,3,4)))</f>
        <v>4</v>
      </c>
      <c r="M23" s="29">
        <f t="shared" si="3"/>
        <v>3.6</v>
      </c>
      <c r="N23" s="29">
        <f>IF(Dataset!F23=1,0.75,IF(Dataset!F23=2,0.45,0.2))</f>
        <v>0.75</v>
      </c>
      <c r="O23" s="29">
        <f>IF(Dataset!F23=1,3,IF(Dataset!F23=2,2,1))</f>
        <v>3</v>
      </c>
      <c r="P23" s="29">
        <f t="shared" si="4"/>
        <v>2.25</v>
      </c>
      <c r="Q23" s="29">
        <f>IF(Dataset!K23&lt;5,0.2,IF(Dataset!K23&lt;10,0.45,IF(Dataset!K23&lt;18,0.7,0.9)))</f>
        <v>0.2</v>
      </c>
      <c r="R23" s="29">
        <f>IF(Dataset!K23&lt;5,1,IF(Dataset!K23&lt;10,2,IF(Dataset!K23&lt;18,3,4)))</f>
        <v>1</v>
      </c>
      <c r="S23" s="29">
        <f t="shared" si="5"/>
        <v>0.2</v>
      </c>
      <c r="T23" s="29">
        <f t="shared" si="6"/>
        <v>1.9000000000000004</v>
      </c>
      <c r="U23" s="29" t="str">
        <f t="shared" si="7"/>
        <v>High</v>
      </c>
    </row>
    <row r="24" spans="1:25" ht="15" customHeight="1" x14ac:dyDescent="0.25">
      <c r="A24" s="29">
        <f>Dataset!A24</f>
        <v>20</v>
      </c>
      <c r="B24" s="29">
        <f>IF(Dataset!B24&lt;25,0.3,IF(Dataset!B24&lt;75,0.5,IF(Dataset!B24&lt;120,0.65,0.8)))</f>
        <v>0.3</v>
      </c>
      <c r="C24" s="29">
        <f>IF(Dataset!B24&lt;25,1,IF(Dataset!B24&lt;75,2,IF(Dataset!B24&lt;120,3,4)))</f>
        <v>1</v>
      </c>
      <c r="D24" s="29">
        <f t="shared" si="0"/>
        <v>0.3</v>
      </c>
      <c r="E24" s="29">
        <f>IF(Dataset!C24&lt;=1,0.3,IF(Dataset!C24=2,0.4,IF(Dataset!C24=3,0.5,IF(Dataset!C24=4,0.65,0.8))))</f>
        <v>0.65</v>
      </c>
      <c r="F24" s="29">
        <f>IF(Dataset!C24&lt;=2,1,IF(Dataset!C24=3,2,IF(Dataset!C24=4,3,4)))</f>
        <v>3</v>
      </c>
      <c r="G24" s="29">
        <f t="shared" si="1"/>
        <v>1.9500000000000002</v>
      </c>
      <c r="H24" s="29">
        <f>IF(Dataset!G24&lt;=3,0.25,IF(Dataset!G24&lt;=6,0.45,IF(Dataset!G24&lt;=9,0.65,0.85)))</f>
        <v>0.25</v>
      </c>
      <c r="I24" s="29">
        <f>IF(Dataset!G24&lt;=3,1,IF(Dataset!G24&lt;=6,2,IF(Dataset!G24&lt;=9,3,4)))</f>
        <v>1</v>
      </c>
      <c r="J24" s="29">
        <f t="shared" si="2"/>
        <v>0.25</v>
      </c>
      <c r="K24" s="29">
        <f>IF(Dataset!H24&lt;1,0.2,IF(Dataset!H24&lt;1.3,0.45,IF(Dataset!H24&lt;1.8,0.7,0.9)))</f>
        <v>0.2</v>
      </c>
      <c r="L24" s="29">
        <f>IF(Dataset!H24&lt;1,1,IF(Dataset!H24&lt;1.3,2,IF(Dataset!H24&lt;1.8,3,4)))</f>
        <v>1</v>
      </c>
      <c r="M24" s="29">
        <f t="shared" si="3"/>
        <v>0.2</v>
      </c>
      <c r="N24" s="29">
        <f>IF(Dataset!F24=1,0.75,IF(Dataset!F24=2,0.45,0.2))</f>
        <v>0.75</v>
      </c>
      <c r="O24" s="29">
        <f>IF(Dataset!F24=1,3,IF(Dataset!F24=2,2,1))</f>
        <v>3</v>
      </c>
      <c r="P24" s="29">
        <f t="shared" si="4"/>
        <v>2.25</v>
      </c>
      <c r="Q24" s="29">
        <f>IF(Dataset!K24&lt;5,0.2,IF(Dataset!K24&lt;10,0.45,IF(Dataset!K24&lt;18,0.7,0.9)))</f>
        <v>0.45</v>
      </c>
      <c r="R24" s="29">
        <f>IF(Dataset!K24&lt;5,1,IF(Dataset!K24&lt;10,2,IF(Dataset!K24&lt;18,3,4)))</f>
        <v>2</v>
      </c>
      <c r="S24" s="29">
        <f t="shared" si="5"/>
        <v>0.9</v>
      </c>
      <c r="T24" s="29">
        <f t="shared" si="6"/>
        <v>0.77600000000000002</v>
      </c>
      <c r="U24" s="29" t="str">
        <f t="shared" si="7"/>
        <v>Low</v>
      </c>
    </row>
    <row r="25" spans="1:25" ht="15" customHeight="1" x14ac:dyDescent="0.25">
      <c r="A25" s="29">
        <f>Dataset!A25</f>
        <v>21</v>
      </c>
      <c r="B25" s="29">
        <f>IF(Dataset!B25&lt;25,0.3,IF(Dataset!B25&lt;75,0.5,IF(Dataset!B25&lt;120,0.65,0.8)))</f>
        <v>0.5</v>
      </c>
      <c r="C25" s="29">
        <f>IF(Dataset!B25&lt;25,1,IF(Dataset!B25&lt;75,2,IF(Dataset!B25&lt;120,3,4)))</f>
        <v>2</v>
      </c>
      <c r="D25" s="29">
        <f t="shared" si="0"/>
        <v>1</v>
      </c>
      <c r="E25" s="29">
        <f>IF(Dataset!C25&lt;=1,0.3,IF(Dataset!C25=2,0.4,IF(Dataset!C25=3,0.5,IF(Dataset!C25=4,0.65,0.8))))</f>
        <v>0.65</v>
      </c>
      <c r="F25" s="29">
        <f>IF(Dataset!C25&lt;=2,1,IF(Dataset!C25=3,2,IF(Dataset!C25=4,3,4)))</f>
        <v>3</v>
      </c>
      <c r="G25" s="29">
        <f t="shared" si="1"/>
        <v>1.9500000000000002</v>
      </c>
      <c r="H25" s="29">
        <f>IF(Dataset!G25&lt;=3,0.25,IF(Dataset!G25&lt;=6,0.45,IF(Dataset!G25&lt;=9,0.65,0.85)))</f>
        <v>0.45</v>
      </c>
      <c r="I25" s="29">
        <f>IF(Dataset!G25&lt;=3,1,IF(Dataset!G25&lt;=6,2,IF(Dataset!G25&lt;=9,3,4)))</f>
        <v>2</v>
      </c>
      <c r="J25" s="29">
        <f t="shared" si="2"/>
        <v>0.9</v>
      </c>
      <c r="K25" s="29">
        <f>IF(Dataset!H25&lt;1,0.2,IF(Dataset!H25&lt;1.3,0.45,IF(Dataset!H25&lt;1.8,0.7,0.9)))</f>
        <v>0.9</v>
      </c>
      <c r="L25" s="29">
        <f>IF(Dataset!H25&lt;1,1,IF(Dataset!H25&lt;1.3,2,IF(Dataset!H25&lt;1.8,3,4)))</f>
        <v>4</v>
      </c>
      <c r="M25" s="29">
        <f t="shared" si="3"/>
        <v>3.6</v>
      </c>
      <c r="N25" s="29">
        <f>IF(Dataset!F25=1,0.75,IF(Dataset!F25=2,0.45,0.2))</f>
        <v>0.2</v>
      </c>
      <c r="O25" s="29">
        <f>IF(Dataset!F25=1,3,IF(Dataset!F25=2,2,1))</f>
        <v>1</v>
      </c>
      <c r="P25" s="29">
        <f t="shared" si="4"/>
        <v>0.2</v>
      </c>
      <c r="Q25" s="29">
        <f>IF(Dataset!K25&lt;5,0.2,IF(Dataset!K25&lt;10,0.45,IF(Dataset!K25&lt;18,0.7,0.9)))</f>
        <v>0.45</v>
      </c>
      <c r="R25" s="29">
        <f>IF(Dataset!K25&lt;5,1,IF(Dataset!K25&lt;10,2,IF(Dataset!K25&lt;18,3,4)))</f>
        <v>2</v>
      </c>
      <c r="S25" s="29">
        <f t="shared" si="5"/>
        <v>0.9</v>
      </c>
      <c r="T25" s="29">
        <f t="shared" si="6"/>
        <v>1.6430000000000002</v>
      </c>
      <c r="U25" s="29" t="str">
        <f t="shared" si="7"/>
        <v>Medium</v>
      </c>
    </row>
    <row r="26" spans="1:25" ht="15" customHeight="1" x14ac:dyDescent="0.25">
      <c r="A26" s="29">
        <f>Dataset!A26</f>
        <v>22</v>
      </c>
      <c r="B26" s="29">
        <f>IF(Dataset!B26&lt;25,0.3,IF(Dataset!B26&lt;75,0.5,IF(Dataset!B26&lt;120,0.65,0.8)))</f>
        <v>0.5</v>
      </c>
      <c r="C26" s="29">
        <f>IF(Dataset!B26&lt;25,1,IF(Dataset!B26&lt;75,2,IF(Dataset!B26&lt;120,3,4)))</f>
        <v>2</v>
      </c>
      <c r="D26" s="29">
        <f t="shared" si="0"/>
        <v>1</v>
      </c>
      <c r="E26" s="29">
        <f>IF(Dataset!C26&lt;=1,0.3,IF(Dataset!C26=2,0.4,IF(Dataset!C26=3,0.5,IF(Dataset!C26=4,0.65,0.8))))</f>
        <v>0.65</v>
      </c>
      <c r="F26" s="29">
        <f>IF(Dataset!C26&lt;=2,1,IF(Dataset!C26=3,2,IF(Dataset!C26=4,3,4)))</f>
        <v>3</v>
      </c>
      <c r="G26" s="29">
        <f t="shared" si="1"/>
        <v>1.9500000000000002</v>
      </c>
      <c r="H26" s="29">
        <f>IF(Dataset!G26&lt;=3,0.25,IF(Dataset!G26&lt;=6,0.45,IF(Dataset!G26&lt;=9,0.65,0.85)))</f>
        <v>0.45</v>
      </c>
      <c r="I26" s="29">
        <f>IF(Dataset!G26&lt;=3,1,IF(Dataset!G26&lt;=6,2,IF(Dataset!G26&lt;=9,3,4)))</f>
        <v>2</v>
      </c>
      <c r="J26" s="29">
        <f t="shared" si="2"/>
        <v>0.9</v>
      </c>
      <c r="K26" s="29">
        <f>IF(Dataset!H26&lt;1,0.2,IF(Dataset!H26&lt;1.3,0.45,IF(Dataset!H26&lt;1.8,0.7,0.9)))</f>
        <v>0.7</v>
      </c>
      <c r="L26" s="29">
        <f>IF(Dataset!H26&lt;1,1,IF(Dataset!H26&lt;1.3,2,IF(Dataset!H26&lt;1.8,3,4)))</f>
        <v>3</v>
      </c>
      <c r="M26" s="29">
        <f t="shared" si="3"/>
        <v>2.0999999999999996</v>
      </c>
      <c r="N26" s="29">
        <f>IF(Dataset!F26=1,0.75,IF(Dataset!F26=2,0.45,0.2))</f>
        <v>0.75</v>
      </c>
      <c r="O26" s="29">
        <f>IF(Dataset!F26=1,3,IF(Dataset!F26=2,2,1))</f>
        <v>3</v>
      </c>
      <c r="P26" s="29">
        <f t="shared" si="4"/>
        <v>2.25</v>
      </c>
      <c r="Q26" s="29">
        <f>IF(Dataset!K26&lt;5,0.2,IF(Dataset!K26&lt;10,0.45,IF(Dataset!K26&lt;18,0.7,0.9)))</f>
        <v>0.45</v>
      </c>
      <c r="R26" s="29">
        <f>IF(Dataset!K26&lt;5,1,IF(Dataset!K26&lt;10,2,IF(Dataset!K26&lt;18,3,4)))</f>
        <v>2</v>
      </c>
      <c r="S26" s="29">
        <f t="shared" si="5"/>
        <v>0.9</v>
      </c>
      <c r="T26" s="29">
        <f t="shared" si="6"/>
        <v>1.4880000000000002</v>
      </c>
      <c r="U26" s="29" t="str">
        <f t="shared" si="7"/>
        <v>Medium</v>
      </c>
    </row>
    <row r="27" spans="1:25" ht="15" customHeight="1" x14ac:dyDescent="0.25">
      <c r="A27" s="29">
        <f>Dataset!A27</f>
        <v>23</v>
      </c>
      <c r="B27" s="29">
        <f>IF(Dataset!B27&lt;25,0.3,IF(Dataset!B27&lt;75,0.5,IF(Dataset!B27&lt;120,0.65,0.8)))</f>
        <v>0.65</v>
      </c>
      <c r="C27" s="29">
        <f>IF(Dataset!B27&lt;25,1,IF(Dataset!B27&lt;75,2,IF(Dataset!B27&lt;120,3,4)))</f>
        <v>3</v>
      </c>
      <c r="D27" s="29">
        <f t="shared" si="0"/>
        <v>1.9500000000000002</v>
      </c>
      <c r="E27" s="29">
        <f>IF(Dataset!C27&lt;=1,0.3,IF(Dataset!C27=2,0.4,IF(Dataset!C27=3,0.5,IF(Dataset!C27=4,0.65,0.8))))</f>
        <v>0.3</v>
      </c>
      <c r="F27" s="29">
        <f>IF(Dataset!C27&lt;=2,1,IF(Dataset!C27=3,2,IF(Dataset!C27=4,3,4)))</f>
        <v>1</v>
      </c>
      <c r="G27" s="29">
        <f t="shared" si="1"/>
        <v>0.3</v>
      </c>
      <c r="H27" s="29">
        <f>IF(Dataset!G27&lt;=3,0.25,IF(Dataset!G27&lt;=6,0.45,IF(Dataset!G27&lt;=9,0.65,0.85)))</f>
        <v>0.45</v>
      </c>
      <c r="I27" s="29">
        <f>IF(Dataset!G27&lt;=3,1,IF(Dataset!G27&lt;=6,2,IF(Dataset!G27&lt;=9,3,4)))</f>
        <v>2</v>
      </c>
      <c r="J27" s="29">
        <f t="shared" si="2"/>
        <v>0.9</v>
      </c>
      <c r="K27" s="29">
        <f>IF(Dataset!H27&lt;1,0.2,IF(Dataset!H27&lt;1.3,0.45,IF(Dataset!H27&lt;1.8,0.7,0.9)))</f>
        <v>0.9</v>
      </c>
      <c r="L27" s="29">
        <f>IF(Dataset!H27&lt;1,1,IF(Dataset!H27&lt;1.3,2,IF(Dataset!H27&lt;1.8,3,4)))</f>
        <v>4</v>
      </c>
      <c r="M27" s="29">
        <f t="shared" si="3"/>
        <v>3.6</v>
      </c>
      <c r="N27" s="29">
        <f>IF(Dataset!F27=1,0.75,IF(Dataset!F27=2,0.45,0.2))</f>
        <v>0.75</v>
      </c>
      <c r="O27" s="29">
        <f>IF(Dataset!F27=1,3,IF(Dataset!F27=2,2,1))</f>
        <v>3</v>
      </c>
      <c r="P27" s="29">
        <f t="shared" si="4"/>
        <v>2.25</v>
      </c>
      <c r="Q27" s="29">
        <f>IF(Dataset!K27&lt;5,0.2,IF(Dataset!K27&lt;10,0.45,IF(Dataset!K27&lt;18,0.7,0.9)))</f>
        <v>0.2</v>
      </c>
      <c r="R27" s="29">
        <f>IF(Dataset!K27&lt;5,1,IF(Dataset!K27&lt;10,2,IF(Dataset!K27&lt;18,3,4)))</f>
        <v>1</v>
      </c>
      <c r="S27" s="29">
        <f t="shared" si="5"/>
        <v>0.2</v>
      </c>
      <c r="T27" s="29">
        <f t="shared" si="6"/>
        <v>1.6900000000000002</v>
      </c>
      <c r="U27" s="29" t="str">
        <f t="shared" si="7"/>
        <v>Medium</v>
      </c>
    </row>
    <row r="28" spans="1:25" ht="15" customHeight="1" x14ac:dyDescent="0.25">
      <c r="A28" s="29">
        <f>Dataset!A28</f>
        <v>24</v>
      </c>
      <c r="B28" s="29">
        <f>IF(Dataset!B28&lt;25,0.3,IF(Dataset!B28&lt;75,0.5,IF(Dataset!B28&lt;120,0.65,0.8)))</f>
        <v>0.65</v>
      </c>
      <c r="C28" s="29">
        <f>IF(Dataset!B28&lt;25,1,IF(Dataset!B28&lt;75,2,IF(Dataset!B28&lt;120,3,4)))</f>
        <v>3</v>
      </c>
      <c r="D28" s="29">
        <f t="shared" si="0"/>
        <v>1.9500000000000002</v>
      </c>
      <c r="E28" s="29">
        <f>IF(Dataset!C28&lt;=1,0.3,IF(Dataset!C28=2,0.4,IF(Dataset!C28=3,0.5,IF(Dataset!C28=4,0.65,0.8))))</f>
        <v>0.65</v>
      </c>
      <c r="F28" s="29">
        <f>IF(Dataset!C28&lt;=2,1,IF(Dataset!C28=3,2,IF(Dataset!C28=4,3,4)))</f>
        <v>3</v>
      </c>
      <c r="G28" s="29">
        <f t="shared" si="1"/>
        <v>1.9500000000000002</v>
      </c>
      <c r="H28" s="29">
        <f>IF(Dataset!G28&lt;=3,0.25,IF(Dataset!G28&lt;=6,0.45,IF(Dataset!G28&lt;=9,0.65,0.85)))</f>
        <v>0.25</v>
      </c>
      <c r="I28" s="29">
        <f>IF(Dataset!G28&lt;=3,1,IF(Dataset!G28&lt;=6,2,IF(Dataset!G28&lt;=9,3,4)))</f>
        <v>1</v>
      </c>
      <c r="J28" s="29">
        <f t="shared" si="2"/>
        <v>0.25</v>
      </c>
      <c r="K28" s="29">
        <f>IF(Dataset!H28&lt;1,0.2,IF(Dataset!H28&lt;1.3,0.45,IF(Dataset!H28&lt;1.8,0.7,0.9)))</f>
        <v>0.9</v>
      </c>
      <c r="L28" s="29">
        <f>IF(Dataset!H28&lt;1,1,IF(Dataset!H28&lt;1.3,2,IF(Dataset!H28&lt;1.8,3,4)))</f>
        <v>4</v>
      </c>
      <c r="M28" s="29">
        <f t="shared" si="3"/>
        <v>3.6</v>
      </c>
      <c r="N28" s="29">
        <f>IF(Dataset!F28=1,0.75,IF(Dataset!F28=2,0.45,0.2))</f>
        <v>0.45</v>
      </c>
      <c r="O28" s="29">
        <f>IF(Dataset!F28=1,3,IF(Dataset!F28=2,2,1))</f>
        <v>2</v>
      </c>
      <c r="P28" s="29">
        <f t="shared" si="4"/>
        <v>0.9</v>
      </c>
      <c r="Q28" s="29">
        <f>IF(Dataset!K28&lt;5,0.2,IF(Dataset!K28&lt;10,0.45,IF(Dataset!K28&lt;18,0.7,0.9)))</f>
        <v>0.7</v>
      </c>
      <c r="R28" s="29">
        <f>IF(Dataset!K28&lt;5,1,IF(Dataset!K28&lt;10,2,IF(Dataset!K28&lt;18,3,4)))</f>
        <v>3</v>
      </c>
      <c r="S28" s="29">
        <f t="shared" si="5"/>
        <v>2.0999999999999996</v>
      </c>
      <c r="T28" s="29">
        <f t="shared" si="6"/>
        <v>1.9220000000000004</v>
      </c>
      <c r="U28" s="29" t="str">
        <f t="shared" si="7"/>
        <v>High</v>
      </c>
    </row>
    <row r="29" spans="1:25" ht="15" customHeight="1" x14ac:dyDescent="0.25">
      <c r="A29" s="29">
        <f>Dataset!A29</f>
        <v>25</v>
      </c>
      <c r="B29" s="29">
        <f>IF(Dataset!B29&lt;25,0.3,IF(Dataset!B29&lt;75,0.5,IF(Dataset!B29&lt;120,0.65,0.8)))</f>
        <v>0.65</v>
      </c>
      <c r="C29" s="29">
        <f>IF(Dataset!B29&lt;25,1,IF(Dataset!B29&lt;75,2,IF(Dataset!B29&lt;120,3,4)))</f>
        <v>3</v>
      </c>
      <c r="D29" s="29">
        <f t="shared" si="0"/>
        <v>1.9500000000000002</v>
      </c>
      <c r="E29" s="29">
        <f>IF(Dataset!C29&lt;=1,0.3,IF(Dataset!C29=2,0.4,IF(Dataset!C29=3,0.5,IF(Dataset!C29=4,0.65,0.8))))</f>
        <v>0.5</v>
      </c>
      <c r="F29" s="29">
        <f>IF(Dataset!C29&lt;=2,1,IF(Dataset!C29=3,2,IF(Dataset!C29=4,3,4)))</f>
        <v>2</v>
      </c>
      <c r="G29" s="29">
        <f t="shared" si="1"/>
        <v>1</v>
      </c>
      <c r="H29" s="29">
        <f>IF(Dataset!G29&lt;=3,0.25,IF(Dataset!G29&lt;=6,0.45,IF(Dataset!G29&lt;=9,0.65,0.85)))</f>
        <v>0.65</v>
      </c>
      <c r="I29" s="29">
        <f>IF(Dataset!G29&lt;=3,1,IF(Dataset!G29&lt;=6,2,IF(Dataset!G29&lt;=9,3,4)))</f>
        <v>3</v>
      </c>
      <c r="J29" s="29">
        <f t="shared" si="2"/>
        <v>1.9500000000000002</v>
      </c>
      <c r="K29" s="29">
        <f>IF(Dataset!H29&lt;1,0.2,IF(Dataset!H29&lt;1.3,0.45,IF(Dataset!H29&lt;1.8,0.7,0.9)))</f>
        <v>0.45</v>
      </c>
      <c r="L29" s="29">
        <f>IF(Dataset!H29&lt;1,1,IF(Dataset!H29&lt;1.3,2,IF(Dataset!H29&lt;1.8,3,4)))</f>
        <v>2</v>
      </c>
      <c r="M29" s="29">
        <f t="shared" si="3"/>
        <v>0.9</v>
      </c>
      <c r="N29" s="29">
        <f>IF(Dataset!F29=1,0.75,IF(Dataset!F29=2,0.45,0.2))</f>
        <v>0.2</v>
      </c>
      <c r="O29" s="29">
        <f>IF(Dataset!F29=1,3,IF(Dataset!F29=2,2,1))</f>
        <v>1</v>
      </c>
      <c r="P29" s="29">
        <f t="shared" si="4"/>
        <v>0.2</v>
      </c>
      <c r="Q29" s="29">
        <f>IF(Dataset!K29&lt;5,0.2,IF(Dataset!K29&lt;10,0.45,IF(Dataset!K29&lt;18,0.7,0.9)))</f>
        <v>0.2</v>
      </c>
      <c r="R29" s="29">
        <f>IF(Dataset!K29&lt;5,1,IF(Dataset!K29&lt;10,2,IF(Dataset!K29&lt;18,3,4)))</f>
        <v>1</v>
      </c>
      <c r="S29" s="29">
        <f t="shared" si="5"/>
        <v>0.2</v>
      </c>
      <c r="T29" s="29">
        <f t="shared" si="6"/>
        <v>1.1450000000000002</v>
      </c>
      <c r="U29" s="29" t="str">
        <f t="shared" si="7"/>
        <v>Low</v>
      </c>
    </row>
    <row r="30" spans="1:25" ht="15" customHeight="1" x14ac:dyDescent="0.25">
      <c r="A30" s="29">
        <f>Dataset!A30</f>
        <v>26</v>
      </c>
      <c r="B30" s="29">
        <f>IF(Dataset!B30&lt;25,0.3,IF(Dataset!B30&lt;75,0.5,IF(Dataset!B30&lt;120,0.65,0.8)))</f>
        <v>0.3</v>
      </c>
      <c r="C30" s="29">
        <f>IF(Dataset!B30&lt;25,1,IF(Dataset!B30&lt;75,2,IF(Dataset!B30&lt;120,3,4)))</f>
        <v>1</v>
      </c>
      <c r="D30" s="29">
        <f t="shared" si="0"/>
        <v>0.3</v>
      </c>
      <c r="E30" s="29">
        <f>IF(Dataset!C30&lt;=1,0.3,IF(Dataset!C30=2,0.4,IF(Dataset!C30=3,0.5,IF(Dataset!C30=4,0.65,0.8))))</f>
        <v>0.5</v>
      </c>
      <c r="F30" s="29">
        <f>IF(Dataset!C30&lt;=2,1,IF(Dataset!C30=3,2,IF(Dataset!C30=4,3,4)))</f>
        <v>2</v>
      </c>
      <c r="G30" s="29">
        <f t="shared" si="1"/>
        <v>1</v>
      </c>
      <c r="H30" s="29">
        <f>IF(Dataset!G30&lt;=3,0.25,IF(Dataset!G30&lt;=6,0.45,IF(Dataset!G30&lt;=9,0.65,0.85)))</f>
        <v>0.65</v>
      </c>
      <c r="I30" s="29">
        <f>IF(Dataset!G30&lt;=3,1,IF(Dataset!G30&lt;=6,2,IF(Dataset!G30&lt;=9,3,4)))</f>
        <v>3</v>
      </c>
      <c r="J30" s="29">
        <f t="shared" si="2"/>
        <v>1.9500000000000002</v>
      </c>
      <c r="K30" s="29">
        <f>IF(Dataset!H30&lt;1,0.2,IF(Dataset!H30&lt;1.3,0.45,IF(Dataset!H30&lt;1.8,0.7,0.9)))</f>
        <v>0.9</v>
      </c>
      <c r="L30" s="29">
        <f>IF(Dataset!H30&lt;1,1,IF(Dataset!H30&lt;1.3,2,IF(Dataset!H30&lt;1.8,3,4)))</f>
        <v>4</v>
      </c>
      <c r="M30" s="29">
        <f t="shared" si="3"/>
        <v>3.6</v>
      </c>
      <c r="N30" s="29">
        <f>IF(Dataset!F30=1,0.75,IF(Dataset!F30=2,0.45,0.2))</f>
        <v>0.45</v>
      </c>
      <c r="O30" s="29">
        <f>IF(Dataset!F30=1,3,IF(Dataset!F30=2,2,1))</f>
        <v>2</v>
      </c>
      <c r="P30" s="29">
        <f t="shared" si="4"/>
        <v>0.9</v>
      </c>
      <c r="Q30" s="29">
        <f>IF(Dataset!K30&lt;5,0.2,IF(Dataset!K30&lt;10,0.45,IF(Dataset!K30&lt;18,0.7,0.9)))</f>
        <v>0.45</v>
      </c>
      <c r="R30" s="29">
        <f>IF(Dataset!K30&lt;5,1,IF(Dataset!K30&lt;10,2,IF(Dataset!K30&lt;18,3,4)))</f>
        <v>2</v>
      </c>
      <c r="S30" s="29">
        <f t="shared" si="5"/>
        <v>0.9</v>
      </c>
      <c r="T30" s="29">
        <f t="shared" si="6"/>
        <v>1.6640000000000001</v>
      </c>
      <c r="U30" s="29" t="str">
        <f t="shared" si="7"/>
        <v>Medium</v>
      </c>
    </row>
    <row r="31" spans="1:25" ht="15" customHeight="1" x14ac:dyDescent="0.25">
      <c r="A31" s="29">
        <f>Dataset!A31</f>
        <v>27</v>
      </c>
      <c r="B31" s="29">
        <f>IF(Dataset!B31&lt;25,0.3,IF(Dataset!B31&lt;75,0.5,IF(Dataset!B31&lt;120,0.65,0.8)))</f>
        <v>0.5</v>
      </c>
      <c r="C31" s="29">
        <f>IF(Dataset!B31&lt;25,1,IF(Dataset!B31&lt;75,2,IF(Dataset!B31&lt;120,3,4)))</f>
        <v>2</v>
      </c>
      <c r="D31" s="29">
        <f t="shared" si="0"/>
        <v>1</v>
      </c>
      <c r="E31" s="29">
        <f>IF(Dataset!C31&lt;=1,0.3,IF(Dataset!C31=2,0.4,IF(Dataset!C31=3,0.5,IF(Dataset!C31=4,0.65,0.8))))</f>
        <v>0.4</v>
      </c>
      <c r="F31" s="29">
        <f>IF(Dataset!C31&lt;=2,1,IF(Dataset!C31=3,2,IF(Dataset!C31=4,3,4)))</f>
        <v>1</v>
      </c>
      <c r="G31" s="29">
        <f t="shared" si="1"/>
        <v>0.4</v>
      </c>
      <c r="H31" s="29">
        <f>IF(Dataset!G31&lt;=3,0.25,IF(Dataset!G31&lt;=6,0.45,IF(Dataset!G31&lt;=9,0.65,0.85)))</f>
        <v>0.45</v>
      </c>
      <c r="I31" s="29">
        <f>IF(Dataset!G31&lt;=3,1,IF(Dataset!G31&lt;=6,2,IF(Dataset!G31&lt;=9,3,4)))</f>
        <v>2</v>
      </c>
      <c r="J31" s="29">
        <f t="shared" si="2"/>
        <v>0.9</v>
      </c>
      <c r="K31" s="29">
        <f>IF(Dataset!H31&lt;1,0.2,IF(Dataset!H31&lt;1.3,0.45,IF(Dataset!H31&lt;1.8,0.7,0.9)))</f>
        <v>0.9</v>
      </c>
      <c r="L31" s="29">
        <f>IF(Dataset!H31&lt;1,1,IF(Dataset!H31&lt;1.3,2,IF(Dataset!H31&lt;1.8,3,4)))</f>
        <v>4</v>
      </c>
      <c r="M31" s="29">
        <f t="shared" si="3"/>
        <v>3.6</v>
      </c>
      <c r="N31" s="29">
        <f>IF(Dataset!F31=1,0.75,IF(Dataset!F31=2,0.45,0.2))</f>
        <v>0.45</v>
      </c>
      <c r="O31" s="29">
        <f>IF(Dataset!F31=1,3,IF(Dataset!F31=2,2,1))</f>
        <v>2</v>
      </c>
      <c r="P31" s="29">
        <f t="shared" si="4"/>
        <v>0.9</v>
      </c>
      <c r="Q31" s="29">
        <f>IF(Dataset!K31&lt;5,0.2,IF(Dataset!K31&lt;10,0.45,IF(Dataset!K31&lt;18,0.7,0.9)))</f>
        <v>0.2</v>
      </c>
      <c r="R31" s="29">
        <f>IF(Dataset!K31&lt;5,1,IF(Dataset!K31&lt;10,2,IF(Dataset!K31&lt;18,3,4)))</f>
        <v>1</v>
      </c>
      <c r="S31" s="29">
        <f t="shared" si="5"/>
        <v>0.2</v>
      </c>
      <c r="T31" s="29">
        <f t="shared" si="6"/>
        <v>1.3980000000000001</v>
      </c>
      <c r="U31" s="29" t="str">
        <f t="shared" si="7"/>
        <v>Medium</v>
      </c>
    </row>
    <row r="32" spans="1:25" ht="15" customHeight="1" x14ac:dyDescent="0.25">
      <c r="A32" s="29">
        <f>Dataset!A32</f>
        <v>28</v>
      </c>
      <c r="B32" s="29">
        <f>IF(Dataset!B32&lt;25,0.3,IF(Dataset!B32&lt;75,0.5,IF(Dataset!B32&lt;120,0.65,0.8)))</f>
        <v>0.5</v>
      </c>
      <c r="C32" s="29">
        <f>IF(Dataset!B32&lt;25,1,IF(Dataset!B32&lt;75,2,IF(Dataset!B32&lt;120,3,4)))</f>
        <v>2</v>
      </c>
      <c r="D32" s="29">
        <f t="shared" si="0"/>
        <v>1</v>
      </c>
      <c r="E32" s="29">
        <f>IF(Dataset!C32&lt;=1,0.3,IF(Dataset!C32=2,0.4,IF(Dataset!C32=3,0.5,IF(Dataset!C32=4,0.65,0.8))))</f>
        <v>0.8</v>
      </c>
      <c r="F32" s="29">
        <f>IF(Dataset!C32&lt;=2,1,IF(Dataset!C32=3,2,IF(Dataset!C32=4,3,4)))</f>
        <v>4</v>
      </c>
      <c r="G32" s="29">
        <f t="shared" si="1"/>
        <v>3.2</v>
      </c>
      <c r="H32" s="29">
        <f>IF(Dataset!G32&lt;=3,0.25,IF(Dataset!G32&lt;=6,0.45,IF(Dataset!G32&lt;=9,0.65,0.85)))</f>
        <v>0.25</v>
      </c>
      <c r="I32" s="29">
        <f>IF(Dataset!G32&lt;=3,1,IF(Dataset!G32&lt;=6,2,IF(Dataset!G32&lt;=9,3,4)))</f>
        <v>1</v>
      </c>
      <c r="J32" s="29">
        <f t="shared" si="2"/>
        <v>0.25</v>
      </c>
      <c r="K32" s="29">
        <f>IF(Dataset!H32&lt;1,0.2,IF(Dataset!H32&lt;1.3,0.45,IF(Dataset!H32&lt;1.8,0.7,0.9)))</f>
        <v>0.7</v>
      </c>
      <c r="L32" s="29">
        <f>IF(Dataset!H32&lt;1,1,IF(Dataset!H32&lt;1.3,2,IF(Dataset!H32&lt;1.8,3,4)))</f>
        <v>3</v>
      </c>
      <c r="M32" s="29">
        <f t="shared" si="3"/>
        <v>2.0999999999999996</v>
      </c>
      <c r="N32" s="29">
        <f>IF(Dataset!F32=1,0.75,IF(Dataset!F32=2,0.45,0.2))</f>
        <v>0.2</v>
      </c>
      <c r="O32" s="29">
        <f>IF(Dataset!F32=1,3,IF(Dataset!F32=2,2,1))</f>
        <v>1</v>
      </c>
      <c r="P32" s="29">
        <f t="shared" si="4"/>
        <v>0.2</v>
      </c>
      <c r="Q32" s="29">
        <f>IF(Dataset!K32&lt;5,0.2,IF(Dataset!K32&lt;10,0.45,IF(Dataset!K32&lt;18,0.7,0.9)))</f>
        <v>0.9</v>
      </c>
      <c r="R32" s="29">
        <f>IF(Dataset!K32&lt;5,1,IF(Dataset!K32&lt;10,2,IF(Dataset!K32&lt;18,3,4)))</f>
        <v>4</v>
      </c>
      <c r="S32" s="29">
        <f t="shared" si="5"/>
        <v>3.6</v>
      </c>
      <c r="T32" s="29">
        <f t="shared" si="6"/>
        <v>1.706</v>
      </c>
      <c r="U32" s="29" t="str">
        <f t="shared" si="7"/>
        <v>Medium</v>
      </c>
    </row>
    <row r="33" spans="1:21" ht="15" customHeight="1" x14ac:dyDescent="0.25">
      <c r="A33" s="29">
        <f>Dataset!A33</f>
        <v>29</v>
      </c>
      <c r="B33" s="29">
        <f>IF(Dataset!B33&lt;25,0.3,IF(Dataset!B33&lt;75,0.5,IF(Dataset!B33&lt;120,0.65,0.8)))</f>
        <v>0.5</v>
      </c>
      <c r="C33" s="29">
        <f>IF(Dataset!B33&lt;25,1,IF(Dataset!B33&lt;75,2,IF(Dataset!B33&lt;120,3,4)))</f>
        <v>2</v>
      </c>
      <c r="D33" s="29">
        <f t="shared" si="0"/>
        <v>1</v>
      </c>
      <c r="E33" s="29">
        <f>IF(Dataset!C33&lt;=1,0.3,IF(Dataset!C33=2,0.4,IF(Dataset!C33=3,0.5,IF(Dataset!C33=4,0.65,0.8))))</f>
        <v>0.3</v>
      </c>
      <c r="F33" s="29">
        <f>IF(Dataset!C33&lt;=2,1,IF(Dataset!C33=3,2,IF(Dataset!C33=4,3,4)))</f>
        <v>1</v>
      </c>
      <c r="G33" s="29">
        <f t="shared" si="1"/>
        <v>0.3</v>
      </c>
      <c r="H33" s="29">
        <f>IF(Dataset!G33&lt;=3,0.25,IF(Dataset!G33&lt;=6,0.45,IF(Dataset!G33&lt;=9,0.65,0.85)))</f>
        <v>0.45</v>
      </c>
      <c r="I33" s="29">
        <f>IF(Dataset!G33&lt;=3,1,IF(Dataset!G33&lt;=6,2,IF(Dataset!G33&lt;=9,3,4)))</f>
        <v>2</v>
      </c>
      <c r="J33" s="29">
        <f t="shared" si="2"/>
        <v>0.9</v>
      </c>
      <c r="K33" s="29">
        <f>IF(Dataset!H33&lt;1,0.2,IF(Dataset!H33&lt;1.3,0.45,IF(Dataset!H33&lt;1.8,0.7,0.9)))</f>
        <v>0.45</v>
      </c>
      <c r="L33" s="29">
        <f>IF(Dataset!H33&lt;1,1,IF(Dataset!H33&lt;1.3,2,IF(Dataset!H33&lt;1.8,3,4)))</f>
        <v>2</v>
      </c>
      <c r="M33" s="29">
        <f t="shared" si="3"/>
        <v>0.9</v>
      </c>
      <c r="N33" s="29">
        <f>IF(Dataset!F33=1,0.75,IF(Dataset!F33=2,0.45,0.2))</f>
        <v>0.45</v>
      </c>
      <c r="O33" s="29">
        <f>IF(Dataset!F33=1,3,IF(Dataset!F33=2,2,1))</f>
        <v>2</v>
      </c>
      <c r="P33" s="29">
        <f t="shared" si="4"/>
        <v>0.9</v>
      </c>
      <c r="Q33" s="29">
        <f>IF(Dataset!K33&lt;5,0.2,IF(Dataset!K33&lt;10,0.45,IF(Dataset!K33&lt;18,0.7,0.9)))</f>
        <v>0.2</v>
      </c>
      <c r="R33" s="29">
        <f>IF(Dataset!K33&lt;5,1,IF(Dataset!K33&lt;10,2,IF(Dataset!K33&lt;18,3,4)))</f>
        <v>1</v>
      </c>
      <c r="S33" s="29">
        <f t="shared" si="5"/>
        <v>0.2</v>
      </c>
      <c r="T33" s="29">
        <f t="shared" si="6"/>
        <v>0.73599999999999999</v>
      </c>
      <c r="U33" s="29" t="str">
        <f t="shared" si="7"/>
        <v>Low</v>
      </c>
    </row>
    <row r="34" spans="1:21" ht="15" customHeight="1" x14ac:dyDescent="0.25">
      <c r="A34" s="29">
        <f>Dataset!A34</f>
        <v>30</v>
      </c>
      <c r="B34" s="29">
        <f>IF(Dataset!B34&lt;25,0.3,IF(Dataset!B34&lt;75,0.5,IF(Dataset!B34&lt;120,0.65,0.8)))</f>
        <v>0.3</v>
      </c>
      <c r="C34" s="29">
        <f>IF(Dataset!B34&lt;25,1,IF(Dataset!B34&lt;75,2,IF(Dataset!B34&lt;120,3,4)))</f>
        <v>1</v>
      </c>
      <c r="D34" s="29">
        <f t="shared" si="0"/>
        <v>0.3</v>
      </c>
      <c r="E34" s="29">
        <f>IF(Dataset!C34&lt;=1,0.3,IF(Dataset!C34=2,0.4,IF(Dataset!C34=3,0.5,IF(Dataset!C34=4,0.65,0.8))))</f>
        <v>0.65</v>
      </c>
      <c r="F34" s="29">
        <f>IF(Dataset!C34&lt;=2,1,IF(Dataset!C34=3,2,IF(Dataset!C34=4,3,4)))</f>
        <v>3</v>
      </c>
      <c r="G34" s="29">
        <f t="shared" si="1"/>
        <v>1.9500000000000002</v>
      </c>
      <c r="H34" s="29">
        <f>IF(Dataset!G34&lt;=3,0.25,IF(Dataset!G34&lt;=6,0.45,IF(Dataset!G34&lt;=9,0.65,0.85)))</f>
        <v>0.65</v>
      </c>
      <c r="I34" s="29">
        <f>IF(Dataset!G34&lt;=3,1,IF(Dataset!G34&lt;=6,2,IF(Dataset!G34&lt;=9,3,4)))</f>
        <v>3</v>
      </c>
      <c r="J34" s="29">
        <f t="shared" si="2"/>
        <v>1.9500000000000002</v>
      </c>
      <c r="K34" s="29">
        <f>IF(Dataset!H34&lt;1,0.2,IF(Dataset!H34&lt;1.3,0.45,IF(Dataset!H34&lt;1.8,0.7,0.9)))</f>
        <v>0.45</v>
      </c>
      <c r="L34" s="29">
        <f>IF(Dataset!H34&lt;1,1,IF(Dataset!H34&lt;1.3,2,IF(Dataset!H34&lt;1.8,3,4)))</f>
        <v>2</v>
      </c>
      <c r="M34" s="29">
        <f t="shared" si="3"/>
        <v>0.9</v>
      </c>
      <c r="N34" s="29">
        <f>IF(Dataset!F34=1,0.75,IF(Dataset!F34=2,0.45,0.2))</f>
        <v>0.45</v>
      </c>
      <c r="O34" s="29">
        <f>IF(Dataset!F34=1,3,IF(Dataset!F34=2,2,1))</f>
        <v>2</v>
      </c>
      <c r="P34" s="29">
        <f t="shared" si="4"/>
        <v>0.9</v>
      </c>
      <c r="Q34" s="29">
        <f>IF(Dataset!K34&lt;5,0.2,IF(Dataset!K34&lt;10,0.45,IF(Dataset!K34&lt;18,0.7,0.9)))</f>
        <v>0.7</v>
      </c>
      <c r="R34" s="29">
        <f>IF(Dataset!K34&lt;5,1,IF(Dataset!K34&lt;10,2,IF(Dataset!K34&lt;18,3,4)))</f>
        <v>3</v>
      </c>
      <c r="S34" s="29">
        <f t="shared" si="5"/>
        <v>2.0999999999999996</v>
      </c>
      <c r="T34" s="29">
        <f t="shared" si="6"/>
        <v>1.3170000000000002</v>
      </c>
      <c r="U34" s="29" t="str">
        <f t="shared" si="7"/>
        <v>Low</v>
      </c>
    </row>
    <row r="35" spans="1:21" ht="15" customHeight="1" x14ac:dyDescent="0.25">
      <c r="A35" s="29">
        <f>Dataset!A35</f>
        <v>31</v>
      </c>
      <c r="B35" s="29">
        <f>IF(Dataset!B35&lt;25,0.3,IF(Dataset!B35&lt;75,0.5,IF(Dataset!B35&lt;120,0.65,0.8)))</f>
        <v>0.5</v>
      </c>
      <c r="C35" s="29">
        <f>IF(Dataset!B35&lt;25,1,IF(Dataset!B35&lt;75,2,IF(Dataset!B35&lt;120,3,4)))</f>
        <v>2</v>
      </c>
      <c r="D35" s="29">
        <f t="shared" si="0"/>
        <v>1</v>
      </c>
      <c r="E35" s="29">
        <f>IF(Dataset!C35&lt;=1,0.3,IF(Dataset!C35=2,0.4,IF(Dataset!C35=3,0.5,IF(Dataset!C35=4,0.65,0.8))))</f>
        <v>0.65</v>
      </c>
      <c r="F35" s="29">
        <f>IF(Dataset!C35&lt;=2,1,IF(Dataset!C35=3,2,IF(Dataset!C35=4,3,4)))</f>
        <v>3</v>
      </c>
      <c r="G35" s="29">
        <f t="shared" si="1"/>
        <v>1.9500000000000002</v>
      </c>
      <c r="H35" s="29">
        <f>IF(Dataset!G35&lt;=3,0.25,IF(Dataset!G35&lt;=6,0.45,IF(Dataset!G35&lt;=9,0.65,0.85)))</f>
        <v>0.85</v>
      </c>
      <c r="I35" s="29">
        <f>IF(Dataset!G35&lt;=3,1,IF(Dataset!G35&lt;=6,2,IF(Dataset!G35&lt;=9,3,4)))</f>
        <v>4</v>
      </c>
      <c r="J35" s="29">
        <f t="shared" si="2"/>
        <v>3.4</v>
      </c>
      <c r="K35" s="29">
        <f>IF(Dataset!H35&lt;1,0.2,IF(Dataset!H35&lt;1.3,0.45,IF(Dataset!H35&lt;1.8,0.7,0.9)))</f>
        <v>0.2</v>
      </c>
      <c r="L35" s="29">
        <f>IF(Dataset!H35&lt;1,1,IF(Dataset!H35&lt;1.3,2,IF(Dataset!H35&lt;1.8,3,4)))</f>
        <v>1</v>
      </c>
      <c r="M35" s="29">
        <f t="shared" si="3"/>
        <v>0.2</v>
      </c>
      <c r="N35" s="29">
        <f>IF(Dataset!F35=1,0.75,IF(Dataset!F35=2,0.45,0.2))</f>
        <v>0.45</v>
      </c>
      <c r="O35" s="29">
        <f>IF(Dataset!F35=1,3,IF(Dataset!F35=2,2,1))</f>
        <v>2</v>
      </c>
      <c r="P35" s="29">
        <f t="shared" si="4"/>
        <v>0.9</v>
      </c>
      <c r="Q35" s="29">
        <f>IF(Dataset!K35&lt;5,0.2,IF(Dataset!K35&lt;10,0.45,IF(Dataset!K35&lt;18,0.7,0.9)))</f>
        <v>0.7</v>
      </c>
      <c r="R35" s="29">
        <f>IF(Dataset!K35&lt;5,1,IF(Dataset!K35&lt;10,2,IF(Dataset!K35&lt;18,3,4)))</f>
        <v>3</v>
      </c>
      <c r="S35" s="29">
        <f t="shared" si="5"/>
        <v>2.0999999999999996</v>
      </c>
      <c r="T35" s="29">
        <f t="shared" si="6"/>
        <v>1.5650000000000002</v>
      </c>
      <c r="U35" s="29" t="str">
        <f t="shared" si="7"/>
        <v>Medium</v>
      </c>
    </row>
    <row r="36" spans="1:21" ht="15" customHeight="1" x14ac:dyDescent="0.25">
      <c r="A36" s="29">
        <f>Dataset!A36</f>
        <v>32</v>
      </c>
      <c r="B36" s="29">
        <f>IF(Dataset!B36&lt;25,0.3,IF(Dataset!B36&lt;75,0.5,IF(Dataset!B36&lt;120,0.65,0.8)))</f>
        <v>0.65</v>
      </c>
      <c r="C36" s="29">
        <f>IF(Dataset!B36&lt;25,1,IF(Dataset!B36&lt;75,2,IF(Dataset!B36&lt;120,3,4)))</f>
        <v>3</v>
      </c>
      <c r="D36" s="29">
        <f t="shared" si="0"/>
        <v>1.9500000000000002</v>
      </c>
      <c r="E36" s="29">
        <f>IF(Dataset!C36&lt;=1,0.3,IF(Dataset!C36=2,0.4,IF(Dataset!C36=3,0.5,IF(Dataset!C36=4,0.65,0.8))))</f>
        <v>0.65</v>
      </c>
      <c r="F36" s="29">
        <f>IF(Dataset!C36&lt;=2,1,IF(Dataset!C36=3,2,IF(Dataset!C36=4,3,4)))</f>
        <v>3</v>
      </c>
      <c r="G36" s="29">
        <f t="shared" si="1"/>
        <v>1.9500000000000002</v>
      </c>
      <c r="H36" s="29">
        <f>IF(Dataset!G36&lt;=3,0.25,IF(Dataset!G36&lt;=6,0.45,IF(Dataset!G36&lt;=9,0.65,0.85)))</f>
        <v>0.65</v>
      </c>
      <c r="I36" s="29">
        <f>IF(Dataset!G36&lt;=3,1,IF(Dataset!G36&lt;=6,2,IF(Dataset!G36&lt;=9,3,4)))</f>
        <v>3</v>
      </c>
      <c r="J36" s="29">
        <f t="shared" si="2"/>
        <v>1.9500000000000002</v>
      </c>
      <c r="K36" s="29">
        <f>IF(Dataset!H36&lt;1,0.2,IF(Dataset!H36&lt;1.3,0.45,IF(Dataset!H36&lt;1.8,0.7,0.9)))</f>
        <v>0.2</v>
      </c>
      <c r="L36" s="29">
        <f>IF(Dataset!H36&lt;1,1,IF(Dataset!H36&lt;1.3,2,IF(Dataset!H36&lt;1.8,3,4)))</f>
        <v>1</v>
      </c>
      <c r="M36" s="29">
        <f t="shared" si="3"/>
        <v>0.2</v>
      </c>
      <c r="N36" s="29">
        <f>IF(Dataset!F36=1,0.75,IF(Dataset!F36=2,0.45,0.2))</f>
        <v>0.45</v>
      </c>
      <c r="O36" s="29">
        <f>IF(Dataset!F36=1,3,IF(Dataset!F36=2,2,1))</f>
        <v>2</v>
      </c>
      <c r="P36" s="29">
        <f t="shared" si="4"/>
        <v>0.9</v>
      </c>
      <c r="Q36" s="29">
        <f>IF(Dataset!K36&lt;5,0.2,IF(Dataset!K36&lt;10,0.45,IF(Dataset!K36&lt;18,0.7,0.9)))</f>
        <v>0.45</v>
      </c>
      <c r="R36" s="29">
        <f>IF(Dataset!K36&lt;5,1,IF(Dataset!K36&lt;10,2,IF(Dataset!K36&lt;18,3,4)))</f>
        <v>2</v>
      </c>
      <c r="S36" s="29">
        <f t="shared" si="5"/>
        <v>0.9</v>
      </c>
      <c r="T36" s="29">
        <f t="shared" si="6"/>
        <v>1.2780000000000005</v>
      </c>
      <c r="U36" s="29" t="str">
        <f t="shared" si="7"/>
        <v>Low</v>
      </c>
    </row>
    <row r="37" spans="1:21" ht="15" customHeight="1" x14ac:dyDescent="0.25">
      <c r="A37" s="29">
        <f>Dataset!A37</f>
        <v>33</v>
      </c>
      <c r="B37" s="29">
        <f>IF(Dataset!B37&lt;25,0.3,IF(Dataset!B37&lt;75,0.5,IF(Dataset!B37&lt;120,0.65,0.8)))</f>
        <v>0.5</v>
      </c>
      <c r="C37" s="29">
        <f>IF(Dataset!B37&lt;25,1,IF(Dataset!B37&lt;75,2,IF(Dataset!B37&lt;120,3,4)))</f>
        <v>2</v>
      </c>
      <c r="D37" s="29">
        <f t="shared" si="0"/>
        <v>1</v>
      </c>
      <c r="E37" s="29">
        <f>IF(Dataset!C37&lt;=1,0.3,IF(Dataset!C37=2,0.4,IF(Dataset!C37=3,0.5,IF(Dataset!C37=4,0.65,0.8))))</f>
        <v>0.65</v>
      </c>
      <c r="F37" s="29">
        <f>IF(Dataset!C37&lt;=2,1,IF(Dataset!C37=3,2,IF(Dataset!C37=4,3,4)))</f>
        <v>3</v>
      </c>
      <c r="G37" s="29">
        <f t="shared" si="1"/>
        <v>1.9500000000000002</v>
      </c>
      <c r="H37" s="29">
        <f>IF(Dataset!G37&lt;=3,0.25,IF(Dataset!G37&lt;=6,0.45,IF(Dataset!G37&lt;=9,0.65,0.85)))</f>
        <v>0.25</v>
      </c>
      <c r="I37" s="29">
        <f>IF(Dataset!G37&lt;=3,1,IF(Dataset!G37&lt;=6,2,IF(Dataset!G37&lt;=9,3,4)))</f>
        <v>1</v>
      </c>
      <c r="J37" s="29">
        <f t="shared" si="2"/>
        <v>0.25</v>
      </c>
      <c r="K37" s="29">
        <f>IF(Dataset!H37&lt;1,0.2,IF(Dataset!H37&lt;1.3,0.45,IF(Dataset!H37&lt;1.8,0.7,0.9)))</f>
        <v>0.7</v>
      </c>
      <c r="L37" s="29">
        <f>IF(Dataset!H37&lt;1,1,IF(Dataset!H37&lt;1.3,2,IF(Dataset!H37&lt;1.8,3,4)))</f>
        <v>3</v>
      </c>
      <c r="M37" s="29">
        <f t="shared" si="3"/>
        <v>2.0999999999999996</v>
      </c>
      <c r="N37" s="29">
        <f>IF(Dataset!F37=1,0.75,IF(Dataset!F37=2,0.45,0.2))</f>
        <v>0.45</v>
      </c>
      <c r="O37" s="29">
        <f>IF(Dataset!F37=1,3,IF(Dataset!F37=2,2,1))</f>
        <v>2</v>
      </c>
      <c r="P37" s="29">
        <f t="shared" si="4"/>
        <v>0.9</v>
      </c>
      <c r="Q37" s="29">
        <f>IF(Dataset!K37&lt;5,0.2,IF(Dataset!K37&lt;10,0.45,IF(Dataset!K37&lt;18,0.7,0.9)))</f>
        <v>0.7</v>
      </c>
      <c r="R37" s="29">
        <f>IF(Dataset!K37&lt;5,1,IF(Dataset!K37&lt;10,2,IF(Dataset!K37&lt;18,3,4)))</f>
        <v>3</v>
      </c>
      <c r="S37" s="29">
        <f t="shared" si="5"/>
        <v>2.0999999999999996</v>
      </c>
      <c r="T37" s="29">
        <f t="shared" si="6"/>
        <v>1.3910000000000002</v>
      </c>
      <c r="U37" s="29" t="str">
        <f t="shared" si="7"/>
        <v>Medium</v>
      </c>
    </row>
    <row r="38" spans="1:21" ht="15" customHeight="1" x14ac:dyDescent="0.25">
      <c r="A38" s="29">
        <f>Dataset!A38</f>
        <v>34</v>
      </c>
      <c r="B38" s="29">
        <f>IF(Dataset!B38&lt;25,0.3,IF(Dataset!B38&lt;75,0.5,IF(Dataset!B38&lt;120,0.65,0.8)))</f>
        <v>0.65</v>
      </c>
      <c r="C38" s="29">
        <f>IF(Dataset!B38&lt;25,1,IF(Dataset!B38&lt;75,2,IF(Dataset!B38&lt;120,3,4)))</f>
        <v>3</v>
      </c>
      <c r="D38" s="29">
        <f t="shared" si="0"/>
        <v>1.9500000000000002</v>
      </c>
      <c r="E38" s="29">
        <f>IF(Dataset!C38&lt;=1,0.3,IF(Dataset!C38=2,0.4,IF(Dataset!C38=3,0.5,IF(Dataset!C38=4,0.65,0.8))))</f>
        <v>0.8</v>
      </c>
      <c r="F38" s="29">
        <f>IF(Dataset!C38&lt;=2,1,IF(Dataset!C38=3,2,IF(Dataset!C38=4,3,4)))</f>
        <v>4</v>
      </c>
      <c r="G38" s="29">
        <f t="shared" si="1"/>
        <v>3.2</v>
      </c>
      <c r="H38" s="29">
        <f>IF(Dataset!G38&lt;=3,0.25,IF(Dataset!G38&lt;=6,0.45,IF(Dataset!G38&lt;=9,0.65,0.85)))</f>
        <v>0.45</v>
      </c>
      <c r="I38" s="29">
        <f>IF(Dataset!G38&lt;=3,1,IF(Dataset!G38&lt;=6,2,IF(Dataset!G38&lt;=9,3,4)))</f>
        <v>2</v>
      </c>
      <c r="J38" s="29">
        <f t="shared" si="2"/>
        <v>0.9</v>
      </c>
      <c r="K38" s="29">
        <f>IF(Dataset!H38&lt;1,0.2,IF(Dataset!H38&lt;1.3,0.45,IF(Dataset!H38&lt;1.8,0.7,0.9)))</f>
        <v>0.45</v>
      </c>
      <c r="L38" s="29">
        <f>IF(Dataset!H38&lt;1,1,IF(Dataset!H38&lt;1.3,2,IF(Dataset!H38&lt;1.8,3,4)))</f>
        <v>2</v>
      </c>
      <c r="M38" s="29">
        <f t="shared" si="3"/>
        <v>0.9</v>
      </c>
      <c r="N38" s="29">
        <f>IF(Dataset!F38=1,0.75,IF(Dataset!F38=2,0.45,0.2))</f>
        <v>0.45</v>
      </c>
      <c r="O38" s="29">
        <f>IF(Dataset!F38=1,3,IF(Dataset!F38=2,2,1))</f>
        <v>2</v>
      </c>
      <c r="P38" s="29">
        <f t="shared" si="4"/>
        <v>0.9</v>
      </c>
      <c r="Q38" s="29">
        <f>IF(Dataset!K38&lt;5,0.2,IF(Dataset!K38&lt;10,0.45,IF(Dataset!K38&lt;18,0.7,0.9)))</f>
        <v>0.9</v>
      </c>
      <c r="R38" s="29">
        <f>IF(Dataset!K38&lt;5,1,IF(Dataset!K38&lt;10,2,IF(Dataset!K38&lt;18,3,4)))</f>
        <v>4</v>
      </c>
      <c r="S38" s="29">
        <f t="shared" si="5"/>
        <v>3.6</v>
      </c>
      <c r="T38" s="29">
        <f t="shared" si="6"/>
        <v>1.7890000000000006</v>
      </c>
      <c r="U38" s="29" t="str">
        <f t="shared" si="7"/>
        <v>High</v>
      </c>
    </row>
    <row r="39" spans="1:21" ht="15" customHeight="1" x14ac:dyDescent="0.25">
      <c r="A39" s="29">
        <f>Dataset!A39</f>
        <v>35</v>
      </c>
      <c r="B39" s="29">
        <f>IF(Dataset!B39&lt;25,0.3,IF(Dataset!B39&lt;75,0.5,IF(Dataset!B39&lt;120,0.65,0.8)))</f>
        <v>0.3</v>
      </c>
      <c r="C39" s="29">
        <f>IF(Dataset!B39&lt;25,1,IF(Dataset!B39&lt;75,2,IF(Dataset!B39&lt;120,3,4)))</f>
        <v>1</v>
      </c>
      <c r="D39" s="29">
        <f t="shared" si="0"/>
        <v>0.3</v>
      </c>
      <c r="E39" s="29">
        <f>IF(Dataset!C39&lt;=1,0.3,IF(Dataset!C39=2,0.4,IF(Dataset!C39=3,0.5,IF(Dataset!C39=4,0.65,0.8))))</f>
        <v>0.4</v>
      </c>
      <c r="F39" s="29">
        <f>IF(Dataset!C39&lt;=2,1,IF(Dataset!C39=3,2,IF(Dataset!C39=4,3,4)))</f>
        <v>1</v>
      </c>
      <c r="G39" s="29">
        <f t="shared" si="1"/>
        <v>0.4</v>
      </c>
      <c r="H39" s="29">
        <f>IF(Dataset!G39&lt;=3,0.25,IF(Dataset!G39&lt;=6,0.45,IF(Dataset!G39&lt;=9,0.65,0.85)))</f>
        <v>0.45</v>
      </c>
      <c r="I39" s="29">
        <f>IF(Dataset!G39&lt;=3,1,IF(Dataset!G39&lt;=6,2,IF(Dataset!G39&lt;=9,3,4)))</f>
        <v>2</v>
      </c>
      <c r="J39" s="29">
        <f t="shared" si="2"/>
        <v>0.9</v>
      </c>
      <c r="K39" s="29">
        <f>IF(Dataset!H39&lt;1,0.2,IF(Dataset!H39&lt;1.3,0.45,IF(Dataset!H39&lt;1.8,0.7,0.9)))</f>
        <v>0.45</v>
      </c>
      <c r="L39" s="29">
        <f>IF(Dataset!H39&lt;1,1,IF(Dataset!H39&lt;1.3,2,IF(Dataset!H39&lt;1.8,3,4)))</f>
        <v>2</v>
      </c>
      <c r="M39" s="29">
        <f t="shared" si="3"/>
        <v>0.9</v>
      </c>
      <c r="N39" s="29">
        <f>IF(Dataset!F39=1,0.75,IF(Dataset!F39=2,0.45,0.2))</f>
        <v>0.75</v>
      </c>
      <c r="O39" s="29">
        <f>IF(Dataset!F39=1,3,IF(Dataset!F39=2,2,1))</f>
        <v>3</v>
      </c>
      <c r="P39" s="29">
        <f t="shared" si="4"/>
        <v>2.25</v>
      </c>
      <c r="Q39" s="29">
        <f>IF(Dataset!K39&lt;5,0.2,IF(Dataset!K39&lt;10,0.45,IF(Dataset!K39&lt;18,0.7,0.9)))</f>
        <v>0.45</v>
      </c>
      <c r="R39" s="29">
        <f>IF(Dataset!K39&lt;5,1,IF(Dataset!K39&lt;10,2,IF(Dataset!K39&lt;18,3,4)))</f>
        <v>2</v>
      </c>
      <c r="S39" s="29">
        <f t="shared" si="5"/>
        <v>0.9</v>
      </c>
      <c r="T39" s="29">
        <f t="shared" si="6"/>
        <v>0.85699999999999998</v>
      </c>
      <c r="U39" s="29" t="str">
        <f t="shared" si="7"/>
        <v>Low</v>
      </c>
    </row>
    <row r="40" spans="1:21" ht="15" customHeight="1" x14ac:dyDescent="0.25">
      <c r="A40" s="29">
        <f>Dataset!A40</f>
        <v>36</v>
      </c>
      <c r="B40" s="29">
        <f>IF(Dataset!B40&lt;25,0.3,IF(Dataset!B40&lt;75,0.5,IF(Dataset!B40&lt;120,0.65,0.8)))</f>
        <v>0.5</v>
      </c>
      <c r="C40" s="29">
        <f>IF(Dataset!B40&lt;25,1,IF(Dataset!B40&lt;75,2,IF(Dataset!B40&lt;120,3,4)))</f>
        <v>2</v>
      </c>
      <c r="D40" s="29">
        <f t="shared" si="0"/>
        <v>1</v>
      </c>
      <c r="E40" s="29">
        <f>IF(Dataset!C40&lt;=1,0.3,IF(Dataset!C40=2,0.4,IF(Dataset!C40=3,0.5,IF(Dataset!C40=4,0.65,0.8))))</f>
        <v>0.3</v>
      </c>
      <c r="F40" s="29">
        <f>IF(Dataset!C40&lt;=2,1,IF(Dataset!C40=3,2,IF(Dataset!C40=4,3,4)))</f>
        <v>1</v>
      </c>
      <c r="G40" s="29">
        <f t="shared" si="1"/>
        <v>0.3</v>
      </c>
      <c r="H40" s="29">
        <f>IF(Dataset!G40&lt;=3,0.25,IF(Dataset!G40&lt;=6,0.45,IF(Dataset!G40&lt;=9,0.65,0.85)))</f>
        <v>0.85</v>
      </c>
      <c r="I40" s="29">
        <f>IF(Dataset!G40&lt;=3,1,IF(Dataset!G40&lt;=6,2,IF(Dataset!G40&lt;=9,3,4)))</f>
        <v>4</v>
      </c>
      <c r="J40" s="29">
        <f t="shared" si="2"/>
        <v>3.4</v>
      </c>
      <c r="K40" s="29">
        <f>IF(Dataset!H40&lt;1,0.2,IF(Dataset!H40&lt;1.3,0.45,IF(Dataset!H40&lt;1.8,0.7,0.9)))</f>
        <v>0.9</v>
      </c>
      <c r="L40" s="29">
        <f>IF(Dataset!H40&lt;1,1,IF(Dataset!H40&lt;1.3,2,IF(Dataset!H40&lt;1.8,3,4)))</f>
        <v>4</v>
      </c>
      <c r="M40" s="29">
        <f t="shared" si="3"/>
        <v>3.6</v>
      </c>
      <c r="N40" s="29">
        <f>IF(Dataset!F40=1,0.75,IF(Dataset!F40=2,0.45,0.2))</f>
        <v>0.45</v>
      </c>
      <c r="O40" s="29">
        <f>IF(Dataset!F40=1,3,IF(Dataset!F40=2,2,1))</f>
        <v>2</v>
      </c>
      <c r="P40" s="29">
        <f t="shared" si="4"/>
        <v>0.9</v>
      </c>
      <c r="Q40" s="29">
        <f>IF(Dataset!K40&lt;5,0.2,IF(Dataset!K40&lt;10,0.45,IF(Dataset!K40&lt;18,0.7,0.9)))</f>
        <v>0.2</v>
      </c>
      <c r="R40" s="29">
        <f>IF(Dataset!K40&lt;5,1,IF(Dataset!K40&lt;10,2,IF(Dataset!K40&lt;18,3,4)))</f>
        <v>1</v>
      </c>
      <c r="S40" s="29">
        <f t="shared" si="5"/>
        <v>0.2</v>
      </c>
      <c r="T40" s="29">
        <f t="shared" si="6"/>
        <v>1.8840000000000001</v>
      </c>
      <c r="U40" s="29" t="str">
        <f t="shared" si="7"/>
        <v>High</v>
      </c>
    </row>
    <row r="41" spans="1:21" ht="15" customHeight="1" x14ac:dyDescent="0.25">
      <c r="A41" s="29">
        <f>Dataset!A41</f>
        <v>37</v>
      </c>
      <c r="B41" s="29">
        <f>IF(Dataset!B41&lt;25,0.3,IF(Dataset!B41&lt;75,0.5,IF(Dataset!B41&lt;120,0.65,0.8)))</f>
        <v>0.5</v>
      </c>
      <c r="C41" s="29">
        <f>IF(Dataset!B41&lt;25,1,IF(Dataset!B41&lt;75,2,IF(Dataset!B41&lt;120,3,4)))</f>
        <v>2</v>
      </c>
      <c r="D41" s="29">
        <f t="shared" si="0"/>
        <v>1</v>
      </c>
      <c r="E41" s="29">
        <f>IF(Dataset!C41&lt;=1,0.3,IF(Dataset!C41=2,0.4,IF(Dataset!C41=3,0.5,IF(Dataset!C41=4,0.65,0.8))))</f>
        <v>0.65</v>
      </c>
      <c r="F41" s="29">
        <f>IF(Dataset!C41&lt;=2,1,IF(Dataset!C41=3,2,IF(Dataset!C41=4,3,4)))</f>
        <v>3</v>
      </c>
      <c r="G41" s="29">
        <f t="shared" si="1"/>
        <v>1.9500000000000002</v>
      </c>
      <c r="H41" s="29">
        <f>IF(Dataset!G41&lt;=3,0.25,IF(Dataset!G41&lt;=6,0.45,IF(Dataset!G41&lt;=9,0.65,0.85)))</f>
        <v>0.25</v>
      </c>
      <c r="I41" s="29">
        <f>IF(Dataset!G41&lt;=3,1,IF(Dataset!G41&lt;=6,2,IF(Dataset!G41&lt;=9,3,4)))</f>
        <v>1</v>
      </c>
      <c r="J41" s="29">
        <f t="shared" si="2"/>
        <v>0.25</v>
      </c>
      <c r="K41" s="29">
        <f>IF(Dataset!H41&lt;1,0.2,IF(Dataset!H41&lt;1.3,0.45,IF(Dataset!H41&lt;1.8,0.7,0.9)))</f>
        <v>0.9</v>
      </c>
      <c r="L41" s="29">
        <f>IF(Dataset!H41&lt;1,1,IF(Dataset!H41&lt;1.3,2,IF(Dataset!H41&lt;1.8,3,4)))</f>
        <v>4</v>
      </c>
      <c r="M41" s="29">
        <f t="shared" si="3"/>
        <v>3.6</v>
      </c>
      <c r="N41" s="29">
        <f>IF(Dataset!F41=1,0.75,IF(Dataset!F41=2,0.45,0.2))</f>
        <v>0.75</v>
      </c>
      <c r="O41" s="29">
        <f>IF(Dataset!F41=1,3,IF(Dataset!F41=2,2,1))</f>
        <v>3</v>
      </c>
      <c r="P41" s="29">
        <f t="shared" si="4"/>
        <v>2.25</v>
      </c>
      <c r="Q41" s="29">
        <f>IF(Dataset!K41&lt;5,0.2,IF(Dataset!K41&lt;10,0.45,IF(Dataset!K41&lt;18,0.7,0.9)))</f>
        <v>0.7</v>
      </c>
      <c r="R41" s="29">
        <f>IF(Dataset!K41&lt;5,1,IF(Dataset!K41&lt;10,2,IF(Dataset!K41&lt;18,3,4)))</f>
        <v>3</v>
      </c>
      <c r="S41" s="29">
        <f t="shared" si="5"/>
        <v>2.0999999999999996</v>
      </c>
      <c r="T41" s="29">
        <f t="shared" si="6"/>
        <v>1.8860000000000001</v>
      </c>
      <c r="U41" s="29" t="str">
        <f t="shared" si="7"/>
        <v>High</v>
      </c>
    </row>
    <row r="42" spans="1:21" ht="15" customHeight="1" x14ac:dyDescent="0.25">
      <c r="A42" s="29">
        <f>Dataset!A42</f>
        <v>38</v>
      </c>
      <c r="B42" s="29">
        <f>IF(Dataset!B42&lt;25,0.3,IF(Dataset!B42&lt;75,0.5,IF(Dataset!B42&lt;120,0.65,0.8)))</f>
        <v>0.5</v>
      </c>
      <c r="C42" s="29">
        <f>IF(Dataset!B42&lt;25,1,IF(Dataset!B42&lt;75,2,IF(Dataset!B42&lt;120,3,4)))</f>
        <v>2</v>
      </c>
      <c r="D42" s="29">
        <f t="shared" si="0"/>
        <v>1</v>
      </c>
      <c r="E42" s="29">
        <f>IF(Dataset!C42&lt;=1,0.3,IF(Dataset!C42=2,0.4,IF(Dataset!C42=3,0.5,IF(Dataset!C42=4,0.65,0.8))))</f>
        <v>0.5</v>
      </c>
      <c r="F42" s="29">
        <f>IF(Dataset!C42&lt;=2,1,IF(Dataset!C42=3,2,IF(Dataset!C42=4,3,4)))</f>
        <v>2</v>
      </c>
      <c r="G42" s="29">
        <f t="shared" si="1"/>
        <v>1</v>
      </c>
      <c r="H42" s="29">
        <f>IF(Dataset!G42&lt;=3,0.25,IF(Dataset!G42&lt;=6,0.45,IF(Dataset!G42&lt;=9,0.65,0.85)))</f>
        <v>0.65</v>
      </c>
      <c r="I42" s="29">
        <f>IF(Dataset!G42&lt;=3,1,IF(Dataset!G42&lt;=6,2,IF(Dataset!G42&lt;=9,3,4)))</f>
        <v>3</v>
      </c>
      <c r="J42" s="29">
        <f t="shared" si="2"/>
        <v>1.9500000000000002</v>
      </c>
      <c r="K42" s="29">
        <f>IF(Dataset!H42&lt;1,0.2,IF(Dataset!H42&lt;1.3,0.45,IF(Dataset!H42&lt;1.8,0.7,0.9)))</f>
        <v>0.45</v>
      </c>
      <c r="L42" s="29">
        <f>IF(Dataset!H42&lt;1,1,IF(Dataset!H42&lt;1.3,2,IF(Dataset!H42&lt;1.8,3,4)))</f>
        <v>2</v>
      </c>
      <c r="M42" s="29">
        <f t="shared" si="3"/>
        <v>0.9</v>
      </c>
      <c r="N42" s="29">
        <f>IF(Dataset!F42=1,0.75,IF(Dataset!F42=2,0.45,0.2))</f>
        <v>0.45</v>
      </c>
      <c r="O42" s="29">
        <f>IF(Dataset!F42=1,3,IF(Dataset!F42=2,2,1))</f>
        <v>2</v>
      </c>
      <c r="P42" s="29">
        <f t="shared" si="4"/>
        <v>0.9</v>
      </c>
      <c r="Q42" s="29">
        <f>IF(Dataset!K42&lt;5,0.2,IF(Dataset!K42&lt;10,0.45,IF(Dataset!K42&lt;18,0.7,0.9)))</f>
        <v>0.45</v>
      </c>
      <c r="R42" s="29">
        <f>IF(Dataset!K42&lt;5,1,IF(Dataset!K42&lt;10,2,IF(Dataset!K42&lt;18,3,4)))</f>
        <v>2</v>
      </c>
      <c r="S42" s="29">
        <f t="shared" si="5"/>
        <v>0.9</v>
      </c>
      <c r="T42" s="29">
        <f t="shared" si="6"/>
        <v>1.1420000000000001</v>
      </c>
      <c r="U42" s="29" t="str">
        <f t="shared" si="7"/>
        <v>Low</v>
      </c>
    </row>
    <row r="43" spans="1:21" ht="15" customHeight="1" x14ac:dyDescent="0.25">
      <c r="A43" s="29">
        <f>Dataset!A43</f>
        <v>39</v>
      </c>
      <c r="B43" s="29">
        <f>IF(Dataset!B43&lt;25,0.3,IF(Dataset!B43&lt;75,0.5,IF(Dataset!B43&lt;120,0.65,0.8)))</f>
        <v>0.65</v>
      </c>
      <c r="C43" s="29">
        <f>IF(Dataset!B43&lt;25,1,IF(Dataset!B43&lt;75,2,IF(Dataset!B43&lt;120,3,4)))</f>
        <v>3</v>
      </c>
      <c r="D43" s="29">
        <f t="shared" si="0"/>
        <v>1.9500000000000002</v>
      </c>
      <c r="E43" s="29">
        <f>IF(Dataset!C43&lt;=1,0.3,IF(Dataset!C43=2,0.4,IF(Dataset!C43=3,0.5,IF(Dataset!C43=4,0.65,0.8))))</f>
        <v>0.4</v>
      </c>
      <c r="F43" s="29">
        <f>IF(Dataset!C43&lt;=2,1,IF(Dataset!C43=3,2,IF(Dataset!C43=4,3,4)))</f>
        <v>1</v>
      </c>
      <c r="G43" s="29">
        <f t="shared" si="1"/>
        <v>0.4</v>
      </c>
      <c r="H43" s="29">
        <f>IF(Dataset!G43&lt;=3,0.25,IF(Dataset!G43&lt;=6,0.45,IF(Dataset!G43&lt;=9,0.65,0.85)))</f>
        <v>0.45</v>
      </c>
      <c r="I43" s="29">
        <f>IF(Dataset!G43&lt;=3,1,IF(Dataset!G43&lt;=6,2,IF(Dataset!G43&lt;=9,3,4)))</f>
        <v>2</v>
      </c>
      <c r="J43" s="29">
        <f t="shared" si="2"/>
        <v>0.9</v>
      </c>
      <c r="K43" s="29">
        <f>IF(Dataset!H43&lt;1,0.2,IF(Dataset!H43&lt;1.3,0.45,IF(Dataset!H43&lt;1.8,0.7,0.9)))</f>
        <v>0.9</v>
      </c>
      <c r="L43" s="29">
        <f>IF(Dataset!H43&lt;1,1,IF(Dataset!H43&lt;1.3,2,IF(Dataset!H43&lt;1.8,3,4)))</f>
        <v>4</v>
      </c>
      <c r="M43" s="29">
        <f t="shared" si="3"/>
        <v>3.6</v>
      </c>
      <c r="N43" s="29">
        <f>IF(Dataset!F43=1,0.75,IF(Dataset!F43=2,0.45,0.2))</f>
        <v>0.75</v>
      </c>
      <c r="O43" s="29">
        <f>IF(Dataset!F43=1,3,IF(Dataset!F43=2,2,1))</f>
        <v>3</v>
      </c>
      <c r="P43" s="29">
        <f t="shared" si="4"/>
        <v>2.25</v>
      </c>
      <c r="Q43" s="29">
        <f>IF(Dataset!K43&lt;5,0.2,IF(Dataset!K43&lt;10,0.45,IF(Dataset!K43&lt;18,0.7,0.9)))</f>
        <v>0.2</v>
      </c>
      <c r="R43" s="29">
        <f>IF(Dataset!K43&lt;5,1,IF(Dataset!K43&lt;10,2,IF(Dataset!K43&lt;18,3,4)))</f>
        <v>1</v>
      </c>
      <c r="S43" s="29">
        <f t="shared" si="5"/>
        <v>0.2</v>
      </c>
      <c r="T43" s="29">
        <f t="shared" si="6"/>
        <v>1.7040000000000002</v>
      </c>
      <c r="U43" s="29" t="str">
        <f t="shared" si="7"/>
        <v>Medium</v>
      </c>
    </row>
    <row r="44" spans="1:21" ht="15" customHeight="1" x14ac:dyDescent="0.25">
      <c r="A44" s="29">
        <f>Dataset!A44</f>
        <v>40</v>
      </c>
      <c r="B44" s="29">
        <f>IF(Dataset!B44&lt;25,0.3,IF(Dataset!B44&lt;75,0.5,IF(Dataset!B44&lt;120,0.65,0.8)))</f>
        <v>0.65</v>
      </c>
      <c r="C44" s="29">
        <f>IF(Dataset!B44&lt;25,1,IF(Dataset!B44&lt;75,2,IF(Dataset!B44&lt;120,3,4)))</f>
        <v>3</v>
      </c>
      <c r="D44" s="29">
        <f t="shared" si="0"/>
        <v>1.9500000000000002</v>
      </c>
      <c r="E44" s="29">
        <f>IF(Dataset!C44&lt;=1,0.3,IF(Dataset!C44=2,0.4,IF(Dataset!C44=3,0.5,IF(Dataset!C44=4,0.65,0.8))))</f>
        <v>0.4</v>
      </c>
      <c r="F44" s="29">
        <f>IF(Dataset!C44&lt;=2,1,IF(Dataset!C44=3,2,IF(Dataset!C44=4,3,4)))</f>
        <v>1</v>
      </c>
      <c r="G44" s="29">
        <f t="shared" si="1"/>
        <v>0.4</v>
      </c>
      <c r="H44" s="29">
        <f>IF(Dataset!G44&lt;=3,0.25,IF(Dataset!G44&lt;=6,0.45,IF(Dataset!G44&lt;=9,0.65,0.85)))</f>
        <v>0.45</v>
      </c>
      <c r="I44" s="29">
        <f>IF(Dataset!G44&lt;=3,1,IF(Dataset!G44&lt;=6,2,IF(Dataset!G44&lt;=9,3,4)))</f>
        <v>2</v>
      </c>
      <c r="J44" s="29">
        <f t="shared" si="2"/>
        <v>0.9</v>
      </c>
      <c r="K44" s="29">
        <f>IF(Dataset!H44&lt;1,0.2,IF(Dataset!H44&lt;1.3,0.45,IF(Dataset!H44&lt;1.8,0.7,0.9)))</f>
        <v>0.9</v>
      </c>
      <c r="L44" s="29">
        <f>IF(Dataset!H44&lt;1,1,IF(Dataset!H44&lt;1.3,2,IF(Dataset!H44&lt;1.8,3,4)))</f>
        <v>4</v>
      </c>
      <c r="M44" s="29">
        <f t="shared" si="3"/>
        <v>3.6</v>
      </c>
      <c r="N44" s="29">
        <f>IF(Dataset!F44=1,0.75,IF(Dataset!F44=2,0.45,0.2))</f>
        <v>0.45</v>
      </c>
      <c r="O44" s="29">
        <f>IF(Dataset!F44=1,3,IF(Dataset!F44=2,2,1))</f>
        <v>2</v>
      </c>
      <c r="P44" s="29">
        <f t="shared" si="4"/>
        <v>0.9</v>
      </c>
      <c r="Q44" s="29">
        <f>IF(Dataset!K44&lt;5,0.2,IF(Dataset!K44&lt;10,0.45,IF(Dataset!K44&lt;18,0.7,0.9)))</f>
        <v>0.45</v>
      </c>
      <c r="R44" s="29">
        <f>IF(Dataset!K44&lt;5,1,IF(Dataset!K44&lt;10,2,IF(Dataset!K44&lt;18,3,4)))</f>
        <v>2</v>
      </c>
      <c r="S44" s="29">
        <f t="shared" si="5"/>
        <v>0.9</v>
      </c>
      <c r="T44" s="29">
        <f t="shared" si="6"/>
        <v>1.6670000000000003</v>
      </c>
      <c r="U44" s="29" t="str">
        <f t="shared" si="7"/>
        <v>Medium</v>
      </c>
    </row>
    <row r="45" spans="1:21" ht="15" customHeight="1" x14ac:dyDescent="0.25">
      <c r="A45" s="29">
        <f>Dataset!A45</f>
        <v>41</v>
      </c>
      <c r="B45" s="29">
        <f>IF(Dataset!B45&lt;25,0.3,IF(Dataset!B45&lt;75,0.5,IF(Dataset!B45&lt;120,0.65,0.8)))</f>
        <v>0.5</v>
      </c>
      <c r="C45" s="29">
        <f>IF(Dataset!B45&lt;25,1,IF(Dataset!B45&lt;75,2,IF(Dataset!B45&lt;120,3,4)))</f>
        <v>2</v>
      </c>
      <c r="D45" s="29">
        <f t="shared" si="0"/>
        <v>1</v>
      </c>
      <c r="E45" s="29">
        <f>IF(Dataset!C45&lt;=1,0.3,IF(Dataset!C45=2,0.4,IF(Dataset!C45=3,0.5,IF(Dataset!C45=4,0.65,0.8))))</f>
        <v>0.5</v>
      </c>
      <c r="F45" s="29">
        <f>IF(Dataset!C45&lt;=2,1,IF(Dataset!C45=3,2,IF(Dataset!C45=4,3,4)))</f>
        <v>2</v>
      </c>
      <c r="G45" s="29">
        <f t="shared" si="1"/>
        <v>1</v>
      </c>
      <c r="H45" s="29">
        <f>IF(Dataset!G45&lt;=3,0.25,IF(Dataset!G45&lt;=6,0.45,IF(Dataset!G45&lt;=9,0.65,0.85)))</f>
        <v>0.85</v>
      </c>
      <c r="I45" s="29">
        <f>IF(Dataset!G45&lt;=3,1,IF(Dataset!G45&lt;=6,2,IF(Dataset!G45&lt;=9,3,4)))</f>
        <v>4</v>
      </c>
      <c r="J45" s="29">
        <f t="shared" si="2"/>
        <v>3.4</v>
      </c>
      <c r="K45" s="29">
        <f>IF(Dataset!H45&lt;1,0.2,IF(Dataset!H45&lt;1.3,0.45,IF(Dataset!H45&lt;1.8,0.7,0.9)))</f>
        <v>0.2</v>
      </c>
      <c r="L45" s="29">
        <f>IF(Dataset!H45&lt;1,1,IF(Dataset!H45&lt;1.3,2,IF(Dataset!H45&lt;1.8,3,4)))</f>
        <v>1</v>
      </c>
      <c r="M45" s="29">
        <f t="shared" si="3"/>
        <v>0.2</v>
      </c>
      <c r="N45" s="29">
        <f>IF(Dataset!F45=1,0.75,IF(Dataset!F45=2,0.45,0.2))</f>
        <v>0.45</v>
      </c>
      <c r="O45" s="29">
        <f>IF(Dataset!F45=1,3,IF(Dataset!F45=2,2,1))</f>
        <v>2</v>
      </c>
      <c r="P45" s="29">
        <f t="shared" si="4"/>
        <v>0.9</v>
      </c>
      <c r="Q45" s="29">
        <f>IF(Dataset!K45&lt;5,0.2,IF(Dataset!K45&lt;10,0.45,IF(Dataset!K45&lt;18,0.7,0.9)))</f>
        <v>0.45</v>
      </c>
      <c r="R45" s="29">
        <f>IF(Dataset!K45&lt;5,1,IF(Dataset!K45&lt;10,2,IF(Dataset!K45&lt;18,3,4)))</f>
        <v>2</v>
      </c>
      <c r="S45" s="29">
        <f t="shared" si="5"/>
        <v>0.9</v>
      </c>
      <c r="T45" s="29">
        <f t="shared" si="6"/>
        <v>1.2640000000000002</v>
      </c>
      <c r="U45" s="29" t="str">
        <f t="shared" si="7"/>
        <v>Low</v>
      </c>
    </row>
    <row r="46" spans="1:21" ht="15" customHeight="1" x14ac:dyDescent="0.25">
      <c r="A46" s="29">
        <f>Dataset!A46</f>
        <v>42</v>
      </c>
      <c r="B46" s="29">
        <f>IF(Dataset!B46&lt;25,0.3,IF(Dataset!B46&lt;75,0.5,IF(Dataset!B46&lt;120,0.65,0.8)))</f>
        <v>0.3</v>
      </c>
      <c r="C46" s="29">
        <f>IF(Dataset!B46&lt;25,1,IF(Dataset!B46&lt;75,2,IF(Dataset!B46&lt;120,3,4)))</f>
        <v>1</v>
      </c>
      <c r="D46" s="29">
        <f t="shared" si="0"/>
        <v>0.3</v>
      </c>
      <c r="E46" s="29">
        <f>IF(Dataset!C46&lt;=1,0.3,IF(Dataset!C46=2,0.4,IF(Dataset!C46=3,0.5,IF(Dataset!C46=4,0.65,0.8))))</f>
        <v>0.3</v>
      </c>
      <c r="F46" s="29">
        <f>IF(Dataset!C46&lt;=2,1,IF(Dataset!C46=3,2,IF(Dataset!C46=4,3,4)))</f>
        <v>1</v>
      </c>
      <c r="G46" s="29">
        <f t="shared" si="1"/>
        <v>0.3</v>
      </c>
      <c r="H46" s="29">
        <f>IF(Dataset!G46&lt;=3,0.25,IF(Dataset!G46&lt;=6,0.45,IF(Dataset!G46&lt;=9,0.65,0.85)))</f>
        <v>0.65</v>
      </c>
      <c r="I46" s="29">
        <f>IF(Dataset!G46&lt;=3,1,IF(Dataset!G46&lt;=6,2,IF(Dataset!G46&lt;=9,3,4)))</f>
        <v>3</v>
      </c>
      <c r="J46" s="29">
        <f t="shared" si="2"/>
        <v>1.9500000000000002</v>
      </c>
      <c r="K46" s="29">
        <f>IF(Dataset!H46&lt;1,0.2,IF(Dataset!H46&lt;1.3,0.45,IF(Dataset!H46&lt;1.8,0.7,0.9)))</f>
        <v>0.9</v>
      </c>
      <c r="L46" s="29">
        <f>IF(Dataset!H46&lt;1,1,IF(Dataset!H46&lt;1.3,2,IF(Dataset!H46&lt;1.8,3,4)))</f>
        <v>4</v>
      </c>
      <c r="M46" s="29">
        <f t="shared" si="3"/>
        <v>3.6</v>
      </c>
      <c r="N46" s="29">
        <f>IF(Dataset!F46=1,0.75,IF(Dataset!F46=2,0.45,0.2))</f>
        <v>0.45</v>
      </c>
      <c r="O46" s="29">
        <f>IF(Dataset!F46=1,3,IF(Dataset!F46=2,2,1))</f>
        <v>2</v>
      </c>
      <c r="P46" s="29">
        <f t="shared" si="4"/>
        <v>0.9</v>
      </c>
      <c r="Q46" s="29">
        <f>IF(Dataset!K46&lt;5,0.2,IF(Dataset!K46&lt;10,0.45,IF(Dataset!K46&lt;18,0.7,0.9)))</f>
        <v>0.2</v>
      </c>
      <c r="R46" s="29">
        <f>IF(Dataset!K46&lt;5,1,IF(Dataset!K46&lt;10,2,IF(Dataset!K46&lt;18,3,4)))</f>
        <v>1</v>
      </c>
      <c r="S46" s="29">
        <f t="shared" si="5"/>
        <v>0.2</v>
      </c>
      <c r="T46" s="29">
        <f t="shared" si="6"/>
        <v>1.4680000000000002</v>
      </c>
      <c r="U46" s="29" t="str">
        <f t="shared" si="7"/>
        <v>Medium</v>
      </c>
    </row>
    <row r="47" spans="1:21" ht="15" customHeight="1" x14ac:dyDescent="0.25">
      <c r="A47" s="29">
        <f>Dataset!A47</f>
        <v>43</v>
      </c>
      <c r="B47" s="29">
        <f>IF(Dataset!B47&lt;25,0.3,IF(Dataset!B47&lt;75,0.5,IF(Dataset!B47&lt;120,0.65,0.8)))</f>
        <v>0.5</v>
      </c>
      <c r="C47" s="29">
        <f>IF(Dataset!B47&lt;25,1,IF(Dataset!B47&lt;75,2,IF(Dataset!B47&lt;120,3,4)))</f>
        <v>2</v>
      </c>
      <c r="D47" s="29">
        <f t="shared" si="0"/>
        <v>1</v>
      </c>
      <c r="E47" s="29">
        <f>IF(Dataset!C47&lt;=1,0.3,IF(Dataset!C47=2,0.4,IF(Dataset!C47=3,0.5,IF(Dataset!C47=4,0.65,0.8))))</f>
        <v>0.3</v>
      </c>
      <c r="F47" s="29">
        <f>IF(Dataset!C47&lt;=2,1,IF(Dataset!C47=3,2,IF(Dataset!C47=4,3,4)))</f>
        <v>1</v>
      </c>
      <c r="G47" s="29">
        <f t="shared" si="1"/>
        <v>0.3</v>
      </c>
      <c r="H47" s="29">
        <f>IF(Dataset!G47&lt;=3,0.25,IF(Dataset!G47&lt;=6,0.45,IF(Dataset!G47&lt;=9,0.65,0.85)))</f>
        <v>0.45</v>
      </c>
      <c r="I47" s="29">
        <f>IF(Dataset!G47&lt;=3,1,IF(Dataset!G47&lt;=6,2,IF(Dataset!G47&lt;=9,3,4)))</f>
        <v>2</v>
      </c>
      <c r="J47" s="29">
        <f t="shared" si="2"/>
        <v>0.9</v>
      </c>
      <c r="K47" s="29">
        <f>IF(Dataset!H47&lt;1,0.2,IF(Dataset!H47&lt;1.3,0.45,IF(Dataset!H47&lt;1.8,0.7,0.9)))</f>
        <v>0.9</v>
      </c>
      <c r="L47" s="29">
        <f>IF(Dataset!H47&lt;1,1,IF(Dataset!H47&lt;1.3,2,IF(Dataset!H47&lt;1.8,3,4)))</f>
        <v>4</v>
      </c>
      <c r="M47" s="29">
        <f t="shared" si="3"/>
        <v>3.6</v>
      </c>
      <c r="N47" s="29">
        <f>IF(Dataset!F47=1,0.75,IF(Dataset!F47=2,0.45,0.2))</f>
        <v>0.75</v>
      </c>
      <c r="O47" s="29">
        <f>IF(Dataset!F47=1,3,IF(Dataset!F47=2,2,1))</f>
        <v>3</v>
      </c>
      <c r="P47" s="29">
        <f t="shared" si="4"/>
        <v>2.25</v>
      </c>
      <c r="Q47" s="29">
        <f>IF(Dataset!K47&lt;5,0.2,IF(Dataset!K47&lt;10,0.45,IF(Dataset!K47&lt;18,0.7,0.9)))</f>
        <v>0.2</v>
      </c>
      <c r="R47" s="29">
        <f>IF(Dataset!K47&lt;5,1,IF(Dataset!K47&lt;10,2,IF(Dataset!K47&lt;18,3,4)))</f>
        <v>1</v>
      </c>
      <c r="S47" s="29">
        <f t="shared" si="5"/>
        <v>0.2</v>
      </c>
      <c r="T47" s="29">
        <f t="shared" si="6"/>
        <v>1.5190000000000001</v>
      </c>
      <c r="U47" s="29" t="str">
        <f t="shared" si="7"/>
        <v>Medium</v>
      </c>
    </row>
    <row r="48" spans="1:21" ht="15" customHeight="1" x14ac:dyDescent="0.25">
      <c r="A48" s="29">
        <f>Dataset!A48</f>
        <v>44</v>
      </c>
      <c r="B48" s="29">
        <f>IF(Dataset!B48&lt;25,0.3,IF(Dataset!B48&lt;75,0.5,IF(Dataset!B48&lt;120,0.65,0.8)))</f>
        <v>0.65</v>
      </c>
      <c r="C48" s="29">
        <f>IF(Dataset!B48&lt;25,1,IF(Dataset!B48&lt;75,2,IF(Dataset!B48&lt;120,3,4)))</f>
        <v>3</v>
      </c>
      <c r="D48" s="29">
        <f t="shared" si="0"/>
        <v>1.9500000000000002</v>
      </c>
      <c r="E48" s="29">
        <f>IF(Dataset!C48&lt;=1,0.3,IF(Dataset!C48=2,0.4,IF(Dataset!C48=3,0.5,IF(Dataset!C48=4,0.65,0.8))))</f>
        <v>0.8</v>
      </c>
      <c r="F48" s="29">
        <f>IF(Dataset!C48&lt;=2,1,IF(Dataset!C48=3,2,IF(Dataset!C48=4,3,4)))</f>
        <v>4</v>
      </c>
      <c r="G48" s="29">
        <f t="shared" si="1"/>
        <v>3.2</v>
      </c>
      <c r="H48" s="29">
        <f>IF(Dataset!G48&lt;=3,0.25,IF(Dataset!G48&lt;=6,0.45,IF(Dataset!G48&lt;=9,0.65,0.85)))</f>
        <v>0.65</v>
      </c>
      <c r="I48" s="29">
        <f>IF(Dataset!G48&lt;=3,1,IF(Dataset!G48&lt;=6,2,IF(Dataset!G48&lt;=9,3,4)))</f>
        <v>3</v>
      </c>
      <c r="J48" s="29">
        <f t="shared" si="2"/>
        <v>1.9500000000000002</v>
      </c>
      <c r="K48" s="29">
        <f>IF(Dataset!H48&lt;1,0.2,IF(Dataset!H48&lt;1.3,0.45,IF(Dataset!H48&lt;1.8,0.7,0.9)))</f>
        <v>0.9</v>
      </c>
      <c r="L48" s="29">
        <f>IF(Dataset!H48&lt;1,1,IF(Dataset!H48&lt;1.3,2,IF(Dataset!H48&lt;1.8,3,4)))</f>
        <v>4</v>
      </c>
      <c r="M48" s="29">
        <f t="shared" si="3"/>
        <v>3.6</v>
      </c>
      <c r="N48" s="29">
        <f>IF(Dataset!F48=1,0.75,IF(Dataset!F48=2,0.45,0.2))</f>
        <v>0.75</v>
      </c>
      <c r="O48" s="29">
        <f>IF(Dataset!F48=1,3,IF(Dataset!F48=2,2,1))</f>
        <v>3</v>
      </c>
      <c r="P48" s="29">
        <f t="shared" si="4"/>
        <v>2.25</v>
      </c>
      <c r="Q48" s="29">
        <f>IF(Dataset!K48&lt;5,0.2,IF(Dataset!K48&lt;10,0.45,IF(Dataset!K48&lt;18,0.7,0.9)))</f>
        <v>0.9</v>
      </c>
      <c r="R48" s="29">
        <f>IF(Dataset!K48&lt;5,1,IF(Dataset!K48&lt;10,2,IF(Dataset!K48&lt;18,3,4)))</f>
        <v>4</v>
      </c>
      <c r="S48" s="29">
        <f t="shared" si="5"/>
        <v>3.6</v>
      </c>
      <c r="T48" s="29">
        <f t="shared" si="6"/>
        <v>2.7820000000000005</v>
      </c>
      <c r="U48" s="29" t="str">
        <f t="shared" si="7"/>
        <v>High</v>
      </c>
    </row>
    <row r="49" spans="1:21" ht="15" customHeight="1" x14ac:dyDescent="0.25">
      <c r="A49" s="29">
        <f>Dataset!A49</f>
        <v>45</v>
      </c>
      <c r="B49" s="29">
        <f>IF(Dataset!B49&lt;25,0.3,IF(Dataset!B49&lt;75,0.5,IF(Dataset!B49&lt;120,0.65,0.8)))</f>
        <v>0.65</v>
      </c>
      <c r="C49" s="29">
        <f>IF(Dataset!B49&lt;25,1,IF(Dataset!B49&lt;75,2,IF(Dataset!B49&lt;120,3,4)))</f>
        <v>3</v>
      </c>
      <c r="D49" s="29">
        <f t="shared" si="0"/>
        <v>1.9500000000000002</v>
      </c>
      <c r="E49" s="29">
        <f>IF(Dataset!C49&lt;=1,0.3,IF(Dataset!C49=2,0.4,IF(Dataset!C49=3,0.5,IF(Dataset!C49=4,0.65,0.8))))</f>
        <v>0.5</v>
      </c>
      <c r="F49" s="29">
        <f>IF(Dataset!C49&lt;=2,1,IF(Dataset!C49=3,2,IF(Dataset!C49=4,3,4)))</f>
        <v>2</v>
      </c>
      <c r="G49" s="29">
        <f t="shared" si="1"/>
        <v>1</v>
      </c>
      <c r="H49" s="29">
        <f>IF(Dataset!G49&lt;=3,0.25,IF(Dataset!G49&lt;=6,0.45,IF(Dataset!G49&lt;=9,0.65,0.85)))</f>
        <v>0.25</v>
      </c>
      <c r="I49" s="29">
        <f>IF(Dataset!G49&lt;=3,1,IF(Dataset!G49&lt;=6,2,IF(Dataset!G49&lt;=9,3,4)))</f>
        <v>1</v>
      </c>
      <c r="J49" s="29">
        <f t="shared" si="2"/>
        <v>0.25</v>
      </c>
      <c r="K49" s="29">
        <f>IF(Dataset!H49&lt;1,0.2,IF(Dataset!H49&lt;1.3,0.45,IF(Dataset!H49&lt;1.8,0.7,0.9)))</f>
        <v>0.7</v>
      </c>
      <c r="L49" s="29">
        <f>IF(Dataset!H49&lt;1,1,IF(Dataset!H49&lt;1.3,2,IF(Dataset!H49&lt;1.8,3,4)))</f>
        <v>3</v>
      </c>
      <c r="M49" s="29">
        <f t="shared" si="3"/>
        <v>2.0999999999999996</v>
      </c>
      <c r="N49" s="29">
        <f>IF(Dataset!F49=1,0.75,IF(Dataset!F49=2,0.45,0.2))</f>
        <v>0.2</v>
      </c>
      <c r="O49" s="29">
        <f>IF(Dataset!F49=1,3,IF(Dataset!F49=2,2,1))</f>
        <v>1</v>
      </c>
      <c r="P49" s="29">
        <f t="shared" si="4"/>
        <v>0.2</v>
      </c>
      <c r="Q49" s="29">
        <f>IF(Dataset!K49&lt;5,0.2,IF(Dataset!K49&lt;10,0.45,IF(Dataset!K49&lt;18,0.7,0.9)))</f>
        <v>0.45</v>
      </c>
      <c r="R49" s="29">
        <f>IF(Dataset!K49&lt;5,1,IF(Dataset!K49&lt;10,2,IF(Dataset!K49&lt;18,3,4)))</f>
        <v>2</v>
      </c>
      <c r="S49" s="29">
        <f t="shared" si="5"/>
        <v>0.9</v>
      </c>
      <c r="T49" s="29">
        <f t="shared" si="6"/>
        <v>1.1910000000000001</v>
      </c>
      <c r="U49" s="29" t="str">
        <f t="shared" si="7"/>
        <v>Low</v>
      </c>
    </row>
    <row r="50" spans="1:21" ht="15" customHeight="1" x14ac:dyDescent="0.25">
      <c r="A50" s="29">
        <f>Dataset!A50</f>
        <v>46</v>
      </c>
      <c r="B50" s="29">
        <f>IF(Dataset!B50&lt;25,0.3,IF(Dataset!B50&lt;75,0.5,IF(Dataset!B50&lt;120,0.65,0.8)))</f>
        <v>0.5</v>
      </c>
      <c r="C50" s="29">
        <f>IF(Dataset!B50&lt;25,1,IF(Dataset!B50&lt;75,2,IF(Dataset!B50&lt;120,3,4)))</f>
        <v>2</v>
      </c>
      <c r="D50" s="29">
        <f t="shared" si="0"/>
        <v>1</v>
      </c>
      <c r="E50" s="29">
        <f>IF(Dataset!C50&lt;=1,0.3,IF(Dataset!C50=2,0.4,IF(Dataset!C50=3,0.5,IF(Dataset!C50=4,0.65,0.8))))</f>
        <v>0.8</v>
      </c>
      <c r="F50" s="29">
        <f>IF(Dataset!C50&lt;=2,1,IF(Dataset!C50=3,2,IF(Dataset!C50=4,3,4)))</f>
        <v>4</v>
      </c>
      <c r="G50" s="29">
        <f t="shared" si="1"/>
        <v>3.2</v>
      </c>
      <c r="H50" s="29">
        <f>IF(Dataset!G50&lt;=3,0.25,IF(Dataset!G50&lt;=6,0.45,IF(Dataset!G50&lt;=9,0.65,0.85)))</f>
        <v>0.65</v>
      </c>
      <c r="I50" s="29">
        <f>IF(Dataset!G50&lt;=3,1,IF(Dataset!G50&lt;=6,2,IF(Dataset!G50&lt;=9,3,4)))</f>
        <v>3</v>
      </c>
      <c r="J50" s="29">
        <f t="shared" si="2"/>
        <v>1.9500000000000002</v>
      </c>
      <c r="K50" s="29">
        <f>IF(Dataset!H50&lt;1,0.2,IF(Dataset!H50&lt;1.3,0.45,IF(Dataset!H50&lt;1.8,0.7,0.9)))</f>
        <v>0.9</v>
      </c>
      <c r="L50" s="29">
        <f>IF(Dataset!H50&lt;1,1,IF(Dataset!H50&lt;1.3,2,IF(Dataset!H50&lt;1.8,3,4)))</f>
        <v>4</v>
      </c>
      <c r="M50" s="29">
        <f t="shared" si="3"/>
        <v>3.6</v>
      </c>
      <c r="N50" s="29">
        <f>IF(Dataset!F50=1,0.75,IF(Dataset!F50=2,0.45,0.2))</f>
        <v>0.75</v>
      </c>
      <c r="O50" s="29">
        <f>IF(Dataset!F50=1,3,IF(Dataset!F50=2,2,1))</f>
        <v>3</v>
      </c>
      <c r="P50" s="29">
        <f t="shared" si="4"/>
        <v>2.25</v>
      </c>
      <c r="Q50" s="29">
        <f>IF(Dataset!K50&lt;5,0.2,IF(Dataset!K50&lt;10,0.45,IF(Dataset!K50&lt;18,0.7,0.9)))</f>
        <v>0.7</v>
      </c>
      <c r="R50" s="29">
        <f>IF(Dataset!K50&lt;5,1,IF(Dataset!K50&lt;10,2,IF(Dataset!K50&lt;18,3,4)))</f>
        <v>3</v>
      </c>
      <c r="S50" s="29">
        <f t="shared" si="5"/>
        <v>2.0999999999999996</v>
      </c>
      <c r="T50" s="29">
        <f t="shared" si="6"/>
        <v>2.4010000000000002</v>
      </c>
      <c r="U50" s="29" t="str">
        <f t="shared" si="7"/>
        <v>High</v>
      </c>
    </row>
    <row r="51" spans="1:21" ht="15" customHeight="1" x14ac:dyDescent="0.25">
      <c r="A51" s="29">
        <f>Dataset!A51</f>
        <v>47</v>
      </c>
      <c r="B51" s="29">
        <f>IF(Dataset!B51&lt;25,0.3,IF(Dataset!B51&lt;75,0.5,IF(Dataset!B51&lt;120,0.65,0.8)))</f>
        <v>0.3</v>
      </c>
      <c r="C51" s="29">
        <f>IF(Dataset!B51&lt;25,1,IF(Dataset!B51&lt;75,2,IF(Dataset!B51&lt;120,3,4)))</f>
        <v>1</v>
      </c>
      <c r="D51" s="29">
        <f t="shared" si="0"/>
        <v>0.3</v>
      </c>
      <c r="E51" s="29">
        <f>IF(Dataset!C51&lt;=1,0.3,IF(Dataset!C51=2,0.4,IF(Dataset!C51=3,0.5,IF(Dataset!C51=4,0.65,0.8))))</f>
        <v>0.8</v>
      </c>
      <c r="F51" s="29">
        <f>IF(Dataset!C51&lt;=2,1,IF(Dataset!C51=3,2,IF(Dataset!C51=4,3,4)))</f>
        <v>4</v>
      </c>
      <c r="G51" s="29">
        <f t="shared" si="1"/>
        <v>3.2</v>
      </c>
      <c r="H51" s="29">
        <f>IF(Dataset!G51&lt;=3,0.25,IF(Dataset!G51&lt;=6,0.45,IF(Dataset!G51&lt;=9,0.65,0.85)))</f>
        <v>0.45</v>
      </c>
      <c r="I51" s="29">
        <f>IF(Dataset!G51&lt;=3,1,IF(Dataset!G51&lt;=6,2,IF(Dataset!G51&lt;=9,3,4)))</f>
        <v>2</v>
      </c>
      <c r="J51" s="29">
        <f t="shared" si="2"/>
        <v>0.9</v>
      </c>
      <c r="K51" s="29">
        <f>IF(Dataset!H51&lt;1,0.2,IF(Dataset!H51&lt;1.3,0.45,IF(Dataset!H51&lt;1.8,0.7,0.9)))</f>
        <v>0.7</v>
      </c>
      <c r="L51" s="29">
        <f>IF(Dataset!H51&lt;1,1,IF(Dataset!H51&lt;1.3,2,IF(Dataset!H51&lt;1.8,3,4)))</f>
        <v>3</v>
      </c>
      <c r="M51" s="29">
        <f t="shared" si="3"/>
        <v>2.0999999999999996</v>
      </c>
      <c r="N51" s="29">
        <f>IF(Dataset!F51=1,0.75,IF(Dataset!F51=2,0.45,0.2))</f>
        <v>0.2</v>
      </c>
      <c r="O51" s="29">
        <f>IF(Dataset!F51=1,3,IF(Dataset!F51=2,2,1))</f>
        <v>1</v>
      </c>
      <c r="P51" s="29">
        <f t="shared" si="4"/>
        <v>0.2</v>
      </c>
      <c r="Q51" s="29">
        <f>IF(Dataset!K51&lt;5,0.2,IF(Dataset!K51&lt;10,0.45,IF(Dataset!K51&lt;18,0.7,0.9)))</f>
        <v>0.9</v>
      </c>
      <c r="R51" s="29">
        <f>IF(Dataset!K51&lt;5,1,IF(Dataset!K51&lt;10,2,IF(Dataset!K51&lt;18,3,4)))</f>
        <v>4</v>
      </c>
      <c r="S51" s="29">
        <f t="shared" si="5"/>
        <v>3.6</v>
      </c>
      <c r="T51" s="29">
        <f t="shared" si="6"/>
        <v>1.71</v>
      </c>
      <c r="U51" s="29" t="str">
        <f t="shared" si="7"/>
        <v>Medium</v>
      </c>
    </row>
    <row r="52" spans="1:21" ht="15" customHeight="1" x14ac:dyDescent="0.25">
      <c r="A52" s="29">
        <f>Dataset!A52</f>
        <v>48</v>
      </c>
      <c r="B52" s="29">
        <f>IF(Dataset!B52&lt;25,0.3,IF(Dataset!B52&lt;75,0.5,IF(Dataset!B52&lt;120,0.65,0.8)))</f>
        <v>0.3</v>
      </c>
      <c r="C52" s="29">
        <f>IF(Dataset!B52&lt;25,1,IF(Dataset!B52&lt;75,2,IF(Dataset!B52&lt;120,3,4)))</f>
        <v>1</v>
      </c>
      <c r="D52" s="29">
        <f t="shared" si="0"/>
        <v>0.3</v>
      </c>
      <c r="E52" s="29">
        <f>IF(Dataset!C52&lt;=1,0.3,IF(Dataset!C52=2,0.4,IF(Dataset!C52=3,0.5,IF(Dataset!C52=4,0.65,0.8))))</f>
        <v>0.4</v>
      </c>
      <c r="F52" s="29">
        <f>IF(Dataset!C52&lt;=2,1,IF(Dataset!C52=3,2,IF(Dataset!C52=4,3,4)))</f>
        <v>1</v>
      </c>
      <c r="G52" s="29">
        <f t="shared" si="1"/>
        <v>0.4</v>
      </c>
      <c r="H52" s="29">
        <f>IF(Dataset!G52&lt;=3,0.25,IF(Dataset!G52&lt;=6,0.45,IF(Dataset!G52&lt;=9,0.65,0.85)))</f>
        <v>0.45</v>
      </c>
      <c r="I52" s="29">
        <f>IF(Dataset!G52&lt;=3,1,IF(Dataset!G52&lt;=6,2,IF(Dataset!G52&lt;=9,3,4)))</f>
        <v>2</v>
      </c>
      <c r="J52" s="29">
        <f t="shared" si="2"/>
        <v>0.9</v>
      </c>
      <c r="K52" s="29">
        <f>IF(Dataset!H52&lt;1,0.2,IF(Dataset!H52&lt;1.3,0.45,IF(Dataset!H52&lt;1.8,0.7,0.9)))</f>
        <v>0.7</v>
      </c>
      <c r="L52" s="29">
        <f>IF(Dataset!H52&lt;1,1,IF(Dataset!H52&lt;1.3,2,IF(Dataset!H52&lt;1.8,3,4)))</f>
        <v>3</v>
      </c>
      <c r="M52" s="29">
        <f t="shared" si="3"/>
        <v>2.0999999999999996</v>
      </c>
      <c r="N52" s="29">
        <f>IF(Dataset!F52=1,0.75,IF(Dataset!F52=2,0.45,0.2))</f>
        <v>0.45</v>
      </c>
      <c r="O52" s="29">
        <f>IF(Dataset!F52=1,3,IF(Dataset!F52=2,2,1))</f>
        <v>2</v>
      </c>
      <c r="P52" s="29">
        <f t="shared" si="4"/>
        <v>0.9</v>
      </c>
      <c r="Q52" s="29">
        <f>IF(Dataset!K52&lt;5,0.2,IF(Dataset!K52&lt;10,0.45,IF(Dataset!K52&lt;18,0.7,0.9)))</f>
        <v>0.2</v>
      </c>
      <c r="R52" s="29">
        <f>IF(Dataset!K52&lt;5,1,IF(Dataset!K52&lt;10,2,IF(Dataset!K52&lt;18,3,4)))</f>
        <v>1</v>
      </c>
      <c r="S52" s="29">
        <f t="shared" si="5"/>
        <v>0.2</v>
      </c>
      <c r="T52" s="29">
        <f t="shared" si="6"/>
        <v>0.91199999999999992</v>
      </c>
      <c r="U52" s="29" t="str">
        <f t="shared" si="7"/>
        <v>Low</v>
      </c>
    </row>
    <row r="53" spans="1:21" ht="15" customHeight="1" x14ac:dyDescent="0.25">
      <c r="A53" s="29">
        <f>Dataset!A53</f>
        <v>49</v>
      </c>
      <c r="B53" s="29">
        <f>IF(Dataset!B53&lt;25,0.3,IF(Dataset!B53&lt;75,0.5,IF(Dataset!B53&lt;120,0.65,0.8)))</f>
        <v>0.65</v>
      </c>
      <c r="C53" s="29">
        <f>IF(Dataset!B53&lt;25,1,IF(Dataset!B53&lt;75,2,IF(Dataset!B53&lt;120,3,4)))</f>
        <v>3</v>
      </c>
      <c r="D53" s="29">
        <f t="shared" si="0"/>
        <v>1.9500000000000002</v>
      </c>
      <c r="E53" s="29">
        <f>IF(Dataset!C53&lt;=1,0.3,IF(Dataset!C53=2,0.4,IF(Dataset!C53=3,0.5,IF(Dataset!C53=4,0.65,0.8))))</f>
        <v>0.65</v>
      </c>
      <c r="F53" s="29">
        <f>IF(Dataset!C53&lt;=2,1,IF(Dataset!C53=3,2,IF(Dataset!C53=4,3,4)))</f>
        <v>3</v>
      </c>
      <c r="G53" s="29">
        <f t="shared" si="1"/>
        <v>1.9500000000000002</v>
      </c>
      <c r="H53" s="29">
        <f>IF(Dataset!G53&lt;=3,0.25,IF(Dataset!G53&lt;=6,0.45,IF(Dataset!G53&lt;=9,0.65,0.85)))</f>
        <v>0.65</v>
      </c>
      <c r="I53" s="29">
        <f>IF(Dataset!G53&lt;=3,1,IF(Dataset!G53&lt;=6,2,IF(Dataset!G53&lt;=9,3,4)))</f>
        <v>3</v>
      </c>
      <c r="J53" s="29">
        <f t="shared" si="2"/>
        <v>1.9500000000000002</v>
      </c>
      <c r="K53" s="29">
        <f>IF(Dataset!H53&lt;1,0.2,IF(Dataset!H53&lt;1.3,0.45,IF(Dataset!H53&lt;1.8,0.7,0.9)))</f>
        <v>0.7</v>
      </c>
      <c r="L53" s="29">
        <f>IF(Dataset!H53&lt;1,1,IF(Dataset!H53&lt;1.3,2,IF(Dataset!H53&lt;1.8,3,4)))</f>
        <v>3</v>
      </c>
      <c r="M53" s="29">
        <f t="shared" si="3"/>
        <v>2.0999999999999996</v>
      </c>
      <c r="N53" s="29">
        <f>IF(Dataset!F53=1,0.75,IF(Dataset!F53=2,0.45,0.2))</f>
        <v>0.75</v>
      </c>
      <c r="O53" s="29">
        <f>IF(Dataset!F53=1,3,IF(Dataset!F53=2,2,1))</f>
        <v>3</v>
      </c>
      <c r="P53" s="29">
        <f t="shared" si="4"/>
        <v>2.25</v>
      </c>
      <c r="Q53" s="29">
        <f>IF(Dataset!K53&lt;5,0.2,IF(Dataset!K53&lt;10,0.45,IF(Dataset!K53&lt;18,0.7,0.9)))</f>
        <v>0.7</v>
      </c>
      <c r="R53" s="29">
        <f>IF(Dataset!K53&lt;5,1,IF(Dataset!K53&lt;10,2,IF(Dataset!K53&lt;18,3,4)))</f>
        <v>3</v>
      </c>
      <c r="S53" s="29">
        <f t="shared" si="5"/>
        <v>2.0999999999999996</v>
      </c>
      <c r="T53" s="29">
        <f t="shared" si="6"/>
        <v>2.0370000000000004</v>
      </c>
      <c r="U53" s="29" t="str">
        <f t="shared" si="7"/>
        <v>High</v>
      </c>
    </row>
    <row r="54" spans="1:21" ht="15" customHeight="1" x14ac:dyDescent="0.25">
      <c r="A54" s="29">
        <f>Dataset!A54</f>
        <v>50</v>
      </c>
      <c r="B54" s="29">
        <f>IF(Dataset!B54&lt;25,0.3,IF(Dataset!B54&lt;75,0.5,IF(Dataset!B54&lt;120,0.65,0.8)))</f>
        <v>0.5</v>
      </c>
      <c r="C54" s="29">
        <f>IF(Dataset!B54&lt;25,1,IF(Dataset!B54&lt;75,2,IF(Dataset!B54&lt;120,3,4)))</f>
        <v>2</v>
      </c>
      <c r="D54" s="29">
        <f t="shared" si="0"/>
        <v>1</v>
      </c>
      <c r="E54" s="29">
        <f>IF(Dataset!C54&lt;=1,0.3,IF(Dataset!C54=2,0.4,IF(Dataset!C54=3,0.5,IF(Dataset!C54=4,0.65,0.8))))</f>
        <v>0.65</v>
      </c>
      <c r="F54" s="29">
        <f>IF(Dataset!C54&lt;=2,1,IF(Dataset!C54=3,2,IF(Dataset!C54=4,3,4)))</f>
        <v>3</v>
      </c>
      <c r="G54" s="29">
        <f t="shared" si="1"/>
        <v>1.9500000000000002</v>
      </c>
      <c r="H54" s="29">
        <f>IF(Dataset!G54&lt;=3,0.25,IF(Dataset!G54&lt;=6,0.45,IF(Dataset!G54&lt;=9,0.65,0.85)))</f>
        <v>0.45</v>
      </c>
      <c r="I54" s="29">
        <f>IF(Dataset!G54&lt;=3,1,IF(Dataset!G54&lt;=6,2,IF(Dataset!G54&lt;=9,3,4)))</f>
        <v>2</v>
      </c>
      <c r="J54" s="29">
        <f t="shared" si="2"/>
        <v>0.9</v>
      </c>
      <c r="K54" s="29">
        <f>IF(Dataset!H54&lt;1,0.2,IF(Dataset!H54&lt;1.3,0.45,IF(Dataset!H54&lt;1.8,0.7,0.9)))</f>
        <v>0.9</v>
      </c>
      <c r="L54" s="29">
        <f>IF(Dataset!H54&lt;1,1,IF(Dataset!H54&lt;1.3,2,IF(Dataset!H54&lt;1.8,3,4)))</f>
        <v>4</v>
      </c>
      <c r="M54" s="29">
        <f t="shared" si="3"/>
        <v>3.6</v>
      </c>
      <c r="N54" s="29">
        <f>IF(Dataset!F54=1,0.75,IF(Dataset!F54=2,0.45,0.2))</f>
        <v>0.45</v>
      </c>
      <c r="O54" s="29">
        <f>IF(Dataset!F54=1,3,IF(Dataset!F54=2,2,1))</f>
        <v>2</v>
      </c>
      <c r="P54" s="29">
        <f t="shared" si="4"/>
        <v>0.9</v>
      </c>
      <c r="Q54" s="29">
        <f>IF(Dataset!K54&lt;5,0.2,IF(Dataset!K54&lt;10,0.45,IF(Dataset!K54&lt;18,0.7,0.9)))</f>
        <v>0.7</v>
      </c>
      <c r="R54" s="29">
        <f>IF(Dataset!K54&lt;5,1,IF(Dataset!K54&lt;10,2,IF(Dataset!K54&lt;18,3,4)))</f>
        <v>3</v>
      </c>
      <c r="S54" s="29">
        <f t="shared" si="5"/>
        <v>2.0999999999999996</v>
      </c>
      <c r="T54" s="29">
        <f t="shared" si="6"/>
        <v>1.8810000000000002</v>
      </c>
      <c r="U54" s="29" t="str">
        <f t="shared" si="7"/>
        <v>High</v>
      </c>
    </row>
    <row r="55" spans="1:21" ht="15" customHeight="1" x14ac:dyDescent="0.25">
      <c r="A55" s="29">
        <f>Dataset!A55</f>
        <v>51</v>
      </c>
      <c r="B55" s="29">
        <f>IF(Dataset!B55&lt;25,0.3,IF(Dataset!B55&lt;75,0.5,IF(Dataset!B55&lt;120,0.65,0.8)))</f>
        <v>0.5</v>
      </c>
      <c r="C55" s="29">
        <f>IF(Dataset!B55&lt;25,1,IF(Dataset!B55&lt;75,2,IF(Dataset!B55&lt;120,3,4)))</f>
        <v>2</v>
      </c>
      <c r="D55" s="29">
        <f t="shared" si="0"/>
        <v>1</v>
      </c>
      <c r="E55" s="29">
        <f>IF(Dataset!C55&lt;=1,0.3,IF(Dataset!C55=2,0.4,IF(Dataset!C55=3,0.5,IF(Dataset!C55=4,0.65,0.8))))</f>
        <v>0.65</v>
      </c>
      <c r="F55" s="29">
        <f>IF(Dataset!C55&lt;=2,1,IF(Dataset!C55=3,2,IF(Dataset!C55=4,3,4)))</f>
        <v>3</v>
      </c>
      <c r="G55" s="29">
        <f t="shared" si="1"/>
        <v>1.9500000000000002</v>
      </c>
      <c r="H55" s="29">
        <f>IF(Dataset!G55&lt;=3,0.25,IF(Dataset!G55&lt;=6,0.45,IF(Dataset!G55&lt;=9,0.65,0.85)))</f>
        <v>0.25</v>
      </c>
      <c r="I55" s="29">
        <f>IF(Dataset!G55&lt;=3,1,IF(Dataset!G55&lt;=6,2,IF(Dataset!G55&lt;=9,3,4)))</f>
        <v>1</v>
      </c>
      <c r="J55" s="29">
        <f t="shared" si="2"/>
        <v>0.25</v>
      </c>
      <c r="K55" s="29">
        <f>IF(Dataset!H55&lt;1,0.2,IF(Dataset!H55&lt;1.3,0.45,IF(Dataset!H55&lt;1.8,0.7,0.9)))</f>
        <v>0.45</v>
      </c>
      <c r="L55" s="29">
        <f>IF(Dataset!H55&lt;1,1,IF(Dataset!H55&lt;1.3,2,IF(Dataset!H55&lt;1.8,3,4)))</f>
        <v>2</v>
      </c>
      <c r="M55" s="29">
        <f t="shared" si="3"/>
        <v>0.9</v>
      </c>
      <c r="N55" s="29">
        <f>IF(Dataset!F55=1,0.75,IF(Dataset!F55=2,0.45,0.2))</f>
        <v>0.45</v>
      </c>
      <c r="O55" s="29">
        <f>IF(Dataset!F55=1,3,IF(Dataset!F55=2,2,1))</f>
        <v>2</v>
      </c>
      <c r="P55" s="29">
        <f t="shared" si="4"/>
        <v>0.9</v>
      </c>
      <c r="Q55" s="29">
        <f>IF(Dataset!K55&lt;5,0.2,IF(Dataset!K55&lt;10,0.45,IF(Dataset!K55&lt;18,0.7,0.9)))</f>
        <v>0.45</v>
      </c>
      <c r="R55" s="29">
        <f>IF(Dataset!K55&lt;5,1,IF(Dataset!K55&lt;10,2,IF(Dataset!K55&lt;18,3,4)))</f>
        <v>2</v>
      </c>
      <c r="S55" s="29">
        <f t="shared" si="5"/>
        <v>0.9</v>
      </c>
      <c r="T55" s="29">
        <f t="shared" si="6"/>
        <v>0.93500000000000005</v>
      </c>
      <c r="U55" s="29" t="str">
        <f t="shared" si="7"/>
        <v>Low</v>
      </c>
    </row>
    <row r="56" spans="1:21" ht="15" customHeight="1" x14ac:dyDescent="0.25">
      <c r="A56" s="29">
        <f>Dataset!A56</f>
        <v>52</v>
      </c>
      <c r="B56" s="29">
        <f>IF(Dataset!B56&lt;25,0.3,IF(Dataset!B56&lt;75,0.5,IF(Dataset!B56&lt;120,0.65,0.8)))</f>
        <v>0.5</v>
      </c>
      <c r="C56" s="29">
        <f>IF(Dataset!B56&lt;25,1,IF(Dataset!B56&lt;75,2,IF(Dataset!B56&lt;120,3,4)))</f>
        <v>2</v>
      </c>
      <c r="D56" s="29">
        <f t="shared" si="0"/>
        <v>1</v>
      </c>
      <c r="E56" s="29">
        <f>IF(Dataset!C56&lt;=1,0.3,IF(Dataset!C56=2,0.4,IF(Dataset!C56=3,0.5,IF(Dataset!C56=4,0.65,0.8))))</f>
        <v>0.4</v>
      </c>
      <c r="F56" s="29">
        <f>IF(Dataset!C56&lt;=2,1,IF(Dataset!C56=3,2,IF(Dataset!C56=4,3,4)))</f>
        <v>1</v>
      </c>
      <c r="G56" s="29">
        <f t="shared" si="1"/>
        <v>0.4</v>
      </c>
      <c r="H56" s="29">
        <f>IF(Dataset!G56&lt;=3,0.25,IF(Dataset!G56&lt;=6,0.45,IF(Dataset!G56&lt;=9,0.65,0.85)))</f>
        <v>0.45</v>
      </c>
      <c r="I56" s="29">
        <f>IF(Dataset!G56&lt;=3,1,IF(Dataset!G56&lt;=6,2,IF(Dataset!G56&lt;=9,3,4)))</f>
        <v>2</v>
      </c>
      <c r="J56" s="29">
        <f t="shared" si="2"/>
        <v>0.9</v>
      </c>
      <c r="K56" s="29">
        <f>IF(Dataset!H56&lt;1,0.2,IF(Dataset!H56&lt;1.3,0.45,IF(Dataset!H56&lt;1.8,0.7,0.9)))</f>
        <v>0.9</v>
      </c>
      <c r="L56" s="29">
        <f>IF(Dataset!H56&lt;1,1,IF(Dataset!H56&lt;1.3,2,IF(Dataset!H56&lt;1.8,3,4)))</f>
        <v>4</v>
      </c>
      <c r="M56" s="29">
        <f t="shared" si="3"/>
        <v>3.6</v>
      </c>
      <c r="N56" s="29">
        <f>IF(Dataset!F56=1,0.75,IF(Dataset!F56=2,0.45,0.2))</f>
        <v>0.75</v>
      </c>
      <c r="O56" s="29">
        <f>IF(Dataset!F56=1,3,IF(Dataset!F56=2,2,1))</f>
        <v>3</v>
      </c>
      <c r="P56" s="29">
        <f t="shared" si="4"/>
        <v>2.25</v>
      </c>
      <c r="Q56" s="29">
        <f>IF(Dataset!K56&lt;5,0.2,IF(Dataset!K56&lt;10,0.45,IF(Dataset!K56&lt;18,0.7,0.9)))</f>
        <v>0.45</v>
      </c>
      <c r="R56" s="29">
        <f>IF(Dataset!K56&lt;5,1,IF(Dataset!K56&lt;10,2,IF(Dataset!K56&lt;18,3,4)))</f>
        <v>2</v>
      </c>
      <c r="S56" s="29">
        <f t="shared" si="5"/>
        <v>0.9</v>
      </c>
      <c r="T56" s="29">
        <f t="shared" si="6"/>
        <v>1.6310000000000002</v>
      </c>
      <c r="U56" s="29" t="str">
        <f t="shared" si="7"/>
        <v>Medium</v>
      </c>
    </row>
    <row r="57" spans="1:21" ht="15" customHeight="1" x14ac:dyDescent="0.25">
      <c r="A57" s="29">
        <f>Dataset!A57</f>
        <v>53</v>
      </c>
      <c r="B57" s="29">
        <f>IF(Dataset!B57&lt;25,0.3,IF(Dataset!B57&lt;75,0.5,IF(Dataset!B57&lt;120,0.65,0.8)))</f>
        <v>0.3</v>
      </c>
      <c r="C57" s="29">
        <f>IF(Dataset!B57&lt;25,1,IF(Dataset!B57&lt;75,2,IF(Dataset!B57&lt;120,3,4)))</f>
        <v>1</v>
      </c>
      <c r="D57" s="29">
        <f t="shared" si="0"/>
        <v>0.3</v>
      </c>
      <c r="E57" s="29">
        <f>IF(Dataset!C57&lt;=1,0.3,IF(Dataset!C57=2,0.4,IF(Dataset!C57=3,0.5,IF(Dataset!C57=4,0.65,0.8))))</f>
        <v>0.4</v>
      </c>
      <c r="F57" s="29">
        <f>IF(Dataset!C57&lt;=2,1,IF(Dataset!C57=3,2,IF(Dataset!C57=4,3,4)))</f>
        <v>1</v>
      </c>
      <c r="G57" s="29">
        <f t="shared" si="1"/>
        <v>0.4</v>
      </c>
      <c r="H57" s="29">
        <f>IF(Dataset!G57&lt;=3,0.25,IF(Dataset!G57&lt;=6,0.45,IF(Dataset!G57&lt;=9,0.65,0.85)))</f>
        <v>0.65</v>
      </c>
      <c r="I57" s="29">
        <f>IF(Dataset!G57&lt;=3,1,IF(Dataset!G57&lt;=6,2,IF(Dataset!G57&lt;=9,3,4)))</f>
        <v>3</v>
      </c>
      <c r="J57" s="29">
        <f t="shared" si="2"/>
        <v>1.9500000000000002</v>
      </c>
      <c r="K57" s="29">
        <f>IF(Dataset!H57&lt;1,0.2,IF(Dataset!H57&lt;1.3,0.45,IF(Dataset!H57&lt;1.8,0.7,0.9)))</f>
        <v>0.7</v>
      </c>
      <c r="L57" s="29">
        <f>IF(Dataset!H57&lt;1,1,IF(Dataset!H57&lt;1.3,2,IF(Dataset!H57&lt;1.8,3,4)))</f>
        <v>3</v>
      </c>
      <c r="M57" s="29">
        <f t="shared" si="3"/>
        <v>2.0999999999999996</v>
      </c>
      <c r="N57" s="29">
        <f>IF(Dataset!F57=1,0.75,IF(Dataset!F57=2,0.45,0.2))</f>
        <v>0.2</v>
      </c>
      <c r="O57" s="29">
        <f>IF(Dataset!F57=1,3,IF(Dataset!F57=2,2,1))</f>
        <v>1</v>
      </c>
      <c r="P57" s="29">
        <f t="shared" si="4"/>
        <v>0.2</v>
      </c>
      <c r="Q57" s="29">
        <f>IF(Dataset!K57&lt;5,0.2,IF(Dataset!K57&lt;10,0.45,IF(Dataset!K57&lt;18,0.7,0.9)))</f>
        <v>0.2</v>
      </c>
      <c r="R57" s="29">
        <f>IF(Dataset!K57&lt;5,1,IF(Dataset!K57&lt;10,2,IF(Dataset!K57&lt;18,3,4)))</f>
        <v>1</v>
      </c>
      <c r="S57" s="29">
        <f t="shared" si="5"/>
        <v>0.2</v>
      </c>
      <c r="T57" s="29">
        <f t="shared" si="6"/>
        <v>1.052</v>
      </c>
      <c r="U57" s="29" t="str">
        <f t="shared" si="7"/>
        <v>Low</v>
      </c>
    </row>
    <row r="58" spans="1:21" ht="15" customHeight="1" x14ac:dyDescent="0.25">
      <c r="A58" s="29">
        <f>Dataset!A58</f>
        <v>54</v>
      </c>
      <c r="B58" s="29">
        <f>IF(Dataset!B58&lt;25,0.3,IF(Dataset!B58&lt;75,0.5,IF(Dataset!B58&lt;120,0.65,0.8)))</f>
        <v>0.65</v>
      </c>
      <c r="C58" s="29">
        <f>IF(Dataset!B58&lt;25,1,IF(Dataset!B58&lt;75,2,IF(Dataset!B58&lt;120,3,4)))</f>
        <v>3</v>
      </c>
      <c r="D58" s="29">
        <f t="shared" si="0"/>
        <v>1.9500000000000002</v>
      </c>
      <c r="E58" s="29">
        <f>IF(Dataset!C58&lt;=1,0.3,IF(Dataset!C58=2,0.4,IF(Dataset!C58=3,0.5,IF(Dataset!C58=4,0.65,0.8))))</f>
        <v>0.3</v>
      </c>
      <c r="F58" s="29">
        <f>IF(Dataset!C58&lt;=2,1,IF(Dataset!C58=3,2,IF(Dataset!C58=4,3,4)))</f>
        <v>1</v>
      </c>
      <c r="G58" s="29">
        <f t="shared" si="1"/>
        <v>0.3</v>
      </c>
      <c r="H58" s="29">
        <f>IF(Dataset!G58&lt;=3,0.25,IF(Dataset!G58&lt;=6,0.45,IF(Dataset!G58&lt;=9,0.65,0.85)))</f>
        <v>0.85</v>
      </c>
      <c r="I58" s="29">
        <f>IF(Dataset!G58&lt;=3,1,IF(Dataset!G58&lt;=6,2,IF(Dataset!G58&lt;=9,3,4)))</f>
        <v>4</v>
      </c>
      <c r="J58" s="29">
        <f t="shared" si="2"/>
        <v>3.4</v>
      </c>
      <c r="K58" s="29">
        <f>IF(Dataset!H58&lt;1,0.2,IF(Dataset!H58&lt;1.3,0.45,IF(Dataset!H58&lt;1.8,0.7,0.9)))</f>
        <v>0.2</v>
      </c>
      <c r="L58" s="29">
        <f>IF(Dataset!H58&lt;1,1,IF(Dataset!H58&lt;1.3,2,IF(Dataset!H58&lt;1.8,3,4)))</f>
        <v>1</v>
      </c>
      <c r="M58" s="29">
        <f t="shared" si="3"/>
        <v>0.2</v>
      </c>
      <c r="N58" s="29">
        <f>IF(Dataset!F58=1,0.75,IF(Dataset!F58=2,0.45,0.2))</f>
        <v>0.75</v>
      </c>
      <c r="O58" s="29">
        <f>IF(Dataset!F58=1,3,IF(Dataset!F58=2,2,1))</f>
        <v>3</v>
      </c>
      <c r="P58" s="29">
        <f t="shared" si="4"/>
        <v>2.25</v>
      </c>
      <c r="Q58" s="29">
        <f>IF(Dataset!K58&lt;5,0.2,IF(Dataset!K58&lt;10,0.45,IF(Dataset!K58&lt;18,0.7,0.9)))</f>
        <v>0.2</v>
      </c>
      <c r="R58" s="29">
        <f>IF(Dataset!K58&lt;5,1,IF(Dataset!K58&lt;10,2,IF(Dataset!K58&lt;18,3,4)))</f>
        <v>1</v>
      </c>
      <c r="S58" s="29">
        <f t="shared" si="5"/>
        <v>0.2</v>
      </c>
      <c r="T58" s="29">
        <f t="shared" si="6"/>
        <v>1.3740000000000001</v>
      </c>
      <c r="U58" s="29" t="str">
        <f t="shared" si="7"/>
        <v>Medium</v>
      </c>
    </row>
    <row r="59" spans="1:21" ht="15" customHeight="1" x14ac:dyDescent="0.25">
      <c r="A59" s="29">
        <f>Dataset!A59</f>
        <v>55</v>
      </c>
      <c r="B59" s="29">
        <f>IF(Dataset!B59&lt;25,0.3,IF(Dataset!B59&lt;75,0.5,IF(Dataset!B59&lt;120,0.65,0.8)))</f>
        <v>0.65</v>
      </c>
      <c r="C59" s="29">
        <f>IF(Dataset!B59&lt;25,1,IF(Dataset!B59&lt;75,2,IF(Dataset!B59&lt;120,3,4)))</f>
        <v>3</v>
      </c>
      <c r="D59" s="29">
        <f t="shared" si="0"/>
        <v>1.9500000000000002</v>
      </c>
      <c r="E59" s="29">
        <f>IF(Dataset!C59&lt;=1,0.3,IF(Dataset!C59=2,0.4,IF(Dataset!C59=3,0.5,IF(Dataset!C59=4,0.65,0.8))))</f>
        <v>0.65</v>
      </c>
      <c r="F59" s="29">
        <f>IF(Dataset!C59&lt;=2,1,IF(Dataset!C59=3,2,IF(Dataset!C59=4,3,4)))</f>
        <v>3</v>
      </c>
      <c r="G59" s="29">
        <f t="shared" si="1"/>
        <v>1.9500000000000002</v>
      </c>
      <c r="H59" s="29">
        <f>IF(Dataset!G59&lt;=3,0.25,IF(Dataset!G59&lt;=6,0.45,IF(Dataset!G59&lt;=9,0.65,0.85)))</f>
        <v>0.45</v>
      </c>
      <c r="I59" s="29">
        <f>IF(Dataset!G59&lt;=3,1,IF(Dataset!G59&lt;=6,2,IF(Dataset!G59&lt;=9,3,4)))</f>
        <v>2</v>
      </c>
      <c r="J59" s="29">
        <f t="shared" si="2"/>
        <v>0.9</v>
      </c>
      <c r="K59" s="29">
        <f>IF(Dataset!H59&lt;1,0.2,IF(Dataset!H59&lt;1.3,0.45,IF(Dataset!H59&lt;1.8,0.7,0.9)))</f>
        <v>0.9</v>
      </c>
      <c r="L59" s="29">
        <f>IF(Dataset!H59&lt;1,1,IF(Dataset!H59&lt;1.3,2,IF(Dataset!H59&lt;1.8,3,4)))</f>
        <v>4</v>
      </c>
      <c r="M59" s="29">
        <f t="shared" si="3"/>
        <v>3.6</v>
      </c>
      <c r="N59" s="29">
        <f>IF(Dataset!F59=1,0.75,IF(Dataset!F59=2,0.45,0.2))</f>
        <v>0.45</v>
      </c>
      <c r="O59" s="29">
        <f>IF(Dataset!F59=1,3,IF(Dataset!F59=2,2,1))</f>
        <v>2</v>
      </c>
      <c r="P59" s="29">
        <f t="shared" si="4"/>
        <v>0.9</v>
      </c>
      <c r="Q59" s="29">
        <f>IF(Dataset!K59&lt;5,0.2,IF(Dataset!K59&lt;10,0.45,IF(Dataset!K59&lt;18,0.7,0.9)))</f>
        <v>0.7</v>
      </c>
      <c r="R59" s="29">
        <f>IF(Dataset!K59&lt;5,1,IF(Dataset!K59&lt;10,2,IF(Dataset!K59&lt;18,3,4)))</f>
        <v>3</v>
      </c>
      <c r="S59" s="29">
        <f t="shared" si="5"/>
        <v>2.0999999999999996</v>
      </c>
      <c r="T59" s="29">
        <f t="shared" si="6"/>
        <v>2.052</v>
      </c>
      <c r="U59" s="29" t="str">
        <f t="shared" si="7"/>
        <v>High</v>
      </c>
    </row>
    <row r="60" spans="1:21" ht="15" customHeight="1" x14ac:dyDescent="0.25">
      <c r="A60" s="29">
        <f>Dataset!A60</f>
        <v>56</v>
      </c>
      <c r="B60" s="29">
        <f>IF(Dataset!B60&lt;25,0.3,IF(Dataset!B60&lt;75,0.5,IF(Dataset!B60&lt;120,0.65,0.8)))</f>
        <v>0.5</v>
      </c>
      <c r="C60" s="29">
        <f>IF(Dataset!B60&lt;25,1,IF(Dataset!B60&lt;75,2,IF(Dataset!B60&lt;120,3,4)))</f>
        <v>2</v>
      </c>
      <c r="D60" s="29">
        <f t="shared" si="0"/>
        <v>1</v>
      </c>
      <c r="E60" s="29">
        <f>IF(Dataset!C60&lt;=1,0.3,IF(Dataset!C60=2,0.4,IF(Dataset!C60=3,0.5,IF(Dataset!C60=4,0.65,0.8))))</f>
        <v>0.8</v>
      </c>
      <c r="F60" s="29">
        <f>IF(Dataset!C60&lt;=2,1,IF(Dataset!C60=3,2,IF(Dataset!C60=4,3,4)))</f>
        <v>4</v>
      </c>
      <c r="G60" s="29">
        <f t="shared" si="1"/>
        <v>3.2</v>
      </c>
      <c r="H60" s="29">
        <f>IF(Dataset!G60&lt;=3,0.25,IF(Dataset!G60&lt;=6,0.45,IF(Dataset!G60&lt;=9,0.65,0.85)))</f>
        <v>0.45</v>
      </c>
      <c r="I60" s="29">
        <f>IF(Dataset!G60&lt;=3,1,IF(Dataset!G60&lt;=6,2,IF(Dataset!G60&lt;=9,3,4)))</f>
        <v>2</v>
      </c>
      <c r="J60" s="29">
        <f t="shared" si="2"/>
        <v>0.9</v>
      </c>
      <c r="K60" s="29">
        <f>IF(Dataset!H60&lt;1,0.2,IF(Dataset!H60&lt;1.3,0.45,IF(Dataset!H60&lt;1.8,0.7,0.9)))</f>
        <v>0.45</v>
      </c>
      <c r="L60" s="29">
        <f>IF(Dataset!H60&lt;1,1,IF(Dataset!H60&lt;1.3,2,IF(Dataset!H60&lt;1.8,3,4)))</f>
        <v>2</v>
      </c>
      <c r="M60" s="29">
        <f t="shared" si="3"/>
        <v>0.9</v>
      </c>
      <c r="N60" s="29">
        <f>IF(Dataset!F60=1,0.75,IF(Dataset!F60=2,0.45,0.2))</f>
        <v>0.45</v>
      </c>
      <c r="O60" s="29">
        <f>IF(Dataset!F60=1,3,IF(Dataset!F60=2,2,1))</f>
        <v>2</v>
      </c>
      <c r="P60" s="29">
        <f t="shared" si="4"/>
        <v>0.9</v>
      </c>
      <c r="Q60" s="29">
        <f>IF(Dataset!K60&lt;5,0.2,IF(Dataset!K60&lt;10,0.45,IF(Dataset!K60&lt;18,0.7,0.9)))</f>
        <v>0.7</v>
      </c>
      <c r="R60" s="29">
        <f>IF(Dataset!K60&lt;5,1,IF(Dataset!K60&lt;10,2,IF(Dataset!K60&lt;18,3,4)))</f>
        <v>3</v>
      </c>
      <c r="S60" s="29">
        <f t="shared" si="5"/>
        <v>2.0999999999999996</v>
      </c>
      <c r="T60" s="29">
        <f t="shared" si="6"/>
        <v>1.4080000000000004</v>
      </c>
      <c r="U60" s="29" t="str">
        <f t="shared" si="7"/>
        <v>Medium</v>
      </c>
    </row>
    <row r="61" spans="1:21" ht="15" customHeight="1" x14ac:dyDescent="0.25">
      <c r="A61" s="29">
        <f>Dataset!A61</f>
        <v>57</v>
      </c>
      <c r="B61" s="29">
        <f>IF(Dataset!B61&lt;25,0.3,IF(Dataset!B61&lt;75,0.5,IF(Dataset!B61&lt;120,0.65,0.8)))</f>
        <v>0.5</v>
      </c>
      <c r="C61" s="29">
        <f>IF(Dataset!B61&lt;25,1,IF(Dataset!B61&lt;75,2,IF(Dataset!B61&lt;120,3,4)))</f>
        <v>2</v>
      </c>
      <c r="D61" s="29">
        <f t="shared" si="0"/>
        <v>1</v>
      </c>
      <c r="E61" s="29">
        <f>IF(Dataset!C61&lt;=1,0.3,IF(Dataset!C61=2,0.4,IF(Dataset!C61=3,0.5,IF(Dataset!C61=4,0.65,0.8))))</f>
        <v>0.65</v>
      </c>
      <c r="F61" s="29">
        <f>IF(Dataset!C61&lt;=2,1,IF(Dataset!C61=3,2,IF(Dataset!C61=4,3,4)))</f>
        <v>3</v>
      </c>
      <c r="G61" s="29">
        <f t="shared" si="1"/>
        <v>1.9500000000000002</v>
      </c>
      <c r="H61" s="29">
        <f>IF(Dataset!G61&lt;=3,0.25,IF(Dataset!G61&lt;=6,0.45,IF(Dataset!G61&lt;=9,0.65,0.85)))</f>
        <v>0.45</v>
      </c>
      <c r="I61" s="29">
        <f>IF(Dataset!G61&lt;=3,1,IF(Dataset!G61&lt;=6,2,IF(Dataset!G61&lt;=9,3,4)))</f>
        <v>2</v>
      </c>
      <c r="J61" s="29">
        <f t="shared" si="2"/>
        <v>0.9</v>
      </c>
      <c r="K61" s="29">
        <f>IF(Dataset!H61&lt;1,0.2,IF(Dataset!H61&lt;1.3,0.45,IF(Dataset!H61&lt;1.8,0.7,0.9)))</f>
        <v>0.45</v>
      </c>
      <c r="L61" s="29">
        <f>IF(Dataset!H61&lt;1,1,IF(Dataset!H61&lt;1.3,2,IF(Dataset!H61&lt;1.8,3,4)))</f>
        <v>2</v>
      </c>
      <c r="M61" s="29">
        <f t="shared" si="3"/>
        <v>0.9</v>
      </c>
      <c r="N61" s="29">
        <f>IF(Dataset!F61=1,0.75,IF(Dataset!F61=2,0.45,0.2))</f>
        <v>0.45</v>
      </c>
      <c r="O61" s="29">
        <f>IF(Dataset!F61=1,3,IF(Dataset!F61=2,2,1))</f>
        <v>2</v>
      </c>
      <c r="P61" s="29">
        <f t="shared" si="4"/>
        <v>0.9</v>
      </c>
      <c r="Q61" s="29">
        <f>IF(Dataset!K61&lt;5,0.2,IF(Dataset!K61&lt;10,0.45,IF(Dataset!K61&lt;18,0.7,0.9)))</f>
        <v>0.45</v>
      </c>
      <c r="R61" s="29">
        <f>IF(Dataset!K61&lt;5,1,IF(Dataset!K61&lt;10,2,IF(Dataset!K61&lt;18,3,4)))</f>
        <v>2</v>
      </c>
      <c r="S61" s="29">
        <f t="shared" si="5"/>
        <v>0.9</v>
      </c>
      <c r="T61" s="29">
        <f t="shared" si="6"/>
        <v>1.0650000000000002</v>
      </c>
      <c r="U61" s="29" t="str">
        <f t="shared" si="7"/>
        <v>Low</v>
      </c>
    </row>
    <row r="62" spans="1:21" ht="15" customHeight="1" x14ac:dyDescent="0.25">
      <c r="A62" s="29">
        <f>Dataset!A62</f>
        <v>58</v>
      </c>
      <c r="B62" s="29">
        <f>IF(Dataset!B62&lt;25,0.3,IF(Dataset!B62&lt;75,0.5,IF(Dataset!B62&lt;120,0.65,0.8)))</f>
        <v>0.5</v>
      </c>
      <c r="C62" s="29">
        <f>IF(Dataset!B62&lt;25,1,IF(Dataset!B62&lt;75,2,IF(Dataset!B62&lt;120,3,4)))</f>
        <v>2</v>
      </c>
      <c r="D62" s="29">
        <f t="shared" si="0"/>
        <v>1</v>
      </c>
      <c r="E62" s="29">
        <f>IF(Dataset!C62&lt;=1,0.3,IF(Dataset!C62=2,0.4,IF(Dataset!C62=3,0.5,IF(Dataset!C62=4,0.65,0.8))))</f>
        <v>0.65</v>
      </c>
      <c r="F62" s="29">
        <f>IF(Dataset!C62&lt;=2,1,IF(Dataset!C62=3,2,IF(Dataset!C62=4,3,4)))</f>
        <v>3</v>
      </c>
      <c r="G62" s="29">
        <f t="shared" si="1"/>
        <v>1.9500000000000002</v>
      </c>
      <c r="H62" s="29">
        <f>IF(Dataset!G62&lt;=3,0.25,IF(Dataset!G62&lt;=6,0.45,IF(Dataset!G62&lt;=9,0.65,0.85)))</f>
        <v>0.65</v>
      </c>
      <c r="I62" s="29">
        <f>IF(Dataset!G62&lt;=3,1,IF(Dataset!G62&lt;=6,2,IF(Dataset!G62&lt;=9,3,4)))</f>
        <v>3</v>
      </c>
      <c r="J62" s="29">
        <f t="shared" si="2"/>
        <v>1.9500000000000002</v>
      </c>
      <c r="K62" s="29">
        <f>IF(Dataset!H62&lt;1,0.2,IF(Dataset!H62&lt;1.3,0.45,IF(Dataset!H62&lt;1.8,0.7,0.9)))</f>
        <v>0.7</v>
      </c>
      <c r="L62" s="29">
        <f>IF(Dataset!H62&lt;1,1,IF(Dataset!H62&lt;1.3,2,IF(Dataset!H62&lt;1.8,3,4)))</f>
        <v>3</v>
      </c>
      <c r="M62" s="29">
        <f t="shared" si="3"/>
        <v>2.0999999999999996</v>
      </c>
      <c r="N62" s="29">
        <f>IF(Dataset!F62=1,0.75,IF(Dataset!F62=2,0.45,0.2))</f>
        <v>0.2</v>
      </c>
      <c r="O62" s="29">
        <f>IF(Dataset!F62=1,3,IF(Dataset!F62=2,2,1))</f>
        <v>1</v>
      </c>
      <c r="P62" s="29">
        <f t="shared" si="4"/>
        <v>0.2</v>
      </c>
      <c r="Q62" s="29">
        <f>IF(Dataset!K62&lt;5,0.2,IF(Dataset!K62&lt;10,0.45,IF(Dataset!K62&lt;18,0.7,0.9)))</f>
        <v>0.7</v>
      </c>
      <c r="R62" s="29">
        <f>IF(Dataset!K62&lt;5,1,IF(Dataset!K62&lt;10,2,IF(Dataset!K62&lt;18,3,4)))</f>
        <v>3</v>
      </c>
      <c r="S62" s="29">
        <f t="shared" si="5"/>
        <v>2.0999999999999996</v>
      </c>
      <c r="T62" s="29">
        <f t="shared" si="6"/>
        <v>1.661</v>
      </c>
      <c r="U62" s="29" t="str">
        <f t="shared" si="7"/>
        <v>Medium</v>
      </c>
    </row>
    <row r="63" spans="1:21" ht="15" customHeight="1" x14ac:dyDescent="0.25">
      <c r="A63" s="29">
        <f>Dataset!A63</f>
        <v>59</v>
      </c>
      <c r="B63" s="29">
        <f>IF(Dataset!B63&lt;25,0.3,IF(Dataset!B63&lt;75,0.5,IF(Dataset!B63&lt;120,0.65,0.8)))</f>
        <v>0.8</v>
      </c>
      <c r="C63" s="29">
        <f>IF(Dataset!B63&lt;25,1,IF(Dataset!B63&lt;75,2,IF(Dataset!B63&lt;120,3,4)))</f>
        <v>4</v>
      </c>
      <c r="D63" s="29">
        <f t="shared" si="0"/>
        <v>3.2</v>
      </c>
      <c r="E63" s="29">
        <f>IF(Dataset!C63&lt;=1,0.3,IF(Dataset!C63=2,0.4,IF(Dataset!C63=3,0.5,IF(Dataset!C63=4,0.65,0.8))))</f>
        <v>0.8</v>
      </c>
      <c r="F63" s="29">
        <f>IF(Dataset!C63&lt;=2,1,IF(Dataset!C63=3,2,IF(Dataset!C63=4,3,4)))</f>
        <v>4</v>
      </c>
      <c r="G63" s="29">
        <f t="shared" si="1"/>
        <v>3.2</v>
      </c>
      <c r="H63" s="29">
        <f>IF(Dataset!G63&lt;=3,0.25,IF(Dataset!G63&lt;=6,0.45,IF(Dataset!G63&lt;=9,0.65,0.85)))</f>
        <v>0.45</v>
      </c>
      <c r="I63" s="29">
        <f>IF(Dataset!G63&lt;=3,1,IF(Dataset!G63&lt;=6,2,IF(Dataset!G63&lt;=9,3,4)))</f>
        <v>2</v>
      </c>
      <c r="J63" s="29">
        <f t="shared" si="2"/>
        <v>0.9</v>
      </c>
      <c r="K63" s="29">
        <f>IF(Dataset!H63&lt;1,0.2,IF(Dataset!H63&lt;1.3,0.45,IF(Dataset!H63&lt;1.8,0.7,0.9)))</f>
        <v>0.7</v>
      </c>
      <c r="L63" s="29">
        <f>IF(Dataset!H63&lt;1,1,IF(Dataset!H63&lt;1.3,2,IF(Dataset!H63&lt;1.8,3,4)))</f>
        <v>3</v>
      </c>
      <c r="M63" s="29">
        <f t="shared" si="3"/>
        <v>2.0999999999999996</v>
      </c>
      <c r="N63" s="29">
        <f>IF(Dataset!F63=1,0.75,IF(Dataset!F63=2,0.45,0.2))</f>
        <v>0.75</v>
      </c>
      <c r="O63" s="29">
        <f>IF(Dataset!F63=1,3,IF(Dataset!F63=2,2,1))</f>
        <v>3</v>
      </c>
      <c r="P63" s="29">
        <f t="shared" si="4"/>
        <v>2.25</v>
      </c>
      <c r="Q63" s="29">
        <f>IF(Dataset!K63&lt;5,0.2,IF(Dataset!K63&lt;10,0.45,IF(Dataset!K63&lt;18,0.7,0.9)))</f>
        <v>0.7</v>
      </c>
      <c r="R63" s="29">
        <f>IF(Dataset!K63&lt;5,1,IF(Dataset!K63&lt;10,2,IF(Dataset!K63&lt;18,3,4)))</f>
        <v>3</v>
      </c>
      <c r="S63" s="29">
        <f t="shared" si="5"/>
        <v>2.0999999999999996</v>
      </c>
      <c r="T63" s="29">
        <f t="shared" si="6"/>
        <v>2.2269999999999999</v>
      </c>
      <c r="U63" s="29" t="str">
        <f t="shared" si="7"/>
        <v>High</v>
      </c>
    </row>
    <row r="64" spans="1:21" ht="15" customHeight="1" x14ac:dyDescent="0.25">
      <c r="A64" s="29">
        <f>Dataset!A64</f>
        <v>60</v>
      </c>
      <c r="B64" s="29">
        <f>IF(Dataset!B64&lt;25,0.3,IF(Dataset!B64&lt;75,0.5,IF(Dataset!B64&lt;120,0.65,0.8)))</f>
        <v>0.3</v>
      </c>
      <c r="C64" s="29">
        <f>IF(Dataset!B64&lt;25,1,IF(Dataset!B64&lt;75,2,IF(Dataset!B64&lt;120,3,4)))</f>
        <v>1</v>
      </c>
      <c r="D64" s="29">
        <f t="shared" si="0"/>
        <v>0.3</v>
      </c>
      <c r="E64" s="29">
        <f>IF(Dataset!C64&lt;=1,0.3,IF(Dataset!C64=2,0.4,IF(Dataset!C64=3,0.5,IF(Dataset!C64=4,0.65,0.8))))</f>
        <v>0.65</v>
      </c>
      <c r="F64" s="29">
        <f>IF(Dataset!C64&lt;=2,1,IF(Dataset!C64=3,2,IF(Dataset!C64=4,3,4)))</f>
        <v>3</v>
      </c>
      <c r="G64" s="29">
        <f t="shared" si="1"/>
        <v>1.9500000000000002</v>
      </c>
      <c r="H64" s="29">
        <f>IF(Dataset!G64&lt;=3,0.25,IF(Dataset!G64&lt;=6,0.45,IF(Dataset!G64&lt;=9,0.65,0.85)))</f>
        <v>0.45</v>
      </c>
      <c r="I64" s="29">
        <f>IF(Dataset!G64&lt;=3,1,IF(Dataset!G64&lt;=6,2,IF(Dataset!G64&lt;=9,3,4)))</f>
        <v>2</v>
      </c>
      <c r="J64" s="29">
        <f t="shared" si="2"/>
        <v>0.9</v>
      </c>
      <c r="K64" s="29">
        <f>IF(Dataset!H64&lt;1,0.2,IF(Dataset!H64&lt;1.3,0.45,IF(Dataset!H64&lt;1.8,0.7,0.9)))</f>
        <v>0.9</v>
      </c>
      <c r="L64" s="29">
        <f>IF(Dataset!H64&lt;1,1,IF(Dataset!H64&lt;1.3,2,IF(Dataset!H64&lt;1.8,3,4)))</f>
        <v>4</v>
      </c>
      <c r="M64" s="29">
        <f t="shared" si="3"/>
        <v>3.6</v>
      </c>
      <c r="N64" s="29">
        <f>IF(Dataset!F64=1,0.75,IF(Dataset!F64=2,0.45,0.2))</f>
        <v>0.2</v>
      </c>
      <c r="O64" s="29">
        <f>IF(Dataset!F64=1,3,IF(Dataset!F64=2,2,1))</f>
        <v>1</v>
      </c>
      <c r="P64" s="29">
        <f t="shared" si="4"/>
        <v>0.2</v>
      </c>
      <c r="Q64" s="29">
        <f>IF(Dataset!K64&lt;5,0.2,IF(Dataset!K64&lt;10,0.45,IF(Dataset!K64&lt;18,0.7,0.9)))</f>
        <v>0.45</v>
      </c>
      <c r="R64" s="29">
        <f>IF(Dataset!K64&lt;5,1,IF(Dataset!K64&lt;10,2,IF(Dataset!K64&lt;18,3,4)))</f>
        <v>2</v>
      </c>
      <c r="S64" s="29">
        <f t="shared" si="5"/>
        <v>0.9</v>
      </c>
      <c r="T64" s="29">
        <f t="shared" si="6"/>
        <v>1.5170000000000001</v>
      </c>
      <c r="U64" s="29" t="str">
        <f t="shared" si="7"/>
        <v>Medium</v>
      </c>
    </row>
    <row r="65" spans="1:21" ht="15" customHeight="1" x14ac:dyDescent="0.25">
      <c r="A65" s="29">
        <f>Dataset!A65</f>
        <v>61</v>
      </c>
      <c r="B65" s="29">
        <f>IF(Dataset!B65&lt;25,0.3,IF(Dataset!B65&lt;75,0.5,IF(Dataset!B65&lt;120,0.65,0.8)))</f>
        <v>0.5</v>
      </c>
      <c r="C65" s="29">
        <f>IF(Dataset!B65&lt;25,1,IF(Dataset!B65&lt;75,2,IF(Dataset!B65&lt;120,3,4)))</f>
        <v>2</v>
      </c>
      <c r="D65" s="29">
        <f t="shared" si="0"/>
        <v>1</v>
      </c>
      <c r="E65" s="29">
        <f>IF(Dataset!C65&lt;=1,0.3,IF(Dataset!C65=2,0.4,IF(Dataset!C65=3,0.5,IF(Dataset!C65=4,0.65,0.8))))</f>
        <v>0.3</v>
      </c>
      <c r="F65" s="29">
        <f>IF(Dataset!C65&lt;=2,1,IF(Dataset!C65=3,2,IF(Dataset!C65=4,3,4)))</f>
        <v>1</v>
      </c>
      <c r="G65" s="29">
        <f t="shared" si="1"/>
        <v>0.3</v>
      </c>
      <c r="H65" s="29">
        <f>IF(Dataset!G65&lt;=3,0.25,IF(Dataset!G65&lt;=6,0.45,IF(Dataset!G65&lt;=9,0.65,0.85)))</f>
        <v>0.85</v>
      </c>
      <c r="I65" s="29">
        <f>IF(Dataset!G65&lt;=3,1,IF(Dataset!G65&lt;=6,2,IF(Dataset!G65&lt;=9,3,4)))</f>
        <v>4</v>
      </c>
      <c r="J65" s="29">
        <f t="shared" si="2"/>
        <v>3.4</v>
      </c>
      <c r="K65" s="29">
        <f>IF(Dataset!H65&lt;1,0.2,IF(Dataset!H65&lt;1.3,0.45,IF(Dataset!H65&lt;1.8,0.7,0.9)))</f>
        <v>0.9</v>
      </c>
      <c r="L65" s="29">
        <f>IF(Dataset!H65&lt;1,1,IF(Dataset!H65&lt;1.3,2,IF(Dataset!H65&lt;1.8,3,4)))</f>
        <v>4</v>
      </c>
      <c r="M65" s="29">
        <f t="shared" si="3"/>
        <v>3.6</v>
      </c>
      <c r="N65" s="29">
        <f>IF(Dataset!F65=1,0.75,IF(Dataset!F65=2,0.45,0.2))</f>
        <v>0.45</v>
      </c>
      <c r="O65" s="29">
        <f>IF(Dataset!F65=1,3,IF(Dataset!F65=2,2,1))</f>
        <v>2</v>
      </c>
      <c r="P65" s="29">
        <f t="shared" si="4"/>
        <v>0.9</v>
      </c>
      <c r="Q65" s="29">
        <f>IF(Dataset!K65&lt;5,0.2,IF(Dataset!K65&lt;10,0.45,IF(Dataset!K65&lt;18,0.7,0.9)))</f>
        <v>0.2</v>
      </c>
      <c r="R65" s="29">
        <f>IF(Dataset!K65&lt;5,1,IF(Dataset!K65&lt;10,2,IF(Dataset!K65&lt;18,3,4)))</f>
        <v>1</v>
      </c>
      <c r="S65" s="29">
        <f t="shared" si="5"/>
        <v>0.2</v>
      </c>
      <c r="T65" s="29">
        <f t="shared" si="6"/>
        <v>1.8840000000000001</v>
      </c>
      <c r="U65" s="29" t="str">
        <f t="shared" si="7"/>
        <v>High</v>
      </c>
    </row>
    <row r="66" spans="1:21" ht="15" customHeight="1" x14ac:dyDescent="0.25">
      <c r="A66" s="29">
        <f>Dataset!A66</f>
        <v>62</v>
      </c>
      <c r="B66" s="29">
        <f>IF(Dataset!B66&lt;25,0.3,IF(Dataset!B66&lt;75,0.5,IF(Dataset!B66&lt;120,0.65,0.8)))</f>
        <v>0.65</v>
      </c>
      <c r="C66" s="29">
        <f>IF(Dataset!B66&lt;25,1,IF(Dataset!B66&lt;75,2,IF(Dataset!B66&lt;120,3,4)))</f>
        <v>3</v>
      </c>
      <c r="D66" s="29">
        <f t="shared" si="0"/>
        <v>1.9500000000000002</v>
      </c>
      <c r="E66" s="29">
        <f>IF(Dataset!C66&lt;=1,0.3,IF(Dataset!C66=2,0.4,IF(Dataset!C66=3,0.5,IF(Dataset!C66=4,0.65,0.8))))</f>
        <v>0.8</v>
      </c>
      <c r="F66" s="29">
        <f>IF(Dataset!C66&lt;=2,1,IF(Dataset!C66=3,2,IF(Dataset!C66=4,3,4)))</f>
        <v>4</v>
      </c>
      <c r="G66" s="29">
        <f t="shared" si="1"/>
        <v>3.2</v>
      </c>
      <c r="H66" s="29">
        <f>IF(Dataset!G66&lt;=3,0.25,IF(Dataset!G66&lt;=6,0.45,IF(Dataset!G66&lt;=9,0.65,0.85)))</f>
        <v>0.45</v>
      </c>
      <c r="I66" s="29">
        <f>IF(Dataset!G66&lt;=3,1,IF(Dataset!G66&lt;=6,2,IF(Dataset!G66&lt;=9,3,4)))</f>
        <v>2</v>
      </c>
      <c r="J66" s="29">
        <f t="shared" si="2"/>
        <v>0.9</v>
      </c>
      <c r="K66" s="29">
        <f>IF(Dataset!H66&lt;1,0.2,IF(Dataset!H66&lt;1.3,0.45,IF(Dataset!H66&lt;1.8,0.7,0.9)))</f>
        <v>0.9</v>
      </c>
      <c r="L66" s="29">
        <f>IF(Dataset!H66&lt;1,1,IF(Dataset!H66&lt;1.3,2,IF(Dataset!H66&lt;1.8,3,4)))</f>
        <v>4</v>
      </c>
      <c r="M66" s="29">
        <f t="shared" si="3"/>
        <v>3.6</v>
      </c>
      <c r="N66" s="29">
        <f>IF(Dataset!F66=1,0.75,IF(Dataset!F66=2,0.45,0.2))</f>
        <v>0.2</v>
      </c>
      <c r="O66" s="29">
        <f>IF(Dataset!F66=1,3,IF(Dataset!F66=2,2,1))</f>
        <v>1</v>
      </c>
      <c r="P66" s="29">
        <f t="shared" si="4"/>
        <v>0.2</v>
      </c>
      <c r="Q66" s="29">
        <f>IF(Dataset!K66&lt;5,0.2,IF(Dataset!K66&lt;10,0.45,IF(Dataset!K66&lt;18,0.7,0.9)))</f>
        <v>0.45</v>
      </c>
      <c r="R66" s="29">
        <f>IF(Dataset!K66&lt;5,1,IF(Dataset!K66&lt;10,2,IF(Dataset!K66&lt;18,3,4)))</f>
        <v>2</v>
      </c>
      <c r="S66" s="29">
        <f t="shared" si="5"/>
        <v>0.9</v>
      </c>
      <c r="T66" s="29">
        <f t="shared" si="6"/>
        <v>1.9890000000000003</v>
      </c>
      <c r="U66" s="29" t="str">
        <f t="shared" si="7"/>
        <v>High</v>
      </c>
    </row>
    <row r="67" spans="1:21" ht="15" customHeight="1" x14ac:dyDescent="0.25">
      <c r="A67" s="29">
        <f>Dataset!A67</f>
        <v>63</v>
      </c>
      <c r="B67" s="29">
        <f>IF(Dataset!B67&lt;25,0.3,IF(Dataset!B67&lt;75,0.5,IF(Dataset!B67&lt;120,0.65,0.8)))</f>
        <v>0.8</v>
      </c>
      <c r="C67" s="29">
        <f>IF(Dataset!B67&lt;25,1,IF(Dataset!B67&lt;75,2,IF(Dataset!B67&lt;120,3,4)))</f>
        <v>4</v>
      </c>
      <c r="D67" s="29">
        <f t="shared" si="0"/>
        <v>3.2</v>
      </c>
      <c r="E67" s="29">
        <f>IF(Dataset!C67&lt;=1,0.3,IF(Dataset!C67=2,0.4,IF(Dataset!C67=3,0.5,IF(Dataset!C67=4,0.65,0.8))))</f>
        <v>0.5</v>
      </c>
      <c r="F67" s="29">
        <f>IF(Dataset!C67&lt;=2,1,IF(Dataset!C67=3,2,IF(Dataset!C67=4,3,4)))</f>
        <v>2</v>
      </c>
      <c r="G67" s="29">
        <f t="shared" si="1"/>
        <v>1</v>
      </c>
      <c r="H67" s="29">
        <f>IF(Dataset!G67&lt;=3,0.25,IF(Dataset!G67&lt;=6,0.45,IF(Dataset!G67&lt;=9,0.65,0.85)))</f>
        <v>0.45</v>
      </c>
      <c r="I67" s="29">
        <f>IF(Dataset!G67&lt;=3,1,IF(Dataset!G67&lt;=6,2,IF(Dataset!G67&lt;=9,3,4)))</f>
        <v>2</v>
      </c>
      <c r="J67" s="29">
        <f t="shared" si="2"/>
        <v>0.9</v>
      </c>
      <c r="K67" s="29">
        <f>IF(Dataset!H67&lt;1,0.2,IF(Dataset!H67&lt;1.3,0.45,IF(Dataset!H67&lt;1.8,0.7,0.9)))</f>
        <v>0.7</v>
      </c>
      <c r="L67" s="29">
        <f>IF(Dataset!H67&lt;1,1,IF(Dataset!H67&lt;1.3,2,IF(Dataset!H67&lt;1.8,3,4)))</f>
        <v>3</v>
      </c>
      <c r="M67" s="29">
        <f t="shared" si="3"/>
        <v>2.0999999999999996</v>
      </c>
      <c r="N67" s="29">
        <f>IF(Dataset!F67=1,0.75,IF(Dataset!F67=2,0.45,0.2))</f>
        <v>0.2</v>
      </c>
      <c r="O67" s="29">
        <f>IF(Dataset!F67=1,3,IF(Dataset!F67=2,2,1))</f>
        <v>1</v>
      </c>
      <c r="P67" s="29">
        <f t="shared" si="4"/>
        <v>0.2</v>
      </c>
      <c r="Q67" s="29">
        <f>IF(Dataset!K67&lt;5,0.2,IF(Dataset!K67&lt;10,0.45,IF(Dataset!K67&lt;18,0.7,0.9)))</f>
        <v>0.2</v>
      </c>
      <c r="R67" s="29">
        <f>IF(Dataset!K67&lt;5,1,IF(Dataset!K67&lt;10,2,IF(Dataset!K67&lt;18,3,4)))</f>
        <v>1</v>
      </c>
      <c r="S67" s="29">
        <f t="shared" si="5"/>
        <v>0.2</v>
      </c>
      <c r="T67" s="29">
        <f t="shared" si="6"/>
        <v>1.448</v>
      </c>
      <c r="U67" s="29" t="str">
        <f t="shared" si="7"/>
        <v>Medium</v>
      </c>
    </row>
    <row r="68" spans="1:21" ht="15" customHeight="1" x14ac:dyDescent="0.25">
      <c r="A68" s="29">
        <f>Dataset!A68</f>
        <v>64</v>
      </c>
      <c r="B68" s="29">
        <f>IF(Dataset!B68&lt;25,0.3,IF(Dataset!B68&lt;75,0.5,IF(Dataset!B68&lt;120,0.65,0.8)))</f>
        <v>0.5</v>
      </c>
      <c r="C68" s="29">
        <f>IF(Dataset!B68&lt;25,1,IF(Dataset!B68&lt;75,2,IF(Dataset!B68&lt;120,3,4)))</f>
        <v>2</v>
      </c>
      <c r="D68" s="29">
        <f t="shared" si="0"/>
        <v>1</v>
      </c>
      <c r="E68" s="29">
        <f>IF(Dataset!C68&lt;=1,0.3,IF(Dataset!C68=2,0.4,IF(Dataset!C68=3,0.5,IF(Dataset!C68=4,0.65,0.8))))</f>
        <v>0.3</v>
      </c>
      <c r="F68" s="29">
        <f>IF(Dataset!C68&lt;=2,1,IF(Dataset!C68=3,2,IF(Dataset!C68=4,3,4)))</f>
        <v>1</v>
      </c>
      <c r="G68" s="29">
        <f t="shared" si="1"/>
        <v>0.3</v>
      </c>
      <c r="H68" s="29">
        <f>IF(Dataset!G68&lt;=3,0.25,IF(Dataset!G68&lt;=6,0.45,IF(Dataset!G68&lt;=9,0.65,0.85)))</f>
        <v>0.45</v>
      </c>
      <c r="I68" s="29">
        <f>IF(Dataset!G68&lt;=3,1,IF(Dataset!G68&lt;=6,2,IF(Dataset!G68&lt;=9,3,4)))</f>
        <v>2</v>
      </c>
      <c r="J68" s="29">
        <f t="shared" si="2"/>
        <v>0.9</v>
      </c>
      <c r="K68" s="29">
        <f>IF(Dataset!H68&lt;1,0.2,IF(Dataset!H68&lt;1.3,0.45,IF(Dataset!H68&lt;1.8,0.7,0.9)))</f>
        <v>0.7</v>
      </c>
      <c r="L68" s="29">
        <f>IF(Dataset!H68&lt;1,1,IF(Dataset!H68&lt;1.3,2,IF(Dataset!H68&lt;1.8,3,4)))</f>
        <v>3</v>
      </c>
      <c r="M68" s="29">
        <f t="shared" si="3"/>
        <v>2.0999999999999996</v>
      </c>
      <c r="N68" s="29">
        <f>IF(Dataset!F68=1,0.75,IF(Dataset!F68=2,0.45,0.2))</f>
        <v>0.2</v>
      </c>
      <c r="O68" s="29">
        <f>IF(Dataset!F68=1,3,IF(Dataset!F68=2,2,1))</f>
        <v>1</v>
      </c>
      <c r="P68" s="29">
        <f t="shared" si="4"/>
        <v>0.2</v>
      </c>
      <c r="Q68" s="29">
        <f>IF(Dataset!K68&lt;5,0.2,IF(Dataset!K68&lt;10,0.45,IF(Dataset!K68&lt;18,0.7,0.9)))</f>
        <v>0.2</v>
      </c>
      <c r="R68" s="29">
        <f>IF(Dataset!K68&lt;5,1,IF(Dataset!K68&lt;10,2,IF(Dataset!K68&lt;18,3,4)))</f>
        <v>1</v>
      </c>
      <c r="S68" s="29">
        <f t="shared" si="5"/>
        <v>0.2</v>
      </c>
      <c r="T68" s="29">
        <f t="shared" si="6"/>
        <v>0.95399999999999996</v>
      </c>
      <c r="U68" s="29" t="str">
        <f t="shared" si="7"/>
        <v>Low</v>
      </c>
    </row>
    <row r="69" spans="1:21" ht="15" customHeight="1" x14ac:dyDescent="0.25">
      <c r="A69" s="29">
        <f>Dataset!A69</f>
        <v>65</v>
      </c>
      <c r="B69" s="29">
        <f>IF(Dataset!B69&lt;25,0.3,IF(Dataset!B69&lt;75,0.5,IF(Dataset!B69&lt;120,0.65,0.8)))</f>
        <v>0.5</v>
      </c>
      <c r="C69" s="29">
        <f>IF(Dataset!B69&lt;25,1,IF(Dataset!B69&lt;75,2,IF(Dataset!B69&lt;120,3,4)))</f>
        <v>2</v>
      </c>
      <c r="D69" s="29">
        <f t="shared" ref="D69:D132" si="8">B69*C69</f>
        <v>1</v>
      </c>
      <c r="E69" s="29">
        <f>IF(Dataset!C69&lt;=1,0.3,IF(Dataset!C69=2,0.4,IF(Dataset!C69=3,0.5,IF(Dataset!C69=4,0.65,0.8))))</f>
        <v>0.5</v>
      </c>
      <c r="F69" s="29">
        <f>IF(Dataset!C69&lt;=2,1,IF(Dataset!C69=3,2,IF(Dataset!C69=4,3,4)))</f>
        <v>2</v>
      </c>
      <c r="G69" s="29">
        <f t="shared" ref="G69:G132" si="9">E69*F69</f>
        <v>1</v>
      </c>
      <c r="H69" s="29">
        <f>IF(Dataset!G69&lt;=3,0.25,IF(Dataset!G69&lt;=6,0.45,IF(Dataset!G69&lt;=9,0.65,0.85)))</f>
        <v>0.65</v>
      </c>
      <c r="I69" s="29">
        <f>IF(Dataset!G69&lt;=3,1,IF(Dataset!G69&lt;=6,2,IF(Dataset!G69&lt;=9,3,4)))</f>
        <v>3</v>
      </c>
      <c r="J69" s="29">
        <f t="shared" ref="J69:J132" si="10">H69*I69</f>
        <v>1.9500000000000002</v>
      </c>
      <c r="K69" s="29">
        <f>IF(Dataset!H69&lt;1,0.2,IF(Dataset!H69&lt;1.3,0.45,IF(Dataset!H69&lt;1.8,0.7,0.9)))</f>
        <v>0.9</v>
      </c>
      <c r="L69" s="29">
        <f>IF(Dataset!H69&lt;1,1,IF(Dataset!H69&lt;1.3,2,IF(Dataset!H69&lt;1.8,3,4)))</f>
        <v>4</v>
      </c>
      <c r="M69" s="29">
        <f t="shared" ref="M69:M132" si="11">K69*L69</f>
        <v>3.6</v>
      </c>
      <c r="N69" s="29">
        <f>IF(Dataset!F69=1,0.75,IF(Dataset!F69=2,0.45,0.2))</f>
        <v>0.45</v>
      </c>
      <c r="O69" s="29">
        <f>IF(Dataset!F69=1,3,IF(Dataset!F69=2,2,1))</f>
        <v>2</v>
      </c>
      <c r="P69" s="29">
        <f t="shared" ref="P69:P132" si="12">N69*O69</f>
        <v>0.9</v>
      </c>
      <c r="Q69" s="29">
        <f>IF(Dataset!K69&lt;5,0.2,IF(Dataset!K69&lt;10,0.45,IF(Dataset!K69&lt;18,0.7,0.9)))</f>
        <v>0.45</v>
      </c>
      <c r="R69" s="29">
        <f>IF(Dataset!K69&lt;5,1,IF(Dataset!K69&lt;10,2,IF(Dataset!K69&lt;18,3,4)))</f>
        <v>2</v>
      </c>
      <c r="S69" s="29">
        <f t="shared" ref="S69:S132" si="13">Q69*R69</f>
        <v>0.9</v>
      </c>
      <c r="T69" s="29">
        <f t="shared" ref="T69:T132" si="14">$Y$6*D69+$Y$7*G69+$Y$8*J69+$Y$9*M69+$Y$10*P69+$Y$11*S69</f>
        <v>1.7900000000000003</v>
      </c>
      <c r="U69" s="29" t="str">
        <f t="shared" ref="U69:U132" si="15">IF(T69&lt;=$Y$15,"Low",IF(T69&lt;=$Y$16,"Medium","High"))</f>
        <v>High</v>
      </c>
    </row>
    <row r="70" spans="1:21" ht="15" customHeight="1" x14ac:dyDescent="0.25">
      <c r="A70" s="29">
        <f>Dataset!A70</f>
        <v>66</v>
      </c>
      <c r="B70" s="29">
        <f>IF(Dataset!B70&lt;25,0.3,IF(Dataset!B70&lt;75,0.5,IF(Dataset!B70&lt;120,0.65,0.8)))</f>
        <v>0.65</v>
      </c>
      <c r="C70" s="29">
        <f>IF(Dataset!B70&lt;25,1,IF(Dataset!B70&lt;75,2,IF(Dataset!B70&lt;120,3,4)))</f>
        <v>3</v>
      </c>
      <c r="D70" s="29">
        <f t="shared" si="8"/>
        <v>1.9500000000000002</v>
      </c>
      <c r="E70" s="29">
        <f>IF(Dataset!C70&lt;=1,0.3,IF(Dataset!C70=2,0.4,IF(Dataset!C70=3,0.5,IF(Dataset!C70=4,0.65,0.8))))</f>
        <v>0.8</v>
      </c>
      <c r="F70" s="29">
        <f>IF(Dataset!C70&lt;=2,1,IF(Dataset!C70=3,2,IF(Dataset!C70=4,3,4)))</f>
        <v>4</v>
      </c>
      <c r="G70" s="29">
        <f t="shared" si="9"/>
        <v>3.2</v>
      </c>
      <c r="H70" s="29">
        <f>IF(Dataset!G70&lt;=3,0.25,IF(Dataset!G70&lt;=6,0.45,IF(Dataset!G70&lt;=9,0.65,0.85)))</f>
        <v>0.65</v>
      </c>
      <c r="I70" s="29">
        <f>IF(Dataset!G70&lt;=3,1,IF(Dataset!G70&lt;=6,2,IF(Dataset!G70&lt;=9,3,4)))</f>
        <v>3</v>
      </c>
      <c r="J70" s="29">
        <f t="shared" si="10"/>
        <v>1.9500000000000002</v>
      </c>
      <c r="K70" s="29">
        <f>IF(Dataset!H70&lt;1,0.2,IF(Dataset!H70&lt;1.3,0.45,IF(Dataset!H70&lt;1.8,0.7,0.9)))</f>
        <v>0.45</v>
      </c>
      <c r="L70" s="29">
        <f>IF(Dataset!H70&lt;1,1,IF(Dataset!H70&lt;1.3,2,IF(Dataset!H70&lt;1.8,3,4)))</f>
        <v>2</v>
      </c>
      <c r="M70" s="29">
        <f t="shared" si="11"/>
        <v>0.9</v>
      </c>
      <c r="N70" s="29">
        <f>IF(Dataset!F70=1,0.75,IF(Dataset!F70=2,0.45,0.2))</f>
        <v>0.45</v>
      </c>
      <c r="O70" s="29">
        <f>IF(Dataset!F70=1,3,IF(Dataset!F70=2,2,1))</f>
        <v>2</v>
      </c>
      <c r="P70" s="29">
        <f t="shared" si="12"/>
        <v>0.9</v>
      </c>
      <c r="Q70" s="29">
        <f>IF(Dataset!K70&lt;5,0.2,IF(Dataset!K70&lt;10,0.45,IF(Dataset!K70&lt;18,0.7,0.9)))</f>
        <v>0.7</v>
      </c>
      <c r="R70" s="29">
        <f>IF(Dataset!K70&lt;5,1,IF(Dataset!K70&lt;10,2,IF(Dataset!K70&lt;18,3,4)))</f>
        <v>3</v>
      </c>
      <c r="S70" s="29">
        <f t="shared" si="13"/>
        <v>2.0999999999999996</v>
      </c>
      <c r="T70" s="29">
        <f t="shared" si="14"/>
        <v>1.7890000000000004</v>
      </c>
      <c r="U70" s="29" t="str">
        <f t="shared" si="15"/>
        <v>High</v>
      </c>
    </row>
    <row r="71" spans="1:21" ht="15" customHeight="1" x14ac:dyDescent="0.25">
      <c r="A71" s="29">
        <f>Dataset!A71</f>
        <v>67</v>
      </c>
      <c r="B71" s="29">
        <f>IF(Dataset!B71&lt;25,0.3,IF(Dataset!B71&lt;75,0.5,IF(Dataset!B71&lt;120,0.65,0.8)))</f>
        <v>0.3</v>
      </c>
      <c r="C71" s="29">
        <f>IF(Dataset!B71&lt;25,1,IF(Dataset!B71&lt;75,2,IF(Dataset!B71&lt;120,3,4)))</f>
        <v>1</v>
      </c>
      <c r="D71" s="29">
        <f t="shared" si="8"/>
        <v>0.3</v>
      </c>
      <c r="E71" s="29">
        <f>IF(Dataset!C71&lt;=1,0.3,IF(Dataset!C71=2,0.4,IF(Dataset!C71=3,0.5,IF(Dataset!C71=4,0.65,0.8))))</f>
        <v>0.5</v>
      </c>
      <c r="F71" s="29">
        <f>IF(Dataset!C71&lt;=2,1,IF(Dataset!C71=3,2,IF(Dataset!C71=4,3,4)))</f>
        <v>2</v>
      </c>
      <c r="G71" s="29">
        <f t="shared" si="9"/>
        <v>1</v>
      </c>
      <c r="H71" s="29">
        <f>IF(Dataset!G71&lt;=3,0.25,IF(Dataset!G71&lt;=6,0.45,IF(Dataset!G71&lt;=9,0.65,0.85)))</f>
        <v>0.45</v>
      </c>
      <c r="I71" s="29">
        <f>IF(Dataset!G71&lt;=3,1,IF(Dataset!G71&lt;=6,2,IF(Dataset!G71&lt;=9,3,4)))</f>
        <v>2</v>
      </c>
      <c r="J71" s="29">
        <f t="shared" si="10"/>
        <v>0.9</v>
      </c>
      <c r="K71" s="29">
        <f>IF(Dataset!H71&lt;1,0.2,IF(Dataset!H71&lt;1.3,0.45,IF(Dataset!H71&lt;1.8,0.7,0.9)))</f>
        <v>0.7</v>
      </c>
      <c r="L71" s="29">
        <f>IF(Dataset!H71&lt;1,1,IF(Dataset!H71&lt;1.3,2,IF(Dataset!H71&lt;1.8,3,4)))</f>
        <v>3</v>
      </c>
      <c r="M71" s="29">
        <f t="shared" si="11"/>
        <v>2.0999999999999996</v>
      </c>
      <c r="N71" s="29">
        <f>IF(Dataset!F71=1,0.75,IF(Dataset!F71=2,0.45,0.2))</f>
        <v>0.45</v>
      </c>
      <c r="O71" s="29">
        <f>IF(Dataset!F71=1,3,IF(Dataset!F71=2,2,1))</f>
        <v>2</v>
      </c>
      <c r="P71" s="29">
        <f t="shared" si="12"/>
        <v>0.9</v>
      </c>
      <c r="Q71" s="29">
        <f>IF(Dataset!K71&lt;5,0.2,IF(Dataset!K71&lt;10,0.45,IF(Dataset!K71&lt;18,0.7,0.9)))</f>
        <v>0.45</v>
      </c>
      <c r="R71" s="29">
        <f>IF(Dataset!K71&lt;5,1,IF(Dataset!K71&lt;10,2,IF(Dataset!K71&lt;18,3,4)))</f>
        <v>2</v>
      </c>
      <c r="S71" s="29">
        <f t="shared" si="13"/>
        <v>0.9</v>
      </c>
      <c r="T71" s="29">
        <f t="shared" si="14"/>
        <v>1.0939999999999999</v>
      </c>
      <c r="U71" s="29" t="str">
        <f t="shared" si="15"/>
        <v>Low</v>
      </c>
    </row>
    <row r="72" spans="1:21" ht="15" customHeight="1" x14ac:dyDescent="0.25">
      <c r="A72" s="29">
        <f>Dataset!A72</f>
        <v>68</v>
      </c>
      <c r="B72" s="29">
        <f>IF(Dataset!B72&lt;25,0.3,IF(Dataset!B72&lt;75,0.5,IF(Dataset!B72&lt;120,0.65,0.8)))</f>
        <v>0.65</v>
      </c>
      <c r="C72" s="29">
        <f>IF(Dataset!B72&lt;25,1,IF(Dataset!B72&lt;75,2,IF(Dataset!B72&lt;120,3,4)))</f>
        <v>3</v>
      </c>
      <c r="D72" s="29">
        <f t="shared" si="8"/>
        <v>1.9500000000000002</v>
      </c>
      <c r="E72" s="29">
        <f>IF(Dataset!C72&lt;=1,0.3,IF(Dataset!C72=2,0.4,IF(Dataset!C72=3,0.5,IF(Dataset!C72=4,0.65,0.8))))</f>
        <v>0.5</v>
      </c>
      <c r="F72" s="29">
        <f>IF(Dataset!C72&lt;=2,1,IF(Dataset!C72=3,2,IF(Dataset!C72=4,3,4)))</f>
        <v>2</v>
      </c>
      <c r="G72" s="29">
        <f t="shared" si="9"/>
        <v>1</v>
      </c>
      <c r="H72" s="29">
        <f>IF(Dataset!G72&lt;=3,0.25,IF(Dataset!G72&lt;=6,0.45,IF(Dataset!G72&lt;=9,0.65,0.85)))</f>
        <v>0.45</v>
      </c>
      <c r="I72" s="29">
        <f>IF(Dataset!G72&lt;=3,1,IF(Dataset!G72&lt;=6,2,IF(Dataset!G72&lt;=9,3,4)))</f>
        <v>2</v>
      </c>
      <c r="J72" s="29">
        <f t="shared" si="10"/>
        <v>0.9</v>
      </c>
      <c r="K72" s="29">
        <f>IF(Dataset!H72&lt;1,0.2,IF(Dataset!H72&lt;1.3,0.45,IF(Dataset!H72&lt;1.8,0.7,0.9)))</f>
        <v>0.9</v>
      </c>
      <c r="L72" s="29">
        <f>IF(Dataset!H72&lt;1,1,IF(Dataset!H72&lt;1.3,2,IF(Dataset!H72&lt;1.8,3,4)))</f>
        <v>4</v>
      </c>
      <c r="M72" s="29">
        <f t="shared" si="11"/>
        <v>3.6</v>
      </c>
      <c r="N72" s="29">
        <f>IF(Dataset!F72=1,0.75,IF(Dataset!F72=2,0.45,0.2))</f>
        <v>0.45</v>
      </c>
      <c r="O72" s="29">
        <f>IF(Dataset!F72=1,3,IF(Dataset!F72=2,2,1))</f>
        <v>2</v>
      </c>
      <c r="P72" s="29">
        <f t="shared" si="12"/>
        <v>0.9</v>
      </c>
      <c r="Q72" s="29">
        <f>IF(Dataset!K72&lt;5,0.2,IF(Dataset!K72&lt;10,0.45,IF(Dataset!K72&lt;18,0.7,0.9)))</f>
        <v>0.2</v>
      </c>
      <c r="R72" s="29">
        <f>IF(Dataset!K72&lt;5,1,IF(Dataset!K72&lt;10,2,IF(Dataset!K72&lt;18,3,4)))</f>
        <v>1</v>
      </c>
      <c r="S72" s="29">
        <f t="shared" si="13"/>
        <v>0.2</v>
      </c>
      <c r="T72" s="29">
        <f t="shared" si="14"/>
        <v>1.6530000000000002</v>
      </c>
      <c r="U72" s="29" t="str">
        <f t="shared" si="15"/>
        <v>Medium</v>
      </c>
    </row>
    <row r="73" spans="1:21" ht="15" customHeight="1" x14ac:dyDescent="0.25">
      <c r="A73" s="29">
        <f>Dataset!A73</f>
        <v>69</v>
      </c>
      <c r="B73" s="29">
        <f>IF(Dataset!B73&lt;25,0.3,IF(Dataset!B73&lt;75,0.5,IF(Dataset!B73&lt;120,0.65,0.8)))</f>
        <v>0.8</v>
      </c>
      <c r="C73" s="29">
        <f>IF(Dataset!B73&lt;25,1,IF(Dataset!B73&lt;75,2,IF(Dataset!B73&lt;120,3,4)))</f>
        <v>4</v>
      </c>
      <c r="D73" s="29">
        <f t="shared" si="8"/>
        <v>3.2</v>
      </c>
      <c r="E73" s="29">
        <f>IF(Dataset!C73&lt;=1,0.3,IF(Dataset!C73=2,0.4,IF(Dataset!C73=3,0.5,IF(Dataset!C73=4,0.65,0.8))))</f>
        <v>0.4</v>
      </c>
      <c r="F73" s="29">
        <f>IF(Dataset!C73&lt;=2,1,IF(Dataset!C73=3,2,IF(Dataset!C73=4,3,4)))</f>
        <v>1</v>
      </c>
      <c r="G73" s="29">
        <f t="shared" si="9"/>
        <v>0.4</v>
      </c>
      <c r="H73" s="29">
        <f>IF(Dataset!G73&lt;=3,0.25,IF(Dataset!G73&lt;=6,0.45,IF(Dataset!G73&lt;=9,0.65,0.85)))</f>
        <v>0.45</v>
      </c>
      <c r="I73" s="29">
        <f>IF(Dataset!G73&lt;=3,1,IF(Dataset!G73&lt;=6,2,IF(Dataset!G73&lt;=9,3,4)))</f>
        <v>2</v>
      </c>
      <c r="J73" s="29">
        <f t="shared" si="10"/>
        <v>0.9</v>
      </c>
      <c r="K73" s="29">
        <f>IF(Dataset!H73&lt;1,0.2,IF(Dataset!H73&lt;1.3,0.45,IF(Dataset!H73&lt;1.8,0.7,0.9)))</f>
        <v>0.7</v>
      </c>
      <c r="L73" s="29">
        <f>IF(Dataset!H73&lt;1,1,IF(Dataset!H73&lt;1.3,2,IF(Dataset!H73&lt;1.8,3,4)))</f>
        <v>3</v>
      </c>
      <c r="M73" s="29">
        <f t="shared" si="11"/>
        <v>2.0999999999999996</v>
      </c>
      <c r="N73" s="29">
        <f>IF(Dataset!F73=1,0.75,IF(Dataset!F73=2,0.45,0.2))</f>
        <v>0.45</v>
      </c>
      <c r="O73" s="29">
        <f>IF(Dataset!F73=1,3,IF(Dataset!F73=2,2,1))</f>
        <v>2</v>
      </c>
      <c r="P73" s="29">
        <f t="shared" si="12"/>
        <v>0.9</v>
      </c>
      <c r="Q73" s="29">
        <f>IF(Dataset!K73&lt;5,0.2,IF(Dataset!K73&lt;10,0.45,IF(Dataset!K73&lt;18,0.7,0.9)))</f>
        <v>0.2</v>
      </c>
      <c r="R73" s="29">
        <f>IF(Dataset!K73&lt;5,1,IF(Dataset!K73&lt;10,2,IF(Dataset!K73&lt;18,3,4)))</f>
        <v>1</v>
      </c>
      <c r="S73" s="29">
        <f t="shared" si="13"/>
        <v>0.2</v>
      </c>
      <c r="T73" s="29">
        <f t="shared" si="14"/>
        <v>1.4339999999999999</v>
      </c>
      <c r="U73" s="29" t="str">
        <f t="shared" si="15"/>
        <v>Medium</v>
      </c>
    </row>
    <row r="74" spans="1:21" ht="15" customHeight="1" x14ac:dyDescent="0.25">
      <c r="A74" s="29">
        <f>Dataset!A74</f>
        <v>70</v>
      </c>
      <c r="B74" s="29">
        <f>IF(Dataset!B74&lt;25,0.3,IF(Dataset!B74&lt;75,0.5,IF(Dataset!B74&lt;120,0.65,0.8)))</f>
        <v>0.65</v>
      </c>
      <c r="C74" s="29">
        <f>IF(Dataset!B74&lt;25,1,IF(Dataset!B74&lt;75,2,IF(Dataset!B74&lt;120,3,4)))</f>
        <v>3</v>
      </c>
      <c r="D74" s="29">
        <f t="shared" si="8"/>
        <v>1.9500000000000002</v>
      </c>
      <c r="E74" s="29">
        <f>IF(Dataset!C74&lt;=1,0.3,IF(Dataset!C74=2,0.4,IF(Dataset!C74=3,0.5,IF(Dataset!C74=4,0.65,0.8))))</f>
        <v>0.3</v>
      </c>
      <c r="F74" s="29">
        <f>IF(Dataset!C74&lt;=2,1,IF(Dataset!C74=3,2,IF(Dataset!C74=4,3,4)))</f>
        <v>1</v>
      </c>
      <c r="G74" s="29">
        <f t="shared" si="9"/>
        <v>0.3</v>
      </c>
      <c r="H74" s="29">
        <f>IF(Dataset!G74&lt;=3,0.25,IF(Dataset!G74&lt;=6,0.45,IF(Dataset!G74&lt;=9,0.65,0.85)))</f>
        <v>0.65</v>
      </c>
      <c r="I74" s="29">
        <f>IF(Dataset!G74&lt;=3,1,IF(Dataset!G74&lt;=6,2,IF(Dataset!G74&lt;=9,3,4)))</f>
        <v>3</v>
      </c>
      <c r="J74" s="29">
        <f t="shared" si="10"/>
        <v>1.9500000000000002</v>
      </c>
      <c r="K74" s="29">
        <f>IF(Dataset!H74&lt;1,0.2,IF(Dataset!H74&lt;1.3,0.45,IF(Dataset!H74&lt;1.8,0.7,0.9)))</f>
        <v>0.2</v>
      </c>
      <c r="L74" s="29">
        <f>IF(Dataset!H74&lt;1,1,IF(Dataset!H74&lt;1.3,2,IF(Dataset!H74&lt;1.8,3,4)))</f>
        <v>1</v>
      </c>
      <c r="M74" s="29">
        <f t="shared" si="11"/>
        <v>0.2</v>
      </c>
      <c r="N74" s="29">
        <f>IF(Dataset!F74=1,0.75,IF(Dataset!F74=2,0.45,0.2))</f>
        <v>0.45</v>
      </c>
      <c r="O74" s="29">
        <f>IF(Dataset!F74=1,3,IF(Dataset!F74=2,2,1))</f>
        <v>2</v>
      </c>
      <c r="P74" s="29">
        <f t="shared" si="12"/>
        <v>0.9</v>
      </c>
      <c r="Q74" s="29">
        <f>IF(Dataset!K74&lt;5,0.2,IF(Dataset!K74&lt;10,0.45,IF(Dataset!K74&lt;18,0.7,0.9)))</f>
        <v>0.2</v>
      </c>
      <c r="R74" s="29">
        <f>IF(Dataset!K74&lt;5,1,IF(Dataset!K74&lt;10,2,IF(Dataset!K74&lt;18,3,4)))</f>
        <v>1</v>
      </c>
      <c r="S74" s="29">
        <f t="shared" si="13"/>
        <v>0.2</v>
      </c>
      <c r="T74" s="29">
        <f t="shared" si="14"/>
        <v>0.94900000000000018</v>
      </c>
      <c r="U74" s="29" t="str">
        <f t="shared" si="15"/>
        <v>Low</v>
      </c>
    </row>
    <row r="75" spans="1:21" ht="15" customHeight="1" x14ac:dyDescent="0.25">
      <c r="A75" s="29">
        <f>Dataset!A75</f>
        <v>71</v>
      </c>
      <c r="B75" s="29">
        <f>IF(Dataset!B75&lt;25,0.3,IF(Dataset!B75&lt;75,0.5,IF(Dataset!B75&lt;120,0.65,0.8)))</f>
        <v>0.3</v>
      </c>
      <c r="C75" s="29">
        <f>IF(Dataset!B75&lt;25,1,IF(Dataset!B75&lt;75,2,IF(Dataset!B75&lt;120,3,4)))</f>
        <v>1</v>
      </c>
      <c r="D75" s="29">
        <f t="shared" si="8"/>
        <v>0.3</v>
      </c>
      <c r="E75" s="29">
        <f>IF(Dataset!C75&lt;=1,0.3,IF(Dataset!C75=2,0.4,IF(Dataset!C75=3,0.5,IF(Dataset!C75=4,0.65,0.8))))</f>
        <v>0.4</v>
      </c>
      <c r="F75" s="29">
        <f>IF(Dataset!C75&lt;=2,1,IF(Dataset!C75=3,2,IF(Dataset!C75=4,3,4)))</f>
        <v>1</v>
      </c>
      <c r="G75" s="29">
        <f t="shared" si="9"/>
        <v>0.4</v>
      </c>
      <c r="H75" s="29">
        <f>IF(Dataset!G75&lt;=3,0.25,IF(Dataset!G75&lt;=6,0.45,IF(Dataset!G75&lt;=9,0.65,0.85)))</f>
        <v>0.65</v>
      </c>
      <c r="I75" s="29">
        <f>IF(Dataset!G75&lt;=3,1,IF(Dataset!G75&lt;=6,2,IF(Dataset!G75&lt;=9,3,4)))</f>
        <v>3</v>
      </c>
      <c r="J75" s="29">
        <f t="shared" si="10"/>
        <v>1.9500000000000002</v>
      </c>
      <c r="K75" s="29">
        <f>IF(Dataset!H75&lt;1,0.2,IF(Dataset!H75&lt;1.3,0.45,IF(Dataset!H75&lt;1.8,0.7,0.9)))</f>
        <v>0.45</v>
      </c>
      <c r="L75" s="29">
        <f>IF(Dataset!H75&lt;1,1,IF(Dataset!H75&lt;1.3,2,IF(Dataset!H75&lt;1.8,3,4)))</f>
        <v>2</v>
      </c>
      <c r="M75" s="29">
        <f t="shared" si="11"/>
        <v>0.9</v>
      </c>
      <c r="N75" s="29">
        <f>IF(Dataset!F75=1,0.75,IF(Dataset!F75=2,0.45,0.2))</f>
        <v>0.75</v>
      </c>
      <c r="O75" s="29">
        <f>IF(Dataset!F75=1,3,IF(Dataset!F75=2,2,1))</f>
        <v>3</v>
      </c>
      <c r="P75" s="29">
        <f t="shared" si="12"/>
        <v>2.25</v>
      </c>
      <c r="Q75" s="29">
        <f>IF(Dataset!K75&lt;5,0.2,IF(Dataset!K75&lt;10,0.45,IF(Dataset!K75&lt;18,0.7,0.9)))</f>
        <v>0.45</v>
      </c>
      <c r="R75" s="29">
        <f>IF(Dataset!K75&lt;5,1,IF(Dataset!K75&lt;10,2,IF(Dataset!K75&lt;18,3,4)))</f>
        <v>2</v>
      </c>
      <c r="S75" s="29">
        <f t="shared" si="13"/>
        <v>0.9</v>
      </c>
      <c r="T75" s="29">
        <f t="shared" si="14"/>
        <v>1.0670000000000002</v>
      </c>
      <c r="U75" s="29" t="str">
        <f t="shared" si="15"/>
        <v>Low</v>
      </c>
    </row>
    <row r="76" spans="1:21" ht="15" customHeight="1" x14ac:dyDescent="0.25">
      <c r="A76" s="29">
        <f>Dataset!A76</f>
        <v>72</v>
      </c>
      <c r="B76" s="29">
        <f>IF(Dataset!B76&lt;25,0.3,IF(Dataset!B76&lt;75,0.5,IF(Dataset!B76&lt;120,0.65,0.8)))</f>
        <v>0.5</v>
      </c>
      <c r="C76" s="29">
        <f>IF(Dataset!B76&lt;25,1,IF(Dataset!B76&lt;75,2,IF(Dataset!B76&lt;120,3,4)))</f>
        <v>2</v>
      </c>
      <c r="D76" s="29">
        <f t="shared" si="8"/>
        <v>1</v>
      </c>
      <c r="E76" s="29">
        <f>IF(Dataset!C76&lt;=1,0.3,IF(Dataset!C76=2,0.4,IF(Dataset!C76=3,0.5,IF(Dataset!C76=4,0.65,0.8))))</f>
        <v>0.65</v>
      </c>
      <c r="F76" s="29">
        <f>IF(Dataset!C76&lt;=2,1,IF(Dataset!C76=3,2,IF(Dataset!C76=4,3,4)))</f>
        <v>3</v>
      </c>
      <c r="G76" s="29">
        <f t="shared" si="9"/>
        <v>1.9500000000000002</v>
      </c>
      <c r="H76" s="29">
        <f>IF(Dataset!G76&lt;=3,0.25,IF(Dataset!G76&lt;=6,0.45,IF(Dataset!G76&lt;=9,0.65,0.85)))</f>
        <v>0.45</v>
      </c>
      <c r="I76" s="29">
        <f>IF(Dataset!G76&lt;=3,1,IF(Dataset!G76&lt;=6,2,IF(Dataset!G76&lt;=9,3,4)))</f>
        <v>2</v>
      </c>
      <c r="J76" s="29">
        <f t="shared" si="10"/>
        <v>0.9</v>
      </c>
      <c r="K76" s="29">
        <f>IF(Dataset!H76&lt;1,0.2,IF(Dataset!H76&lt;1.3,0.45,IF(Dataset!H76&lt;1.8,0.7,0.9)))</f>
        <v>0.45</v>
      </c>
      <c r="L76" s="29">
        <f>IF(Dataset!H76&lt;1,1,IF(Dataset!H76&lt;1.3,2,IF(Dataset!H76&lt;1.8,3,4)))</f>
        <v>2</v>
      </c>
      <c r="M76" s="29">
        <f t="shared" si="11"/>
        <v>0.9</v>
      </c>
      <c r="N76" s="29">
        <f>IF(Dataset!F76=1,0.75,IF(Dataset!F76=2,0.45,0.2))</f>
        <v>0.2</v>
      </c>
      <c r="O76" s="29">
        <f>IF(Dataset!F76=1,3,IF(Dataset!F76=2,2,1))</f>
        <v>1</v>
      </c>
      <c r="P76" s="29">
        <f t="shared" si="12"/>
        <v>0.2</v>
      </c>
      <c r="Q76" s="29">
        <f>IF(Dataset!K76&lt;5,0.2,IF(Dataset!K76&lt;10,0.45,IF(Dataset!K76&lt;18,0.7,0.9)))</f>
        <v>0.7</v>
      </c>
      <c r="R76" s="29">
        <f>IF(Dataset!K76&lt;5,1,IF(Dataset!K76&lt;10,2,IF(Dataset!K76&lt;18,3,4)))</f>
        <v>3</v>
      </c>
      <c r="S76" s="29">
        <f t="shared" si="13"/>
        <v>2.0999999999999996</v>
      </c>
      <c r="T76" s="29">
        <f t="shared" si="14"/>
        <v>1.163</v>
      </c>
      <c r="U76" s="29" t="str">
        <f t="shared" si="15"/>
        <v>Low</v>
      </c>
    </row>
    <row r="77" spans="1:21" ht="15" customHeight="1" x14ac:dyDescent="0.25">
      <c r="A77" s="29">
        <f>Dataset!A77</f>
        <v>73</v>
      </c>
      <c r="B77" s="29">
        <f>IF(Dataset!B77&lt;25,0.3,IF(Dataset!B77&lt;75,0.5,IF(Dataset!B77&lt;120,0.65,0.8)))</f>
        <v>0.5</v>
      </c>
      <c r="C77" s="29">
        <f>IF(Dataset!B77&lt;25,1,IF(Dataset!B77&lt;75,2,IF(Dataset!B77&lt;120,3,4)))</f>
        <v>2</v>
      </c>
      <c r="D77" s="29">
        <f t="shared" si="8"/>
        <v>1</v>
      </c>
      <c r="E77" s="29">
        <f>IF(Dataset!C77&lt;=1,0.3,IF(Dataset!C77=2,0.4,IF(Dataset!C77=3,0.5,IF(Dataset!C77=4,0.65,0.8))))</f>
        <v>0.8</v>
      </c>
      <c r="F77" s="29">
        <f>IF(Dataset!C77&lt;=2,1,IF(Dataset!C77=3,2,IF(Dataset!C77=4,3,4)))</f>
        <v>4</v>
      </c>
      <c r="G77" s="29">
        <f t="shared" si="9"/>
        <v>3.2</v>
      </c>
      <c r="H77" s="29">
        <f>IF(Dataset!G77&lt;=3,0.25,IF(Dataset!G77&lt;=6,0.45,IF(Dataset!G77&lt;=9,0.65,0.85)))</f>
        <v>0.45</v>
      </c>
      <c r="I77" s="29">
        <f>IF(Dataset!G77&lt;=3,1,IF(Dataset!G77&lt;=6,2,IF(Dataset!G77&lt;=9,3,4)))</f>
        <v>2</v>
      </c>
      <c r="J77" s="29">
        <f t="shared" si="10"/>
        <v>0.9</v>
      </c>
      <c r="K77" s="29">
        <f>IF(Dataset!H77&lt;1,0.2,IF(Dataset!H77&lt;1.3,0.45,IF(Dataset!H77&lt;1.8,0.7,0.9)))</f>
        <v>0.45</v>
      </c>
      <c r="L77" s="29">
        <f>IF(Dataset!H77&lt;1,1,IF(Dataset!H77&lt;1.3,2,IF(Dataset!H77&lt;1.8,3,4)))</f>
        <v>2</v>
      </c>
      <c r="M77" s="29">
        <f t="shared" si="11"/>
        <v>0.9</v>
      </c>
      <c r="N77" s="29">
        <f>IF(Dataset!F77=1,0.75,IF(Dataset!F77=2,0.45,0.2))</f>
        <v>0.75</v>
      </c>
      <c r="O77" s="29">
        <f>IF(Dataset!F77=1,3,IF(Dataset!F77=2,2,1))</f>
        <v>3</v>
      </c>
      <c r="P77" s="29">
        <f t="shared" si="12"/>
        <v>2.25</v>
      </c>
      <c r="Q77" s="29">
        <f>IF(Dataset!K77&lt;5,0.2,IF(Dataset!K77&lt;10,0.45,IF(Dataset!K77&lt;18,0.7,0.9)))</f>
        <v>0.9</v>
      </c>
      <c r="R77" s="29">
        <f>IF(Dataset!K77&lt;5,1,IF(Dataset!K77&lt;10,2,IF(Dataset!K77&lt;18,3,4)))</f>
        <v>4</v>
      </c>
      <c r="S77" s="29">
        <f t="shared" si="13"/>
        <v>3.6</v>
      </c>
      <c r="T77" s="29">
        <f t="shared" si="14"/>
        <v>1.7530000000000006</v>
      </c>
      <c r="U77" s="29" t="str">
        <f t="shared" si="15"/>
        <v>Medium</v>
      </c>
    </row>
    <row r="78" spans="1:21" ht="15" customHeight="1" x14ac:dyDescent="0.25">
      <c r="A78" s="29">
        <f>Dataset!A78</f>
        <v>74</v>
      </c>
      <c r="B78" s="29">
        <f>IF(Dataset!B78&lt;25,0.3,IF(Dataset!B78&lt;75,0.5,IF(Dataset!B78&lt;120,0.65,0.8)))</f>
        <v>0.8</v>
      </c>
      <c r="C78" s="29">
        <f>IF(Dataset!B78&lt;25,1,IF(Dataset!B78&lt;75,2,IF(Dataset!B78&lt;120,3,4)))</f>
        <v>4</v>
      </c>
      <c r="D78" s="29">
        <f t="shared" si="8"/>
        <v>3.2</v>
      </c>
      <c r="E78" s="29">
        <f>IF(Dataset!C78&lt;=1,0.3,IF(Dataset!C78=2,0.4,IF(Dataset!C78=3,0.5,IF(Dataset!C78=4,0.65,0.8))))</f>
        <v>0.4</v>
      </c>
      <c r="F78" s="29">
        <f>IF(Dataset!C78&lt;=2,1,IF(Dataset!C78=3,2,IF(Dataset!C78=4,3,4)))</f>
        <v>1</v>
      </c>
      <c r="G78" s="29">
        <f t="shared" si="9"/>
        <v>0.4</v>
      </c>
      <c r="H78" s="29">
        <f>IF(Dataset!G78&lt;=3,0.25,IF(Dataset!G78&lt;=6,0.45,IF(Dataset!G78&lt;=9,0.65,0.85)))</f>
        <v>0.25</v>
      </c>
      <c r="I78" s="29">
        <f>IF(Dataset!G78&lt;=3,1,IF(Dataset!G78&lt;=6,2,IF(Dataset!G78&lt;=9,3,4)))</f>
        <v>1</v>
      </c>
      <c r="J78" s="29">
        <f t="shared" si="10"/>
        <v>0.25</v>
      </c>
      <c r="K78" s="29">
        <f>IF(Dataset!H78&lt;1,0.2,IF(Dataset!H78&lt;1.3,0.45,IF(Dataset!H78&lt;1.8,0.7,0.9)))</f>
        <v>0.7</v>
      </c>
      <c r="L78" s="29">
        <f>IF(Dataset!H78&lt;1,1,IF(Dataset!H78&lt;1.3,2,IF(Dataset!H78&lt;1.8,3,4)))</f>
        <v>3</v>
      </c>
      <c r="M78" s="29">
        <f t="shared" si="11"/>
        <v>2.0999999999999996</v>
      </c>
      <c r="N78" s="29">
        <f>IF(Dataset!F78=1,0.75,IF(Dataset!F78=2,0.45,0.2))</f>
        <v>0.2</v>
      </c>
      <c r="O78" s="29">
        <f>IF(Dataset!F78=1,3,IF(Dataset!F78=2,2,1))</f>
        <v>1</v>
      </c>
      <c r="P78" s="29">
        <f t="shared" si="12"/>
        <v>0.2</v>
      </c>
      <c r="Q78" s="29">
        <f>IF(Dataset!K78&lt;5,0.2,IF(Dataset!K78&lt;10,0.45,IF(Dataset!K78&lt;18,0.7,0.9)))</f>
        <v>0.45</v>
      </c>
      <c r="R78" s="29">
        <f>IF(Dataset!K78&lt;5,1,IF(Dataset!K78&lt;10,2,IF(Dataset!K78&lt;18,3,4)))</f>
        <v>2</v>
      </c>
      <c r="S78" s="29">
        <f t="shared" si="13"/>
        <v>0.9</v>
      </c>
      <c r="T78" s="29">
        <f t="shared" si="14"/>
        <v>1.3320000000000001</v>
      </c>
      <c r="U78" s="29" t="str">
        <f t="shared" si="15"/>
        <v>Low</v>
      </c>
    </row>
    <row r="79" spans="1:21" ht="15" customHeight="1" x14ac:dyDescent="0.25">
      <c r="A79" s="29">
        <f>Dataset!A79</f>
        <v>75</v>
      </c>
      <c r="B79" s="29">
        <f>IF(Dataset!B79&lt;25,0.3,IF(Dataset!B79&lt;75,0.5,IF(Dataset!B79&lt;120,0.65,0.8)))</f>
        <v>0.5</v>
      </c>
      <c r="C79" s="29">
        <f>IF(Dataset!B79&lt;25,1,IF(Dataset!B79&lt;75,2,IF(Dataset!B79&lt;120,3,4)))</f>
        <v>2</v>
      </c>
      <c r="D79" s="29">
        <f t="shared" si="8"/>
        <v>1</v>
      </c>
      <c r="E79" s="29">
        <f>IF(Dataset!C79&lt;=1,0.3,IF(Dataset!C79=2,0.4,IF(Dataset!C79=3,0.5,IF(Dataset!C79=4,0.65,0.8))))</f>
        <v>0.5</v>
      </c>
      <c r="F79" s="29">
        <f>IF(Dataset!C79&lt;=2,1,IF(Dataset!C79=3,2,IF(Dataset!C79=4,3,4)))</f>
        <v>2</v>
      </c>
      <c r="G79" s="29">
        <f t="shared" si="9"/>
        <v>1</v>
      </c>
      <c r="H79" s="29">
        <f>IF(Dataset!G79&lt;=3,0.25,IF(Dataset!G79&lt;=6,0.45,IF(Dataset!G79&lt;=9,0.65,0.85)))</f>
        <v>0.25</v>
      </c>
      <c r="I79" s="29">
        <f>IF(Dataset!G79&lt;=3,1,IF(Dataset!G79&lt;=6,2,IF(Dataset!G79&lt;=9,3,4)))</f>
        <v>1</v>
      </c>
      <c r="J79" s="29">
        <f t="shared" si="10"/>
        <v>0.25</v>
      </c>
      <c r="K79" s="29">
        <f>IF(Dataset!H79&lt;1,0.2,IF(Dataset!H79&lt;1.3,0.45,IF(Dataset!H79&lt;1.8,0.7,0.9)))</f>
        <v>0.9</v>
      </c>
      <c r="L79" s="29">
        <f>IF(Dataset!H79&lt;1,1,IF(Dataset!H79&lt;1.3,2,IF(Dataset!H79&lt;1.8,3,4)))</f>
        <v>4</v>
      </c>
      <c r="M79" s="29">
        <f t="shared" si="11"/>
        <v>3.6</v>
      </c>
      <c r="N79" s="29">
        <f>IF(Dataset!F79=1,0.75,IF(Dataset!F79=2,0.45,0.2))</f>
        <v>0.75</v>
      </c>
      <c r="O79" s="29">
        <f>IF(Dataset!F79=1,3,IF(Dataset!F79=2,2,1))</f>
        <v>3</v>
      </c>
      <c r="P79" s="29">
        <f t="shared" si="12"/>
        <v>2.25</v>
      </c>
      <c r="Q79" s="29">
        <f>IF(Dataset!K79&lt;5,0.2,IF(Dataset!K79&lt;10,0.45,IF(Dataset!K79&lt;18,0.7,0.9)))</f>
        <v>0.45</v>
      </c>
      <c r="R79" s="29">
        <f>IF(Dataset!K79&lt;5,1,IF(Dataset!K79&lt;10,2,IF(Dataset!K79&lt;18,3,4)))</f>
        <v>2</v>
      </c>
      <c r="S79" s="29">
        <f t="shared" si="13"/>
        <v>0.9</v>
      </c>
      <c r="T79" s="29">
        <f t="shared" si="14"/>
        <v>1.5850000000000002</v>
      </c>
      <c r="U79" s="29" t="str">
        <f t="shared" si="15"/>
        <v>Medium</v>
      </c>
    </row>
    <row r="80" spans="1:21" ht="15" customHeight="1" x14ac:dyDescent="0.25">
      <c r="A80" s="29">
        <f>Dataset!A80</f>
        <v>76</v>
      </c>
      <c r="B80" s="29">
        <f>IF(Dataset!B80&lt;25,0.3,IF(Dataset!B80&lt;75,0.5,IF(Dataset!B80&lt;120,0.65,0.8)))</f>
        <v>0.3</v>
      </c>
      <c r="C80" s="29">
        <f>IF(Dataset!B80&lt;25,1,IF(Dataset!B80&lt;75,2,IF(Dataset!B80&lt;120,3,4)))</f>
        <v>1</v>
      </c>
      <c r="D80" s="29">
        <f t="shared" si="8"/>
        <v>0.3</v>
      </c>
      <c r="E80" s="29">
        <f>IF(Dataset!C80&lt;=1,0.3,IF(Dataset!C80=2,0.4,IF(Dataset!C80=3,0.5,IF(Dataset!C80=4,0.65,0.8))))</f>
        <v>0.4</v>
      </c>
      <c r="F80" s="29">
        <f>IF(Dataset!C80&lt;=2,1,IF(Dataset!C80=3,2,IF(Dataset!C80=4,3,4)))</f>
        <v>1</v>
      </c>
      <c r="G80" s="29">
        <f t="shared" si="9"/>
        <v>0.4</v>
      </c>
      <c r="H80" s="29">
        <f>IF(Dataset!G80&lt;=3,0.25,IF(Dataset!G80&lt;=6,0.45,IF(Dataset!G80&lt;=9,0.65,0.85)))</f>
        <v>0.65</v>
      </c>
      <c r="I80" s="29">
        <f>IF(Dataset!G80&lt;=3,1,IF(Dataset!G80&lt;=6,2,IF(Dataset!G80&lt;=9,3,4)))</f>
        <v>3</v>
      </c>
      <c r="J80" s="29">
        <f t="shared" si="10"/>
        <v>1.9500000000000002</v>
      </c>
      <c r="K80" s="29">
        <f>IF(Dataset!H80&lt;1,0.2,IF(Dataset!H80&lt;1.3,0.45,IF(Dataset!H80&lt;1.8,0.7,0.9)))</f>
        <v>0.9</v>
      </c>
      <c r="L80" s="29">
        <f>IF(Dataset!H80&lt;1,1,IF(Dataset!H80&lt;1.3,2,IF(Dataset!H80&lt;1.8,3,4)))</f>
        <v>4</v>
      </c>
      <c r="M80" s="29">
        <f t="shared" si="11"/>
        <v>3.6</v>
      </c>
      <c r="N80" s="29">
        <f>IF(Dataset!F80=1,0.75,IF(Dataset!F80=2,0.45,0.2))</f>
        <v>0.75</v>
      </c>
      <c r="O80" s="29">
        <f>IF(Dataset!F80=1,3,IF(Dataset!F80=2,2,1))</f>
        <v>3</v>
      </c>
      <c r="P80" s="29">
        <f t="shared" si="12"/>
        <v>2.25</v>
      </c>
      <c r="Q80" s="29">
        <f>IF(Dataset!K80&lt;5,0.2,IF(Dataset!K80&lt;10,0.45,IF(Dataset!K80&lt;18,0.7,0.9)))</f>
        <v>0.2</v>
      </c>
      <c r="R80" s="29">
        <f>IF(Dataset!K80&lt;5,1,IF(Dataset!K80&lt;10,2,IF(Dataset!K80&lt;18,3,4)))</f>
        <v>1</v>
      </c>
      <c r="S80" s="29">
        <f t="shared" si="13"/>
        <v>0.2</v>
      </c>
      <c r="T80" s="29">
        <f t="shared" si="14"/>
        <v>1.6170000000000002</v>
      </c>
      <c r="U80" s="29" t="str">
        <f t="shared" si="15"/>
        <v>Medium</v>
      </c>
    </row>
    <row r="81" spans="1:21" ht="15" customHeight="1" x14ac:dyDescent="0.25">
      <c r="A81" s="29">
        <f>Dataset!A81</f>
        <v>77</v>
      </c>
      <c r="B81" s="29">
        <f>IF(Dataset!B81&lt;25,0.3,IF(Dataset!B81&lt;75,0.5,IF(Dataset!B81&lt;120,0.65,0.8)))</f>
        <v>0.5</v>
      </c>
      <c r="C81" s="29">
        <f>IF(Dataset!B81&lt;25,1,IF(Dataset!B81&lt;75,2,IF(Dataset!B81&lt;120,3,4)))</f>
        <v>2</v>
      </c>
      <c r="D81" s="29">
        <f t="shared" si="8"/>
        <v>1</v>
      </c>
      <c r="E81" s="29">
        <f>IF(Dataset!C81&lt;=1,0.3,IF(Dataset!C81=2,0.4,IF(Dataset!C81=3,0.5,IF(Dataset!C81=4,0.65,0.8))))</f>
        <v>0.3</v>
      </c>
      <c r="F81" s="29">
        <f>IF(Dataset!C81&lt;=2,1,IF(Dataset!C81=3,2,IF(Dataset!C81=4,3,4)))</f>
        <v>1</v>
      </c>
      <c r="G81" s="29">
        <f t="shared" si="9"/>
        <v>0.3</v>
      </c>
      <c r="H81" s="29">
        <f>IF(Dataset!G81&lt;=3,0.25,IF(Dataset!G81&lt;=6,0.45,IF(Dataset!G81&lt;=9,0.65,0.85)))</f>
        <v>0.45</v>
      </c>
      <c r="I81" s="29">
        <f>IF(Dataset!G81&lt;=3,1,IF(Dataset!G81&lt;=6,2,IF(Dataset!G81&lt;=9,3,4)))</f>
        <v>2</v>
      </c>
      <c r="J81" s="29">
        <f t="shared" si="10"/>
        <v>0.9</v>
      </c>
      <c r="K81" s="29">
        <f>IF(Dataset!H81&lt;1,0.2,IF(Dataset!H81&lt;1.3,0.45,IF(Dataset!H81&lt;1.8,0.7,0.9)))</f>
        <v>0.7</v>
      </c>
      <c r="L81" s="29">
        <f>IF(Dataset!H81&lt;1,1,IF(Dataset!H81&lt;1.3,2,IF(Dataset!H81&lt;1.8,3,4)))</f>
        <v>3</v>
      </c>
      <c r="M81" s="29">
        <f t="shared" si="11"/>
        <v>2.0999999999999996</v>
      </c>
      <c r="N81" s="29">
        <f>IF(Dataset!F81=1,0.75,IF(Dataset!F81=2,0.45,0.2))</f>
        <v>0.2</v>
      </c>
      <c r="O81" s="29">
        <f>IF(Dataset!F81=1,3,IF(Dataset!F81=2,2,1))</f>
        <v>1</v>
      </c>
      <c r="P81" s="29">
        <f t="shared" si="12"/>
        <v>0.2</v>
      </c>
      <c r="Q81" s="29">
        <f>IF(Dataset!K81&lt;5,0.2,IF(Dataset!K81&lt;10,0.45,IF(Dataset!K81&lt;18,0.7,0.9)))</f>
        <v>0.2</v>
      </c>
      <c r="R81" s="29">
        <f>IF(Dataset!K81&lt;5,1,IF(Dataset!K81&lt;10,2,IF(Dataset!K81&lt;18,3,4)))</f>
        <v>1</v>
      </c>
      <c r="S81" s="29">
        <f t="shared" si="13"/>
        <v>0.2</v>
      </c>
      <c r="T81" s="29">
        <f t="shared" si="14"/>
        <v>0.95399999999999996</v>
      </c>
      <c r="U81" s="29" t="str">
        <f t="shared" si="15"/>
        <v>Low</v>
      </c>
    </row>
    <row r="82" spans="1:21" ht="15" customHeight="1" x14ac:dyDescent="0.25">
      <c r="A82" s="29">
        <f>Dataset!A82</f>
        <v>78</v>
      </c>
      <c r="B82" s="29">
        <f>IF(Dataset!B82&lt;25,0.3,IF(Dataset!B82&lt;75,0.5,IF(Dataset!B82&lt;120,0.65,0.8)))</f>
        <v>0.5</v>
      </c>
      <c r="C82" s="29">
        <f>IF(Dataset!B82&lt;25,1,IF(Dataset!B82&lt;75,2,IF(Dataset!B82&lt;120,3,4)))</f>
        <v>2</v>
      </c>
      <c r="D82" s="29">
        <f t="shared" si="8"/>
        <v>1</v>
      </c>
      <c r="E82" s="29">
        <f>IF(Dataset!C82&lt;=1,0.3,IF(Dataset!C82=2,0.4,IF(Dataset!C82=3,0.5,IF(Dataset!C82=4,0.65,0.8))))</f>
        <v>0.65</v>
      </c>
      <c r="F82" s="29">
        <f>IF(Dataset!C82&lt;=2,1,IF(Dataset!C82=3,2,IF(Dataset!C82=4,3,4)))</f>
        <v>3</v>
      </c>
      <c r="G82" s="29">
        <f t="shared" si="9"/>
        <v>1.9500000000000002</v>
      </c>
      <c r="H82" s="29">
        <f>IF(Dataset!G82&lt;=3,0.25,IF(Dataset!G82&lt;=6,0.45,IF(Dataset!G82&lt;=9,0.65,0.85)))</f>
        <v>0.65</v>
      </c>
      <c r="I82" s="29">
        <f>IF(Dataset!G82&lt;=3,1,IF(Dataset!G82&lt;=6,2,IF(Dataset!G82&lt;=9,3,4)))</f>
        <v>3</v>
      </c>
      <c r="J82" s="29">
        <f t="shared" si="10"/>
        <v>1.9500000000000002</v>
      </c>
      <c r="K82" s="29">
        <f>IF(Dataset!H82&lt;1,0.2,IF(Dataset!H82&lt;1.3,0.45,IF(Dataset!H82&lt;1.8,0.7,0.9)))</f>
        <v>0.7</v>
      </c>
      <c r="L82" s="29">
        <f>IF(Dataset!H82&lt;1,1,IF(Dataset!H82&lt;1.3,2,IF(Dataset!H82&lt;1.8,3,4)))</f>
        <v>3</v>
      </c>
      <c r="M82" s="29">
        <f t="shared" si="11"/>
        <v>2.0999999999999996</v>
      </c>
      <c r="N82" s="29">
        <f>IF(Dataset!F82=1,0.75,IF(Dataset!F82=2,0.45,0.2))</f>
        <v>0.2</v>
      </c>
      <c r="O82" s="29">
        <f>IF(Dataset!F82=1,3,IF(Dataset!F82=2,2,1))</f>
        <v>1</v>
      </c>
      <c r="P82" s="29">
        <f t="shared" si="12"/>
        <v>0.2</v>
      </c>
      <c r="Q82" s="29">
        <f>IF(Dataset!K82&lt;5,0.2,IF(Dataset!K82&lt;10,0.45,IF(Dataset!K82&lt;18,0.7,0.9)))</f>
        <v>0.45</v>
      </c>
      <c r="R82" s="29">
        <f>IF(Dataset!K82&lt;5,1,IF(Dataset!K82&lt;10,2,IF(Dataset!K82&lt;18,3,4)))</f>
        <v>2</v>
      </c>
      <c r="S82" s="29">
        <f t="shared" si="13"/>
        <v>0.9</v>
      </c>
      <c r="T82" s="29">
        <f t="shared" si="14"/>
        <v>1.4930000000000001</v>
      </c>
      <c r="U82" s="29" t="str">
        <f t="shared" si="15"/>
        <v>Medium</v>
      </c>
    </row>
    <row r="83" spans="1:21" ht="15" customHeight="1" x14ac:dyDescent="0.25">
      <c r="A83" s="29">
        <f>Dataset!A83</f>
        <v>79</v>
      </c>
      <c r="B83" s="29">
        <f>IF(Dataset!B83&lt;25,0.3,IF(Dataset!B83&lt;75,0.5,IF(Dataset!B83&lt;120,0.65,0.8)))</f>
        <v>0.5</v>
      </c>
      <c r="C83" s="29">
        <f>IF(Dataset!B83&lt;25,1,IF(Dataset!B83&lt;75,2,IF(Dataset!B83&lt;120,3,4)))</f>
        <v>2</v>
      </c>
      <c r="D83" s="29">
        <f t="shared" si="8"/>
        <v>1</v>
      </c>
      <c r="E83" s="29">
        <f>IF(Dataset!C83&lt;=1,0.3,IF(Dataset!C83=2,0.4,IF(Dataset!C83=3,0.5,IF(Dataset!C83=4,0.65,0.8))))</f>
        <v>0.65</v>
      </c>
      <c r="F83" s="29">
        <f>IF(Dataset!C83&lt;=2,1,IF(Dataset!C83=3,2,IF(Dataset!C83=4,3,4)))</f>
        <v>3</v>
      </c>
      <c r="G83" s="29">
        <f t="shared" si="9"/>
        <v>1.9500000000000002</v>
      </c>
      <c r="H83" s="29">
        <f>IF(Dataset!G83&lt;=3,0.25,IF(Dataset!G83&lt;=6,0.45,IF(Dataset!G83&lt;=9,0.65,0.85)))</f>
        <v>0.45</v>
      </c>
      <c r="I83" s="29">
        <f>IF(Dataset!G83&lt;=3,1,IF(Dataset!G83&lt;=6,2,IF(Dataset!G83&lt;=9,3,4)))</f>
        <v>2</v>
      </c>
      <c r="J83" s="29">
        <f t="shared" si="10"/>
        <v>0.9</v>
      </c>
      <c r="K83" s="29">
        <f>IF(Dataset!H83&lt;1,0.2,IF(Dataset!H83&lt;1.3,0.45,IF(Dataset!H83&lt;1.8,0.7,0.9)))</f>
        <v>0.45</v>
      </c>
      <c r="L83" s="29">
        <f>IF(Dataset!H83&lt;1,1,IF(Dataset!H83&lt;1.3,2,IF(Dataset!H83&lt;1.8,3,4)))</f>
        <v>2</v>
      </c>
      <c r="M83" s="29">
        <f t="shared" si="11"/>
        <v>0.9</v>
      </c>
      <c r="N83" s="29">
        <f>IF(Dataset!F83=1,0.75,IF(Dataset!F83=2,0.45,0.2))</f>
        <v>0.45</v>
      </c>
      <c r="O83" s="29">
        <f>IF(Dataset!F83=1,3,IF(Dataset!F83=2,2,1))</f>
        <v>2</v>
      </c>
      <c r="P83" s="29">
        <f t="shared" si="12"/>
        <v>0.9</v>
      </c>
      <c r="Q83" s="29">
        <f>IF(Dataset!K83&lt;5,0.2,IF(Dataset!K83&lt;10,0.45,IF(Dataset!K83&lt;18,0.7,0.9)))</f>
        <v>0.7</v>
      </c>
      <c r="R83" s="29">
        <f>IF(Dataset!K83&lt;5,1,IF(Dataset!K83&lt;10,2,IF(Dataset!K83&lt;18,3,4)))</f>
        <v>3</v>
      </c>
      <c r="S83" s="29">
        <f t="shared" si="13"/>
        <v>2.0999999999999996</v>
      </c>
      <c r="T83" s="29">
        <f t="shared" si="14"/>
        <v>1.2330000000000001</v>
      </c>
      <c r="U83" s="29" t="str">
        <f t="shared" si="15"/>
        <v>Low</v>
      </c>
    </row>
    <row r="84" spans="1:21" ht="15" customHeight="1" x14ac:dyDescent="0.25">
      <c r="A84" s="29">
        <f>Dataset!A84</f>
        <v>80</v>
      </c>
      <c r="B84" s="29">
        <f>IF(Dataset!B84&lt;25,0.3,IF(Dataset!B84&lt;75,0.5,IF(Dataset!B84&lt;120,0.65,0.8)))</f>
        <v>0.3</v>
      </c>
      <c r="C84" s="29">
        <f>IF(Dataset!B84&lt;25,1,IF(Dataset!B84&lt;75,2,IF(Dataset!B84&lt;120,3,4)))</f>
        <v>1</v>
      </c>
      <c r="D84" s="29">
        <f t="shared" si="8"/>
        <v>0.3</v>
      </c>
      <c r="E84" s="29">
        <f>IF(Dataset!C84&lt;=1,0.3,IF(Dataset!C84=2,0.4,IF(Dataset!C84=3,0.5,IF(Dataset!C84=4,0.65,0.8))))</f>
        <v>0.65</v>
      </c>
      <c r="F84" s="29">
        <f>IF(Dataset!C84&lt;=2,1,IF(Dataset!C84=3,2,IF(Dataset!C84=4,3,4)))</f>
        <v>3</v>
      </c>
      <c r="G84" s="29">
        <f t="shared" si="9"/>
        <v>1.9500000000000002</v>
      </c>
      <c r="H84" s="29">
        <f>IF(Dataset!G84&lt;=3,0.25,IF(Dataset!G84&lt;=6,0.45,IF(Dataset!G84&lt;=9,0.65,0.85)))</f>
        <v>0.45</v>
      </c>
      <c r="I84" s="29">
        <f>IF(Dataset!G84&lt;=3,1,IF(Dataset!G84&lt;=6,2,IF(Dataset!G84&lt;=9,3,4)))</f>
        <v>2</v>
      </c>
      <c r="J84" s="29">
        <f t="shared" si="10"/>
        <v>0.9</v>
      </c>
      <c r="K84" s="29">
        <f>IF(Dataset!H84&lt;1,0.2,IF(Dataset!H84&lt;1.3,0.45,IF(Dataset!H84&lt;1.8,0.7,0.9)))</f>
        <v>0.7</v>
      </c>
      <c r="L84" s="29">
        <f>IF(Dataset!H84&lt;1,1,IF(Dataset!H84&lt;1.3,2,IF(Dataset!H84&lt;1.8,3,4)))</f>
        <v>3</v>
      </c>
      <c r="M84" s="29">
        <f t="shared" si="11"/>
        <v>2.0999999999999996</v>
      </c>
      <c r="N84" s="29">
        <f>IF(Dataset!F84=1,0.75,IF(Dataset!F84=2,0.45,0.2))</f>
        <v>0.2</v>
      </c>
      <c r="O84" s="29">
        <f>IF(Dataset!F84=1,3,IF(Dataset!F84=2,2,1))</f>
        <v>1</v>
      </c>
      <c r="P84" s="29">
        <f t="shared" si="12"/>
        <v>0.2</v>
      </c>
      <c r="Q84" s="29">
        <f>IF(Dataset!K84&lt;5,0.2,IF(Dataset!K84&lt;10,0.45,IF(Dataset!K84&lt;18,0.7,0.9)))</f>
        <v>0.7</v>
      </c>
      <c r="R84" s="29">
        <f>IF(Dataset!K84&lt;5,1,IF(Dataset!K84&lt;10,2,IF(Dataset!K84&lt;18,3,4)))</f>
        <v>3</v>
      </c>
      <c r="S84" s="29">
        <f t="shared" si="13"/>
        <v>2.0999999999999996</v>
      </c>
      <c r="T84" s="29">
        <f t="shared" si="14"/>
        <v>1.3250000000000002</v>
      </c>
      <c r="U84" s="29" t="str">
        <f t="shared" si="15"/>
        <v>Low</v>
      </c>
    </row>
    <row r="85" spans="1:21" ht="15" customHeight="1" x14ac:dyDescent="0.25">
      <c r="A85" s="29">
        <f>Dataset!A85</f>
        <v>81</v>
      </c>
      <c r="B85" s="29">
        <f>IF(Dataset!B85&lt;25,0.3,IF(Dataset!B85&lt;75,0.5,IF(Dataset!B85&lt;120,0.65,0.8)))</f>
        <v>0.8</v>
      </c>
      <c r="C85" s="29">
        <f>IF(Dataset!B85&lt;25,1,IF(Dataset!B85&lt;75,2,IF(Dataset!B85&lt;120,3,4)))</f>
        <v>4</v>
      </c>
      <c r="D85" s="29">
        <f t="shared" si="8"/>
        <v>3.2</v>
      </c>
      <c r="E85" s="29">
        <f>IF(Dataset!C85&lt;=1,0.3,IF(Dataset!C85=2,0.4,IF(Dataset!C85=3,0.5,IF(Dataset!C85=4,0.65,0.8))))</f>
        <v>0.5</v>
      </c>
      <c r="F85" s="29">
        <f>IF(Dataset!C85&lt;=2,1,IF(Dataset!C85=3,2,IF(Dataset!C85=4,3,4)))</f>
        <v>2</v>
      </c>
      <c r="G85" s="29">
        <f t="shared" si="9"/>
        <v>1</v>
      </c>
      <c r="H85" s="29">
        <f>IF(Dataset!G85&lt;=3,0.25,IF(Dataset!G85&lt;=6,0.45,IF(Dataset!G85&lt;=9,0.65,0.85)))</f>
        <v>0.45</v>
      </c>
      <c r="I85" s="29">
        <f>IF(Dataset!G85&lt;=3,1,IF(Dataset!G85&lt;=6,2,IF(Dataset!G85&lt;=9,3,4)))</f>
        <v>2</v>
      </c>
      <c r="J85" s="29">
        <f t="shared" si="10"/>
        <v>0.9</v>
      </c>
      <c r="K85" s="29">
        <f>IF(Dataset!H85&lt;1,0.2,IF(Dataset!H85&lt;1.3,0.45,IF(Dataset!H85&lt;1.8,0.7,0.9)))</f>
        <v>0.9</v>
      </c>
      <c r="L85" s="29">
        <f>IF(Dataset!H85&lt;1,1,IF(Dataset!H85&lt;1.3,2,IF(Dataset!H85&lt;1.8,3,4)))</f>
        <v>4</v>
      </c>
      <c r="M85" s="29">
        <f t="shared" si="11"/>
        <v>3.6</v>
      </c>
      <c r="N85" s="29">
        <f>IF(Dataset!F85=1,0.75,IF(Dataset!F85=2,0.45,0.2))</f>
        <v>0.75</v>
      </c>
      <c r="O85" s="29">
        <f>IF(Dataset!F85=1,3,IF(Dataset!F85=2,2,1))</f>
        <v>3</v>
      </c>
      <c r="P85" s="29">
        <f t="shared" si="12"/>
        <v>2.25</v>
      </c>
      <c r="Q85" s="29">
        <f>IF(Dataset!K85&lt;5,0.2,IF(Dataset!K85&lt;10,0.45,IF(Dataset!K85&lt;18,0.7,0.9)))</f>
        <v>0.45</v>
      </c>
      <c r="R85" s="29">
        <f>IF(Dataset!K85&lt;5,1,IF(Dataset!K85&lt;10,2,IF(Dataset!K85&lt;18,3,4)))</f>
        <v>2</v>
      </c>
      <c r="S85" s="29">
        <f t="shared" si="13"/>
        <v>0.9</v>
      </c>
      <c r="T85" s="29">
        <f t="shared" si="14"/>
        <v>2.1110000000000002</v>
      </c>
      <c r="U85" s="29" t="str">
        <f t="shared" si="15"/>
        <v>High</v>
      </c>
    </row>
    <row r="86" spans="1:21" ht="15" customHeight="1" x14ac:dyDescent="0.25">
      <c r="A86" s="29">
        <f>Dataset!A86</f>
        <v>82</v>
      </c>
      <c r="B86" s="29">
        <f>IF(Dataset!B86&lt;25,0.3,IF(Dataset!B86&lt;75,0.5,IF(Dataset!B86&lt;120,0.65,0.8)))</f>
        <v>0.65</v>
      </c>
      <c r="C86" s="29">
        <f>IF(Dataset!B86&lt;25,1,IF(Dataset!B86&lt;75,2,IF(Dataset!B86&lt;120,3,4)))</f>
        <v>3</v>
      </c>
      <c r="D86" s="29">
        <f t="shared" si="8"/>
        <v>1.9500000000000002</v>
      </c>
      <c r="E86" s="29">
        <f>IF(Dataset!C86&lt;=1,0.3,IF(Dataset!C86=2,0.4,IF(Dataset!C86=3,0.5,IF(Dataset!C86=4,0.65,0.8))))</f>
        <v>0.65</v>
      </c>
      <c r="F86" s="29">
        <f>IF(Dataset!C86&lt;=2,1,IF(Dataset!C86=3,2,IF(Dataset!C86=4,3,4)))</f>
        <v>3</v>
      </c>
      <c r="G86" s="29">
        <f t="shared" si="9"/>
        <v>1.9500000000000002</v>
      </c>
      <c r="H86" s="29">
        <f>IF(Dataset!G86&lt;=3,0.25,IF(Dataset!G86&lt;=6,0.45,IF(Dataset!G86&lt;=9,0.65,0.85)))</f>
        <v>0.45</v>
      </c>
      <c r="I86" s="29">
        <f>IF(Dataset!G86&lt;=3,1,IF(Dataset!G86&lt;=6,2,IF(Dataset!G86&lt;=9,3,4)))</f>
        <v>2</v>
      </c>
      <c r="J86" s="29">
        <f t="shared" si="10"/>
        <v>0.9</v>
      </c>
      <c r="K86" s="29">
        <f>IF(Dataset!H86&lt;1,0.2,IF(Dataset!H86&lt;1.3,0.45,IF(Dataset!H86&lt;1.8,0.7,0.9)))</f>
        <v>0.7</v>
      </c>
      <c r="L86" s="29">
        <f>IF(Dataset!H86&lt;1,1,IF(Dataset!H86&lt;1.3,2,IF(Dataset!H86&lt;1.8,3,4)))</f>
        <v>3</v>
      </c>
      <c r="M86" s="29">
        <f t="shared" si="11"/>
        <v>2.0999999999999996</v>
      </c>
      <c r="N86" s="29">
        <f>IF(Dataset!F86=1,0.75,IF(Dataset!F86=2,0.45,0.2))</f>
        <v>0.2</v>
      </c>
      <c r="O86" s="29">
        <f>IF(Dataset!F86=1,3,IF(Dataset!F86=2,2,1))</f>
        <v>1</v>
      </c>
      <c r="P86" s="29">
        <f t="shared" si="12"/>
        <v>0.2</v>
      </c>
      <c r="Q86" s="29">
        <f>IF(Dataset!K86&lt;5,0.2,IF(Dataset!K86&lt;10,0.45,IF(Dataset!K86&lt;18,0.7,0.9)))</f>
        <v>0.45</v>
      </c>
      <c r="R86" s="29">
        <f>IF(Dataset!K86&lt;5,1,IF(Dataset!K86&lt;10,2,IF(Dataset!K86&lt;18,3,4)))</f>
        <v>2</v>
      </c>
      <c r="S86" s="29">
        <f t="shared" si="13"/>
        <v>0.9</v>
      </c>
      <c r="T86" s="29">
        <f t="shared" si="14"/>
        <v>1.4540000000000002</v>
      </c>
      <c r="U86" s="29" t="str">
        <f t="shared" si="15"/>
        <v>Medium</v>
      </c>
    </row>
    <row r="87" spans="1:21" ht="15" customHeight="1" x14ac:dyDescent="0.25">
      <c r="A87" s="29">
        <f>Dataset!A87</f>
        <v>83</v>
      </c>
      <c r="B87" s="29">
        <f>IF(Dataset!B87&lt;25,0.3,IF(Dataset!B87&lt;75,0.5,IF(Dataset!B87&lt;120,0.65,0.8)))</f>
        <v>0.8</v>
      </c>
      <c r="C87" s="29">
        <f>IF(Dataset!B87&lt;25,1,IF(Dataset!B87&lt;75,2,IF(Dataset!B87&lt;120,3,4)))</f>
        <v>4</v>
      </c>
      <c r="D87" s="29">
        <f t="shared" si="8"/>
        <v>3.2</v>
      </c>
      <c r="E87" s="29">
        <f>IF(Dataset!C87&lt;=1,0.3,IF(Dataset!C87=2,0.4,IF(Dataset!C87=3,0.5,IF(Dataset!C87=4,0.65,0.8))))</f>
        <v>0.4</v>
      </c>
      <c r="F87" s="29">
        <f>IF(Dataset!C87&lt;=2,1,IF(Dataset!C87=3,2,IF(Dataset!C87=4,3,4)))</f>
        <v>1</v>
      </c>
      <c r="G87" s="29">
        <f t="shared" si="9"/>
        <v>0.4</v>
      </c>
      <c r="H87" s="29">
        <f>IF(Dataset!G87&lt;=3,0.25,IF(Dataset!G87&lt;=6,0.45,IF(Dataset!G87&lt;=9,0.65,0.85)))</f>
        <v>0.45</v>
      </c>
      <c r="I87" s="29">
        <f>IF(Dataset!G87&lt;=3,1,IF(Dataset!G87&lt;=6,2,IF(Dataset!G87&lt;=9,3,4)))</f>
        <v>2</v>
      </c>
      <c r="J87" s="29">
        <f t="shared" si="10"/>
        <v>0.9</v>
      </c>
      <c r="K87" s="29">
        <f>IF(Dataset!H87&lt;1,0.2,IF(Dataset!H87&lt;1.3,0.45,IF(Dataset!H87&lt;1.8,0.7,0.9)))</f>
        <v>0.9</v>
      </c>
      <c r="L87" s="29">
        <f>IF(Dataset!H87&lt;1,1,IF(Dataset!H87&lt;1.3,2,IF(Dataset!H87&lt;1.8,3,4)))</f>
        <v>4</v>
      </c>
      <c r="M87" s="29">
        <f t="shared" si="11"/>
        <v>3.6</v>
      </c>
      <c r="N87" s="29">
        <f>IF(Dataset!F87=1,0.75,IF(Dataset!F87=2,0.45,0.2))</f>
        <v>0.45</v>
      </c>
      <c r="O87" s="29">
        <f>IF(Dataset!F87=1,3,IF(Dataset!F87=2,2,1))</f>
        <v>2</v>
      </c>
      <c r="P87" s="29">
        <f t="shared" si="12"/>
        <v>0.9</v>
      </c>
      <c r="Q87" s="29">
        <f>IF(Dataset!K87&lt;5,0.2,IF(Dataset!K87&lt;10,0.45,IF(Dataset!K87&lt;18,0.7,0.9)))</f>
        <v>0.45</v>
      </c>
      <c r="R87" s="29">
        <f>IF(Dataset!K87&lt;5,1,IF(Dataset!K87&lt;10,2,IF(Dataset!K87&lt;18,3,4)))</f>
        <v>2</v>
      </c>
      <c r="S87" s="29">
        <f t="shared" si="13"/>
        <v>0.9</v>
      </c>
      <c r="T87" s="29">
        <f t="shared" si="14"/>
        <v>1.8920000000000003</v>
      </c>
      <c r="U87" s="29" t="str">
        <f t="shared" si="15"/>
        <v>High</v>
      </c>
    </row>
    <row r="88" spans="1:21" ht="15" customHeight="1" x14ac:dyDescent="0.25">
      <c r="A88" s="29">
        <f>Dataset!A88</f>
        <v>84</v>
      </c>
      <c r="B88" s="29">
        <f>IF(Dataset!B88&lt;25,0.3,IF(Dataset!B88&lt;75,0.5,IF(Dataset!B88&lt;120,0.65,0.8)))</f>
        <v>0.5</v>
      </c>
      <c r="C88" s="29">
        <f>IF(Dataset!B88&lt;25,1,IF(Dataset!B88&lt;75,2,IF(Dataset!B88&lt;120,3,4)))</f>
        <v>2</v>
      </c>
      <c r="D88" s="29">
        <f t="shared" si="8"/>
        <v>1</v>
      </c>
      <c r="E88" s="29">
        <f>IF(Dataset!C88&lt;=1,0.3,IF(Dataset!C88=2,0.4,IF(Dataset!C88=3,0.5,IF(Dataset!C88=4,0.65,0.8))))</f>
        <v>0.4</v>
      </c>
      <c r="F88" s="29">
        <f>IF(Dataset!C88&lt;=2,1,IF(Dataset!C88=3,2,IF(Dataset!C88=4,3,4)))</f>
        <v>1</v>
      </c>
      <c r="G88" s="29">
        <f t="shared" si="9"/>
        <v>0.4</v>
      </c>
      <c r="H88" s="29">
        <f>IF(Dataset!G88&lt;=3,0.25,IF(Dataset!G88&lt;=6,0.45,IF(Dataset!G88&lt;=9,0.65,0.85)))</f>
        <v>0.45</v>
      </c>
      <c r="I88" s="29">
        <f>IF(Dataset!G88&lt;=3,1,IF(Dataset!G88&lt;=6,2,IF(Dataset!G88&lt;=9,3,4)))</f>
        <v>2</v>
      </c>
      <c r="J88" s="29">
        <f t="shared" si="10"/>
        <v>0.9</v>
      </c>
      <c r="K88" s="29">
        <f>IF(Dataset!H88&lt;1,0.2,IF(Dataset!H88&lt;1.3,0.45,IF(Dataset!H88&lt;1.8,0.7,0.9)))</f>
        <v>0.9</v>
      </c>
      <c r="L88" s="29">
        <f>IF(Dataset!H88&lt;1,1,IF(Dataset!H88&lt;1.3,2,IF(Dataset!H88&lt;1.8,3,4)))</f>
        <v>4</v>
      </c>
      <c r="M88" s="29">
        <f t="shared" si="11"/>
        <v>3.6</v>
      </c>
      <c r="N88" s="29">
        <f>IF(Dataset!F88=1,0.75,IF(Dataset!F88=2,0.45,0.2))</f>
        <v>0.45</v>
      </c>
      <c r="O88" s="29">
        <f>IF(Dataset!F88=1,3,IF(Dataset!F88=2,2,1))</f>
        <v>2</v>
      </c>
      <c r="P88" s="29">
        <f t="shared" si="12"/>
        <v>0.9</v>
      </c>
      <c r="Q88" s="29">
        <f>IF(Dataset!K88&lt;5,0.2,IF(Dataset!K88&lt;10,0.45,IF(Dataset!K88&lt;18,0.7,0.9)))</f>
        <v>0.2</v>
      </c>
      <c r="R88" s="29">
        <f>IF(Dataset!K88&lt;5,1,IF(Dataset!K88&lt;10,2,IF(Dataset!K88&lt;18,3,4)))</f>
        <v>1</v>
      </c>
      <c r="S88" s="29">
        <f t="shared" si="13"/>
        <v>0.2</v>
      </c>
      <c r="T88" s="29">
        <f t="shared" si="14"/>
        <v>1.3980000000000001</v>
      </c>
      <c r="U88" s="29" t="str">
        <f t="shared" si="15"/>
        <v>Medium</v>
      </c>
    </row>
    <row r="89" spans="1:21" ht="15" customHeight="1" x14ac:dyDescent="0.25">
      <c r="A89" s="29">
        <f>Dataset!A89</f>
        <v>85</v>
      </c>
      <c r="B89" s="29">
        <f>IF(Dataset!B89&lt;25,0.3,IF(Dataset!B89&lt;75,0.5,IF(Dataset!B89&lt;120,0.65,0.8)))</f>
        <v>0.5</v>
      </c>
      <c r="C89" s="29">
        <f>IF(Dataset!B89&lt;25,1,IF(Dataset!B89&lt;75,2,IF(Dataset!B89&lt;120,3,4)))</f>
        <v>2</v>
      </c>
      <c r="D89" s="29">
        <f t="shared" si="8"/>
        <v>1</v>
      </c>
      <c r="E89" s="29">
        <f>IF(Dataset!C89&lt;=1,0.3,IF(Dataset!C89=2,0.4,IF(Dataset!C89=3,0.5,IF(Dataset!C89=4,0.65,0.8))))</f>
        <v>0.8</v>
      </c>
      <c r="F89" s="29">
        <f>IF(Dataset!C89&lt;=2,1,IF(Dataset!C89=3,2,IF(Dataset!C89=4,3,4)))</f>
        <v>4</v>
      </c>
      <c r="G89" s="29">
        <f t="shared" si="9"/>
        <v>3.2</v>
      </c>
      <c r="H89" s="29">
        <f>IF(Dataset!G89&lt;=3,0.25,IF(Dataset!G89&lt;=6,0.45,IF(Dataset!G89&lt;=9,0.65,0.85)))</f>
        <v>0.65</v>
      </c>
      <c r="I89" s="29">
        <f>IF(Dataset!G89&lt;=3,1,IF(Dataset!G89&lt;=6,2,IF(Dataset!G89&lt;=9,3,4)))</f>
        <v>3</v>
      </c>
      <c r="J89" s="29">
        <f t="shared" si="10"/>
        <v>1.9500000000000002</v>
      </c>
      <c r="K89" s="29">
        <f>IF(Dataset!H89&lt;1,0.2,IF(Dataset!H89&lt;1.3,0.45,IF(Dataset!H89&lt;1.8,0.7,0.9)))</f>
        <v>0.9</v>
      </c>
      <c r="L89" s="29">
        <f>IF(Dataset!H89&lt;1,1,IF(Dataset!H89&lt;1.3,2,IF(Dataset!H89&lt;1.8,3,4)))</f>
        <v>4</v>
      </c>
      <c r="M89" s="29">
        <f t="shared" si="11"/>
        <v>3.6</v>
      </c>
      <c r="N89" s="29">
        <f>IF(Dataset!F89=1,0.75,IF(Dataset!F89=2,0.45,0.2))</f>
        <v>0.45</v>
      </c>
      <c r="O89" s="29">
        <f>IF(Dataset!F89=1,3,IF(Dataset!F89=2,2,1))</f>
        <v>2</v>
      </c>
      <c r="P89" s="29">
        <f t="shared" si="12"/>
        <v>0.9</v>
      </c>
      <c r="Q89" s="29">
        <f>IF(Dataset!K89&lt;5,0.2,IF(Dataset!K89&lt;10,0.45,IF(Dataset!K89&lt;18,0.7,0.9)))</f>
        <v>0.9</v>
      </c>
      <c r="R89" s="29">
        <f>IF(Dataset!K89&lt;5,1,IF(Dataset!K89&lt;10,2,IF(Dataset!K89&lt;18,3,4)))</f>
        <v>4</v>
      </c>
      <c r="S89" s="29">
        <f t="shared" si="13"/>
        <v>3.6</v>
      </c>
      <c r="T89" s="29">
        <f t="shared" si="14"/>
        <v>2.4760000000000004</v>
      </c>
      <c r="U89" s="29" t="str">
        <f t="shared" si="15"/>
        <v>High</v>
      </c>
    </row>
    <row r="90" spans="1:21" ht="15" customHeight="1" x14ac:dyDescent="0.25">
      <c r="A90" s="29">
        <f>Dataset!A90</f>
        <v>86</v>
      </c>
      <c r="B90" s="29">
        <f>IF(Dataset!B90&lt;25,0.3,IF(Dataset!B90&lt;75,0.5,IF(Dataset!B90&lt;120,0.65,0.8)))</f>
        <v>0.5</v>
      </c>
      <c r="C90" s="29">
        <f>IF(Dataset!B90&lt;25,1,IF(Dataset!B90&lt;75,2,IF(Dataset!B90&lt;120,3,4)))</f>
        <v>2</v>
      </c>
      <c r="D90" s="29">
        <f t="shared" si="8"/>
        <v>1</v>
      </c>
      <c r="E90" s="29">
        <f>IF(Dataset!C90&lt;=1,0.3,IF(Dataset!C90=2,0.4,IF(Dataset!C90=3,0.5,IF(Dataset!C90=4,0.65,0.8))))</f>
        <v>0.65</v>
      </c>
      <c r="F90" s="29">
        <f>IF(Dataset!C90&lt;=2,1,IF(Dataset!C90=3,2,IF(Dataset!C90=4,3,4)))</f>
        <v>3</v>
      </c>
      <c r="G90" s="29">
        <f t="shared" si="9"/>
        <v>1.9500000000000002</v>
      </c>
      <c r="H90" s="29">
        <f>IF(Dataset!G90&lt;=3,0.25,IF(Dataset!G90&lt;=6,0.45,IF(Dataset!G90&lt;=9,0.65,0.85)))</f>
        <v>0.25</v>
      </c>
      <c r="I90" s="29">
        <f>IF(Dataset!G90&lt;=3,1,IF(Dataset!G90&lt;=6,2,IF(Dataset!G90&lt;=9,3,4)))</f>
        <v>1</v>
      </c>
      <c r="J90" s="29">
        <f t="shared" si="10"/>
        <v>0.25</v>
      </c>
      <c r="K90" s="29">
        <f>IF(Dataset!H90&lt;1,0.2,IF(Dataset!H90&lt;1.3,0.45,IF(Dataset!H90&lt;1.8,0.7,0.9)))</f>
        <v>0.9</v>
      </c>
      <c r="L90" s="29">
        <f>IF(Dataset!H90&lt;1,1,IF(Dataset!H90&lt;1.3,2,IF(Dataset!H90&lt;1.8,3,4)))</f>
        <v>4</v>
      </c>
      <c r="M90" s="29">
        <f t="shared" si="11"/>
        <v>3.6</v>
      </c>
      <c r="N90" s="29">
        <f>IF(Dataset!F90=1,0.75,IF(Dataset!F90=2,0.45,0.2))</f>
        <v>0.75</v>
      </c>
      <c r="O90" s="29">
        <f>IF(Dataset!F90=1,3,IF(Dataset!F90=2,2,1))</f>
        <v>3</v>
      </c>
      <c r="P90" s="29">
        <f t="shared" si="12"/>
        <v>2.25</v>
      </c>
      <c r="Q90" s="29">
        <f>IF(Dataset!K90&lt;5,0.2,IF(Dataset!K90&lt;10,0.45,IF(Dataset!K90&lt;18,0.7,0.9)))</f>
        <v>0.7</v>
      </c>
      <c r="R90" s="29">
        <f>IF(Dataset!K90&lt;5,1,IF(Dataset!K90&lt;10,2,IF(Dataset!K90&lt;18,3,4)))</f>
        <v>3</v>
      </c>
      <c r="S90" s="29">
        <f t="shared" si="13"/>
        <v>2.0999999999999996</v>
      </c>
      <c r="T90" s="29">
        <f t="shared" si="14"/>
        <v>1.8860000000000001</v>
      </c>
      <c r="U90" s="29" t="str">
        <f t="shared" si="15"/>
        <v>High</v>
      </c>
    </row>
    <row r="91" spans="1:21" ht="15" customHeight="1" x14ac:dyDescent="0.25">
      <c r="A91" s="29">
        <f>Dataset!A91</f>
        <v>87</v>
      </c>
      <c r="B91" s="29">
        <f>IF(Dataset!B91&lt;25,0.3,IF(Dataset!B91&lt;75,0.5,IF(Dataset!B91&lt;120,0.65,0.8)))</f>
        <v>0.3</v>
      </c>
      <c r="C91" s="29">
        <f>IF(Dataset!B91&lt;25,1,IF(Dataset!B91&lt;75,2,IF(Dataset!B91&lt;120,3,4)))</f>
        <v>1</v>
      </c>
      <c r="D91" s="29">
        <f t="shared" si="8"/>
        <v>0.3</v>
      </c>
      <c r="E91" s="29">
        <f>IF(Dataset!C91&lt;=1,0.3,IF(Dataset!C91=2,0.4,IF(Dataset!C91=3,0.5,IF(Dataset!C91=4,0.65,0.8))))</f>
        <v>0.8</v>
      </c>
      <c r="F91" s="29">
        <f>IF(Dataset!C91&lt;=2,1,IF(Dataset!C91=3,2,IF(Dataset!C91=4,3,4)))</f>
        <v>4</v>
      </c>
      <c r="G91" s="29">
        <f t="shared" si="9"/>
        <v>3.2</v>
      </c>
      <c r="H91" s="29">
        <f>IF(Dataset!G91&lt;=3,0.25,IF(Dataset!G91&lt;=6,0.45,IF(Dataset!G91&lt;=9,0.65,0.85)))</f>
        <v>0.45</v>
      </c>
      <c r="I91" s="29">
        <f>IF(Dataset!G91&lt;=3,1,IF(Dataset!G91&lt;=6,2,IF(Dataset!G91&lt;=9,3,4)))</f>
        <v>2</v>
      </c>
      <c r="J91" s="29">
        <f t="shared" si="10"/>
        <v>0.9</v>
      </c>
      <c r="K91" s="29">
        <f>IF(Dataset!H91&lt;1,0.2,IF(Dataset!H91&lt;1.3,0.45,IF(Dataset!H91&lt;1.8,0.7,0.9)))</f>
        <v>0.9</v>
      </c>
      <c r="L91" s="29">
        <f>IF(Dataset!H91&lt;1,1,IF(Dataset!H91&lt;1.3,2,IF(Dataset!H91&lt;1.8,3,4)))</f>
        <v>4</v>
      </c>
      <c r="M91" s="29">
        <f t="shared" si="11"/>
        <v>3.6</v>
      </c>
      <c r="N91" s="29">
        <f>IF(Dataset!F91=1,0.75,IF(Dataset!F91=2,0.45,0.2))</f>
        <v>0.45</v>
      </c>
      <c r="O91" s="29">
        <f>IF(Dataset!F91=1,3,IF(Dataset!F91=2,2,1))</f>
        <v>2</v>
      </c>
      <c r="P91" s="29">
        <f t="shared" si="12"/>
        <v>0.9</v>
      </c>
      <c r="Q91" s="29">
        <f>IF(Dataset!K91&lt;5,0.2,IF(Dataset!K91&lt;10,0.45,IF(Dataset!K91&lt;18,0.7,0.9)))</f>
        <v>0.9</v>
      </c>
      <c r="R91" s="29">
        <f>IF(Dataset!K91&lt;5,1,IF(Dataset!K91&lt;10,2,IF(Dataset!K91&lt;18,3,4)))</f>
        <v>4</v>
      </c>
      <c r="S91" s="29">
        <f t="shared" si="13"/>
        <v>3.6</v>
      </c>
      <c r="T91" s="29">
        <f t="shared" si="14"/>
        <v>2.1400000000000006</v>
      </c>
      <c r="U91" s="29" t="str">
        <f t="shared" si="15"/>
        <v>High</v>
      </c>
    </row>
    <row r="92" spans="1:21" ht="15" customHeight="1" x14ac:dyDescent="0.25">
      <c r="A92" s="29">
        <f>Dataset!A92</f>
        <v>88</v>
      </c>
      <c r="B92" s="29">
        <f>IF(Dataset!B92&lt;25,0.3,IF(Dataset!B92&lt;75,0.5,IF(Dataset!B92&lt;120,0.65,0.8)))</f>
        <v>0.8</v>
      </c>
      <c r="C92" s="29">
        <f>IF(Dataset!B92&lt;25,1,IF(Dataset!B92&lt;75,2,IF(Dataset!B92&lt;120,3,4)))</f>
        <v>4</v>
      </c>
      <c r="D92" s="29">
        <f t="shared" si="8"/>
        <v>3.2</v>
      </c>
      <c r="E92" s="29">
        <f>IF(Dataset!C92&lt;=1,0.3,IF(Dataset!C92=2,0.4,IF(Dataset!C92=3,0.5,IF(Dataset!C92=4,0.65,0.8))))</f>
        <v>0.8</v>
      </c>
      <c r="F92" s="29">
        <f>IF(Dataset!C92&lt;=2,1,IF(Dataset!C92=3,2,IF(Dataset!C92=4,3,4)))</f>
        <v>4</v>
      </c>
      <c r="G92" s="29">
        <f t="shared" si="9"/>
        <v>3.2</v>
      </c>
      <c r="H92" s="29">
        <f>IF(Dataset!G92&lt;=3,0.25,IF(Dataset!G92&lt;=6,0.45,IF(Dataset!G92&lt;=9,0.65,0.85)))</f>
        <v>0.65</v>
      </c>
      <c r="I92" s="29">
        <f>IF(Dataset!G92&lt;=3,1,IF(Dataset!G92&lt;=6,2,IF(Dataset!G92&lt;=9,3,4)))</f>
        <v>3</v>
      </c>
      <c r="J92" s="29">
        <f t="shared" si="10"/>
        <v>1.9500000000000002</v>
      </c>
      <c r="K92" s="29">
        <f>IF(Dataset!H92&lt;1,0.2,IF(Dataset!H92&lt;1.3,0.45,IF(Dataset!H92&lt;1.8,0.7,0.9)))</f>
        <v>0.9</v>
      </c>
      <c r="L92" s="29">
        <f>IF(Dataset!H92&lt;1,1,IF(Dataset!H92&lt;1.3,2,IF(Dataset!H92&lt;1.8,3,4)))</f>
        <v>4</v>
      </c>
      <c r="M92" s="29">
        <f t="shared" si="11"/>
        <v>3.6</v>
      </c>
      <c r="N92" s="29">
        <f>IF(Dataset!F92=1,0.75,IF(Dataset!F92=2,0.45,0.2))</f>
        <v>0.45</v>
      </c>
      <c r="O92" s="29">
        <f>IF(Dataset!F92=1,3,IF(Dataset!F92=2,2,1))</f>
        <v>2</v>
      </c>
      <c r="P92" s="29">
        <f t="shared" si="12"/>
        <v>0.9</v>
      </c>
      <c r="Q92" s="29">
        <f>IF(Dataset!K92&lt;5,0.2,IF(Dataset!K92&lt;10,0.45,IF(Dataset!K92&lt;18,0.7,0.9)))</f>
        <v>0.7</v>
      </c>
      <c r="R92" s="29">
        <f>IF(Dataset!K92&lt;5,1,IF(Dataset!K92&lt;10,2,IF(Dataset!K92&lt;18,3,4)))</f>
        <v>3</v>
      </c>
      <c r="S92" s="29">
        <f t="shared" si="13"/>
        <v>2.0999999999999996</v>
      </c>
      <c r="T92" s="29">
        <f t="shared" si="14"/>
        <v>2.6619999999999999</v>
      </c>
      <c r="U92" s="29" t="str">
        <f t="shared" si="15"/>
        <v>High</v>
      </c>
    </row>
    <row r="93" spans="1:21" ht="15" customHeight="1" x14ac:dyDescent="0.25">
      <c r="A93" s="29">
        <f>Dataset!A93</f>
        <v>89</v>
      </c>
      <c r="B93" s="29">
        <f>IF(Dataset!B93&lt;25,0.3,IF(Dataset!B93&lt;75,0.5,IF(Dataset!B93&lt;120,0.65,0.8)))</f>
        <v>0.5</v>
      </c>
      <c r="C93" s="29">
        <f>IF(Dataset!B93&lt;25,1,IF(Dataset!B93&lt;75,2,IF(Dataset!B93&lt;120,3,4)))</f>
        <v>2</v>
      </c>
      <c r="D93" s="29">
        <f t="shared" si="8"/>
        <v>1</v>
      </c>
      <c r="E93" s="29">
        <f>IF(Dataset!C93&lt;=1,0.3,IF(Dataset!C93=2,0.4,IF(Dataset!C93=3,0.5,IF(Dataset!C93=4,0.65,0.8))))</f>
        <v>0.65</v>
      </c>
      <c r="F93" s="29">
        <f>IF(Dataset!C93&lt;=2,1,IF(Dataset!C93=3,2,IF(Dataset!C93=4,3,4)))</f>
        <v>3</v>
      </c>
      <c r="G93" s="29">
        <f t="shared" si="9"/>
        <v>1.9500000000000002</v>
      </c>
      <c r="H93" s="29">
        <f>IF(Dataset!G93&lt;=3,0.25,IF(Dataset!G93&lt;=6,0.45,IF(Dataset!G93&lt;=9,0.65,0.85)))</f>
        <v>0.25</v>
      </c>
      <c r="I93" s="29">
        <f>IF(Dataset!G93&lt;=3,1,IF(Dataset!G93&lt;=6,2,IF(Dataset!G93&lt;=9,3,4)))</f>
        <v>1</v>
      </c>
      <c r="J93" s="29">
        <f t="shared" si="10"/>
        <v>0.25</v>
      </c>
      <c r="K93" s="29">
        <f>IF(Dataset!H93&lt;1,0.2,IF(Dataset!H93&lt;1.3,0.45,IF(Dataset!H93&lt;1.8,0.7,0.9)))</f>
        <v>0.9</v>
      </c>
      <c r="L93" s="29">
        <f>IF(Dataset!H93&lt;1,1,IF(Dataset!H93&lt;1.3,2,IF(Dataset!H93&lt;1.8,3,4)))</f>
        <v>4</v>
      </c>
      <c r="M93" s="29">
        <f t="shared" si="11"/>
        <v>3.6</v>
      </c>
      <c r="N93" s="29">
        <f>IF(Dataset!F93=1,0.75,IF(Dataset!F93=2,0.45,0.2))</f>
        <v>0.75</v>
      </c>
      <c r="O93" s="29">
        <f>IF(Dataset!F93=1,3,IF(Dataset!F93=2,2,1))</f>
        <v>3</v>
      </c>
      <c r="P93" s="29">
        <f t="shared" si="12"/>
        <v>2.25</v>
      </c>
      <c r="Q93" s="29">
        <f>IF(Dataset!K93&lt;5,0.2,IF(Dataset!K93&lt;10,0.45,IF(Dataset!K93&lt;18,0.7,0.9)))</f>
        <v>0.7</v>
      </c>
      <c r="R93" s="29">
        <f>IF(Dataset!K93&lt;5,1,IF(Dataset!K93&lt;10,2,IF(Dataset!K93&lt;18,3,4)))</f>
        <v>3</v>
      </c>
      <c r="S93" s="29">
        <f t="shared" si="13"/>
        <v>2.0999999999999996</v>
      </c>
      <c r="T93" s="29">
        <f t="shared" si="14"/>
        <v>1.8860000000000001</v>
      </c>
      <c r="U93" s="29" t="str">
        <f t="shared" si="15"/>
        <v>High</v>
      </c>
    </row>
    <row r="94" spans="1:21" ht="15" customHeight="1" x14ac:dyDescent="0.25">
      <c r="A94" s="29">
        <f>Dataset!A94</f>
        <v>90</v>
      </c>
      <c r="B94" s="29">
        <f>IF(Dataset!B94&lt;25,0.3,IF(Dataset!B94&lt;75,0.5,IF(Dataset!B94&lt;120,0.65,0.8)))</f>
        <v>0.8</v>
      </c>
      <c r="C94" s="29">
        <f>IF(Dataset!B94&lt;25,1,IF(Dataset!B94&lt;75,2,IF(Dataset!B94&lt;120,3,4)))</f>
        <v>4</v>
      </c>
      <c r="D94" s="29">
        <f t="shared" si="8"/>
        <v>3.2</v>
      </c>
      <c r="E94" s="29">
        <f>IF(Dataset!C94&lt;=1,0.3,IF(Dataset!C94=2,0.4,IF(Dataset!C94=3,0.5,IF(Dataset!C94=4,0.65,0.8))))</f>
        <v>0.8</v>
      </c>
      <c r="F94" s="29">
        <f>IF(Dataset!C94&lt;=2,1,IF(Dataset!C94=3,2,IF(Dataset!C94=4,3,4)))</f>
        <v>4</v>
      </c>
      <c r="G94" s="29">
        <f t="shared" si="9"/>
        <v>3.2</v>
      </c>
      <c r="H94" s="29">
        <f>IF(Dataset!G94&lt;=3,0.25,IF(Dataset!G94&lt;=6,0.45,IF(Dataset!G94&lt;=9,0.65,0.85)))</f>
        <v>0.45</v>
      </c>
      <c r="I94" s="29">
        <f>IF(Dataset!G94&lt;=3,1,IF(Dataset!G94&lt;=6,2,IF(Dataset!G94&lt;=9,3,4)))</f>
        <v>2</v>
      </c>
      <c r="J94" s="29">
        <f t="shared" si="10"/>
        <v>0.9</v>
      </c>
      <c r="K94" s="29">
        <f>IF(Dataset!H94&lt;1,0.2,IF(Dataset!H94&lt;1.3,0.45,IF(Dataset!H94&lt;1.8,0.7,0.9)))</f>
        <v>0.45</v>
      </c>
      <c r="L94" s="29">
        <f>IF(Dataset!H94&lt;1,1,IF(Dataset!H94&lt;1.3,2,IF(Dataset!H94&lt;1.8,3,4)))</f>
        <v>2</v>
      </c>
      <c r="M94" s="29">
        <f t="shared" si="11"/>
        <v>0.9</v>
      </c>
      <c r="N94" s="29">
        <f>IF(Dataset!F94=1,0.75,IF(Dataset!F94=2,0.45,0.2))</f>
        <v>0.2</v>
      </c>
      <c r="O94" s="29">
        <f>IF(Dataset!F94=1,3,IF(Dataset!F94=2,2,1))</f>
        <v>1</v>
      </c>
      <c r="P94" s="29">
        <f t="shared" si="12"/>
        <v>0.2</v>
      </c>
      <c r="Q94" s="29">
        <f>IF(Dataset!K94&lt;5,0.2,IF(Dataset!K94&lt;10,0.45,IF(Dataset!K94&lt;18,0.7,0.9)))</f>
        <v>0.7</v>
      </c>
      <c r="R94" s="29">
        <f>IF(Dataset!K94&lt;5,1,IF(Dataset!K94&lt;10,2,IF(Dataset!K94&lt;18,3,4)))</f>
        <v>3</v>
      </c>
      <c r="S94" s="29">
        <f t="shared" si="13"/>
        <v>2.0999999999999996</v>
      </c>
      <c r="T94" s="29">
        <f t="shared" si="14"/>
        <v>1.734</v>
      </c>
      <c r="U94" s="29" t="str">
        <f t="shared" si="15"/>
        <v>Medium</v>
      </c>
    </row>
    <row r="95" spans="1:21" ht="15" customHeight="1" x14ac:dyDescent="0.25">
      <c r="A95" s="29">
        <f>Dataset!A95</f>
        <v>91</v>
      </c>
      <c r="B95" s="29">
        <f>IF(Dataset!B95&lt;25,0.3,IF(Dataset!B95&lt;75,0.5,IF(Dataset!B95&lt;120,0.65,0.8)))</f>
        <v>0.5</v>
      </c>
      <c r="C95" s="29">
        <f>IF(Dataset!B95&lt;25,1,IF(Dataset!B95&lt;75,2,IF(Dataset!B95&lt;120,3,4)))</f>
        <v>2</v>
      </c>
      <c r="D95" s="29">
        <f t="shared" si="8"/>
        <v>1</v>
      </c>
      <c r="E95" s="29">
        <f>IF(Dataset!C95&lt;=1,0.3,IF(Dataset!C95=2,0.4,IF(Dataset!C95=3,0.5,IF(Dataset!C95=4,0.65,0.8))))</f>
        <v>0.5</v>
      </c>
      <c r="F95" s="29">
        <f>IF(Dataset!C95&lt;=2,1,IF(Dataset!C95=3,2,IF(Dataset!C95=4,3,4)))</f>
        <v>2</v>
      </c>
      <c r="G95" s="29">
        <f t="shared" si="9"/>
        <v>1</v>
      </c>
      <c r="H95" s="29">
        <f>IF(Dataset!G95&lt;=3,0.25,IF(Dataset!G95&lt;=6,0.45,IF(Dataset!G95&lt;=9,0.65,0.85)))</f>
        <v>0.45</v>
      </c>
      <c r="I95" s="29">
        <f>IF(Dataset!G95&lt;=3,1,IF(Dataset!G95&lt;=6,2,IF(Dataset!G95&lt;=9,3,4)))</f>
        <v>2</v>
      </c>
      <c r="J95" s="29">
        <f t="shared" si="10"/>
        <v>0.9</v>
      </c>
      <c r="K95" s="29">
        <f>IF(Dataset!H95&lt;1,0.2,IF(Dataset!H95&lt;1.3,0.45,IF(Dataset!H95&lt;1.8,0.7,0.9)))</f>
        <v>0.9</v>
      </c>
      <c r="L95" s="29">
        <f>IF(Dataset!H95&lt;1,1,IF(Dataset!H95&lt;1.3,2,IF(Dataset!H95&lt;1.8,3,4)))</f>
        <v>4</v>
      </c>
      <c r="M95" s="29">
        <f t="shared" si="11"/>
        <v>3.6</v>
      </c>
      <c r="N95" s="29">
        <f>IF(Dataset!F95=1,0.75,IF(Dataset!F95=2,0.45,0.2))</f>
        <v>0.45</v>
      </c>
      <c r="O95" s="29">
        <f>IF(Dataset!F95=1,3,IF(Dataset!F95=2,2,1))</f>
        <v>2</v>
      </c>
      <c r="P95" s="29">
        <f t="shared" si="12"/>
        <v>0.9</v>
      </c>
      <c r="Q95" s="29">
        <f>IF(Dataset!K95&lt;5,0.2,IF(Dataset!K95&lt;10,0.45,IF(Dataset!K95&lt;18,0.7,0.9)))</f>
        <v>0.45</v>
      </c>
      <c r="R95" s="29">
        <f>IF(Dataset!K95&lt;5,1,IF(Dataset!K95&lt;10,2,IF(Dataset!K95&lt;18,3,4)))</f>
        <v>2</v>
      </c>
      <c r="S95" s="29">
        <f t="shared" si="13"/>
        <v>0.9</v>
      </c>
      <c r="T95" s="29">
        <f t="shared" si="14"/>
        <v>1.58</v>
      </c>
      <c r="U95" s="29" t="str">
        <f t="shared" si="15"/>
        <v>Medium</v>
      </c>
    </row>
    <row r="96" spans="1:21" ht="15" customHeight="1" x14ac:dyDescent="0.25">
      <c r="A96" s="29">
        <f>Dataset!A96</f>
        <v>92</v>
      </c>
      <c r="B96" s="29">
        <f>IF(Dataset!B96&lt;25,0.3,IF(Dataset!B96&lt;75,0.5,IF(Dataset!B96&lt;120,0.65,0.8)))</f>
        <v>0.65</v>
      </c>
      <c r="C96" s="29">
        <f>IF(Dataset!B96&lt;25,1,IF(Dataset!B96&lt;75,2,IF(Dataset!B96&lt;120,3,4)))</f>
        <v>3</v>
      </c>
      <c r="D96" s="29">
        <f t="shared" si="8"/>
        <v>1.9500000000000002</v>
      </c>
      <c r="E96" s="29">
        <f>IF(Dataset!C96&lt;=1,0.3,IF(Dataset!C96=2,0.4,IF(Dataset!C96=3,0.5,IF(Dataset!C96=4,0.65,0.8))))</f>
        <v>0.3</v>
      </c>
      <c r="F96" s="29">
        <f>IF(Dataset!C96&lt;=2,1,IF(Dataset!C96=3,2,IF(Dataset!C96=4,3,4)))</f>
        <v>1</v>
      </c>
      <c r="G96" s="29">
        <f t="shared" si="9"/>
        <v>0.3</v>
      </c>
      <c r="H96" s="29">
        <f>IF(Dataset!G96&lt;=3,0.25,IF(Dataset!G96&lt;=6,0.45,IF(Dataset!G96&lt;=9,0.65,0.85)))</f>
        <v>0.85</v>
      </c>
      <c r="I96" s="29">
        <f>IF(Dataset!G96&lt;=3,1,IF(Dataset!G96&lt;=6,2,IF(Dataset!G96&lt;=9,3,4)))</f>
        <v>4</v>
      </c>
      <c r="J96" s="29">
        <f t="shared" si="10"/>
        <v>3.4</v>
      </c>
      <c r="K96" s="29">
        <f>IF(Dataset!H96&lt;1,0.2,IF(Dataset!H96&lt;1.3,0.45,IF(Dataset!H96&lt;1.8,0.7,0.9)))</f>
        <v>0.9</v>
      </c>
      <c r="L96" s="29">
        <f>IF(Dataset!H96&lt;1,1,IF(Dataset!H96&lt;1.3,2,IF(Dataset!H96&lt;1.8,3,4)))</f>
        <v>4</v>
      </c>
      <c r="M96" s="29">
        <f t="shared" si="11"/>
        <v>3.6</v>
      </c>
      <c r="N96" s="29">
        <f>IF(Dataset!F96=1,0.75,IF(Dataset!F96=2,0.45,0.2))</f>
        <v>0.75</v>
      </c>
      <c r="O96" s="29">
        <f>IF(Dataset!F96=1,3,IF(Dataset!F96=2,2,1))</f>
        <v>3</v>
      </c>
      <c r="P96" s="29">
        <f t="shared" si="12"/>
        <v>2.25</v>
      </c>
      <c r="Q96" s="29">
        <f>IF(Dataset!K96&lt;5,0.2,IF(Dataset!K96&lt;10,0.45,IF(Dataset!K96&lt;18,0.7,0.9)))</f>
        <v>0.2</v>
      </c>
      <c r="R96" s="29">
        <f>IF(Dataset!K96&lt;5,1,IF(Dataset!K96&lt;10,2,IF(Dataset!K96&lt;18,3,4)))</f>
        <v>1</v>
      </c>
      <c r="S96" s="29">
        <f t="shared" si="13"/>
        <v>0.2</v>
      </c>
      <c r="T96" s="29">
        <f t="shared" si="14"/>
        <v>2.19</v>
      </c>
      <c r="U96" s="29" t="str">
        <f t="shared" si="15"/>
        <v>High</v>
      </c>
    </row>
    <row r="97" spans="1:21" ht="15" customHeight="1" x14ac:dyDescent="0.25">
      <c r="A97" s="29">
        <f>Dataset!A97</f>
        <v>93</v>
      </c>
      <c r="B97" s="29">
        <f>IF(Dataset!B97&lt;25,0.3,IF(Dataset!B97&lt;75,0.5,IF(Dataset!B97&lt;120,0.65,0.8)))</f>
        <v>0.5</v>
      </c>
      <c r="C97" s="29">
        <f>IF(Dataset!B97&lt;25,1,IF(Dataset!B97&lt;75,2,IF(Dataset!B97&lt;120,3,4)))</f>
        <v>2</v>
      </c>
      <c r="D97" s="29">
        <f t="shared" si="8"/>
        <v>1</v>
      </c>
      <c r="E97" s="29">
        <f>IF(Dataset!C97&lt;=1,0.3,IF(Dataset!C97=2,0.4,IF(Dataset!C97=3,0.5,IF(Dataset!C97=4,0.65,0.8))))</f>
        <v>0.3</v>
      </c>
      <c r="F97" s="29">
        <f>IF(Dataset!C97&lt;=2,1,IF(Dataset!C97=3,2,IF(Dataset!C97=4,3,4)))</f>
        <v>1</v>
      </c>
      <c r="G97" s="29">
        <f t="shared" si="9"/>
        <v>0.3</v>
      </c>
      <c r="H97" s="29">
        <f>IF(Dataset!G97&lt;=3,0.25,IF(Dataset!G97&lt;=6,0.45,IF(Dataset!G97&lt;=9,0.65,0.85)))</f>
        <v>0.65</v>
      </c>
      <c r="I97" s="29">
        <f>IF(Dataset!G97&lt;=3,1,IF(Dataset!G97&lt;=6,2,IF(Dataset!G97&lt;=9,3,4)))</f>
        <v>3</v>
      </c>
      <c r="J97" s="29">
        <f t="shared" si="10"/>
        <v>1.9500000000000002</v>
      </c>
      <c r="K97" s="29">
        <f>IF(Dataset!H97&lt;1,0.2,IF(Dataset!H97&lt;1.3,0.45,IF(Dataset!H97&lt;1.8,0.7,0.9)))</f>
        <v>0.9</v>
      </c>
      <c r="L97" s="29">
        <f>IF(Dataset!H97&lt;1,1,IF(Dataset!H97&lt;1.3,2,IF(Dataset!H97&lt;1.8,3,4)))</f>
        <v>4</v>
      </c>
      <c r="M97" s="29">
        <f t="shared" si="11"/>
        <v>3.6</v>
      </c>
      <c r="N97" s="29">
        <f>IF(Dataset!F97=1,0.75,IF(Dataset!F97=2,0.45,0.2))</f>
        <v>0.45</v>
      </c>
      <c r="O97" s="29">
        <f>IF(Dataset!F97=1,3,IF(Dataset!F97=2,2,1))</f>
        <v>2</v>
      </c>
      <c r="P97" s="29">
        <f t="shared" si="12"/>
        <v>0.9</v>
      </c>
      <c r="Q97" s="29">
        <f>IF(Dataset!K97&lt;5,0.2,IF(Dataset!K97&lt;10,0.45,IF(Dataset!K97&lt;18,0.7,0.9)))</f>
        <v>0.2</v>
      </c>
      <c r="R97" s="29">
        <f>IF(Dataset!K97&lt;5,1,IF(Dataset!K97&lt;10,2,IF(Dataset!K97&lt;18,3,4)))</f>
        <v>1</v>
      </c>
      <c r="S97" s="29">
        <f t="shared" si="13"/>
        <v>0.2</v>
      </c>
      <c r="T97" s="29">
        <f t="shared" si="14"/>
        <v>1.5940000000000001</v>
      </c>
      <c r="U97" s="29" t="str">
        <f t="shared" si="15"/>
        <v>Medium</v>
      </c>
    </row>
    <row r="98" spans="1:21" ht="15" customHeight="1" x14ac:dyDescent="0.25">
      <c r="A98" s="29">
        <f>Dataset!A98</f>
        <v>94</v>
      </c>
      <c r="B98" s="29">
        <f>IF(Dataset!B98&lt;25,0.3,IF(Dataset!B98&lt;75,0.5,IF(Dataset!B98&lt;120,0.65,0.8)))</f>
        <v>0.3</v>
      </c>
      <c r="C98" s="29">
        <f>IF(Dataset!B98&lt;25,1,IF(Dataset!B98&lt;75,2,IF(Dataset!B98&lt;120,3,4)))</f>
        <v>1</v>
      </c>
      <c r="D98" s="29">
        <f t="shared" si="8"/>
        <v>0.3</v>
      </c>
      <c r="E98" s="29">
        <f>IF(Dataset!C98&lt;=1,0.3,IF(Dataset!C98=2,0.4,IF(Dataset!C98=3,0.5,IF(Dataset!C98=4,0.65,0.8))))</f>
        <v>0.4</v>
      </c>
      <c r="F98" s="29">
        <f>IF(Dataset!C98&lt;=2,1,IF(Dataset!C98=3,2,IF(Dataset!C98=4,3,4)))</f>
        <v>1</v>
      </c>
      <c r="G98" s="29">
        <f t="shared" si="9"/>
        <v>0.4</v>
      </c>
      <c r="H98" s="29">
        <f>IF(Dataset!G98&lt;=3,0.25,IF(Dataset!G98&lt;=6,0.45,IF(Dataset!G98&lt;=9,0.65,0.85)))</f>
        <v>0.25</v>
      </c>
      <c r="I98" s="29">
        <f>IF(Dataset!G98&lt;=3,1,IF(Dataset!G98&lt;=6,2,IF(Dataset!G98&lt;=9,3,4)))</f>
        <v>1</v>
      </c>
      <c r="J98" s="29">
        <f t="shared" si="10"/>
        <v>0.25</v>
      </c>
      <c r="K98" s="29">
        <f>IF(Dataset!H98&lt;1,0.2,IF(Dataset!H98&lt;1.3,0.45,IF(Dataset!H98&lt;1.8,0.7,0.9)))</f>
        <v>0.2</v>
      </c>
      <c r="L98" s="29">
        <f>IF(Dataset!H98&lt;1,1,IF(Dataset!H98&lt;1.3,2,IF(Dataset!H98&lt;1.8,3,4)))</f>
        <v>1</v>
      </c>
      <c r="M98" s="29">
        <f t="shared" si="11"/>
        <v>0.2</v>
      </c>
      <c r="N98" s="29">
        <f>IF(Dataset!F98=1,0.75,IF(Dataset!F98=2,0.45,0.2))</f>
        <v>0.75</v>
      </c>
      <c r="O98" s="29">
        <f>IF(Dataset!F98=1,3,IF(Dataset!F98=2,2,1))</f>
        <v>3</v>
      </c>
      <c r="P98" s="29">
        <f t="shared" si="12"/>
        <v>2.25</v>
      </c>
      <c r="Q98" s="29">
        <f>IF(Dataset!K98&lt;5,0.2,IF(Dataset!K98&lt;10,0.45,IF(Dataset!K98&lt;18,0.7,0.9)))</f>
        <v>0.2</v>
      </c>
      <c r="R98" s="29">
        <f>IF(Dataset!K98&lt;5,1,IF(Dataset!K98&lt;10,2,IF(Dataset!K98&lt;18,3,4)))</f>
        <v>1</v>
      </c>
      <c r="S98" s="29">
        <f t="shared" si="13"/>
        <v>0.2</v>
      </c>
      <c r="T98" s="29">
        <f t="shared" si="14"/>
        <v>0.46100000000000008</v>
      </c>
      <c r="U98" s="29" t="str">
        <f t="shared" si="15"/>
        <v>Low</v>
      </c>
    </row>
    <row r="99" spans="1:21" ht="15" customHeight="1" x14ac:dyDescent="0.25">
      <c r="A99" s="29">
        <f>Dataset!A99</f>
        <v>95</v>
      </c>
      <c r="B99" s="29">
        <f>IF(Dataset!B99&lt;25,0.3,IF(Dataset!B99&lt;75,0.5,IF(Dataset!B99&lt;120,0.65,0.8)))</f>
        <v>0.8</v>
      </c>
      <c r="C99" s="29">
        <f>IF(Dataset!B99&lt;25,1,IF(Dataset!B99&lt;75,2,IF(Dataset!B99&lt;120,3,4)))</f>
        <v>4</v>
      </c>
      <c r="D99" s="29">
        <f t="shared" si="8"/>
        <v>3.2</v>
      </c>
      <c r="E99" s="29">
        <f>IF(Dataset!C99&lt;=1,0.3,IF(Dataset!C99=2,0.4,IF(Dataset!C99=3,0.5,IF(Dataset!C99=4,0.65,0.8))))</f>
        <v>0.4</v>
      </c>
      <c r="F99" s="29">
        <f>IF(Dataset!C99&lt;=2,1,IF(Dataset!C99=3,2,IF(Dataset!C99=4,3,4)))</f>
        <v>1</v>
      </c>
      <c r="G99" s="29">
        <f t="shared" si="9"/>
        <v>0.4</v>
      </c>
      <c r="H99" s="29">
        <f>IF(Dataset!G99&lt;=3,0.25,IF(Dataset!G99&lt;=6,0.45,IF(Dataset!G99&lt;=9,0.65,0.85)))</f>
        <v>0.45</v>
      </c>
      <c r="I99" s="29">
        <f>IF(Dataset!G99&lt;=3,1,IF(Dataset!G99&lt;=6,2,IF(Dataset!G99&lt;=9,3,4)))</f>
        <v>2</v>
      </c>
      <c r="J99" s="29">
        <f t="shared" si="10"/>
        <v>0.9</v>
      </c>
      <c r="K99" s="29">
        <f>IF(Dataset!H99&lt;1,0.2,IF(Dataset!H99&lt;1.3,0.45,IF(Dataset!H99&lt;1.8,0.7,0.9)))</f>
        <v>0.7</v>
      </c>
      <c r="L99" s="29">
        <f>IF(Dataset!H99&lt;1,1,IF(Dataset!H99&lt;1.3,2,IF(Dataset!H99&lt;1.8,3,4)))</f>
        <v>3</v>
      </c>
      <c r="M99" s="29">
        <f t="shared" si="11"/>
        <v>2.0999999999999996</v>
      </c>
      <c r="N99" s="29">
        <f>IF(Dataset!F99=1,0.75,IF(Dataset!F99=2,0.45,0.2))</f>
        <v>0.75</v>
      </c>
      <c r="O99" s="29">
        <f>IF(Dataset!F99=1,3,IF(Dataset!F99=2,2,1))</f>
        <v>3</v>
      </c>
      <c r="P99" s="29">
        <f t="shared" si="12"/>
        <v>2.25</v>
      </c>
      <c r="Q99" s="29">
        <f>IF(Dataset!K99&lt;5,0.2,IF(Dataset!K99&lt;10,0.45,IF(Dataset!K99&lt;18,0.7,0.9)))</f>
        <v>0.45</v>
      </c>
      <c r="R99" s="29">
        <f>IF(Dataset!K99&lt;5,1,IF(Dataset!K99&lt;10,2,IF(Dataset!K99&lt;18,3,4)))</f>
        <v>2</v>
      </c>
      <c r="S99" s="29">
        <f t="shared" si="13"/>
        <v>0.9</v>
      </c>
      <c r="T99" s="29">
        <f t="shared" si="14"/>
        <v>1.667</v>
      </c>
      <c r="U99" s="29" t="str">
        <f t="shared" si="15"/>
        <v>Medium</v>
      </c>
    </row>
    <row r="100" spans="1:21" ht="15" customHeight="1" x14ac:dyDescent="0.25">
      <c r="A100" s="29">
        <f>Dataset!A100</f>
        <v>96</v>
      </c>
      <c r="B100" s="29">
        <f>IF(Dataset!B100&lt;25,0.3,IF(Dataset!B100&lt;75,0.5,IF(Dataset!B100&lt;120,0.65,0.8)))</f>
        <v>0.5</v>
      </c>
      <c r="C100" s="29">
        <f>IF(Dataset!B100&lt;25,1,IF(Dataset!B100&lt;75,2,IF(Dataset!B100&lt;120,3,4)))</f>
        <v>2</v>
      </c>
      <c r="D100" s="29">
        <f t="shared" si="8"/>
        <v>1</v>
      </c>
      <c r="E100" s="29">
        <f>IF(Dataset!C100&lt;=1,0.3,IF(Dataset!C100=2,0.4,IF(Dataset!C100=3,0.5,IF(Dataset!C100=4,0.65,0.8))))</f>
        <v>0.5</v>
      </c>
      <c r="F100" s="29">
        <f>IF(Dataset!C100&lt;=2,1,IF(Dataset!C100=3,2,IF(Dataset!C100=4,3,4)))</f>
        <v>2</v>
      </c>
      <c r="G100" s="29">
        <f t="shared" si="9"/>
        <v>1</v>
      </c>
      <c r="H100" s="29">
        <f>IF(Dataset!G100&lt;=3,0.25,IF(Dataset!G100&lt;=6,0.45,IF(Dataset!G100&lt;=9,0.65,0.85)))</f>
        <v>0.45</v>
      </c>
      <c r="I100" s="29">
        <f>IF(Dataset!G100&lt;=3,1,IF(Dataset!G100&lt;=6,2,IF(Dataset!G100&lt;=9,3,4)))</f>
        <v>2</v>
      </c>
      <c r="J100" s="29">
        <f t="shared" si="10"/>
        <v>0.9</v>
      </c>
      <c r="K100" s="29">
        <f>IF(Dataset!H100&lt;1,0.2,IF(Dataset!H100&lt;1.3,0.45,IF(Dataset!H100&lt;1.8,0.7,0.9)))</f>
        <v>0.9</v>
      </c>
      <c r="L100" s="29">
        <f>IF(Dataset!H100&lt;1,1,IF(Dataset!H100&lt;1.3,2,IF(Dataset!H100&lt;1.8,3,4)))</f>
        <v>4</v>
      </c>
      <c r="M100" s="29">
        <f t="shared" si="11"/>
        <v>3.6</v>
      </c>
      <c r="N100" s="29">
        <f>IF(Dataset!F100=1,0.75,IF(Dataset!F100=2,0.45,0.2))</f>
        <v>0.45</v>
      </c>
      <c r="O100" s="29">
        <f>IF(Dataset!F100=1,3,IF(Dataset!F100=2,2,1))</f>
        <v>2</v>
      </c>
      <c r="P100" s="29">
        <f t="shared" si="12"/>
        <v>0.9</v>
      </c>
      <c r="Q100" s="29">
        <f>IF(Dataset!K100&lt;5,0.2,IF(Dataset!K100&lt;10,0.45,IF(Dataset!K100&lt;18,0.7,0.9)))</f>
        <v>0.2</v>
      </c>
      <c r="R100" s="29">
        <f>IF(Dataset!K100&lt;5,1,IF(Dataset!K100&lt;10,2,IF(Dataset!K100&lt;18,3,4)))</f>
        <v>1</v>
      </c>
      <c r="S100" s="29">
        <f t="shared" si="13"/>
        <v>0.2</v>
      </c>
      <c r="T100" s="29">
        <f t="shared" si="14"/>
        <v>1.482</v>
      </c>
      <c r="U100" s="29" t="str">
        <f t="shared" si="15"/>
        <v>Medium</v>
      </c>
    </row>
    <row r="101" spans="1:21" ht="15" customHeight="1" x14ac:dyDescent="0.25">
      <c r="A101" s="29">
        <f>Dataset!A101</f>
        <v>97</v>
      </c>
      <c r="B101" s="29">
        <f>IF(Dataset!B101&lt;25,0.3,IF(Dataset!B101&lt;75,0.5,IF(Dataset!B101&lt;120,0.65,0.8)))</f>
        <v>0.3</v>
      </c>
      <c r="C101" s="29">
        <f>IF(Dataset!B101&lt;25,1,IF(Dataset!B101&lt;75,2,IF(Dataset!B101&lt;120,3,4)))</f>
        <v>1</v>
      </c>
      <c r="D101" s="29">
        <f t="shared" si="8"/>
        <v>0.3</v>
      </c>
      <c r="E101" s="29">
        <f>IF(Dataset!C101&lt;=1,0.3,IF(Dataset!C101=2,0.4,IF(Dataset!C101=3,0.5,IF(Dataset!C101=4,0.65,0.8))))</f>
        <v>0.65</v>
      </c>
      <c r="F101" s="29">
        <f>IF(Dataset!C101&lt;=2,1,IF(Dataset!C101=3,2,IF(Dataset!C101=4,3,4)))</f>
        <v>3</v>
      </c>
      <c r="G101" s="29">
        <f t="shared" si="9"/>
        <v>1.9500000000000002</v>
      </c>
      <c r="H101" s="29">
        <f>IF(Dataset!G101&lt;=3,0.25,IF(Dataset!G101&lt;=6,0.45,IF(Dataset!G101&lt;=9,0.65,0.85)))</f>
        <v>0.45</v>
      </c>
      <c r="I101" s="29">
        <f>IF(Dataset!G101&lt;=3,1,IF(Dataset!G101&lt;=6,2,IF(Dataset!G101&lt;=9,3,4)))</f>
        <v>2</v>
      </c>
      <c r="J101" s="29">
        <f t="shared" si="10"/>
        <v>0.9</v>
      </c>
      <c r="K101" s="29">
        <f>IF(Dataset!H101&lt;1,0.2,IF(Dataset!H101&lt;1.3,0.45,IF(Dataset!H101&lt;1.8,0.7,0.9)))</f>
        <v>0.7</v>
      </c>
      <c r="L101" s="29">
        <f>IF(Dataset!H101&lt;1,1,IF(Dataset!H101&lt;1.3,2,IF(Dataset!H101&lt;1.8,3,4)))</f>
        <v>3</v>
      </c>
      <c r="M101" s="29">
        <f t="shared" si="11"/>
        <v>2.0999999999999996</v>
      </c>
      <c r="N101" s="29">
        <f>IF(Dataset!F101=1,0.75,IF(Dataset!F101=2,0.45,0.2))</f>
        <v>0.75</v>
      </c>
      <c r="O101" s="29">
        <f>IF(Dataset!F101=1,3,IF(Dataset!F101=2,2,1))</f>
        <v>3</v>
      </c>
      <c r="P101" s="29">
        <f t="shared" si="12"/>
        <v>2.25</v>
      </c>
      <c r="Q101" s="29">
        <f>IF(Dataset!K101&lt;5,0.2,IF(Dataset!K101&lt;10,0.45,IF(Dataset!K101&lt;18,0.7,0.9)))</f>
        <v>0.45</v>
      </c>
      <c r="R101" s="29">
        <f>IF(Dataset!K101&lt;5,1,IF(Dataset!K101&lt;10,2,IF(Dataset!K101&lt;18,3,4)))</f>
        <v>2</v>
      </c>
      <c r="S101" s="29">
        <f t="shared" si="13"/>
        <v>0.9</v>
      </c>
      <c r="T101" s="29">
        <f t="shared" si="14"/>
        <v>1.3620000000000003</v>
      </c>
      <c r="U101" s="29" t="str">
        <f t="shared" si="15"/>
        <v>Medium</v>
      </c>
    </row>
    <row r="102" spans="1:21" ht="15" customHeight="1" x14ac:dyDescent="0.25">
      <c r="A102" s="29">
        <f>Dataset!A102</f>
        <v>98</v>
      </c>
      <c r="B102" s="29">
        <f>IF(Dataset!B102&lt;25,0.3,IF(Dataset!B102&lt;75,0.5,IF(Dataset!B102&lt;120,0.65,0.8)))</f>
        <v>0.65</v>
      </c>
      <c r="C102" s="29">
        <f>IF(Dataset!B102&lt;25,1,IF(Dataset!B102&lt;75,2,IF(Dataset!B102&lt;120,3,4)))</f>
        <v>3</v>
      </c>
      <c r="D102" s="29">
        <f t="shared" si="8"/>
        <v>1.9500000000000002</v>
      </c>
      <c r="E102" s="29">
        <f>IF(Dataset!C102&lt;=1,0.3,IF(Dataset!C102=2,0.4,IF(Dataset!C102=3,0.5,IF(Dataset!C102=4,0.65,0.8))))</f>
        <v>0.65</v>
      </c>
      <c r="F102" s="29">
        <f>IF(Dataset!C102&lt;=2,1,IF(Dataset!C102=3,2,IF(Dataset!C102=4,3,4)))</f>
        <v>3</v>
      </c>
      <c r="G102" s="29">
        <f t="shared" si="9"/>
        <v>1.9500000000000002</v>
      </c>
      <c r="H102" s="29">
        <f>IF(Dataset!G102&lt;=3,0.25,IF(Dataset!G102&lt;=6,0.45,IF(Dataset!G102&lt;=9,0.65,0.85)))</f>
        <v>0.65</v>
      </c>
      <c r="I102" s="29">
        <f>IF(Dataset!G102&lt;=3,1,IF(Dataset!G102&lt;=6,2,IF(Dataset!G102&lt;=9,3,4)))</f>
        <v>3</v>
      </c>
      <c r="J102" s="29">
        <f t="shared" si="10"/>
        <v>1.9500000000000002</v>
      </c>
      <c r="K102" s="29">
        <f>IF(Dataset!H102&lt;1,0.2,IF(Dataset!H102&lt;1.3,0.45,IF(Dataset!H102&lt;1.8,0.7,0.9)))</f>
        <v>0.7</v>
      </c>
      <c r="L102" s="29">
        <f>IF(Dataset!H102&lt;1,1,IF(Dataset!H102&lt;1.3,2,IF(Dataset!H102&lt;1.8,3,4)))</f>
        <v>3</v>
      </c>
      <c r="M102" s="29">
        <f t="shared" si="11"/>
        <v>2.0999999999999996</v>
      </c>
      <c r="N102" s="29">
        <f>IF(Dataset!F102=1,0.75,IF(Dataset!F102=2,0.45,0.2))</f>
        <v>0.75</v>
      </c>
      <c r="O102" s="29">
        <f>IF(Dataset!F102=1,3,IF(Dataset!F102=2,2,1))</f>
        <v>3</v>
      </c>
      <c r="P102" s="29">
        <f t="shared" si="12"/>
        <v>2.25</v>
      </c>
      <c r="Q102" s="29">
        <f>IF(Dataset!K102&lt;5,0.2,IF(Dataset!K102&lt;10,0.45,IF(Dataset!K102&lt;18,0.7,0.9)))</f>
        <v>0.7</v>
      </c>
      <c r="R102" s="29">
        <f>IF(Dataset!K102&lt;5,1,IF(Dataset!K102&lt;10,2,IF(Dataset!K102&lt;18,3,4)))</f>
        <v>3</v>
      </c>
      <c r="S102" s="29">
        <f t="shared" si="13"/>
        <v>2.0999999999999996</v>
      </c>
      <c r="T102" s="29">
        <f t="shared" si="14"/>
        <v>2.0370000000000004</v>
      </c>
      <c r="U102" s="29" t="str">
        <f t="shared" si="15"/>
        <v>High</v>
      </c>
    </row>
    <row r="103" spans="1:21" ht="15" customHeight="1" x14ac:dyDescent="0.25">
      <c r="A103" s="29">
        <f>Dataset!A103</f>
        <v>99</v>
      </c>
      <c r="B103" s="29">
        <f>IF(Dataset!B103&lt;25,0.3,IF(Dataset!B103&lt;75,0.5,IF(Dataset!B103&lt;120,0.65,0.8)))</f>
        <v>0.5</v>
      </c>
      <c r="C103" s="29">
        <f>IF(Dataset!B103&lt;25,1,IF(Dataset!B103&lt;75,2,IF(Dataset!B103&lt;120,3,4)))</f>
        <v>2</v>
      </c>
      <c r="D103" s="29">
        <f t="shared" si="8"/>
        <v>1</v>
      </c>
      <c r="E103" s="29">
        <f>IF(Dataset!C103&lt;=1,0.3,IF(Dataset!C103=2,0.4,IF(Dataset!C103=3,0.5,IF(Dataset!C103=4,0.65,0.8))))</f>
        <v>0.65</v>
      </c>
      <c r="F103" s="29">
        <f>IF(Dataset!C103&lt;=2,1,IF(Dataset!C103=3,2,IF(Dataset!C103=4,3,4)))</f>
        <v>3</v>
      </c>
      <c r="G103" s="29">
        <f t="shared" si="9"/>
        <v>1.9500000000000002</v>
      </c>
      <c r="H103" s="29">
        <f>IF(Dataset!G103&lt;=3,0.25,IF(Dataset!G103&lt;=6,0.45,IF(Dataset!G103&lt;=9,0.65,0.85)))</f>
        <v>0.25</v>
      </c>
      <c r="I103" s="29">
        <f>IF(Dataset!G103&lt;=3,1,IF(Dataset!G103&lt;=6,2,IF(Dataset!G103&lt;=9,3,4)))</f>
        <v>1</v>
      </c>
      <c r="J103" s="29">
        <f t="shared" si="10"/>
        <v>0.25</v>
      </c>
      <c r="K103" s="29">
        <f>IF(Dataset!H103&lt;1,0.2,IF(Dataset!H103&lt;1.3,0.45,IF(Dataset!H103&lt;1.8,0.7,0.9)))</f>
        <v>0.45</v>
      </c>
      <c r="L103" s="29">
        <f>IF(Dataset!H103&lt;1,1,IF(Dataset!H103&lt;1.3,2,IF(Dataset!H103&lt;1.8,3,4)))</f>
        <v>2</v>
      </c>
      <c r="M103" s="29">
        <f t="shared" si="11"/>
        <v>0.9</v>
      </c>
      <c r="N103" s="29">
        <f>IF(Dataset!F103=1,0.75,IF(Dataset!F103=2,0.45,0.2))</f>
        <v>0.45</v>
      </c>
      <c r="O103" s="29">
        <f>IF(Dataset!F103=1,3,IF(Dataset!F103=2,2,1))</f>
        <v>2</v>
      </c>
      <c r="P103" s="29">
        <f t="shared" si="12"/>
        <v>0.9</v>
      </c>
      <c r="Q103" s="29">
        <f>IF(Dataset!K103&lt;5,0.2,IF(Dataset!K103&lt;10,0.45,IF(Dataset!K103&lt;18,0.7,0.9)))</f>
        <v>0.45</v>
      </c>
      <c r="R103" s="29">
        <f>IF(Dataset!K103&lt;5,1,IF(Dataset!K103&lt;10,2,IF(Dataset!K103&lt;18,3,4)))</f>
        <v>2</v>
      </c>
      <c r="S103" s="29">
        <f t="shared" si="13"/>
        <v>0.9</v>
      </c>
      <c r="T103" s="29">
        <f t="shared" si="14"/>
        <v>0.93500000000000005</v>
      </c>
      <c r="U103" s="29" t="str">
        <f t="shared" si="15"/>
        <v>Low</v>
      </c>
    </row>
    <row r="104" spans="1:21" ht="15" customHeight="1" x14ac:dyDescent="0.25">
      <c r="A104" s="29">
        <f>Dataset!A104</f>
        <v>100</v>
      </c>
      <c r="B104" s="29">
        <f>IF(Dataset!B104&lt;25,0.3,IF(Dataset!B104&lt;75,0.5,IF(Dataset!B104&lt;120,0.65,0.8)))</f>
        <v>0.65</v>
      </c>
      <c r="C104" s="29">
        <f>IF(Dataset!B104&lt;25,1,IF(Dataset!B104&lt;75,2,IF(Dataset!B104&lt;120,3,4)))</f>
        <v>3</v>
      </c>
      <c r="D104" s="29">
        <f t="shared" si="8"/>
        <v>1.9500000000000002</v>
      </c>
      <c r="E104" s="29">
        <f>IF(Dataset!C104&lt;=1,0.3,IF(Dataset!C104=2,0.4,IF(Dataset!C104=3,0.5,IF(Dataset!C104=4,0.65,0.8))))</f>
        <v>0.4</v>
      </c>
      <c r="F104" s="29">
        <f>IF(Dataset!C104&lt;=2,1,IF(Dataset!C104=3,2,IF(Dataset!C104=4,3,4)))</f>
        <v>1</v>
      </c>
      <c r="G104" s="29">
        <f t="shared" si="9"/>
        <v>0.4</v>
      </c>
      <c r="H104" s="29">
        <f>IF(Dataset!G104&lt;=3,0.25,IF(Dataset!G104&lt;=6,0.45,IF(Dataset!G104&lt;=9,0.65,0.85)))</f>
        <v>0.65</v>
      </c>
      <c r="I104" s="29">
        <f>IF(Dataset!G104&lt;=3,1,IF(Dataset!G104&lt;=6,2,IF(Dataset!G104&lt;=9,3,4)))</f>
        <v>3</v>
      </c>
      <c r="J104" s="29">
        <f t="shared" si="10"/>
        <v>1.9500000000000002</v>
      </c>
      <c r="K104" s="29">
        <f>IF(Dataset!H104&lt;1,0.2,IF(Dataset!H104&lt;1.3,0.45,IF(Dataset!H104&lt;1.8,0.7,0.9)))</f>
        <v>0.2</v>
      </c>
      <c r="L104" s="29">
        <f>IF(Dataset!H104&lt;1,1,IF(Dataset!H104&lt;1.3,2,IF(Dataset!H104&lt;1.8,3,4)))</f>
        <v>1</v>
      </c>
      <c r="M104" s="29">
        <f t="shared" si="11"/>
        <v>0.2</v>
      </c>
      <c r="N104" s="29">
        <f>IF(Dataset!F104=1,0.75,IF(Dataset!F104=2,0.45,0.2))</f>
        <v>0.75</v>
      </c>
      <c r="O104" s="29">
        <f>IF(Dataset!F104=1,3,IF(Dataset!F104=2,2,1))</f>
        <v>3</v>
      </c>
      <c r="P104" s="29">
        <f t="shared" si="12"/>
        <v>2.25</v>
      </c>
      <c r="Q104" s="29">
        <f>IF(Dataset!K104&lt;5,0.2,IF(Dataset!K104&lt;10,0.45,IF(Dataset!K104&lt;18,0.7,0.9)))</f>
        <v>0.2</v>
      </c>
      <c r="R104" s="29">
        <f>IF(Dataset!K104&lt;5,1,IF(Dataset!K104&lt;10,2,IF(Dataset!K104&lt;18,3,4)))</f>
        <v>1</v>
      </c>
      <c r="S104" s="29">
        <f t="shared" si="13"/>
        <v>0.2</v>
      </c>
      <c r="T104" s="29">
        <f t="shared" si="14"/>
        <v>1.0980000000000003</v>
      </c>
      <c r="U104" s="29" t="str">
        <f t="shared" si="15"/>
        <v>Low</v>
      </c>
    </row>
    <row r="105" spans="1:21" ht="15" customHeight="1" x14ac:dyDescent="0.25">
      <c r="A105" s="29">
        <f>Dataset!A105</f>
        <v>101</v>
      </c>
      <c r="B105" s="29">
        <f>IF(Dataset!B105&lt;25,0.3,IF(Dataset!B105&lt;75,0.5,IF(Dataset!B105&lt;120,0.65,0.8)))</f>
        <v>0.5</v>
      </c>
      <c r="C105" s="29">
        <f>IF(Dataset!B105&lt;25,1,IF(Dataset!B105&lt;75,2,IF(Dataset!B105&lt;120,3,4)))</f>
        <v>2</v>
      </c>
      <c r="D105" s="29">
        <f t="shared" si="8"/>
        <v>1</v>
      </c>
      <c r="E105" s="29">
        <f>IF(Dataset!C105&lt;=1,0.3,IF(Dataset!C105=2,0.4,IF(Dataset!C105=3,0.5,IF(Dataset!C105=4,0.65,0.8))))</f>
        <v>0.65</v>
      </c>
      <c r="F105" s="29">
        <f>IF(Dataset!C105&lt;=2,1,IF(Dataset!C105=3,2,IF(Dataset!C105=4,3,4)))</f>
        <v>3</v>
      </c>
      <c r="G105" s="29">
        <f t="shared" si="9"/>
        <v>1.9500000000000002</v>
      </c>
      <c r="H105" s="29">
        <f>IF(Dataset!G105&lt;=3,0.25,IF(Dataset!G105&lt;=6,0.45,IF(Dataset!G105&lt;=9,0.65,0.85)))</f>
        <v>0.65</v>
      </c>
      <c r="I105" s="29">
        <f>IF(Dataset!G105&lt;=3,1,IF(Dataset!G105&lt;=6,2,IF(Dataset!G105&lt;=9,3,4)))</f>
        <v>3</v>
      </c>
      <c r="J105" s="29">
        <f t="shared" si="10"/>
        <v>1.9500000000000002</v>
      </c>
      <c r="K105" s="29">
        <f>IF(Dataset!H105&lt;1,0.2,IF(Dataset!H105&lt;1.3,0.45,IF(Dataset!H105&lt;1.8,0.7,0.9)))</f>
        <v>0.9</v>
      </c>
      <c r="L105" s="29">
        <f>IF(Dataset!H105&lt;1,1,IF(Dataset!H105&lt;1.3,2,IF(Dataset!H105&lt;1.8,3,4)))</f>
        <v>4</v>
      </c>
      <c r="M105" s="29">
        <f t="shared" si="11"/>
        <v>3.6</v>
      </c>
      <c r="N105" s="29">
        <f>IF(Dataset!F105=1,0.75,IF(Dataset!F105=2,0.45,0.2))</f>
        <v>0.2</v>
      </c>
      <c r="O105" s="29">
        <f>IF(Dataset!F105=1,3,IF(Dataset!F105=2,2,1))</f>
        <v>1</v>
      </c>
      <c r="P105" s="29">
        <f t="shared" si="12"/>
        <v>0.2</v>
      </c>
      <c r="Q105" s="29">
        <f>IF(Dataset!K105&lt;5,0.2,IF(Dataset!K105&lt;10,0.45,IF(Dataset!K105&lt;18,0.7,0.9)))</f>
        <v>0.45</v>
      </c>
      <c r="R105" s="29">
        <f>IF(Dataset!K105&lt;5,1,IF(Dataset!K105&lt;10,2,IF(Dataset!K105&lt;18,3,4)))</f>
        <v>2</v>
      </c>
      <c r="S105" s="29">
        <f t="shared" si="13"/>
        <v>0.9</v>
      </c>
      <c r="T105" s="29">
        <f t="shared" si="14"/>
        <v>1.8530000000000004</v>
      </c>
      <c r="U105" s="29" t="str">
        <f t="shared" si="15"/>
        <v>High</v>
      </c>
    </row>
    <row r="106" spans="1:21" ht="15" customHeight="1" x14ac:dyDescent="0.25">
      <c r="A106" s="29">
        <f>Dataset!A106</f>
        <v>102</v>
      </c>
      <c r="B106" s="29">
        <f>IF(Dataset!B106&lt;25,0.3,IF(Dataset!B106&lt;75,0.5,IF(Dataset!B106&lt;120,0.65,0.8)))</f>
        <v>0.3</v>
      </c>
      <c r="C106" s="29">
        <f>IF(Dataset!B106&lt;25,1,IF(Dataset!B106&lt;75,2,IF(Dataset!B106&lt;120,3,4)))</f>
        <v>1</v>
      </c>
      <c r="D106" s="29">
        <f t="shared" si="8"/>
        <v>0.3</v>
      </c>
      <c r="E106" s="29">
        <f>IF(Dataset!C106&lt;=1,0.3,IF(Dataset!C106=2,0.4,IF(Dataset!C106=3,0.5,IF(Dataset!C106=4,0.65,0.8))))</f>
        <v>0.5</v>
      </c>
      <c r="F106" s="29">
        <f>IF(Dataset!C106&lt;=2,1,IF(Dataset!C106=3,2,IF(Dataset!C106=4,3,4)))</f>
        <v>2</v>
      </c>
      <c r="G106" s="29">
        <f t="shared" si="9"/>
        <v>1</v>
      </c>
      <c r="H106" s="29">
        <f>IF(Dataset!G106&lt;=3,0.25,IF(Dataset!G106&lt;=6,0.45,IF(Dataset!G106&lt;=9,0.65,0.85)))</f>
        <v>0.65</v>
      </c>
      <c r="I106" s="29">
        <f>IF(Dataset!G106&lt;=3,1,IF(Dataset!G106&lt;=6,2,IF(Dataset!G106&lt;=9,3,4)))</f>
        <v>3</v>
      </c>
      <c r="J106" s="29">
        <f t="shared" si="10"/>
        <v>1.9500000000000002</v>
      </c>
      <c r="K106" s="29">
        <f>IF(Dataset!H106&lt;1,0.2,IF(Dataset!H106&lt;1.3,0.45,IF(Dataset!H106&lt;1.8,0.7,0.9)))</f>
        <v>0.45</v>
      </c>
      <c r="L106" s="29">
        <f>IF(Dataset!H106&lt;1,1,IF(Dataset!H106&lt;1.3,2,IF(Dataset!H106&lt;1.8,3,4)))</f>
        <v>2</v>
      </c>
      <c r="M106" s="29">
        <f t="shared" si="11"/>
        <v>0.9</v>
      </c>
      <c r="N106" s="29">
        <f>IF(Dataset!F106=1,0.75,IF(Dataset!F106=2,0.45,0.2))</f>
        <v>0.2</v>
      </c>
      <c r="O106" s="29">
        <f>IF(Dataset!F106=1,3,IF(Dataset!F106=2,2,1))</f>
        <v>1</v>
      </c>
      <c r="P106" s="29">
        <f t="shared" si="12"/>
        <v>0.2</v>
      </c>
      <c r="Q106" s="29">
        <f>IF(Dataset!K106&lt;5,0.2,IF(Dataset!K106&lt;10,0.45,IF(Dataset!K106&lt;18,0.7,0.9)))</f>
        <v>0.45</v>
      </c>
      <c r="R106" s="29">
        <f>IF(Dataset!K106&lt;5,1,IF(Dataset!K106&lt;10,2,IF(Dataset!K106&lt;18,3,4)))</f>
        <v>2</v>
      </c>
      <c r="S106" s="29">
        <f t="shared" si="13"/>
        <v>0.9</v>
      </c>
      <c r="T106" s="29">
        <f t="shared" si="14"/>
        <v>0.94600000000000006</v>
      </c>
      <c r="U106" s="29" t="str">
        <f t="shared" si="15"/>
        <v>Low</v>
      </c>
    </row>
    <row r="107" spans="1:21" ht="15" customHeight="1" x14ac:dyDescent="0.25">
      <c r="A107" s="29">
        <f>Dataset!A107</f>
        <v>103</v>
      </c>
      <c r="B107" s="29">
        <f>IF(Dataset!B107&lt;25,0.3,IF(Dataset!B107&lt;75,0.5,IF(Dataset!B107&lt;120,0.65,0.8)))</f>
        <v>0.5</v>
      </c>
      <c r="C107" s="29">
        <f>IF(Dataset!B107&lt;25,1,IF(Dataset!B107&lt;75,2,IF(Dataset!B107&lt;120,3,4)))</f>
        <v>2</v>
      </c>
      <c r="D107" s="29">
        <f t="shared" si="8"/>
        <v>1</v>
      </c>
      <c r="E107" s="29">
        <f>IF(Dataset!C107&lt;=1,0.3,IF(Dataset!C107=2,0.4,IF(Dataset!C107=3,0.5,IF(Dataset!C107=4,0.65,0.8))))</f>
        <v>0.3</v>
      </c>
      <c r="F107" s="29">
        <f>IF(Dataset!C107&lt;=2,1,IF(Dataset!C107=3,2,IF(Dataset!C107=4,3,4)))</f>
        <v>1</v>
      </c>
      <c r="G107" s="29">
        <f t="shared" si="9"/>
        <v>0.3</v>
      </c>
      <c r="H107" s="29">
        <f>IF(Dataset!G107&lt;=3,0.25,IF(Dataset!G107&lt;=6,0.45,IF(Dataset!G107&lt;=9,0.65,0.85)))</f>
        <v>0.25</v>
      </c>
      <c r="I107" s="29">
        <f>IF(Dataset!G107&lt;=3,1,IF(Dataset!G107&lt;=6,2,IF(Dataset!G107&lt;=9,3,4)))</f>
        <v>1</v>
      </c>
      <c r="J107" s="29">
        <f t="shared" si="10"/>
        <v>0.25</v>
      </c>
      <c r="K107" s="29">
        <f>IF(Dataset!H107&lt;1,0.2,IF(Dataset!H107&lt;1.3,0.45,IF(Dataset!H107&lt;1.8,0.7,0.9)))</f>
        <v>0.7</v>
      </c>
      <c r="L107" s="29">
        <f>IF(Dataset!H107&lt;1,1,IF(Dataset!H107&lt;1.3,2,IF(Dataset!H107&lt;1.8,3,4)))</f>
        <v>3</v>
      </c>
      <c r="M107" s="29">
        <f t="shared" si="11"/>
        <v>2.0999999999999996</v>
      </c>
      <c r="N107" s="29">
        <f>IF(Dataset!F107=1,0.75,IF(Dataset!F107=2,0.45,0.2))</f>
        <v>0.75</v>
      </c>
      <c r="O107" s="29">
        <f>IF(Dataset!F107=1,3,IF(Dataset!F107=2,2,1))</f>
        <v>3</v>
      </c>
      <c r="P107" s="29">
        <f t="shared" si="12"/>
        <v>2.25</v>
      </c>
      <c r="Q107" s="29">
        <f>IF(Dataset!K107&lt;5,0.2,IF(Dataset!K107&lt;10,0.45,IF(Dataset!K107&lt;18,0.7,0.9)))</f>
        <v>0.2</v>
      </c>
      <c r="R107" s="29">
        <f>IF(Dataset!K107&lt;5,1,IF(Dataset!K107&lt;10,2,IF(Dataset!K107&lt;18,3,4)))</f>
        <v>1</v>
      </c>
      <c r="S107" s="29">
        <f t="shared" si="13"/>
        <v>0.2</v>
      </c>
      <c r="T107" s="29">
        <f t="shared" si="14"/>
        <v>1.0289999999999999</v>
      </c>
      <c r="U107" s="29" t="str">
        <f t="shared" si="15"/>
        <v>Low</v>
      </c>
    </row>
    <row r="108" spans="1:21" ht="15" customHeight="1" x14ac:dyDescent="0.25">
      <c r="A108" s="29">
        <f>Dataset!A108</f>
        <v>104</v>
      </c>
      <c r="B108" s="29">
        <f>IF(Dataset!B108&lt;25,0.3,IF(Dataset!B108&lt;75,0.5,IF(Dataset!B108&lt;120,0.65,0.8)))</f>
        <v>0.5</v>
      </c>
      <c r="C108" s="29">
        <f>IF(Dataset!B108&lt;25,1,IF(Dataset!B108&lt;75,2,IF(Dataset!B108&lt;120,3,4)))</f>
        <v>2</v>
      </c>
      <c r="D108" s="29">
        <f t="shared" si="8"/>
        <v>1</v>
      </c>
      <c r="E108" s="29">
        <f>IF(Dataset!C108&lt;=1,0.3,IF(Dataset!C108=2,0.4,IF(Dataset!C108=3,0.5,IF(Dataset!C108=4,0.65,0.8))))</f>
        <v>0.5</v>
      </c>
      <c r="F108" s="29">
        <f>IF(Dataset!C108&lt;=2,1,IF(Dataset!C108=3,2,IF(Dataset!C108=4,3,4)))</f>
        <v>2</v>
      </c>
      <c r="G108" s="29">
        <f t="shared" si="9"/>
        <v>1</v>
      </c>
      <c r="H108" s="29">
        <f>IF(Dataset!G108&lt;=3,0.25,IF(Dataset!G108&lt;=6,0.45,IF(Dataset!G108&lt;=9,0.65,0.85)))</f>
        <v>0.45</v>
      </c>
      <c r="I108" s="29">
        <f>IF(Dataset!G108&lt;=3,1,IF(Dataset!G108&lt;=6,2,IF(Dataset!G108&lt;=9,3,4)))</f>
        <v>2</v>
      </c>
      <c r="J108" s="29">
        <f t="shared" si="10"/>
        <v>0.9</v>
      </c>
      <c r="K108" s="29">
        <f>IF(Dataset!H108&lt;1,0.2,IF(Dataset!H108&lt;1.3,0.45,IF(Dataset!H108&lt;1.8,0.7,0.9)))</f>
        <v>0.7</v>
      </c>
      <c r="L108" s="29">
        <f>IF(Dataset!H108&lt;1,1,IF(Dataset!H108&lt;1.3,2,IF(Dataset!H108&lt;1.8,3,4)))</f>
        <v>3</v>
      </c>
      <c r="M108" s="29">
        <f t="shared" si="11"/>
        <v>2.0999999999999996</v>
      </c>
      <c r="N108" s="29">
        <f>IF(Dataset!F108=1,0.75,IF(Dataset!F108=2,0.45,0.2))</f>
        <v>0.45</v>
      </c>
      <c r="O108" s="29">
        <f>IF(Dataset!F108=1,3,IF(Dataset!F108=2,2,1))</f>
        <v>2</v>
      </c>
      <c r="P108" s="29">
        <f t="shared" si="12"/>
        <v>0.9</v>
      </c>
      <c r="Q108" s="29">
        <f>IF(Dataset!K108&lt;5,0.2,IF(Dataset!K108&lt;10,0.45,IF(Dataset!K108&lt;18,0.7,0.9)))</f>
        <v>0.45</v>
      </c>
      <c r="R108" s="29">
        <f>IF(Dataset!K108&lt;5,1,IF(Dataset!K108&lt;10,2,IF(Dataset!K108&lt;18,3,4)))</f>
        <v>2</v>
      </c>
      <c r="S108" s="29">
        <f t="shared" si="13"/>
        <v>0.9</v>
      </c>
      <c r="T108" s="29">
        <f t="shared" si="14"/>
        <v>1.2200000000000002</v>
      </c>
      <c r="U108" s="29" t="str">
        <f t="shared" si="15"/>
        <v>Low</v>
      </c>
    </row>
    <row r="109" spans="1:21" ht="15" customHeight="1" x14ac:dyDescent="0.25">
      <c r="A109" s="29">
        <f>Dataset!A109</f>
        <v>105</v>
      </c>
      <c r="B109" s="29">
        <f>IF(Dataset!B109&lt;25,0.3,IF(Dataset!B109&lt;75,0.5,IF(Dataset!B109&lt;120,0.65,0.8)))</f>
        <v>0.8</v>
      </c>
      <c r="C109" s="29">
        <f>IF(Dataset!B109&lt;25,1,IF(Dataset!B109&lt;75,2,IF(Dataset!B109&lt;120,3,4)))</f>
        <v>4</v>
      </c>
      <c r="D109" s="29">
        <f t="shared" si="8"/>
        <v>3.2</v>
      </c>
      <c r="E109" s="29">
        <f>IF(Dataset!C109&lt;=1,0.3,IF(Dataset!C109=2,0.4,IF(Dataset!C109=3,0.5,IF(Dataset!C109=4,0.65,0.8))))</f>
        <v>0.5</v>
      </c>
      <c r="F109" s="29">
        <f>IF(Dataset!C109&lt;=2,1,IF(Dataset!C109=3,2,IF(Dataset!C109=4,3,4)))</f>
        <v>2</v>
      </c>
      <c r="G109" s="29">
        <f t="shared" si="9"/>
        <v>1</v>
      </c>
      <c r="H109" s="29">
        <f>IF(Dataset!G109&lt;=3,0.25,IF(Dataset!G109&lt;=6,0.45,IF(Dataset!G109&lt;=9,0.65,0.85)))</f>
        <v>0.85</v>
      </c>
      <c r="I109" s="29">
        <f>IF(Dataset!G109&lt;=3,1,IF(Dataset!G109&lt;=6,2,IF(Dataset!G109&lt;=9,3,4)))</f>
        <v>4</v>
      </c>
      <c r="J109" s="29">
        <f t="shared" si="10"/>
        <v>3.4</v>
      </c>
      <c r="K109" s="29">
        <f>IF(Dataset!H109&lt;1,0.2,IF(Dataset!H109&lt;1.3,0.45,IF(Dataset!H109&lt;1.8,0.7,0.9)))</f>
        <v>0.9</v>
      </c>
      <c r="L109" s="29">
        <f>IF(Dataset!H109&lt;1,1,IF(Dataset!H109&lt;1.3,2,IF(Dataset!H109&lt;1.8,3,4)))</f>
        <v>4</v>
      </c>
      <c r="M109" s="29">
        <f t="shared" si="11"/>
        <v>3.6</v>
      </c>
      <c r="N109" s="29">
        <f>IF(Dataset!F109=1,0.75,IF(Dataset!F109=2,0.45,0.2))</f>
        <v>0.75</v>
      </c>
      <c r="O109" s="29">
        <f>IF(Dataset!F109=1,3,IF(Dataset!F109=2,2,1))</f>
        <v>3</v>
      </c>
      <c r="P109" s="29">
        <f t="shared" si="12"/>
        <v>2.25</v>
      </c>
      <c r="Q109" s="29">
        <f>IF(Dataset!K109&lt;5,0.2,IF(Dataset!K109&lt;10,0.45,IF(Dataset!K109&lt;18,0.7,0.9)))</f>
        <v>0.45</v>
      </c>
      <c r="R109" s="29">
        <f>IF(Dataset!K109&lt;5,1,IF(Dataset!K109&lt;10,2,IF(Dataset!K109&lt;18,3,4)))</f>
        <v>2</v>
      </c>
      <c r="S109" s="29">
        <f t="shared" si="13"/>
        <v>0.9</v>
      </c>
      <c r="T109" s="29">
        <f t="shared" si="14"/>
        <v>2.6109999999999998</v>
      </c>
      <c r="U109" s="29" t="str">
        <f t="shared" si="15"/>
        <v>High</v>
      </c>
    </row>
    <row r="110" spans="1:21" ht="15" customHeight="1" x14ac:dyDescent="0.25">
      <c r="A110" s="29">
        <f>Dataset!A110</f>
        <v>106</v>
      </c>
      <c r="B110" s="29">
        <f>IF(Dataset!B110&lt;25,0.3,IF(Dataset!B110&lt;75,0.5,IF(Dataset!B110&lt;120,0.65,0.8)))</f>
        <v>0.5</v>
      </c>
      <c r="C110" s="29">
        <f>IF(Dataset!B110&lt;25,1,IF(Dataset!B110&lt;75,2,IF(Dataset!B110&lt;120,3,4)))</f>
        <v>2</v>
      </c>
      <c r="D110" s="29">
        <f t="shared" si="8"/>
        <v>1</v>
      </c>
      <c r="E110" s="29">
        <f>IF(Dataset!C110&lt;=1,0.3,IF(Dataset!C110=2,0.4,IF(Dataset!C110=3,0.5,IF(Dataset!C110=4,0.65,0.8))))</f>
        <v>0.5</v>
      </c>
      <c r="F110" s="29">
        <f>IF(Dataset!C110&lt;=2,1,IF(Dataset!C110=3,2,IF(Dataset!C110=4,3,4)))</f>
        <v>2</v>
      </c>
      <c r="G110" s="29">
        <f t="shared" si="9"/>
        <v>1</v>
      </c>
      <c r="H110" s="29">
        <f>IF(Dataset!G110&lt;=3,0.25,IF(Dataset!G110&lt;=6,0.45,IF(Dataset!G110&lt;=9,0.65,0.85)))</f>
        <v>0.85</v>
      </c>
      <c r="I110" s="29">
        <f>IF(Dataset!G110&lt;=3,1,IF(Dataset!G110&lt;=6,2,IF(Dataset!G110&lt;=9,3,4)))</f>
        <v>4</v>
      </c>
      <c r="J110" s="29">
        <f t="shared" si="10"/>
        <v>3.4</v>
      </c>
      <c r="K110" s="29">
        <f>IF(Dataset!H110&lt;1,0.2,IF(Dataset!H110&lt;1.3,0.45,IF(Dataset!H110&lt;1.8,0.7,0.9)))</f>
        <v>0.9</v>
      </c>
      <c r="L110" s="29">
        <f>IF(Dataset!H110&lt;1,1,IF(Dataset!H110&lt;1.3,2,IF(Dataset!H110&lt;1.8,3,4)))</f>
        <v>4</v>
      </c>
      <c r="M110" s="29">
        <f t="shared" si="11"/>
        <v>3.6</v>
      </c>
      <c r="N110" s="29">
        <f>IF(Dataset!F110=1,0.75,IF(Dataset!F110=2,0.45,0.2))</f>
        <v>0.45</v>
      </c>
      <c r="O110" s="29">
        <f>IF(Dataset!F110=1,3,IF(Dataset!F110=2,2,1))</f>
        <v>2</v>
      </c>
      <c r="P110" s="29">
        <f t="shared" si="12"/>
        <v>0.9</v>
      </c>
      <c r="Q110" s="29">
        <f>IF(Dataset!K110&lt;5,0.2,IF(Dataset!K110&lt;10,0.45,IF(Dataset!K110&lt;18,0.7,0.9)))</f>
        <v>0.45</v>
      </c>
      <c r="R110" s="29">
        <f>IF(Dataset!K110&lt;5,1,IF(Dataset!K110&lt;10,2,IF(Dataset!K110&lt;18,3,4)))</f>
        <v>2</v>
      </c>
      <c r="S110" s="29">
        <f t="shared" si="13"/>
        <v>0.9</v>
      </c>
      <c r="T110" s="29">
        <f t="shared" si="14"/>
        <v>2.08</v>
      </c>
      <c r="U110" s="29" t="str">
        <f t="shared" si="15"/>
        <v>High</v>
      </c>
    </row>
    <row r="111" spans="1:21" ht="15" customHeight="1" x14ac:dyDescent="0.25">
      <c r="A111" s="29">
        <f>Dataset!A111</f>
        <v>107</v>
      </c>
      <c r="B111" s="29">
        <f>IF(Dataset!B111&lt;25,0.3,IF(Dataset!B111&lt;75,0.5,IF(Dataset!B111&lt;120,0.65,0.8)))</f>
        <v>0.65</v>
      </c>
      <c r="C111" s="29">
        <f>IF(Dataset!B111&lt;25,1,IF(Dataset!B111&lt;75,2,IF(Dataset!B111&lt;120,3,4)))</f>
        <v>3</v>
      </c>
      <c r="D111" s="29">
        <f t="shared" si="8"/>
        <v>1.9500000000000002</v>
      </c>
      <c r="E111" s="29">
        <f>IF(Dataset!C111&lt;=1,0.3,IF(Dataset!C111=2,0.4,IF(Dataset!C111=3,0.5,IF(Dataset!C111=4,0.65,0.8))))</f>
        <v>0.65</v>
      </c>
      <c r="F111" s="29">
        <f>IF(Dataset!C111&lt;=2,1,IF(Dataset!C111=3,2,IF(Dataset!C111=4,3,4)))</f>
        <v>3</v>
      </c>
      <c r="G111" s="29">
        <f t="shared" si="9"/>
        <v>1.9500000000000002</v>
      </c>
      <c r="H111" s="29">
        <f>IF(Dataset!G111&lt;=3,0.25,IF(Dataset!G111&lt;=6,0.45,IF(Dataset!G111&lt;=9,0.65,0.85)))</f>
        <v>0.85</v>
      </c>
      <c r="I111" s="29">
        <f>IF(Dataset!G111&lt;=3,1,IF(Dataset!G111&lt;=6,2,IF(Dataset!G111&lt;=9,3,4)))</f>
        <v>4</v>
      </c>
      <c r="J111" s="29">
        <f t="shared" si="10"/>
        <v>3.4</v>
      </c>
      <c r="K111" s="29">
        <f>IF(Dataset!H111&lt;1,0.2,IF(Dataset!H111&lt;1.3,0.45,IF(Dataset!H111&lt;1.8,0.7,0.9)))</f>
        <v>0.9</v>
      </c>
      <c r="L111" s="29">
        <f>IF(Dataset!H111&lt;1,1,IF(Dataset!H111&lt;1.3,2,IF(Dataset!H111&lt;1.8,3,4)))</f>
        <v>4</v>
      </c>
      <c r="M111" s="29">
        <f t="shared" si="11"/>
        <v>3.6</v>
      </c>
      <c r="N111" s="29">
        <f>IF(Dataset!F111=1,0.75,IF(Dataset!F111=2,0.45,0.2))</f>
        <v>0.75</v>
      </c>
      <c r="O111" s="29">
        <f>IF(Dataset!F111=1,3,IF(Dataset!F111=2,2,1))</f>
        <v>3</v>
      </c>
      <c r="P111" s="29">
        <f t="shared" si="12"/>
        <v>2.25</v>
      </c>
      <c r="Q111" s="29">
        <f>IF(Dataset!K111&lt;5,0.2,IF(Dataset!K111&lt;10,0.45,IF(Dataset!K111&lt;18,0.7,0.9)))</f>
        <v>0.45</v>
      </c>
      <c r="R111" s="29">
        <f>IF(Dataset!K111&lt;5,1,IF(Dataset!K111&lt;10,2,IF(Dataset!K111&lt;18,3,4)))</f>
        <v>2</v>
      </c>
      <c r="S111" s="29">
        <f t="shared" si="13"/>
        <v>0.9</v>
      </c>
      <c r="T111" s="29">
        <f t="shared" si="14"/>
        <v>2.5190000000000001</v>
      </c>
      <c r="U111" s="29" t="str">
        <f t="shared" si="15"/>
        <v>High</v>
      </c>
    </row>
    <row r="112" spans="1:21" ht="15" customHeight="1" x14ac:dyDescent="0.25">
      <c r="A112" s="29">
        <f>Dataset!A112</f>
        <v>108</v>
      </c>
      <c r="B112" s="29">
        <f>IF(Dataset!B112&lt;25,0.3,IF(Dataset!B112&lt;75,0.5,IF(Dataset!B112&lt;120,0.65,0.8)))</f>
        <v>0.5</v>
      </c>
      <c r="C112" s="29">
        <f>IF(Dataset!B112&lt;25,1,IF(Dataset!B112&lt;75,2,IF(Dataset!B112&lt;120,3,4)))</f>
        <v>2</v>
      </c>
      <c r="D112" s="29">
        <f t="shared" si="8"/>
        <v>1</v>
      </c>
      <c r="E112" s="29">
        <f>IF(Dataset!C112&lt;=1,0.3,IF(Dataset!C112=2,0.4,IF(Dataset!C112=3,0.5,IF(Dataset!C112=4,0.65,0.8))))</f>
        <v>0.65</v>
      </c>
      <c r="F112" s="29">
        <f>IF(Dataset!C112&lt;=2,1,IF(Dataset!C112=3,2,IF(Dataset!C112=4,3,4)))</f>
        <v>3</v>
      </c>
      <c r="G112" s="29">
        <f t="shared" si="9"/>
        <v>1.9500000000000002</v>
      </c>
      <c r="H112" s="29">
        <f>IF(Dataset!G112&lt;=3,0.25,IF(Dataset!G112&lt;=6,0.45,IF(Dataset!G112&lt;=9,0.65,0.85)))</f>
        <v>0.45</v>
      </c>
      <c r="I112" s="29">
        <f>IF(Dataset!G112&lt;=3,1,IF(Dataset!G112&lt;=6,2,IF(Dataset!G112&lt;=9,3,4)))</f>
        <v>2</v>
      </c>
      <c r="J112" s="29">
        <f t="shared" si="10"/>
        <v>0.9</v>
      </c>
      <c r="K112" s="29">
        <f>IF(Dataset!H112&lt;1,0.2,IF(Dataset!H112&lt;1.3,0.45,IF(Dataset!H112&lt;1.8,0.7,0.9)))</f>
        <v>0.2</v>
      </c>
      <c r="L112" s="29">
        <f>IF(Dataset!H112&lt;1,1,IF(Dataset!H112&lt;1.3,2,IF(Dataset!H112&lt;1.8,3,4)))</f>
        <v>1</v>
      </c>
      <c r="M112" s="29">
        <f t="shared" si="11"/>
        <v>0.2</v>
      </c>
      <c r="N112" s="29">
        <f>IF(Dataset!F112=1,0.75,IF(Dataset!F112=2,0.45,0.2))</f>
        <v>0.2</v>
      </c>
      <c r="O112" s="29">
        <f>IF(Dataset!F112=1,3,IF(Dataset!F112=2,2,1))</f>
        <v>1</v>
      </c>
      <c r="P112" s="29">
        <f t="shared" si="12"/>
        <v>0.2</v>
      </c>
      <c r="Q112" s="29">
        <f>IF(Dataset!K112&lt;5,0.2,IF(Dataset!K112&lt;10,0.45,IF(Dataset!K112&lt;18,0.7,0.9)))</f>
        <v>0.45</v>
      </c>
      <c r="R112" s="29">
        <f>IF(Dataset!K112&lt;5,1,IF(Dataset!K112&lt;10,2,IF(Dataset!K112&lt;18,3,4)))</f>
        <v>2</v>
      </c>
      <c r="S112" s="29">
        <f t="shared" si="13"/>
        <v>0.9</v>
      </c>
      <c r="T112" s="29">
        <f t="shared" si="14"/>
        <v>0.82700000000000018</v>
      </c>
      <c r="U112" s="29" t="str">
        <f t="shared" si="15"/>
        <v>Low</v>
      </c>
    </row>
    <row r="113" spans="1:21" ht="15" customHeight="1" x14ac:dyDescent="0.25">
      <c r="A113" s="29">
        <f>Dataset!A113</f>
        <v>109</v>
      </c>
      <c r="B113" s="29">
        <f>IF(Dataset!B113&lt;25,0.3,IF(Dataset!B113&lt;75,0.5,IF(Dataset!B113&lt;120,0.65,0.8)))</f>
        <v>0.65</v>
      </c>
      <c r="C113" s="29">
        <f>IF(Dataset!B113&lt;25,1,IF(Dataset!B113&lt;75,2,IF(Dataset!B113&lt;120,3,4)))</f>
        <v>3</v>
      </c>
      <c r="D113" s="29">
        <f t="shared" si="8"/>
        <v>1.9500000000000002</v>
      </c>
      <c r="E113" s="29">
        <f>IF(Dataset!C113&lt;=1,0.3,IF(Dataset!C113=2,0.4,IF(Dataset!C113=3,0.5,IF(Dataset!C113=4,0.65,0.8))))</f>
        <v>0.65</v>
      </c>
      <c r="F113" s="29">
        <f>IF(Dataset!C113&lt;=2,1,IF(Dataset!C113=3,2,IF(Dataset!C113=4,3,4)))</f>
        <v>3</v>
      </c>
      <c r="G113" s="29">
        <f t="shared" si="9"/>
        <v>1.9500000000000002</v>
      </c>
      <c r="H113" s="29">
        <f>IF(Dataset!G113&lt;=3,0.25,IF(Dataset!G113&lt;=6,0.45,IF(Dataset!G113&lt;=9,0.65,0.85)))</f>
        <v>0.25</v>
      </c>
      <c r="I113" s="29">
        <f>IF(Dataset!G113&lt;=3,1,IF(Dataset!G113&lt;=6,2,IF(Dataset!G113&lt;=9,3,4)))</f>
        <v>1</v>
      </c>
      <c r="J113" s="29">
        <f t="shared" si="10"/>
        <v>0.25</v>
      </c>
      <c r="K113" s="29">
        <f>IF(Dataset!H113&lt;1,0.2,IF(Dataset!H113&lt;1.3,0.45,IF(Dataset!H113&lt;1.8,0.7,0.9)))</f>
        <v>0.9</v>
      </c>
      <c r="L113" s="29">
        <f>IF(Dataset!H113&lt;1,1,IF(Dataset!H113&lt;1.3,2,IF(Dataset!H113&lt;1.8,3,4)))</f>
        <v>4</v>
      </c>
      <c r="M113" s="29">
        <f t="shared" si="11"/>
        <v>3.6</v>
      </c>
      <c r="N113" s="29">
        <f>IF(Dataset!F113=1,0.75,IF(Dataset!F113=2,0.45,0.2))</f>
        <v>0.75</v>
      </c>
      <c r="O113" s="29">
        <f>IF(Dataset!F113=1,3,IF(Dataset!F113=2,2,1))</f>
        <v>3</v>
      </c>
      <c r="P113" s="29">
        <f t="shared" si="12"/>
        <v>2.25</v>
      </c>
      <c r="Q113" s="29">
        <f>IF(Dataset!K113&lt;5,0.2,IF(Dataset!K113&lt;10,0.45,IF(Dataset!K113&lt;18,0.7,0.9)))</f>
        <v>0.7</v>
      </c>
      <c r="R113" s="29">
        <f>IF(Dataset!K113&lt;5,1,IF(Dataset!K113&lt;10,2,IF(Dataset!K113&lt;18,3,4)))</f>
        <v>3</v>
      </c>
      <c r="S113" s="29">
        <f t="shared" si="13"/>
        <v>2.0999999999999996</v>
      </c>
      <c r="T113" s="29">
        <f t="shared" si="14"/>
        <v>2.0570000000000004</v>
      </c>
      <c r="U113" s="29" t="str">
        <f t="shared" si="15"/>
        <v>High</v>
      </c>
    </row>
    <row r="114" spans="1:21" ht="15" customHeight="1" x14ac:dyDescent="0.25">
      <c r="A114" s="29">
        <f>Dataset!A114</f>
        <v>110</v>
      </c>
      <c r="B114" s="29">
        <f>IF(Dataset!B114&lt;25,0.3,IF(Dataset!B114&lt;75,0.5,IF(Dataset!B114&lt;120,0.65,0.8)))</f>
        <v>0.5</v>
      </c>
      <c r="C114" s="29">
        <f>IF(Dataset!B114&lt;25,1,IF(Dataset!B114&lt;75,2,IF(Dataset!B114&lt;120,3,4)))</f>
        <v>2</v>
      </c>
      <c r="D114" s="29">
        <f t="shared" si="8"/>
        <v>1</v>
      </c>
      <c r="E114" s="29">
        <f>IF(Dataset!C114&lt;=1,0.3,IF(Dataset!C114=2,0.4,IF(Dataset!C114=3,0.5,IF(Dataset!C114=4,0.65,0.8))))</f>
        <v>0.4</v>
      </c>
      <c r="F114" s="29">
        <f>IF(Dataset!C114&lt;=2,1,IF(Dataset!C114=3,2,IF(Dataset!C114=4,3,4)))</f>
        <v>1</v>
      </c>
      <c r="G114" s="29">
        <f t="shared" si="9"/>
        <v>0.4</v>
      </c>
      <c r="H114" s="29">
        <f>IF(Dataset!G114&lt;=3,0.25,IF(Dataset!G114&lt;=6,0.45,IF(Dataset!G114&lt;=9,0.65,0.85)))</f>
        <v>0.45</v>
      </c>
      <c r="I114" s="29">
        <f>IF(Dataset!G114&lt;=3,1,IF(Dataset!G114&lt;=6,2,IF(Dataset!G114&lt;=9,3,4)))</f>
        <v>2</v>
      </c>
      <c r="J114" s="29">
        <f t="shared" si="10"/>
        <v>0.9</v>
      </c>
      <c r="K114" s="29">
        <f>IF(Dataset!H114&lt;1,0.2,IF(Dataset!H114&lt;1.3,0.45,IF(Dataset!H114&lt;1.8,0.7,0.9)))</f>
        <v>0.9</v>
      </c>
      <c r="L114" s="29">
        <f>IF(Dataset!H114&lt;1,1,IF(Dataset!H114&lt;1.3,2,IF(Dataset!H114&lt;1.8,3,4)))</f>
        <v>4</v>
      </c>
      <c r="M114" s="29">
        <f t="shared" si="11"/>
        <v>3.6</v>
      </c>
      <c r="N114" s="29">
        <f>IF(Dataset!F114=1,0.75,IF(Dataset!F114=2,0.45,0.2))</f>
        <v>0.45</v>
      </c>
      <c r="O114" s="29">
        <f>IF(Dataset!F114=1,3,IF(Dataset!F114=2,2,1))</f>
        <v>2</v>
      </c>
      <c r="P114" s="29">
        <f t="shared" si="12"/>
        <v>0.9</v>
      </c>
      <c r="Q114" s="29">
        <f>IF(Dataset!K114&lt;5,0.2,IF(Dataset!K114&lt;10,0.45,IF(Dataset!K114&lt;18,0.7,0.9)))</f>
        <v>0.2</v>
      </c>
      <c r="R114" s="29">
        <f>IF(Dataset!K114&lt;5,1,IF(Dataset!K114&lt;10,2,IF(Dataset!K114&lt;18,3,4)))</f>
        <v>1</v>
      </c>
      <c r="S114" s="29">
        <f t="shared" si="13"/>
        <v>0.2</v>
      </c>
      <c r="T114" s="29">
        <f t="shared" si="14"/>
        <v>1.3980000000000001</v>
      </c>
      <c r="U114" s="29" t="str">
        <f t="shared" si="15"/>
        <v>Medium</v>
      </c>
    </row>
    <row r="115" spans="1:21" ht="15" customHeight="1" x14ac:dyDescent="0.25">
      <c r="A115" s="29">
        <f>Dataset!A115</f>
        <v>111</v>
      </c>
      <c r="B115" s="29">
        <f>IF(Dataset!B115&lt;25,0.3,IF(Dataset!B115&lt;75,0.5,IF(Dataset!B115&lt;120,0.65,0.8)))</f>
        <v>0.5</v>
      </c>
      <c r="C115" s="29">
        <f>IF(Dataset!B115&lt;25,1,IF(Dataset!B115&lt;75,2,IF(Dataset!B115&lt;120,3,4)))</f>
        <v>2</v>
      </c>
      <c r="D115" s="29">
        <f t="shared" si="8"/>
        <v>1</v>
      </c>
      <c r="E115" s="29">
        <f>IF(Dataset!C115&lt;=1,0.3,IF(Dataset!C115=2,0.4,IF(Dataset!C115=3,0.5,IF(Dataset!C115=4,0.65,0.8))))</f>
        <v>0.65</v>
      </c>
      <c r="F115" s="29">
        <f>IF(Dataset!C115&lt;=2,1,IF(Dataset!C115=3,2,IF(Dataset!C115=4,3,4)))</f>
        <v>3</v>
      </c>
      <c r="G115" s="29">
        <f t="shared" si="9"/>
        <v>1.9500000000000002</v>
      </c>
      <c r="H115" s="29">
        <f>IF(Dataset!G115&lt;=3,0.25,IF(Dataset!G115&lt;=6,0.45,IF(Dataset!G115&lt;=9,0.65,0.85)))</f>
        <v>0.45</v>
      </c>
      <c r="I115" s="29">
        <f>IF(Dataset!G115&lt;=3,1,IF(Dataset!G115&lt;=6,2,IF(Dataset!G115&lt;=9,3,4)))</f>
        <v>2</v>
      </c>
      <c r="J115" s="29">
        <f t="shared" si="10"/>
        <v>0.9</v>
      </c>
      <c r="K115" s="29">
        <f>IF(Dataset!H115&lt;1,0.2,IF(Dataset!H115&lt;1.3,0.45,IF(Dataset!H115&lt;1.8,0.7,0.9)))</f>
        <v>0.7</v>
      </c>
      <c r="L115" s="29">
        <f>IF(Dataset!H115&lt;1,1,IF(Dataset!H115&lt;1.3,2,IF(Dataset!H115&lt;1.8,3,4)))</f>
        <v>3</v>
      </c>
      <c r="M115" s="29">
        <f t="shared" si="11"/>
        <v>2.0999999999999996</v>
      </c>
      <c r="N115" s="29">
        <f>IF(Dataset!F115=1,0.75,IF(Dataset!F115=2,0.45,0.2))</f>
        <v>0.75</v>
      </c>
      <c r="O115" s="29">
        <f>IF(Dataset!F115=1,3,IF(Dataset!F115=2,2,1))</f>
        <v>3</v>
      </c>
      <c r="P115" s="29">
        <f t="shared" si="12"/>
        <v>2.25</v>
      </c>
      <c r="Q115" s="29">
        <f>IF(Dataset!K115&lt;5,0.2,IF(Dataset!K115&lt;10,0.45,IF(Dataset!K115&lt;18,0.7,0.9)))</f>
        <v>0.45</v>
      </c>
      <c r="R115" s="29">
        <f>IF(Dataset!K115&lt;5,1,IF(Dataset!K115&lt;10,2,IF(Dataset!K115&lt;18,3,4)))</f>
        <v>2</v>
      </c>
      <c r="S115" s="29">
        <f t="shared" si="13"/>
        <v>0.9</v>
      </c>
      <c r="T115" s="29">
        <f t="shared" si="14"/>
        <v>1.4880000000000002</v>
      </c>
      <c r="U115" s="29" t="str">
        <f t="shared" si="15"/>
        <v>Medium</v>
      </c>
    </row>
    <row r="116" spans="1:21" ht="15" customHeight="1" x14ac:dyDescent="0.25">
      <c r="A116" s="29">
        <f>Dataset!A116</f>
        <v>112</v>
      </c>
      <c r="B116" s="29">
        <f>IF(Dataset!B116&lt;25,0.3,IF(Dataset!B116&lt;75,0.5,IF(Dataset!B116&lt;120,0.65,0.8)))</f>
        <v>0.5</v>
      </c>
      <c r="C116" s="29">
        <f>IF(Dataset!B116&lt;25,1,IF(Dataset!B116&lt;75,2,IF(Dataset!B116&lt;120,3,4)))</f>
        <v>2</v>
      </c>
      <c r="D116" s="29">
        <f t="shared" si="8"/>
        <v>1</v>
      </c>
      <c r="E116" s="29">
        <f>IF(Dataset!C116&lt;=1,0.3,IF(Dataset!C116=2,0.4,IF(Dataset!C116=3,0.5,IF(Dataset!C116=4,0.65,0.8))))</f>
        <v>0.65</v>
      </c>
      <c r="F116" s="29">
        <f>IF(Dataset!C116&lt;=2,1,IF(Dataset!C116=3,2,IF(Dataset!C116=4,3,4)))</f>
        <v>3</v>
      </c>
      <c r="G116" s="29">
        <f t="shared" si="9"/>
        <v>1.9500000000000002</v>
      </c>
      <c r="H116" s="29">
        <f>IF(Dataset!G116&lt;=3,0.25,IF(Dataset!G116&lt;=6,0.45,IF(Dataset!G116&lt;=9,0.65,0.85)))</f>
        <v>0.45</v>
      </c>
      <c r="I116" s="29">
        <f>IF(Dataset!G116&lt;=3,1,IF(Dataset!G116&lt;=6,2,IF(Dataset!G116&lt;=9,3,4)))</f>
        <v>2</v>
      </c>
      <c r="J116" s="29">
        <f t="shared" si="10"/>
        <v>0.9</v>
      </c>
      <c r="K116" s="29">
        <f>IF(Dataset!H116&lt;1,0.2,IF(Dataset!H116&lt;1.3,0.45,IF(Dataset!H116&lt;1.8,0.7,0.9)))</f>
        <v>0.45</v>
      </c>
      <c r="L116" s="29">
        <f>IF(Dataset!H116&lt;1,1,IF(Dataset!H116&lt;1.3,2,IF(Dataset!H116&lt;1.8,3,4)))</f>
        <v>2</v>
      </c>
      <c r="M116" s="29">
        <f t="shared" si="11"/>
        <v>0.9</v>
      </c>
      <c r="N116" s="29">
        <f>IF(Dataset!F116=1,0.75,IF(Dataset!F116=2,0.45,0.2))</f>
        <v>0.75</v>
      </c>
      <c r="O116" s="29">
        <f>IF(Dataset!F116=1,3,IF(Dataset!F116=2,2,1))</f>
        <v>3</v>
      </c>
      <c r="P116" s="29">
        <f t="shared" si="12"/>
        <v>2.25</v>
      </c>
      <c r="Q116" s="29">
        <f>IF(Dataset!K116&lt;5,0.2,IF(Dataset!K116&lt;10,0.45,IF(Dataset!K116&lt;18,0.7,0.9)))</f>
        <v>0.7</v>
      </c>
      <c r="R116" s="29">
        <f>IF(Dataset!K116&lt;5,1,IF(Dataset!K116&lt;10,2,IF(Dataset!K116&lt;18,3,4)))</f>
        <v>3</v>
      </c>
      <c r="S116" s="29">
        <f t="shared" si="13"/>
        <v>2.0999999999999996</v>
      </c>
      <c r="T116" s="29">
        <f t="shared" si="14"/>
        <v>1.3680000000000001</v>
      </c>
      <c r="U116" s="29" t="str">
        <f t="shared" si="15"/>
        <v>Medium</v>
      </c>
    </row>
    <row r="117" spans="1:21" ht="15" customHeight="1" x14ac:dyDescent="0.25">
      <c r="A117" s="29">
        <f>Dataset!A117</f>
        <v>113</v>
      </c>
      <c r="B117" s="29">
        <f>IF(Dataset!B117&lt;25,0.3,IF(Dataset!B117&lt;75,0.5,IF(Dataset!B117&lt;120,0.65,0.8)))</f>
        <v>0.5</v>
      </c>
      <c r="C117" s="29">
        <f>IF(Dataset!B117&lt;25,1,IF(Dataset!B117&lt;75,2,IF(Dataset!B117&lt;120,3,4)))</f>
        <v>2</v>
      </c>
      <c r="D117" s="29">
        <f t="shared" si="8"/>
        <v>1</v>
      </c>
      <c r="E117" s="29">
        <f>IF(Dataset!C117&lt;=1,0.3,IF(Dataset!C117=2,0.4,IF(Dataset!C117=3,0.5,IF(Dataset!C117=4,0.65,0.8))))</f>
        <v>0.4</v>
      </c>
      <c r="F117" s="29">
        <f>IF(Dataset!C117&lt;=2,1,IF(Dataset!C117=3,2,IF(Dataset!C117=4,3,4)))</f>
        <v>1</v>
      </c>
      <c r="G117" s="29">
        <f t="shared" si="9"/>
        <v>0.4</v>
      </c>
      <c r="H117" s="29">
        <f>IF(Dataset!G117&lt;=3,0.25,IF(Dataset!G117&lt;=6,0.45,IF(Dataset!G117&lt;=9,0.65,0.85)))</f>
        <v>0.45</v>
      </c>
      <c r="I117" s="29">
        <f>IF(Dataset!G117&lt;=3,1,IF(Dataset!G117&lt;=6,2,IF(Dataset!G117&lt;=9,3,4)))</f>
        <v>2</v>
      </c>
      <c r="J117" s="29">
        <f t="shared" si="10"/>
        <v>0.9</v>
      </c>
      <c r="K117" s="29">
        <f>IF(Dataset!H117&lt;1,0.2,IF(Dataset!H117&lt;1.3,0.45,IF(Dataset!H117&lt;1.8,0.7,0.9)))</f>
        <v>0.7</v>
      </c>
      <c r="L117" s="29">
        <f>IF(Dataset!H117&lt;1,1,IF(Dataset!H117&lt;1.3,2,IF(Dataset!H117&lt;1.8,3,4)))</f>
        <v>3</v>
      </c>
      <c r="M117" s="29">
        <f t="shared" si="11"/>
        <v>2.0999999999999996</v>
      </c>
      <c r="N117" s="29">
        <f>IF(Dataset!F117=1,0.75,IF(Dataset!F117=2,0.45,0.2))</f>
        <v>0.45</v>
      </c>
      <c r="O117" s="29">
        <f>IF(Dataset!F117=1,3,IF(Dataset!F117=2,2,1))</f>
        <v>2</v>
      </c>
      <c r="P117" s="29">
        <f t="shared" si="12"/>
        <v>0.9</v>
      </c>
      <c r="Q117" s="29">
        <f>IF(Dataset!K117&lt;5,0.2,IF(Dataset!K117&lt;10,0.45,IF(Dataset!K117&lt;18,0.7,0.9)))</f>
        <v>0.2</v>
      </c>
      <c r="R117" s="29">
        <f>IF(Dataset!K117&lt;5,1,IF(Dataset!K117&lt;10,2,IF(Dataset!K117&lt;18,3,4)))</f>
        <v>1</v>
      </c>
      <c r="S117" s="29">
        <f t="shared" si="13"/>
        <v>0.2</v>
      </c>
      <c r="T117" s="29">
        <f t="shared" si="14"/>
        <v>1.038</v>
      </c>
      <c r="U117" s="29" t="str">
        <f t="shared" si="15"/>
        <v>Low</v>
      </c>
    </row>
    <row r="118" spans="1:21" ht="15" customHeight="1" x14ac:dyDescent="0.25">
      <c r="A118" s="29">
        <f>Dataset!A118</f>
        <v>114</v>
      </c>
      <c r="B118" s="29">
        <f>IF(Dataset!B118&lt;25,0.3,IF(Dataset!B118&lt;75,0.5,IF(Dataset!B118&lt;120,0.65,0.8)))</f>
        <v>0.8</v>
      </c>
      <c r="C118" s="29">
        <f>IF(Dataset!B118&lt;25,1,IF(Dataset!B118&lt;75,2,IF(Dataset!B118&lt;120,3,4)))</f>
        <v>4</v>
      </c>
      <c r="D118" s="29">
        <f t="shared" si="8"/>
        <v>3.2</v>
      </c>
      <c r="E118" s="29">
        <f>IF(Dataset!C118&lt;=1,0.3,IF(Dataset!C118=2,0.4,IF(Dataset!C118=3,0.5,IF(Dataset!C118=4,0.65,0.8))))</f>
        <v>0.65</v>
      </c>
      <c r="F118" s="29">
        <f>IF(Dataset!C118&lt;=2,1,IF(Dataset!C118=3,2,IF(Dataset!C118=4,3,4)))</f>
        <v>3</v>
      </c>
      <c r="G118" s="29">
        <f t="shared" si="9"/>
        <v>1.9500000000000002</v>
      </c>
      <c r="H118" s="29">
        <f>IF(Dataset!G118&lt;=3,0.25,IF(Dataset!G118&lt;=6,0.45,IF(Dataset!G118&lt;=9,0.65,0.85)))</f>
        <v>0.65</v>
      </c>
      <c r="I118" s="29">
        <f>IF(Dataset!G118&lt;=3,1,IF(Dataset!G118&lt;=6,2,IF(Dataset!G118&lt;=9,3,4)))</f>
        <v>3</v>
      </c>
      <c r="J118" s="29">
        <f t="shared" si="10"/>
        <v>1.9500000000000002</v>
      </c>
      <c r="K118" s="29">
        <f>IF(Dataset!H118&lt;1,0.2,IF(Dataset!H118&lt;1.3,0.45,IF(Dataset!H118&lt;1.8,0.7,0.9)))</f>
        <v>0.45</v>
      </c>
      <c r="L118" s="29">
        <f>IF(Dataset!H118&lt;1,1,IF(Dataset!H118&lt;1.3,2,IF(Dataset!H118&lt;1.8,3,4)))</f>
        <v>2</v>
      </c>
      <c r="M118" s="29">
        <f t="shared" si="11"/>
        <v>0.9</v>
      </c>
      <c r="N118" s="29">
        <f>IF(Dataset!F118=1,0.75,IF(Dataset!F118=2,0.45,0.2))</f>
        <v>0.45</v>
      </c>
      <c r="O118" s="29">
        <f>IF(Dataset!F118=1,3,IF(Dataset!F118=2,2,1))</f>
        <v>2</v>
      </c>
      <c r="P118" s="29">
        <f t="shared" si="12"/>
        <v>0.9</v>
      </c>
      <c r="Q118" s="29">
        <f>IF(Dataset!K118&lt;5,0.2,IF(Dataset!K118&lt;10,0.45,IF(Dataset!K118&lt;18,0.7,0.9)))</f>
        <v>0.45</v>
      </c>
      <c r="R118" s="29">
        <f>IF(Dataset!K118&lt;5,1,IF(Dataset!K118&lt;10,2,IF(Dataset!K118&lt;18,3,4)))</f>
        <v>2</v>
      </c>
      <c r="S118" s="29">
        <f t="shared" si="13"/>
        <v>0.9</v>
      </c>
      <c r="T118" s="29">
        <f t="shared" si="14"/>
        <v>1.6710000000000003</v>
      </c>
      <c r="U118" s="29" t="str">
        <f t="shared" si="15"/>
        <v>Medium</v>
      </c>
    </row>
    <row r="119" spans="1:21" ht="15" customHeight="1" x14ac:dyDescent="0.25">
      <c r="A119" s="29">
        <f>Dataset!A119</f>
        <v>115</v>
      </c>
      <c r="B119" s="29">
        <f>IF(Dataset!B119&lt;25,0.3,IF(Dataset!B119&lt;75,0.5,IF(Dataset!B119&lt;120,0.65,0.8)))</f>
        <v>0.5</v>
      </c>
      <c r="C119" s="29">
        <f>IF(Dataset!B119&lt;25,1,IF(Dataset!B119&lt;75,2,IF(Dataset!B119&lt;120,3,4)))</f>
        <v>2</v>
      </c>
      <c r="D119" s="29">
        <f t="shared" si="8"/>
        <v>1</v>
      </c>
      <c r="E119" s="29">
        <f>IF(Dataset!C119&lt;=1,0.3,IF(Dataset!C119=2,0.4,IF(Dataset!C119=3,0.5,IF(Dataset!C119=4,0.65,0.8))))</f>
        <v>0.5</v>
      </c>
      <c r="F119" s="29">
        <f>IF(Dataset!C119&lt;=2,1,IF(Dataset!C119=3,2,IF(Dataset!C119=4,3,4)))</f>
        <v>2</v>
      </c>
      <c r="G119" s="29">
        <f t="shared" si="9"/>
        <v>1</v>
      </c>
      <c r="H119" s="29">
        <f>IF(Dataset!G119&lt;=3,0.25,IF(Dataset!G119&lt;=6,0.45,IF(Dataset!G119&lt;=9,0.65,0.85)))</f>
        <v>0.65</v>
      </c>
      <c r="I119" s="29">
        <f>IF(Dataset!G119&lt;=3,1,IF(Dataset!G119&lt;=6,2,IF(Dataset!G119&lt;=9,3,4)))</f>
        <v>3</v>
      </c>
      <c r="J119" s="29">
        <f t="shared" si="10"/>
        <v>1.9500000000000002</v>
      </c>
      <c r="K119" s="29">
        <f>IF(Dataset!H119&lt;1,0.2,IF(Dataset!H119&lt;1.3,0.45,IF(Dataset!H119&lt;1.8,0.7,0.9)))</f>
        <v>0.9</v>
      </c>
      <c r="L119" s="29">
        <f>IF(Dataset!H119&lt;1,1,IF(Dataset!H119&lt;1.3,2,IF(Dataset!H119&lt;1.8,3,4)))</f>
        <v>4</v>
      </c>
      <c r="M119" s="29">
        <f t="shared" si="11"/>
        <v>3.6</v>
      </c>
      <c r="N119" s="29">
        <f>IF(Dataset!F119=1,0.75,IF(Dataset!F119=2,0.45,0.2))</f>
        <v>0.2</v>
      </c>
      <c r="O119" s="29">
        <f>IF(Dataset!F119=1,3,IF(Dataset!F119=2,2,1))</f>
        <v>1</v>
      </c>
      <c r="P119" s="29">
        <f t="shared" si="12"/>
        <v>0.2</v>
      </c>
      <c r="Q119" s="29">
        <f>IF(Dataset!K119&lt;5,0.2,IF(Dataset!K119&lt;10,0.45,IF(Dataset!K119&lt;18,0.7,0.9)))</f>
        <v>0.45</v>
      </c>
      <c r="R119" s="29">
        <f>IF(Dataset!K119&lt;5,1,IF(Dataset!K119&lt;10,2,IF(Dataset!K119&lt;18,3,4)))</f>
        <v>2</v>
      </c>
      <c r="S119" s="29">
        <f t="shared" si="13"/>
        <v>0.9</v>
      </c>
      <c r="T119" s="29">
        <f t="shared" si="14"/>
        <v>1.7200000000000002</v>
      </c>
      <c r="U119" s="29" t="str">
        <f t="shared" si="15"/>
        <v>Medium</v>
      </c>
    </row>
    <row r="120" spans="1:21" ht="15" customHeight="1" x14ac:dyDescent="0.25">
      <c r="A120" s="29">
        <f>Dataset!A120</f>
        <v>116</v>
      </c>
      <c r="B120" s="29">
        <f>IF(Dataset!B120&lt;25,0.3,IF(Dataset!B120&lt;75,0.5,IF(Dataset!B120&lt;120,0.65,0.8)))</f>
        <v>0.3</v>
      </c>
      <c r="C120" s="29">
        <f>IF(Dataset!B120&lt;25,1,IF(Dataset!B120&lt;75,2,IF(Dataset!B120&lt;120,3,4)))</f>
        <v>1</v>
      </c>
      <c r="D120" s="29">
        <f t="shared" si="8"/>
        <v>0.3</v>
      </c>
      <c r="E120" s="29">
        <f>IF(Dataset!C120&lt;=1,0.3,IF(Dataset!C120=2,0.4,IF(Dataset!C120=3,0.5,IF(Dataset!C120=4,0.65,0.8))))</f>
        <v>0.5</v>
      </c>
      <c r="F120" s="29">
        <f>IF(Dataset!C120&lt;=2,1,IF(Dataset!C120=3,2,IF(Dataset!C120=4,3,4)))</f>
        <v>2</v>
      </c>
      <c r="G120" s="29">
        <f t="shared" si="9"/>
        <v>1</v>
      </c>
      <c r="H120" s="29">
        <f>IF(Dataset!G120&lt;=3,0.25,IF(Dataset!G120&lt;=6,0.45,IF(Dataset!G120&lt;=9,0.65,0.85)))</f>
        <v>0.65</v>
      </c>
      <c r="I120" s="29">
        <f>IF(Dataset!G120&lt;=3,1,IF(Dataset!G120&lt;=6,2,IF(Dataset!G120&lt;=9,3,4)))</f>
        <v>3</v>
      </c>
      <c r="J120" s="29">
        <f t="shared" si="10"/>
        <v>1.9500000000000002</v>
      </c>
      <c r="K120" s="29">
        <f>IF(Dataset!H120&lt;1,0.2,IF(Dataset!H120&lt;1.3,0.45,IF(Dataset!H120&lt;1.8,0.7,0.9)))</f>
        <v>0.7</v>
      </c>
      <c r="L120" s="29">
        <f>IF(Dataset!H120&lt;1,1,IF(Dataset!H120&lt;1.3,2,IF(Dataset!H120&lt;1.8,3,4)))</f>
        <v>3</v>
      </c>
      <c r="M120" s="29">
        <f t="shared" si="11"/>
        <v>2.0999999999999996</v>
      </c>
      <c r="N120" s="29">
        <f>IF(Dataset!F120=1,0.75,IF(Dataset!F120=2,0.45,0.2))</f>
        <v>0.75</v>
      </c>
      <c r="O120" s="29">
        <f>IF(Dataset!F120=1,3,IF(Dataset!F120=2,2,1))</f>
        <v>3</v>
      </c>
      <c r="P120" s="29">
        <f t="shared" si="12"/>
        <v>2.25</v>
      </c>
      <c r="Q120" s="29">
        <f>IF(Dataset!K120&lt;5,0.2,IF(Dataset!K120&lt;10,0.45,IF(Dataset!K120&lt;18,0.7,0.9)))</f>
        <v>0.45</v>
      </c>
      <c r="R120" s="29">
        <f>IF(Dataset!K120&lt;5,1,IF(Dataset!K120&lt;10,2,IF(Dataset!K120&lt;18,3,4)))</f>
        <v>2</v>
      </c>
      <c r="S120" s="29">
        <f t="shared" si="13"/>
        <v>0.9</v>
      </c>
      <c r="T120" s="29">
        <f t="shared" si="14"/>
        <v>1.4390000000000003</v>
      </c>
      <c r="U120" s="29" t="str">
        <f t="shared" si="15"/>
        <v>Medium</v>
      </c>
    </row>
    <row r="121" spans="1:21" ht="15" customHeight="1" x14ac:dyDescent="0.25">
      <c r="A121" s="29">
        <f>Dataset!A121</f>
        <v>117</v>
      </c>
      <c r="B121" s="29">
        <f>IF(Dataset!B121&lt;25,0.3,IF(Dataset!B121&lt;75,0.5,IF(Dataset!B121&lt;120,0.65,0.8)))</f>
        <v>0.65</v>
      </c>
      <c r="C121" s="29">
        <f>IF(Dataset!B121&lt;25,1,IF(Dataset!B121&lt;75,2,IF(Dataset!B121&lt;120,3,4)))</f>
        <v>3</v>
      </c>
      <c r="D121" s="29">
        <f t="shared" si="8"/>
        <v>1.9500000000000002</v>
      </c>
      <c r="E121" s="29">
        <f>IF(Dataset!C121&lt;=1,0.3,IF(Dataset!C121=2,0.4,IF(Dataset!C121=3,0.5,IF(Dataset!C121=4,0.65,0.8))))</f>
        <v>0.4</v>
      </c>
      <c r="F121" s="29">
        <f>IF(Dataset!C121&lt;=2,1,IF(Dataset!C121=3,2,IF(Dataset!C121=4,3,4)))</f>
        <v>1</v>
      </c>
      <c r="G121" s="29">
        <f t="shared" si="9"/>
        <v>0.4</v>
      </c>
      <c r="H121" s="29">
        <f>IF(Dataset!G121&lt;=3,0.25,IF(Dataset!G121&lt;=6,0.45,IF(Dataset!G121&lt;=9,0.65,0.85)))</f>
        <v>0.45</v>
      </c>
      <c r="I121" s="29">
        <f>IF(Dataset!G121&lt;=3,1,IF(Dataset!G121&lt;=6,2,IF(Dataset!G121&lt;=9,3,4)))</f>
        <v>2</v>
      </c>
      <c r="J121" s="29">
        <f t="shared" si="10"/>
        <v>0.9</v>
      </c>
      <c r="K121" s="29">
        <f>IF(Dataset!H121&lt;1,0.2,IF(Dataset!H121&lt;1.3,0.45,IF(Dataset!H121&lt;1.8,0.7,0.9)))</f>
        <v>0.9</v>
      </c>
      <c r="L121" s="29">
        <f>IF(Dataset!H121&lt;1,1,IF(Dataset!H121&lt;1.3,2,IF(Dataset!H121&lt;1.8,3,4)))</f>
        <v>4</v>
      </c>
      <c r="M121" s="29">
        <f t="shared" si="11"/>
        <v>3.6</v>
      </c>
      <c r="N121" s="29">
        <f>IF(Dataset!F121=1,0.75,IF(Dataset!F121=2,0.45,0.2))</f>
        <v>0.75</v>
      </c>
      <c r="O121" s="29">
        <f>IF(Dataset!F121=1,3,IF(Dataset!F121=2,2,1))</f>
        <v>3</v>
      </c>
      <c r="P121" s="29">
        <f t="shared" si="12"/>
        <v>2.25</v>
      </c>
      <c r="Q121" s="29">
        <f>IF(Dataset!K121&lt;5,0.2,IF(Dataset!K121&lt;10,0.45,IF(Dataset!K121&lt;18,0.7,0.9)))</f>
        <v>0.2</v>
      </c>
      <c r="R121" s="29">
        <f>IF(Dataset!K121&lt;5,1,IF(Dataset!K121&lt;10,2,IF(Dataset!K121&lt;18,3,4)))</f>
        <v>1</v>
      </c>
      <c r="S121" s="29">
        <f t="shared" si="13"/>
        <v>0.2</v>
      </c>
      <c r="T121" s="29">
        <f t="shared" si="14"/>
        <v>1.7040000000000002</v>
      </c>
      <c r="U121" s="29" t="str">
        <f t="shared" si="15"/>
        <v>Medium</v>
      </c>
    </row>
    <row r="122" spans="1:21" ht="15" customHeight="1" x14ac:dyDescent="0.25">
      <c r="A122" s="29">
        <f>Dataset!A122</f>
        <v>118</v>
      </c>
      <c r="B122" s="29">
        <f>IF(Dataset!B122&lt;25,0.3,IF(Dataset!B122&lt;75,0.5,IF(Dataset!B122&lt;120,0.65,0.8)))</f>
        <v>0.5</v>
      </c>
      <c r="C122" s="29">
        <f>IF(Dataset!B122&lt;25,1,IF(Dataset!B122&lt;75,2,IF(Dataset!B122&lt;120,3,4)))</f>
        <v>2</v>
      </c>
      <c r="D122" s="29">
        <f t="shared" si="8"/>
        <v>1</v>
      </c>
      <c r="E122" s="29">
        <f>IF(Dataset!C122&lt;=1,0.3,IF(Dataset!C122=2,0.4,IF(Dataset!C122=3,0.5,IF(Dataset!C122=4,0.65,0.8))))</f>
        <v>0.5</v>
      </c>
      <c r="F122" s="29">
        <f>IF(Dataset!C122&lt;=2,1,IF(Dataset!C122=3,2,IF(Dataset!C122=4,3,4)))</f>
        <v>2</v>
      </c>
      <c r="G122" s="29">
        <f t="shared" si="9"/>
        <v>1</v>
      </c>
      <c r="H122" s="29">
        <f>IF(Dataset!G122&lt;=3,0.25,IF(Dataset!G122&lt;=6,0.45,IF(Dataset!G122&lt;=9,0.65,0.85)))</f>
        <v>0.45</v>
      </c>
      <c r="I122" s="29">
        <f>IF(Dataset!G122&lt;=3,1,IF(Dataset!G122&lt;=6,2,IF(Dataset!G122&lt;=9,3,4)))</f>
        <v>2</v>
      </c>
      <c r="J122" s="29">
        <f t="shared" si="10"/>
        <v>0.9</v>
      </c>
      <c r="K122" s="29">
        <f>IF(Dataset!H122&lt;1,0.2,IF(Dataset!H122&lt;1.3,0.45,IF(Dataset!H122&lt;1.8,0.7,0.9)))</f>
        <v>0.7</v>
      </c>
      <c r="L122" s="29">
        <f>IF(Dataset!H122&lt;1,1,IF(Dataset!H122&lt;1.3,2,IF(Dataset!H122&lt;1.8,3,4)))</f>
        <v>3</v>
      </c>
      <c r="M122" s="29">
        <f t="shared" si="11"/>
        <v>2.0999999999999996</v>
      </c>
      <c r="N122" s="29">
        <f>IF(Dataset!F122=1,0.75,IF(Dataset!F122=2,0.45,0.2))</f>
        <v>0.45</v>
      </c>
      <c r="O122" s="29">
        <f>IF(Dataset!F122=1,3,IF(Dataset!F122=2,2,1))</f>
        <v>2</v>
      </c>
      <c r="P122" s="29">
        <f t="shared" si="12"/>
        <v>0.9</v>
      </c>
      <c r="Q122" s="29">
        <f>IF(Dataset!K122&lt;5,0.2,IF(Dataset!K122&lt;10,0.45,IF(Dataset!K122&lt;18,0.7,0.9)))</f>
        <v>0.45</v>
      </c>
      <c r="R122" s="29">
        <f>IF(Dataset!K122&lt;5,1,IF(Dataset!K122&lt;10,2,IF(Dataset!K122&lt;18,3,4)))</f>
        <v>2</v>
      </c>
      <c r="S122" s="29">
        <f t="shared" si="13"/>
        <v>0.9</v>
      </c>
      <c r="T122" s="29">
        <f t="shared" si="14"/>
        <v>1.2200000000000002</v>
      </c>
      <c r="U122" s="29" t="str">
        <f t="shared" si="15"/>
        <v>Low</v>
      </c>
    </row>
    <row r="123" spans="1:21" ht="15" customHeight="1" x14ac:dyDescent="0.25">
      <c r="A123" s="29">
        <f>Dataset!A123</f>
        <v>119</v>
      </c>
      <c r="B123" s="29">
        <f>IF(Dataset!B123&lt;25,0.3,IF(Dataset!B123&lt;75,0.5,IF(Dataset!B123&lt;120,0.65,0.8)))</f>
        <v>0.3</v>
      </c>
      <c r="C123" s="29">
        <f>IF(Dataset!B123&lt;25,1,IF(Dataset!B123&lt;75,2,IF(Dataset!B123&lt;120,3,4)))</f>
        <v>1</v>
      </c>
      <c r="D123" s="29">
        <f t="shared" si="8"/>
        <v>0.3</v>
      </c>
      <c r="E123" s="29">
        <f>IF(Dataset!C123&lt;=1,0.3,IF(Dataset!C123=2,0.4,IF(Dataset!C123=3,0.5,IF(Dataset!C123=4,0.65,0.8))))</f>
        <v>0.4</v>
      </c>
      <c r="F123" s="29">
        <f>IF(Dataset!C123&lt;=2,1,IF(Dataset!C123=3,2,IF(Dataset!C123=4,3,4)))</f>
        <v>1</v>
      </c>
      <c r="G123" s="29">
        <f t="shared" si="9"/>
        <v>0.4</v>
      </c>
      <c r="H123" s="29">
        <f>IF(Dataset!G123&lt;=3,0.25,IF(Dataset!G123&lt;=6,0.45,IF(Dataset!G123&lt;=9,0.65,0.85)))</f>
        <v>0.45</v>
      </c>
      <c r="I123" s="29">
        <f>IF(Dataset!G123&lt;=3,1,IF(Dataset!G123&lt;=6,2,IF(Dataset!G123&lt;=9,3,4)))</f>
        <v>2</v>
      </c>
      <c r="J123" s="29">
        <f t="shared" si="10"/>
        <v>0.9</v>
      </c>
      <c r="K123" s="29">
        <f>IF(Dataset!H123&lt;1,0.2,IF(Dataset!H123&lt;1.3,0.45,IF(Dataset!H123&lt;1.8,0.7,0.9)))</f>
        <v>0.9</v>
      </c>
      <c r="L123" s="29">
        <f>IF(Dataset!H123&lt;1,1,IF(Dataset!H123&lt;1.3,2,IF(Dataset!H123&lt;1.8,3,4)))</f>
        <v>4</v>
      </c>
      <c r="M123" s="29">
        <f t="shared" si="11"/>
        <v>3.6</v>
      </c>
      <c r="N123" s="29">
        <f>IF(Dataset!F123=1,0.75,IF(Dataset!F123=2,0.45,0.2))</f>
        <v>0.45</v>
      </c>
      <c r="O123" s="29">
        <f>IF(Dataset!F123=1,3,IF(Dataset!F123=2,2,1))</f>
        <v>2</v>
      </c>
      <c r="P123" s="29">
        <f t="shared" si="12"/>
        <v>0.9</v>
      </c>
      <c r="Q123" s="29">
        <f>IF(Dataset!K123&lt;5,0.2,IF(Dataset!K123&lt;10,0.45,IF(Dataset!K123&lt;18,0.7,0.9)))</f>
        <v>0.2</v>
      </c>
      <c r="R123" s="29">
        <f>IF(Dataset!K123&lt;5,1,IF(Dataset!K123&lt;10,2,IF(Dataset!K123&lt;18,3,4)))</f>
        <v>1</v>
      </c>
      <c r="S123" s="29">
        <f t="shared" si="13"/>
        <v>0.2</v>
      </c>
      <c r="T123" s="29">
        <f t="shared" si="14"/>
        <v>1.272</v>
      </c>
      <c r="U123" s="29" t="str">
        <f t="shared" si="15"/>
        <v>Low</v>
      </c>
    </row>
    <row r="124" spans="1:21" ht="15" customHeight="1" x14ac:dyDescent="0.25">
      <c r="A124" s="29">
        <f>Dataset!A124</f>
        <v>120</v>
      </c>
      <c r="B124" s="29">
        <f>IF(Dataset!B124&lt;25,0.3,IF(Dataset!B124&lt;75,0.5,IF(Dataset!B124&lt;120,0.65,0.8)))</f>
        <v>0.3</v>
      </c>
      <c r="C124" s="29">
        <f>IF(Dataset!B124&lt;25,1,IF(Dataset!B124&lt;75,2,IF(Dataset!B124&lt;120,3,4)))</f>
        <v>1</v>
      </c>
      <c r="D124" s="29">
        <f t="shared" si="8"/>
        <v>0.3</v>
      </c>
      <c r="E124" s="29">
        <f>IF(Dataset!C124&lt;=1,0.3,IF(Dataset!C124=2,0.4,IF(Dataset!C124=3,0.5,IF(Dataset!C124=4,0.65,0.8))))</f>
        <v>0.4</v>
      </c>
      <c r="F124" s="29">
        <f>IF(Dataset!C124&lt;=2,1,IF(Dataset!C124=3,2,IF(Dataset!C124=4,3,4)))</f>
        <v>1</v>
      </c>
      <c r="G124" s="29">
        <f t="shared" si="9"/>
        <v>0.4</v>
      </c>
      <c r="H124" s="29">
        <f>IF(Dataset!G124&lt;=3,0.25,IF(Dataset!G124&lt;=6,0.45,IF(Dataset!G124&lt;=9,0.65,0.85)))</f>
        <v>0.45</v>
      </c>
      <c r="I124" s="29">
        <f>IF(Dataset!G124&lt;=3,1,IF(Dataset!G124&lt;=6,2,IF(Dataset!G124&lt;=9,3,4)))</f>
        <v>2</v>
      </c>
      <c r="J124" s="29">
        <f t="shared" si="10"/>
        <v>0.9</v>
      </c>
      <c r="K124" s="29">
        <f>IF(Dataset!H124&lt;1,0.2,IF(Dataset!H124&lt;1.3,0.45,IF(Dataset!H124&lt;1.8,0.7,0.9)))</f>
        <v>0.45</v>
      </c>
      <c r="L124" s="29">
        <f>IF(Dataset!H124&lt;1,1,IF(Dataset!H124&lt;1.3,2,IF(Dataset!H124&lt;1.8,3,4)))</f>
        <v>2</v>
      </c>
      <c r="M124" s="29">
        <f t="shared" si="11"/>
        <v>0.9</v>
      </c>
      <c r="N124" s="29">
        <f>IF(Dataset!F124=1,0.75,IF(Dataset!F124=2,0.45,0.2))</f>
        <v>0.2</v>
      </c>
      <c r="O124" s="29">
        <f>IF(Dataset!F124=1,3,IF(Dataset!F124=2,2,1))</f>
        <v>1</v>
      </c>
      <c r="P124" s="29">
        <f t="shared" si="12"/>
        <v>0.2</v>
      </c>
      <c r="Q124" s="29">
        <f>IF(Dataset!K124&lt;5,0.2,IF(Dataset!K124&lt;10,0.45,IF(Dataset!K124&lt;18,0.7,0.9)))</f>
        <v>0.45</v>
      </c>
      <c r="R124" s="29">
        <f>IF(Dataset!K124&lt;5,1,IF(Dataset!K124&lt;10,2,IF(Dataset!K124&lt;18,3,4)))</f>
        <v>2</v>
      </c>
      <c r="S124" s="29">
        <f t="shared" si="13"/>
        <v>0.9</v>
      </c>
      <c r="T124" s="29">
        <f t="shared" si="14"/>
        <v>0.65200000000000002</v>
      </c>
      <c r="U124" s="29" t="str">
        <f t="shared" si="15"/>
        <v>Low</v>
      </c>
    </row>
    <row r="125" spans="1:21" ht="15" customHeight="1" x14ac:dyDescent="0.25">
      <c r="A125" s="29">
        <f>Dataset!A125</f>
        <v>121</v>
      </c>
      <c r="B125" s="29">
        <f>IF(Dataset!B125&lt;25,0.3,IF(Dataset!B125&lt;75,0.5,IF(Dataset!B125&lt;120,0.65,0.8)))</f>
        <v>0.8</v>
      </c>
      <c r="C125" s="29">
        <f>IF(Dataset!B125&lt;25,1,IF(Dataset!B125&lt;75,2,IF(Dataset!B125&lt;120,3,4)))</f>
        <v>4</v>
      </c>
      <c r="D125" s="29">
        <f t="shared" si="8"/>
        <v>3.2</v>
      </c>
      <c r="E125" s="29">
        <f>IF(Dataset!C125&lt;=1,0.3,IF(Dataset!C125=2,0.4,IF(Dataset!C125=3,0.5,IF(Dataset!C125=4,0.65,0.8))))</f>
        <v>0.4</v>
      </c>
      <c r="F125" s="29">
        <f>IF(Dataset!C125&lt;=2,1,IF(Dataset!C125=3,2,IF(Dataset!C125=4,3,4)))</f>
        <v>1</v>
      </c>
      <c r="G125" s="29">
        <f t="shared" si="9"/>
        <v>0.4</v>
      </c>
      <c r="H125" s="29">
        <f>IF(Dataset!G125&lt;=3,0.25,IF(Dataset!G125&lt;=6,0.45,IF(Dataset!G125&lt;=9,0.65,0.85)))</f>
        <v>0.45</v>
      </c>
      <c r="I125" s="29">
        <f>IF(Dataset!G125&lt;=3,1,IF(Dataset!G125&lt;=6,2,IF(Dataset!G125&lt;=9,3,4)))</f>
        <v>2</v>
      </c>
      <c r="J125" s="29">
        <f t="shared" si="10"/>
        <v>0.9</v>
      </c>
      <c r="K125" s="29">
        <f>IF(Dataset!H125&lt;1,0.2,IF(Dataset!H125&lt;1.3,0.45,IF(Dataset!H125&lt;1.8,0.7,0.9)))</f>
        <v>0.7</v>
      </c>
      <c r="L125" s="29">
        <f>IF(Dataset!H125&lt;1,1,IF(Dataset!H125&lt;1.3,2,IF(Dataset!H125&lt;1.8,3,4)))</f>
        <v>3</v>
      </c>
      <c r="M125" s="29">
        <f t="shared" si="11"/>
        <v>2.0999999999999996</v>
      </c>
      <c r="N125" s="29">
        <f>IF(Dataset!F125=1,0.75,IF(Dataset!F125=2,0.45,0.2))</f>
        <v>0.2</v>
      </c>
      <c r="O125" s="29">
        <f>IF(Dataset!F125=1,3,IF(Dataset!F125=2,2,1))</f>
        <v>1</v>
      </c>
      <c r="P125" s="29">
        <f t="shared" si="12"/>
        <v>0.2</v>
      </c>
      <c r="Q125" s="29">
        <f>IF(Dataset!K125&lt;5,0.2,IF(Dataset!K125&lt;10,0.45,IF(Dataset!K125&lt;18,0.7,0.9)))</f>
        <v>0.2</v>
      </c>
      <c r="R125" s="29">
        <f>IF(Dataset!K125&lt;5,1,IF(Dataset!K125&lt;10,2,IF(Dataset!K125&lt;18,3,4)))</f>
        <v>1</v>
      </c>
      <c r="S125" s="29">
        <f t="shared" si="13"/>
        <v>0.2</v>
      </c>
      <c r="T125" s="29">
        <f t="shared" si="14"/>
        <v>1.3639999999999999</v>
      </c>
      <c r="U125" s="29" t="str">
        <f t="shared" si="15"/>
        <v>Medium</v>
      </c>
    </row>
    <row r="126" spans="1:21" ht="15" customHeight="1" x14ac:dyDescent="0.25">
      <c r="A126" s="29">
        <f>Dataset!A126</f>
        <v>122</v>
      </c>
      <c r="B126" s="29">
        <f>IF(Dataset!B126&lt;25,0.3,IF(Dataset!B126&lt;75,0.5,IF(Dataset!B126&lt;120,0.65,0.8)))</f>
        <v>0.5</v>
      </c>
      <c r="C126" s="29">
        <f>IF(Dataset!B126&lt;25,1,IF(Dataset!B126&lt;75,2,IF(Dataset!B126&lt;120,3,4)))</f>
        <v>2</v>
      </c>
      <c r="D126" s="29">
        <f t="shared" si="8"/>
        <v>1</v>
      </c>
      <c r="E126" s="29">
        <f>IF(Dataset!C126&lt;=1,0.3,IF(Dataset!C126=2,0.4,IF(Dataset!C126=3,0.5,IF(Dataset!C126=4,0.65,0.8))))</f>
        <v>0.8</v>
      </c>
      <c r="F126" s="29">
        <f>IF(Dataset!C126&lt;=2,1,IF(Dataset!C126=3,2,IF(Dataset!C126=4,3,4)))</f>
        <v>4</v>
      </c>
      <c r="G126" s="29">
        <f t="shared" si="9"/>
        <v>3.2</v>
      </c>
      <c r="H126" s="29">
        <f>IF(Dataset!G126&lt;=3,0.25,IF(Dataset!G126&lt;=6,0.45,IF(Dataset!G126&lt;=9,0.65,0.85)))</f>
        <v>0.45</v>
      </c>
      <c r="I126" s="29">
        <f>IF(Dataset!G126&lt;=3,1,IF(Dataset!G126&lt;=6,2,IF(Dataset!G126&lt;=9,3,4)))</f>
        <v>2</v>
      </c>
      <c r="J126" s="29">
        <f t="shared" si="10"/>
        <v>0.9</v>
      </c>
      <c r="K126" s="29">
        <f>IF(Dataset!H126&lt;1,0.2,IF(Dataset!H126&lt;1.3,0.45,IF(Dataset!H126&lt;1.8,0.7,0.9)))</f>
        <v>0.7</v>
      </c>
      <c r="L126" s="29">
        <f>IF(Dataset!H126&lt;1,1,IF(Dataset!H126&lt;1.3,2,IF(Dataset!H126&lt;1.8,3,4)))</f>
        <v>3</v>
      </c>
      <c r="M126" s="29">
        <f t="shared" si="11"/>
        <v>2.0999999999999996</v>
      </c>
      <c r="N126" s="29">
        <f>IF(Dataset!F126=1,0.75,IF(Dataset!F126=2,0.45,0.2))</f>
        <v>0.2</v>
      </c>
      <c r="O126" s="29">
        <f>IF(Dataset!F126=1,3,IF(Dataset!F126=2,2,1))</f>
        <v>1</v>
      </c>
      <c r="P126" s="29">
        <f t="shared" si="12"/>
        <v>0.2</v>
      </c>
      <c r="Q126" s="29">
        <f>IF(Dataset!K126&lt;5,0.2,IF(Dataset!K126&lt;10,0.45,IF(Dataset!K126&lt;18,0.7,0.9)))</f>
        <v>0.7</v>
      </c>
      <c r="R126" s="29">
        <f>IF(Dataset!K126&lt;5,1,IF(Dataset!K126&lt;10,2,IF(Dataset!K126&lt;18,3,4)))</f>
        <v>3</v>
      </c>
      <c r="S126" s="29">
        <f t="shared" si="13"/>
        <v>2.0999999999999996</v>
      </c>
      <c r="T126" s="29">
        <f t="shared" si="14"/>
        <v>1.6260000000000001</v>
      </c>
      <c r="U126" s="29" t="str">
        <f t="shared" si="15"/>
        <v>Medium</v>
      </c>
    </row>
    <row r="127" spans="1:21" ht="15" customHeight="1" x14ac:dyDescent="0.25">
      <c r="A127" s="29">
        <f>Dataset!A127</f>
        <v>123</v>
      </c>
      <c r="B127" s="29">
        <f>IF(Dataset!B127&lt;25,0.3,IF(Dataset!B127&lt;75,0.5,IF(Dataset!B127&lt;120,0.65,0.8)))</f>
        <v>0.3</v>
      </c>
      <c r="C127" s="29">
        <f>IF(Dataset!B127&lt;25,1,IF(Dataset!B127&lt;75,2,IF(Dataset!B127&lt;120,3,4)))</f>
        <v>1</v>
      </c>
      <c r="D127" s="29">
        <f t="shared" si="8"/>
        <v>0.3</v>
      </c>
      <c r="E127" s="29">
        <f>IF(Dataset!C127&lt;=1,0.3,IF(Dataset!C127=2,0.4,IF(Dataset!C127=3,0.5,IF(Dataset!C127=4,0.65,0.8))))</f>
        <v>0.5</v>
      </c>
      <c r="F127" s="29">
        <f>IF(Dataset!C127&lt;=2,1,IF(Dataset!C127=3,2,IF(Dataset!C127=4,3,4)))</f>
        <v>2</v>
      </c>
      <c r="G127" s="29">
        <f t="shared" si="9"/>
        <v>1</v>
      </c>
      <c r="H127" s="29">
        <f>IF(Dataset!G127&lt;=3,0.25,IF(Dataset!G127&lt;=6,0.45,IF(Dataset!G127&lt;=9,0.65,0.85)))</f>
        <v>0.45</v>
      </c>
      <c r="I127" s="29">
        <f>IF(Dataset!G127&lt;=3,1,IF(Dataset!G127&lt;=6,2,IF(Dataset!G127&lt;=9,3,4)))</f>
        <v>2</v>
      </c>
      <c r="J127" s="29">
        <f t="shared" si="10"/>
        <v>0.9</v>
      </c>
      <c r="K127" s="29">
        <f>IF(Dataset!H127&lt;1,0.2,IF(Dataset!H127&lt;1.3,0.45,IF(Dataset!H127&lt;1.8,0.7,0.9)))</f>
        <v>0.9</v>
      </c>
      <c r="L127" s="29">
        <f>IF(Dataset!H127&lt;1,1,IF(Dataset!H127&lt;1.3,2,IF(Dataset!H127&lt;1.8,3,4)))</f>
        <v>4</v>
      </c>
      <c r="M127" s="29">
        <f t="shared" si="11"/>
        <v>3.6</v>
      </c>
      <c r="N127" s="29">
        <f>IF(Dataset!F127=1,0.75,IF(Dataset!F127=2,0.45,0.2))</f>
        <v>0.75</v>
      </c>
      <c r="O127" s="29">
        <f>IF(Dataset!F127=1,3,IF(Dataset!F127=2,2,1))</f>
        <v>3</v>
      </c>
      <c r="P127" s="29">
        <f t="shared" si="12"/>
        <v>2.25</v>
      </c>
      <c r="Q127" s="29">
        <f>IF(Dataset!K127&lt;5,0.2,IF(Dataset!K127&lt;10,0.45,IF(Dataset!K127&lt;18,0.7,0.9)))</f>
        <v>0.45</v>
      </c>
      <c r="R127" s="29">
        <f>IF(Dataset!K127&lt;5,1,IF(Dataset!K127&lt;10,2,IF(Dataset!K127&lt;18,3,4)))</f>
        <v>2</v>
      </c>
      <c r="S127" s="29">
        <f t="shared" si="13"/>
        <v>0.9</v>
      </c>
      <c r="T127" s="29">
        <f t="shared" si="14"/>
        <v>1.5890000000000002</v>
      </c>
      <c r="U127" s="29" t="str">
        <f t="shared" si="15"/>
        <v>Medium</v>
      </c>
    </row>
    <row r="128" spans="1:21" ht="15" customHeight="1" x14ac:dyDescent="0.25">
      <c r="A128" s="29">
        <f>Dataset!A128</f>
        <v>124</v>
      </c>
      <c r="B128" s="29">
        <f>IF(Dataset!B128&lt;25,0.3,IF(Dataset!B128&lt;75,0.5,IF(Dataset!B128&lt;120,0.65,0.8)))</f>
        <v>0.8</v>
      </c>
      <c r="C128" s="29">
        <f>IF(Dataset!B128&lt;25,1,IF(Dataset!B128&lt;75,2,IF(Dataset!B128&lt;120,3,4)))</f>
        <v>4</v>
      </c>
      <c r="D128" s="29">
        <f t="shared" si="8"/>
        <v>3.2</v>
      </c>
      <c r="E128" s="29">
        <f>IF(Dataset!C128&lt;=1,0.3,IF(Dataset!C128=2,0.4,IF(Dataset!C128=3,0.5,IF(Dataset!C128=4,0.65,0.8))))</f>
        <v>0.5</v>
      </c>
      <c r="F128" s="29">
        <f>IF(Dataset!C128&lt;=2,1,IF(Dataset!C128=3,2,IF(Dataset!C128=4,3,4)))</f>
        <v>2</v>
      </c>
      <c r="G128" s="29">
        <f t="shared" si="9"/>
        <v>1</v>
      </c>
      <c r="H128" s="29">
        <f>IF(Dataset!G128&lt;=3,0.25,IF(Dataset!G128&lt;=6,0.45,IF(Dataset!G128&lt;=9,0.65,0.85)))</f>
        <v>0.65</v>
      </c>
      <c r="I128" s="29">
        <f>IF(Dataset!G128&lt;=3,1,IF(Dataset!G128&lt;=6,2,IF(Dataset!G128&lt;=9,3,4)))</f>
        <v>3</v>
      </c>
      <c r="J128" s="29">
        <f t="shared" si="10"/>
        <v>1.9500000000000002</v>
      </c>
      <c r="K128" s="29">
        <f>IF(Dataset!H128&lt;1,0.2,IF(Dataset!H128&lt;1.3,0.45,IF(Dataset!H128&lt;1.8,0.7,0.9)))</f>
        <v>0.2</v>
      </c>
      <c r="L128" s="29">
        <f>IF(Dataset!H128&lt;1,1,IF(Dataset!H128&lt;1.3,2,IF(Dataset!H128&lt;1.8,3,4)))</f>
        <v>1</v>
      </c>
      <c r="M128" s="29">
        <f t="shared" si="11"/>
        <v>0.2</v>
      </c>
      <c r="N128" s="29">
        <f>IF(Dataset!F128=1,0.75,IF(Dataset!F128=2,0.45,0.2))</f>
        <v>0.45</v>
      </c>
      <c r="O128" s="29">
        <f>IF(Dataset!F128=1,3,IF(Dataset!F128=2,2,1))</f>
        <v>2</v>
      </c>
      <c r="P128" s="29">
        <f t="shared" si="12"/>
        <v>0.9</v>
      </c>
      <c r="Q128" s="29">
        <f>IF(Dataset!K128&lt;5,0.2,IF(Dataset!K128&lt;10,0.45,IF(Dataset!K128&lt;18,0.7,0.9)))</f>
        <v>0.45</v>
      </c>
      <c r="R128" s="29">
        <f>IF(Dataset!K128&lt;5,1,IF(Dataset!K128&lt;10,2,IF(Dataset!K128&lt;18,3,4)))</f>
        <v>2</v>
      </c>
      <c r="S128" s="29">
        <f t="shared" si="13"/>
        <v>0.9</v>
      </c>
      <c r="T128" s="29">
        <f t="shared" si="14"/>
        <v>1.3700000000000003</v>
      </c>
      <c r="U128" s="29" t="str">
        <f t="shared" si="15"/>
        <v>Medium</v>
      </c>
    </row>
    <row r="129" spans="1:21" ht="15" customHeight="1" x14ac:dyDescent="0.25">
      <c r="A129" s="29">
        <f>Dataset!A129</f>
        <v>125</v>
      </c>
      <c r="B129" s="29">
        <f>IF(Dataset!B129&lt;25,0.3,IF(Dataset!B129&lt;75,0.5,IF(Dataset!B129&lt;120,0.65,0.8)))</f>
        <v>0.3</v>
      </c>
      <c r="C129" s="29">
        <f>IF(Dataset!B129&lt;25,1,IF(Dataset!B129&lt;75,2,IF(Dataset!B129&lt;120,3,4)))</f>
        <v>1</v>
      </c>
      <c r="D129" s="29">
        <f t="shared" si="8"/>
        <v>0.3</v>
      </c>
      <c r="E129" s="29">
        <f>IF(Dataset!C129&lt;=1,0.3,IF(Dataset!C129=2,0.4,IF(Dataset!C129=3,0.5,IF(Dataset!C129=4,0.65,0.8))))</f>
        <v>0.5</v>
      </c>
      <c r="F129" s="29">
        <f>IF(Dataset!C129&lt;=2,1,IF(Dataset!C129=3,2,IF(Dataset!C129=4,3,4)))</f>
        <v>2</v>
      </c>
      <c r="G129" s="29">
        <f t="shared" si="9"/>
        <v>1</v>
      </c>
      <c r="H129" s="29">
        <f>IF(Dataset!G129&lt;=3,0.25,IF(Dataset!G129&lt;=6,0.45,IF(Dataset!G129&lt;=9,0.65,0.85)))</f>
        <v>0.65</v>
      </c>
      <c r="I129" s="29">
        <f>IF(Dataset!G129&lt;=3,1,IF(Dataset!G129&lt;=6,2,IF(Dataset!G129&lt;=9,3,4)))</f>
        <v>3</v>
      </c>
      <c r="J129" s="29">
        <f t="shared" si="10"/>
        <v>1.9500000000000002</v>
      </c>
      <c r="K129" s="29">
        <f>IF(Dataset!H129&lt;1,0.2,IF(Dataset!H129&lt;1.3,0.45,IF(Dataset!H129&lt;1.8,0.7,0.9)))</f>
        <v>0.7</v>
      </c>
      <c r="L129" s="29">
        <f>IF(Dataset!H129&lt;1,1,IF(Dataset!H129&lt;1.3,2,IF(Dataset!H129&lt;1.8,3,4)))</f>
        <v>3</v>
      </c>
      <c r="M129" s="29">
        <f t="shared" si="11"/>
        <v>2.0999999999999996</v>
      </c>
      <c r="N129" s="29">
        <f>IF(Dataset!F129=1,0.75,IF(Dataset!F129=2,0.45,0.2))</f>
        <v>0.45</v>
      </c>
      <c r="O129" s="29">
        <f>IF(Dataset!F129=1,3,IF(Dataset!F129=2,2,1))</f>
        <v>2</v>
      </c>
      <c r="P129" s="29">
        <f t="shared" si="12"/>
        <v>0.9</v>
      </c>
      <c r="Q129" s="29">
        <f>IF(Dataset!K129&lt;5,0.2,IF(Dataset!K129&lt;10,0.45,IF(Dataset!K129&lt;18,0.7,0.9)))</f>
        <v>0.2</v>
      </c>
      <c r="R129" s="29">
        <f>IF(Dataset!K129&lt;5,1,IF(Dataset!K129&lt;10,2,IF(Dataset!K129&lt;18,3,4)))</f>
        <v>1</v>
      </c>
      <c r="S129" s="29">
        <f t="shared" si="13"/>
        <v>0.2</v>
      </c>
      <c r="T129" s="29">
        <f t="shared" si="14"/>
        <v>1.2060000000000002</v>
      </c>
      <c r="U129" s="29" t="str">
        <f t="shared" si="15"/>
        <v>Low</v>
      </c>
    </row>
    <row r="130" spans="1:21" ht="15" customHeight="1" x14ac:dyDescent="0.25">
      <c r="A130" s="29">
        <f>Dataset!A130</f>
        <v>126</v>
      </c>
      <c r="B130" s="29">
        <f>IF(Dataset!B130&lt;25,0.3,IF(Dataset!B130&lt;75,0.5,IF(Dataset!B130&lt;120,0.65,0.8)))</f>
        <v>0.8</v>
      </c>
      <c r="C130" s="29">
        <f>IF(Dataset!B130&lt;25,1,IF(Dataset!B130&lt;75,2,IF(Dataset!B130&lt;120,3,4)))</f>
        <v>4</v>
      </c>
      <c r="D130" s="29">
        <f t="shared" si="8"/>
        <v>3.2</v>
      </c>
      <c r="E130" s="29">
        <f>IF(Dataset!C130&lt;=1,0.3,IF(Dataset!C130=2,0.4,IF(Dataset!C130=3,0.5,IF(Dataset!C130=4,0.65,0.8))))</f>
        <v>0.8</v>
      </c>
      <c r="F130" s="29">
        <f>IF(Dataset!C130&lt;=2,1,IF(Dataset!C130=3,2,IF(Dataset!C130=4,3,4)))</f>
        <v>4</v>
      </c>
      <c r="G130" s="29">
        <f t="shared" si="9"/>
        <v>3.2</v>
      </c>
      <c r="H130" s="29">
        <f>IF(Dataset!G130&lt;=3,0.25,IF(Dataset!G130&lt;=6,0.45,IF(Dataset!G130&lt;=9,0.65,0.85)))</f>
        <v>0.65</v>
      </c>
      <c r="I130" s="29">
        <f>IF(Dataset!G130&lt;=3,1,IF(Dataset!G130&lt;=6,2,IF(Dataset!G130&lt;=9,3,4)))</f>
        <v>3</v>
      </c>
      <c r="J130" s="29">
        <f t="shared" si="10"/>
        <v>1.9500000000000002</v>
      </c>
      <c r="K130" s="29">
        <f>IF(Dataset!H130&lt;1,0.2,IF(Dataset!H130&lt;1.3,0.45,IF(Dataset!H130&lt;1.8,0.7,0.9)))</f>
        <v>0.9</v>
      </c>
      <c r="L130" s="29">
        <f>IF(Dataset!H130&lt;1,1,IF(Dataset!H130&lt;1.3,2,IF(Dataset!H130&lt;1.8,3,4)))</f>
        <v>4</v>
      </c>
      <c r="M130" s="29">
        <f t="shared" si="11"/>
        <v>3.6</v>
      </c>
      <c r="N130" s="29">
        <f>IF(Dataset!F130=1,0.75,IF(Dataset!F130=2,0.45,0.2))</f>
        <v>0.45</v>
      </c>
      <c r="O130" s="29">
        <f>IF(Dataset!F130=1,3,IF(Dataset!F130=2,2,1))</f>
        <v>2</v>
      </c>
      <c r="P130" s="29">
        <f t="shared" si="12"/>
        <v>0.9</v>
      </c>
      <c r="Q130" s="29">
        <f>IF(Dataset!K130&lt;5,0.2,IF(Dataset!K130&lt;10,0.45,IF(Dataset!K130&lt;18,0.7,0.9)))</f>
        <v>0.7</v>
      </c>
      <c r="R130" s="29">
        <f>IF(Dataset!K130&lt;5,1,IF(Dataset!K130&lt;10,2,IF(Dataset!K130&lt;18,3,4)))</f>
        <v>3</v>
      </c>
      <c r="S130" s="29">
        <f t="shared" si="13"/>
        <v>2.0999999999999996</v>
      </c>
      <c r="T130" s="29">
        <f t="shared" si="14"/>
        <v>2.6619999999999999</v>
      </c>
      <c r="U130" s="29" t="str">
        <f t="shared" si="15"/>
        <v>High</v>
      </c>
    </row>
    <row r="131" spans="1:21" ht="15" customHeight="1" x14ac:dyDescent="0.25">
      <c r="A131" s="29">
        <f>Dataset!A131</f>
        <v>127</v>
      </c>
      <c r="B131" s="29">
        <f>IF(Dataset!B131&lt;25,0.3,IF(Dataset!B131&lt;75,0.5,IF(Dataset!B131&lt;120,0.65,0.8)))</f>
        <v>0.5</v>
      </c>
      <c r="C131" s="29">
        <f>IF(Dataset!B131&lt;25,1,IF(Dataset!B131&lt;75,2,IF(Dataset!B131&lt;120,3,4)))</f>
        <v>2</v>
      </c>
      <c r="D131" s="29">
        <f t="shared" si="8"/>
        <v>1</v>
      </c>
      <c r="E131" s="29">
        <f>IF(Dataset!C131&lt;=1,0.3,IF(Dataset!C131=2,0.4,IF(Dataset!C131=3,0.5,IF(Dataset!C131=4,0.65,0.8))))</f>
        <v>0.65</v>
      </c>
      <c r="F131" s="29">
        <f>IF(Dataset!C131&lt;=2,1,IF(Dataset!C131=3,2,IF(Dataset!C131=4,3,4)))</f>
        <v>3</v>
      </c>
      <c r="G131" s="29">
        <f t="shared" si="9"/>
        <v>1.9500000000000002</v>
      </c>
      <c r="H131" s="29">
        <f>IF(Dataset!G131&lt;=3,0.25,IF(Dataset!G131&lt;=6,0.45,IF(Dataset!G131&lt;=9,0.65,0.85)))</f>
        <v>0.25</v>
      </c>
      <c r="I131" s="29">
        <f>IF(Dataset!G131&lt;=3,1,IF(Dataset!G131&lt;=6,2,IF(Dataset!G131&lt;=9,3,4)))</f>
        <v>1</v>
      </c>
      <c r="J131" s="29">
        <f t="shared" si="10"/>
        <v>0.25</v>
      </c>
      <c r="K131" s="29">
        <f>IF(Dataset!H131&lt;1,0.2,IF(Dataset!H131&lt;1.3,0.45,IF(Dataset!H131&lt;1.8,0.7,0.9)))</f>
        <v>0.9</v>
      </c>
      <c r="L131" s="29">
        <f>IF(Dataset!H131&lt;1,1,IF(Dataset!H131&lt;1.3,2,IF(Dataset!H131&lt;1.8,3,4)))</f>
        <v>4</v>
      </c>
      <c r="M131" s="29">
        <f t="shared" si="11"/>
        <v>3.6</v>
      </c>
      <c r="N131" s="29">
        <f>IF(Dataset!F131=1,0.75,IF(Dataset!F131=2,0.45,0.2))</f>
        <v>0.45</v>
      </c>
      <c r="O131" s="29">
        <f>IF(Dataset!F131=1,3,IF(Dataset!F131=2,2,1))</f>
        <v>2</v>
      </c>
      <c r="P131" s="29">
        <f t="shared" si="12"/>
        <v>0.9</v>
      </c>
      <c r="Q131" s="29">
        <f>IF(Dataset!K131&lt;5,0.2,IF(Dataset!K131&lt;10,0.45,IF(Dataset!K131&lt;18,0.7,0.9)))</f>
        <v>0.7</v>
      </c>
      <c r="R131" s="29">
        <f>IF(Dataset!K131&lt;5,1,IF(Dataset!K131&lt;10,2,IF(Dataset!K131&lt;18,3,4)))</f>
        <v>3</v>
      </c>
      <c r="S131" s="29">
        <f t="shared" si="13"/>
        <v>2.0999999999999996</v>
      </c>
      <c r="T131" s="29">
        <f t="shared" si="14"/>
        <v>1.7510000000000001</v>
      </c>
      <c r="U131" s="29" t="str">
        <f t="shared" si="15"/>
        <v>Medium</v>
      </c>
    </row>
    <row r="132" spans="1:21" ht="15" customHeight="1" x14ac:dyDescent="0.25">
      <c r="A132" s="29">
        <f>Dataset!A132</f>
        <v>128</v>
      </c>
      <c r="B132" s="29">
        <f>IF(Dataset!B132&lt;25,0.3,IF(Dataset!B132&lt;75,0.5,IF(Dataset!B132&lt;120,0.65,0.8)))</f>
        <v>0.8</v>
      </c>
      <c r="C132" s="29">
        <f>IF(Dataset!B132&lt;25,1,IF(Dataset!B132&lt;75,2,IF(Dataset!B132&lt;120,3,4)))</f>
        <v>4</v>
      </c>
      <c r="D132" s="29">
        <f t="shared" si="8"/>
        <v>3.2</v>
      </c>
      <c r="E132" s="29">
        <f>IF(Dataset!C132&lt;=1,0.3,IF(Dataset!C132=2,0.4,IF(Dataset!C132=3,0.5,IF(Dataset!C132=4,0.65,0.8))))</f>
        <v>0.8</v>
      </c>
      <c r="F132" s="29">
        <f>IF(Dataset!C132&lt;=2,1,IF(Dataset!C132=3,2,IF(Dataset!C132=4,3,4)))</f>
        <v>4</v>
      </c>
      <c r="G132" s="29">
        <f t="shared" si="9"/>
        <v>3.2</v>
      </c>
      <c r="H132" s="29">
        <f>IF(Dataset!G132&lt;=3,0.25,IF(Dataset!G132&lt;=6,0.45,IF(Dataset!G132&lt;=9,0.65,0.85)))</f>
        <v>0.45</v>
      </c>
      <c r="I132" s="29">
        <f>IF(Dataset!G132&lt;=3,1,IF(Dataset!G132&lt;=6,2,IF(Dataset!G132&lt;=9,3,4)))</f>
        <v>2</v>
      </c>
      <c r="J132" s="29">
        <f t="shared" si="10"/>
        <v>0.9</v>
      </c>
      <c r="K132" s="29">
        <f>IF(Dataset!H132&lt;1,0.2,IF(Dataset!H132&lt;1.3,0.45,IF(Dataset!H132&lt;1.8,0.7,0.9)))</f>
        <v>0.2</v>
      </c>
      <c r="L132" s="29">
        <f>IF(Dataset!H132&lt;1,1,IF(Dataset!H132&lt;1.3,2,IF(Dataset!H132&lt;1.8,3,4)))</f>
        <v>1</v>
      </c>
      <c r="M132" s="29">
        <f t="shared" si="11"/>
        <v>0.2</v>
      </c>
      <c r="N132" s="29">
        <f>IF(Dataset!F132=1,0.75,IF(Dataset!F132=2,0.45,0.2))</f>
        <v>0.75</v>
      </c>
      <c r="O132" s="29">
        <f>IF(Dataset!F132=1,3,IF(Dataset!F132=2,2,1))</f>
        <v>3</v>
      </c>
      <c r="P132" s="29">
        <f t="shared" si="12"/>
        <v>2.25</v>
      </c>
      <c r="Q132" s="29">
        <f>IF(Dataset!K132&lt;5,0.2,IF(Dataset!K132&lt;10,0.45,IF(Dataset!K132&lt;18,0.7,0.9)))</f>
        <v>0.7</v>
      </c>
      <c r="R132" s="29">
        <f>IF(Dataset!K132&lt;5,1,IF(Dataset!K132&lt;10,2,IF(Dataset!K132&lt;18,3,4)))</f>
        <v>3</v>
      </c>
      <c r="S132" s="29">
        <f t="shared" si="13"/>
        <v>2.0999999999999996</v>
      </c>
      <c r="T132" s="29">
        <f t="shared" si="14"/>
        <v>1.7710000000000001</v>
      </c>
      <c r="U132" s="29" t="str">
        <f t="shared" si="15"/>
        <v>High</v>
      </c>
    </row>
    <row r="133" spans="1:21" ht="15" customHeight="1" x14ac:dyDescent="0.25">
      <c r="A133" s="29">
        <f>Dataset!A133</f>
        <v>129</v>
      </c>
      <c r="B133" s="29">
        <f>IF(Dataset!B133&lt;25,0.3,IF(Dataset!B133&lt;75,0.5,IF(Dataset!B133&lt;120,0.65,0.8)))</f>
        <v>0.5</v>
      </c>
      <c r="C133" s="29">
        <f>IF(Dataset!B133&lt;25,1,IF(Dataset!B133&lt;75,2,IF(Dataset!B133&lt;120,3,4)))</f>
        <v>2</v>
      </c>
      <c r="D133" s="29">
        <f t="shared" ref="D133:D196" si="16">B133*C133</f>
        <v>1</v>
      </c>
      <c r="E133" s="29">
        <f>IF(Dataset!C133&lt;=1,0.3,IF(Dataset!C133=2,0.4,IF(Dataset!C133=3,0.5,IF(Dataset!C133=4,0.65,0.8))))</f>
        <v>0.5</v>
      </c>
      <c r="F133" s="29">
        <f>IF(Dataset!C133&lt;=2,1,IF(Dataset!C133=3,2,IF(Dataset!C133=4,3,4)))</f>
        <v>2</v>
      </c>
      <c r="G133" s="29">
        <f t="shared" ref="G133:G196" si="17">E133*F133</f>
        <v>1</v>
      </c>
      <c r="H133" s="29">
        <f>IF(Dataset!G133&lt;=3,0.25,IF(Dataset!G133&lt;=6,0.45,IF(Dataset!G133&lt;=9,0.65,0.85)))</f>
        <v>0.45</v>
      </c>
      <c r="I133" s="29">
        <f>IF(Dataset!G133&lt;=3,1,IF(Dataset!G133&lt;=6,2,IF(Dataset!G133&lt;=9,3,4)))</f>
        <v>2</v>
      </c>
      <c r="J133" s="29">
        <f t="shared" ref="J133:J196" si="18">H133*I133</f>
        <v>0.9</v>
      </c>
      <c r="K133" s="29">
        <f>IF(Dataset!H133&lt;1,0.2,IF(Dataset!H133&lt;1.3,0.45,IF(Dataset!H133&lt;1.8,0.7,0.9)))</f>
        <v>0.9</v>
      </c>
      <c r="L133" s="29">
        <f>IF(Dataset!H133&lt;1,1,IF(Dataset!H133&lt;1.3,2,IF(Dataset!H133&lt;1.8,3,4)))</f>
        <v>4</v>
      </c>
      <c r="M133" s="29">
        <f t="shared" ref="M133:M196" si="19">K133*L133</f>
        <v>3.6</v>
      </c>
      <c r="N133" s="29">
        <f>IF(Dataset!F133=1,0.75,IF(Dataset!F133=2,0.45,0.2))</f>
        <v>0.45</v>
      </c>
      <c r="O133" s="29">
        <f>IF(Dataset!F133=1,3,IF(Dataset!F133=2,2,1))</f>
        <v>2</v>
      </c>
      <c r="P133" s="29">
        <f t="shared" ref="P133:P196" si="20">N133*O133</f>
        <v>0.9</v>
      </c>
      <c r="Q133" s="29">
        <f>IF(Dataset!K133&lt;5,0.2,IF(Dataset!K133&lt;10,0.45,IF(Dataset!K133&lt;18,0.7,0.9)))</f>
        <v>0.2</v>
      </c>
      <c r="R133" s="29">
        <f>IF(Dataset!K133&lt;5,1,IF(Dataset!K133&lt;10,2,IF(Dataset!K133&lt;18,3,4)))</f>
        <v>1</v>
      </c>
      <c r="S133" s="29">
        <f t="shared" ref="S133:S196" si="21">Q133*R133</f>
        <v>0.2</v>
      </c>
      <c r="T133" s="29">
        <f t="shared" ref="T133:T196" si="22">$Y$6*D133+$Y$7*G133+$Y$8*J133+$Y$9*M133+$Y$10*P133+$Y$11*S133</f>
        <v>1.482</v>
      </c>
      <c r="U133" s="29" t="str">
        <f t="shared" ref="U133:U196" si="23">IF(T133&lt;=$Y$15,"Low",IF(T133&lt;=$Y$16,"Medium","High"))</f>
        <v>Medium</v>
      </c>
    </row>
    <row r="134" spans="1:21" ht="15" customHeight="1" x14ac:dyDescent="0.25">
      <c r="A134" s="29">
        <f>Dataset!A134</f>
        <v>130</v>
      </c>
      <c r="B134" s="29">
        <f>IF(Dataset!B134&lt;25,0.3,IF(Dataset!B134&lt;75,0.5,IF(Dataset!B134&lt;120,0.65,0.8)))</f>
        <v>0.65</v>
      </c>
      <c r="C134" s="29">
        <f>IF(Dataset!B134&lt;25,1,IF(Dataset!B134&lt;75,2,IF(Dataset!B134&lt;120,3,4)))</f>
        <v>3</v>
      </c>
      <c r="D134" s="29">
        <f t="shared" si="16"/>
        <v>1.9500000000000002</v>
      </c>
      <c r="E134" s="29">
        <f>IF(Dataset!C134&lt;=1,0.3,IF(Dataset!C134=2,0.4,IF(Dataset!C134=3,0.5,IF(Dataset!C134=4,0.65,0.8))))</f>
        <v>0.4</v>
      </c>
      <c r="F134" s="29">
        <f>IF(Dataset!C134&lt;=2,1,IF(Dataset!C134=3,2,IF(Dataset!C134=4,3,4)))</f>
        <v>1</v>
      </c>
      <c r="G134" s="29">
        <f t="shared" si="17"/>
        <v>0.4</v>
      </c>
      <c r="H134" s="29">
        <f>IF(Dataset!G134&lt;=3,0.25,IF(Dataset!G134&lt;=6,0.45,IF(Dataset!G134&lt;=9,0.65,0.85)))</f>
        <v>0.45</v>
      </c>
      <c r="I134" s="29">
        <f>IF(Dataset!G134&lt;=3,1,IF(Dataset!G134&lt;=6,2,IF(Dataset!G134&lt;=9,3,4)))</f>
        <v>2</v>
      </c>
      <c r="J134" s="29">
        <f t="shared" si="18"/>
        <v>0.9</v>
      </c>
      <c r="K134" s="29">
        <f>IF(Dataset!H134&lt;1,0.2,IF(Dataset!H134&lt;1.3,0.45,IF(Dataset!H134&lt;1.8,0.7,0.9)))</f>
        <v>0.45</v>
      </c>
      <c r="L134" s="29">
        <f>IF(Dataset!H134&lt;1,1,IF(Dataset!H134&lt;1.3,2,IF(Dataset!H134&lt;1.8,3,4)))</f>
        <v>2</v>
      </c>
      <c r="M134" s="29">
        <f t="shared" si="19"/>
        <v>0.9</v>
      </c>
      <c r="N134" s="29">
        <f>IF(Dataset!F134=1,0.75,IF(Dataset!F134=2,0.45,0.2))</f>
        <v>0.2</v>
      </c>
      <c r="O134" s="29">
        <f>IF(Dataset!F134=1,3,IF(Dataset!F134=2,2,1))</f>
        <v>1</v>
      </c>
      <c r="P134" s="29">
        <f t="shared" si="20"/>
        <v>0.2</v>
      </c>
      <c r="Q134" s="29">
        <f>IF(Dataset!K134&lt;5,0.2,IF(Dataset!K134&lt;10,0.45,IF(Dataset!K134&lt;18,0.7,0.9)))</f>
        <v>0.2</v>
      </c>
      <c r="R134" s="29">
        <f>IF(Dataset!K134&lt;5,1,IF(Dataset!K134&lt;10,2,IF(Dataset!K134&lt;18,3,4)))</f>
        <v>1</v>
      </c>
      <c r="S134" s="29">
        <f t="shared" si="21"/>
        <v>0.2</v>
      </c>
      <c r="T134" s="29">
        <f t="shared" si="22"/>
        <v>0.85100000000000009</v>
      </c>
      <c r="U134" s="29" t="str">
        <f t="shared" si="23"/>
        <v>Low</v>
      </c>
    </row>
    <row r="135" spans="1:21" ht="15" customHeight="1" x14ac:dyDescent="0.25">
      <c r="A135" s="29">
        <f>Dataset!A135</f>
        <v>131</v>
      </c>
      <c r="B135" s="29">
        <f>IF(Dataset!B135&lt;25,0.3,IF(Dataset!B135&lt;75,0.5,IF(Dataset!B135&lt;120,0.65,0.8)))</f>
        <v>0.5</v>
      </c>
      <c r="C135" s="29">
        <f>IF(Dataset!B135&lt;25,1,IF(Dataset!B135&lt;75,2,IF(Dataset!B135&lt;120,3,4)))</f>
        <v>2</v>
      </c>
      <c r="D135" s="29">
        <f t="shared" si="16"/>
        <v>1</v>
      </c>
      <c r="E135" s="29">
        <f>IF(Dataset!C135&lt;=1,0.3,IF(Dataset!C135=2,0.4,IF(Dataset!C135=3,0.5,IF(Dataset!C135=4,0.65,0.8))))</f>
        <v>0.65</v>
      </c>
      <c r="F135" s="29">
        <f>IF(Dataset!C135&lt;=2,1,IF(Dataset!C135=3,2,IF(Dataset!C135=4,3,4)))</f>
        <v>3</v>
      </c>
      <c r="G135" s="29">
        <f t="shared" si="17"/>
        <v>1.9500000000000002</v>
      </c>
      <c r="H135" s="29">
        <f>IF(Dataset!G135&lt;=3,0.25,IF(Dataset!G135&lt;=6,0.45,IF(Dataset!G135&lt;=9,0.65,0.85)))</f>
        <v>0.65</v>
      </c>
      <c r="I135" s="29">
        <f>IF(Dataset!G135&lt;=3,1,IF(Dataset!G135&lt;=6,2,IF(Dataset!G135&lt;=9,3,4)))</f>
        <v>3</v>
      </c>
      <c r="J135" s="29">
        <f t="shared" si="18"/>
        <v>1.9500000000000002</v>
      </c>
      <c r="K135" s="29">
        <f>IF(Dataset!H135&lt;1,0.2,IF(Dataset!H135&lt;1.3,0.45,IF(Dataset!H135&lt;1.8,0.7,0.9)))</f>
        <v>0.45</v>
      </c>
      <c r="L135" s="29">
        <f>IF(Dataset!H135&lt;1,1,IF(Dataset!H135&lt;1.3,2,IF(Dataset!H135&lt;1.8,3,4)))</f>
        <v>2</v>
      </c>
      <c r="M135" s="29">
        <f t="shared" si="19"/>
        <v>0.9</v>
      </c>
      <c r="N135" s="29">
        <f>IF(Dataset!F135=1,0.75,IF(Dataset!F135=2,0.45,0.2))</f>
        <v>0.75</v>
      </c>
      <c r="O135" s="29">
        <f>IF(Dataset!F135=1,3,IF(Dataset!F135=2,2,1))</f>
        <v>3</v>
      </c>
      <c r="P135" s="29">
        <f t="shared" si="20"/>
        <v>2.25</v>
      </c>
      <c r="Q135" s="29">
        <f>IF(Dataset!K135&lt;5,0.2,IF(Dataset!K135&lt;10,0.45,IF(Dataset!K135&lt;18,0.7,0.9)))</f>
        <v>0.7</v>
      </c>
      <c r="R135" s="29">
        <f>IF(Dataset!K135&lt;5,1,IF(Dataset!K135&lt;10,2,IF(Dataset!K135&lt;18,3,4)))</f>
        <v>3</v>
      </c>
      <c r="S135" s="29">
        <f t="shared" si="21"/>
        <v>2.0999999999999996</v>
      </c>
      <c r="T135" s="29">
        <f t="shared" si="22"/>
        <v>1.5780000000000003</v>
      </c>
      <c r="U135" s="29" t="str">
        <f t="shared" si="23"/>
        <v>Medium</v>
      </c>
    </row>
    <row r="136" spans="1:21" ht="15" customHeight="1" x14ac:dyDescent="0.25">
      <c r="A136" s="29">
        <f>Dataset!A136</f>
        <v>132</v>
      </c>
      <c r="B136" s="29">
        <f>IF(Dataset!B136&lt;25,0.3,IF(Dataset!B136&lt;75,0.5,IF(Dataset!B136&lt;120,0.65,0.8)))</f>
        <v>0.5</v>
      </c>
      <c r="C136" s="29">
        <f>IF(Dataset!B136&lt;25,1,IF(Dataset!B136&lt;75,2,IF(Dataset!B136&lt;120,3,4)))</f>
        <v>2</v>
      </c>
      <c r="D136" s="29">
        <f t="shared" si="16"/>
        <v>1</v>
      </c>
      <c r="E136" s="29">
        <f>IF(Dataset!C136&lt;=1,0.3,IF(Dataset!C136=2,0.4,IF(Dataset!C136=3,0.5,IF(Dataset!C136=4,0.65,0.8))))</f>
        <v>0.5</v>
      </c>
      <c r="F136" s="29">
        <f>IF(Dataset!C136&lt;=2,1,IF(Dataset!C136=3,2,IF(Dataset!C136=4,3,4)))</f>
        <v>2</v>
      </c>
      <c r="G136" s="29">
        <f t="shared" si="17"/>
        <v>1</v>
      </c>
      <c r="H136" s="29">
        <f>IF(Dataset!G136&lt;=3,0.25,IF(Dataset!G136&lt;=6,0.45,IF(Dataset!G136&lt;=9,0.65,0.85)))</f>
        <v>0.65</v>
      </c>
      <c r="I136" s="29">
        <f>IF(Dataset!G136&lt;=3,1,IF(Dataset!G136&lt;=6,2,IF(Dataset!G136&lt;=9,3,4)))</f>
        <v>3</v>
      </c>
      <c r="J136" s="29">
        <f t="shared" si="18"/>
        <v>1.9500000000000002</v>
      </c>
      <c r="K136" s="29">
        <f>IF(Dataset!H136&lt;1,0.2,IF(Dataset!H136&lt;1.3,0.45,IF(Dataset!H136&lt;1.8,0.7,0.9)))</f>
        <v>0.9</v>
      </c>
      <c r="L136" s="29">
        <f>IF(Dataset!H136&lt;1,1,IF(Dataset!H136&lt;1.3,2,IF(Dataset!H136&lt;1.8,3,4)))</f>
        <v>4</v>
      </c>
      <c r="M136" s="29">
        <f t="shared" si="19"/>
        <v>3.6</v>
      </c>
      <c r="N136" s="29">
        <f>IF(Dataset!F136=1,0.75,IF(Dataset!F136=2,0.45,0.2))</f>
        <v>0.2</v>
      </c>
      <c r="O136" s="29">
        <f>IF(Dataset!F136=1,3,IF(Dataset!F136=2,2,1))</f>
        <v>1</v>
      </c>
      <c r="P136" s="29">
        <f t="shared" si="20"/>
        <v>0.2</v>
      </c>
      <c r="Q136" s="29">
        <f>IF(Dataset!K136&lt;5,0.2,IF(Dataset!K136&lt;10,0.45,IF(Dataset!K136&lt;18,0.7,0.9)))</f>
        <v>0.45</v>
      </c>
      <c r="R136" s="29">
        <f>IF(Dataset!K136&lt;5,1,IF(Dataset!K136&lt;10,2,IF(Dataset!K136&lt;18,3,4)))</f>
        <v>2</v>
      </c>
      <c r="S136" s="29">
        <f t="shared" si="21"/>
        <v>0.9</v>
      </c>
      <c r="T136" s="29">
        <f t="shared" si="22"/>
        <v>1.7200000000000002</v>
      </c>
      <c r="U136" s="29" t="str">
        <f t="shared" si="23"/>
        <v>Medium</v>
      </c>
    </row>
    <row r="137" spans="1:21" ht="15" customHeight="1" x14ac:dyDescent="0.25">
      <c r="A137" s="29">
        <f>Dataset!A137</f>
        <v>133</v>
      </c>
      <c r="B137" s="29">
        <f>IF(Dataset!B137&lt;25,0.3,IF(Dataset!B137&lt;75,0.5,IF(Dataset!B137&lt;120,0.65,0.8)))</f>
        <v>0.5</v>
      </c>
      <c r="C137" s="29">
        <f>IF(Dataset!B137&lt;25,1,IF(Dataset!B137&lt;75,2,IF(Dataset!B137&lt;120,3,4)))</f>
        <v>2</v>
      </c>
      <c r="D137" s="29">
        <f t="shared" si="16"/>
        <v>1</v>
      </c>
      <c r="E137" s="29">
        <f>IF(Dataset!C137&lt;=1,0.3,IF(Dataset!C137=2,0.4,IF(Dataset!C137=3,0.5,IF(Dataset!C137=4,0.65,0.8))))</f>
        <v>0.65</v>
      </c>
      <c r="F137" s="29">
        <f>IF(Dataset!C137&lt;=2,1,IF(Dataset!C137=3,2,IF(Dataset!C137=4,3,4)))</f>
        <v>3</v>
      </c>
      <c r="G137" s="29">
        <f t="shared" si="17"/>
        <v>1.9500000000000002</v>
      </c>
      <c r="H137" s="29">
        <f>IF(Dataset!G137&lt;=3,0.25,IF(Dataset!G137&lt;=6,0.45,IF(Dataset!G137&lt;=9,0.65,0.85)))</f>
        <v>0.45</v>
      </c>
      <c r="I137" s="29">
        <f>IF(Dataset!G137&lt;=3,1,IF(Dataset!G137&lt;=6,2,IF(Dataset!G137&lt;=9,3,4)))</f>
        <v>2</v>
      </c>
      <c r="J137" s="29">
        <f t="shared" si="18"/>
        <v>0.9</v>
      </c>
      <c r="K137" s="29">
        <f>IF(Dataset!H137&lt;1,0.2,IF(Dataset!H137&lt;1.3,0.45,IF(Dataset!H137&lt;1.8,0.7,0.9)))</f>
        <v>0.7</v>
      </c>
      <c r="L137" s="29">
        <f>IF(Dataset!H137&lt;1,1,IF(Dataset!H137&lt;1.3,2,IF(Dataset!H137&lt;1.8,3,4)))</f>
        <v>3</v>
      </c>
      <c r="M137" s="29">
        <f t="shared" si="19"/>
        <v>2.0999999999999996</v>
      </c>
      <c r="N137" s="29">
        <f>IF(Dataset!F137=1,0.75,IF(Dataset!F137=2,0.45,0.2))</f>
        <v>0.45</v>
      </c>
      <c r="O137" s="29">
        <f>IF(Dataset!F137=1,3,IF(Dataset!F137=2,2,1))</f>
        <v>2</v>
      </c>
      <c r="P137" s="29">
        <f t="shared" si="20"/>
        <v>0.9</v>
      </c>
      <c r="Q137" s="29">
        <f>IF(Dataset!K137&lt;5,0.2,IF(Dataset!K137&lt;10,0.45,IF(Dataset!K137&lt;18,0.7,0.9)))</f>
        <v>0.7</v>
      </c>
      <c r="R137" s="29">
        <f>IF(Dataset!K137&lt;5,1,IF(Dataset!K137&lt;10,2,IF(Dataset!K137&lt;18,3,4)))</f>
        <v>3</v>
      </c>
      <c r="S137" s="29">
        <f t="shared" si="21"/>
        <v>2.0999999999999996</v>
      </c>
      <c r="T137" s="29">
        <f t="shared" si="22"/>
        <v>1.5210000000000001</v>
      </c>
      <c r="U137" s="29" t="str">
        <f t="shared" si="23"/>
        <v>Medium</v>
      </c>
    </row>
    <row r="138" spans="1:21" ht="15" customHeight="1" x14ac:dyDescent="0.25">
      <c r="A138" s="29">
        <f>Dataset!A138</f>
        <v>134</v>
      </c>
      <c r="B138" s="29">
        <f>IF(Dataset!B138&lt;25,0.3,IF(Dataset!B138&lt;75,0.5,IF(Dataset!B138&lt;120,0.65,0.8)))</f>
        <v>0.65</v>
      </c>
      <c r="C138" s="29">
        <f>IF(Dataset!B138&lt;25,1,IF(Dataset!B138&lt;75,2,IF(Dataset!B138&lt;120,3,4)))</f>
        <v>3</v>
      </c>
      <c r="D138" s="29">
        <f t="shared" si="16"/>
        <v>1.9500000000000002</v>
      </c>
      <c r="E138" s="29">
        <f>IF(Dataset!C138&lt;=1,0.3,IF(Dataset!C138=2,0.4,IF(Dataset!C138=3,0.5,IF(Dataset!C138=4,0.65,0.8))))</f>
        <v>0.8</v>
      </c>
      <c r="F138" s="29">
        <f>IF(Dataset!C138&lt;=2,1,IF(Dataset!C138=3,2,IF(Dataset!C138=4,3,4)))</f>
        <v>4</v>
      </c>
      <c r="G138" s="29">
        <f t="shared" si="17"/>
        <v>3.2</v>
      </c>
      <c r="H138" s="29">
        <f>IF(Dataset!G138&lt;=3,0.25,IF(Dataset!G138&lt;=6,0.45,IF(Dataset!G138&lt;=9,0.65,0.85)))</f>
        <v>0.45</v>
      </c>
      <c r="I138" s="29">
        <f>IF(Dataset!G138&lt;=3,1,IF(Dataset!G138&lt;=6,2,IF(Dataset!G138&lt;=9,3,4)))</f>
        <v>2</v>
      </c>
      <c r="J138" s="29">
        <f t="shared" si="18"/>
        <v>0.9</v>
      </c>
      <c r="K138" s="29">
        <f>IF(Dataset!H138&lt;1,0.2,IF(Dataset!H138&lt;1.3,0.45,IF(Dataset!H138&lt;1.8,0.7,0.9)))</f>
        <v>0.2</v>
      </c>
      <c r="L138" s="29">
        <f>IF(Dataset!H138&lt;1,1,IF(Dataset!H138&lt;1.3,2,IF(Dataset!H138&lt;1.8,3,4)))</f>
        <v>1</v>
      </c>
      <c r="M138" s="29">
        <f t="shared" si="19"/>
        <v>0.2</v>
      </c>
      <c r="N138" s="29">
        <f>IF(Dataset!F138=1,0.75,IF(Dataset!F138=2,0.45,0.2))</f>
        <v>0.75</v>
      </c>
      <c r="O138" s="29">
        <f>IF(Dataset!F138=1,3,IF(Dataset!F138=2,2,1))</f>
        <v>3</v>
      </c>
      <c r="P138" s="29">
        <f t="shared" si="20"/>
        <v>2.25</v>
      </c>
      <c r="Q138" s="29">
        <f>IF(Dataset!K138&lt;5,0.2,IF(Dataset!K138&lt;10,0.45,IF(Dataset!K138&lt;18,0.7,0.9)))</f>
        <v>0.7</v>
      </c>
      <c r="R138" s="29">
        <f>IF(Dataset!K138&lt;5,1,IF(Dataset!K138&lt;10,2,IF(Dataset!K138&lt;18,3,4)))</f>
        <v>3</v>
      </c>
      <c r="S138" s="29">
        <f t="shared" si="21"/>
        <v>2.0999999999999996</v>
      </c>
      <c r="T138" s="29">
        <f t="shared" si="22"/>
        <v>1.5460000000000003</v>
      </c>
      <c r="U138" s="29" t="str">
        <f t="shared" si="23"/>
        <v>Medium</v>
      </c>
    </row>
    <row r="139" spans="1:21" ht="15" customHeight="1" x14ac:dyDescent="0.25">
      <c r="A139" s="29">
        <f>Dataset!A139</f>
        <v>135</v>
      </c>
      <c r="B139" s="29">
        <f>IF(Dataset!B139&lt;25,0.3,IF(Dataset!B139&lt;75,0.5,IF(Dataset!B139&lt;120,0.65,0.8)))</f>
        <v>0.5</v>
      </c>
      <c r="C139" s="29">
        <f>IF(Dataset!B139&lt;25,1,IF(Dataset!B139&lt;75,2,IF(Dataset!B139&lt;120,3,4)))</f>
        <v>2</v>
      </c>
      <c r="D139" s="29">
        <f t="shared" si="16"/>
        <v>1</v>
      </c>
      <c r="E139" s="29">
        <f>IF(Dataset!C139&lt;=1,0.3,IF(Dataset!C139=2,0.4,IF(Dataset!C139=3,0.5,IF(Dataset!C139=4,0.65,0.8))))</f>
        <v>0.5</v>
      </c>
      <c r="F139" s="29">
        <f>IF(Dataset!C139&lt;=2,1,IF(Dataset!C139=3,2,IF(Dataset!C139=4,3,4)))</f>
        <v>2</v>
      </c>
      <c r="G139" s="29">
        <f t="shared" si="17"/>
        <v>1</v>
      </c>
      <c r="H139" s="29">
        <f>IF(Dataset!G139&lt;=3,0.25,IF(Dataset!G139&lt;=6,0.45,IF(Dataset!G139&lt;=9,0.65,0.85)))</f>
        <v>0.45</v>
      </c>
      <c r="I139" s="29">
        <f>IF(Dataset!G139&lt;=3,1,IF(Dataset!G139&lt;=6,2,IF(Dataset!G139&lt;=9,3,4)))</f>
        <v>2</v>
      </c>
      <c r="J139" s="29">
        <f t="shared" si="18"/>
        <v>0.9</v>
      </c>
      <c r="K139" s="29">
        <f>IF(Dataset!H139&lt;1,0.2,IF(Dataset!H139&lt;1.3,0.45,IF(Dataset!H139&lt;1.8,0.7,0.9)))</f>
        <v>0.45</v>
      </c>
      <c r="L139" s="29">
        <f>IF(Dataset!H139&lt;1,1,IF(Dataset!H139&lt;1.3,2,IF(Dataset!H139&lt;1.8,3,4)))</f>
        <v>2</v>
      </c>
      <c r="M139" s="29">
        <f t="shared" si="19"/>
        <v>0.9</v>
      </c>
      <c r="N139" s="29">
        <f>IF(Dataset!F139=1,0.75,IF(Dataset!F139=2,0.45,0.2))</f>
        <v>0.75</v>
      </c>
      <c r="O139" s="29">
        <f>IF(Dataset!F139=1,3,IF(Dataset!F139=2,2,1))</f>
        <v>3</v>
      </c>
      <c r="P139" s="29">
        <f t="shared" si="20"/>
        <v>2.25</v>
      </c>
      <c r="Q139" s="29">
        <f>IF(Dataset!K139&lt;5,0.2,IF(Dataset!K139&lt;10,0.45,IF(Dataset!K139&lt;18,0.7,0.9)))</f>
        <v>0.45</v>
      </c>
      <c r="R139" s="29">
        <f>IF(Dataset!K139&lt;5,1,IF(Dataset!K139&lt;10,2,IF(Dataset!K139&lt;18,3,4)))</f>
        <v>2</v>
      </c>
      <c r="S139" s="29">
        <f t="shared" si="21"/>
        <v>0.9</v>
      </c>
      <c r="T139" s="29">
        <f t="shared" si="22"/>
        <v>1.0669999999999999</v>
      </c>
      <c r="U139" s="29" t="str">
        <f t="shared" si="23"/>
        <v>Low</v>
      </c>
    </row>
    <row r="140" spans="1:21" ht="15" customHeight="1" x14ac:dyDescent="0.25">
      <c r="A140" s="29">
        <f>Dataset!A140</f>
        <v>136</v>
      </c>
      <c r="B140" s="29">
        <f>IF(Dataset!B140&lt;25,0.3,IF(Dataset!B140&lt;75,0.5,IF(Dataset!B140&lt;120,0.65,0.8)))</f>
        <v>0.5</v>
      </c>
      <c r="C140" s="29">
        <f>IF(Dataset!B140&lt;25,1,IF(Dataset!B140&lt;75,2,IF(Dataset!B140&lt;120,3,4)))</f>
        <v>2</v>
      </c>
      <c r="D140" s="29">
        <f t="shared" si="16"/>
        <v>1</v>
      </c>
      <c r="E140" s="29">
        <f>IF(Dataset!C140&lt;=1,0.3,IF(Dataset!C140=2,0.4,IF(Dataset!C140=3,0.5,IF(Dataset!C140=4,0.65,0.8))))</f>
        <v>0.8</v>
      </c>
      <c r="F140" s="29">
        <f>IF(Dataset!C140&lt;=2,1,IF(Dataset!C140=3,2,IF(Dataset!C140=4,3,4)))</f>
        <v>4</v>
      </c>
      <c r="G140" s="29">
        <f t="shared" si="17"/>
        <v>3.2</v>
      </c>
      <c r="H140" s="29">
        <f>IF(Dataset!G140&lt;=3,0.25,IF(Dataset!G140&lt;=6,0.45,IF(Dataset!G140&lt;=9,0.65,0.85)))</f>
        <v>0.65</v>
      </c>
      <c r="I140" s="29">
        <f>IF(Dataset!G140&lt;=3,1,IF(Dataset!G140&lt;=6,2,IF(Dataset!G140&lt;=9,3,4)))</f>
        <v>3</v>
      </c>
      <c r="J140" s="29">
        <f t="shared" si="18"/>
        <v>1.9500000000000002</v>
      </c>
      <c r="K140" s="29">
        <f>IF(Dataset!H140&lt;1,0.2,IF(Dataset!H140&lt;1.3,0.45,IF(Dataset!H140&lt;1.8,0.7,0.9)))</f>
        <v>0.7</v>
      </c>
      <c r="L140" s="29">
        <f>IF(Dataset!H140&lt;1,1,IF(Dataset!H140&lt;1.3,2,IF(Dataset!H140&lt;1.8,3,4)))</f>
        <v>3</v>
      </c>
      <c r="M140" s="29">
        <f t="shared" si="19"/>
        <v>2.0999999999999996</v>
      </c>
      <c r="N140" s="29">
        <f>IF(Dataset!F140=1,0.75,IF(Dataset!F140=2,0.45,0.2))</f>
        <v>0.75</v>
      </c>
      <c r="O140" s="29">
        <f>IF(Dataset!F140=1,3,IF(Dataset!F140=2,2,1))</f>
        <v>3</v>
      </c>
      <c r="P140" s="29">
        <f t="shared" si="20"/>
        <v>2.25</v>
      </c>
      <c r="Q140" s="29">
        <f>IF(Dataset!K140&lt;5,0.2,IF(Dataset!K140&lt;10,0.45,IF(Dataset!K140&lt;18,0.7,0.9)))</f>
        <v>0.9</v>
      </c>
      <c r="R140" s="29">
        <f>IF(Dataset!K140&lt;5,1,IF(Dataset!K140&lt;10,2,IF(Dataset!K140&lt;18,3,4)))</f>
        <v>4</v>
      </c>
      <c r="S140" s="29">
        <f t="shared" si="21"/>
        <v>3.6</v>
      </c>
      <c r="T140" s="29">
        <f t="shared" si="22"/>
        <v>2.2510000000000003</v>
      </c>
      <c r="U140" s="29" t="str">
        <f t="shared" si="23"/>
        <v>High</v>
      </c>
    </row>
    <row r="141" spans="1:21" ht="15" customHeight="1" x14ac:dyDescent="0.25">
      <c r="A141" s="29">
        <f>Dataset!A141</f>
        <v>137</v>
      </c>
      <c r="B141" s="29">
        <f>IF(Dataset!B141&lt;25,0.3,IF(Dataset!B141&lt;75,0.5,IF(Dataset!B141&lt;120,0.65,0.8)))</f>
        <v>0.5</v>
      </c>
      <c r="C141" s="29">
        <f>IF(Dataset!B141&lt;25,1,IF(Dataset!B141&lt;75,2,IF(Dataset!B141&lt;120,3,4)))</f>
        <v>2</v>
      </c>
      <c r="D141" s="29">
        <f t="shared" si="16"/>
        <v>1</v>
      </c>
      <c r="E141" s="29">
        <f>IF(Dataset!C141&lt;=1,0.3,IF(Dataset!C141=2,0.4,IF(Dataset!C141=3,0.5,IF(Dataset!C141=4,0.65,0.8))))</f>
        <v>0.65</v>
      </c>
      <c r="F141" s="29">
        <f>IF(Dataset!C141&lt;=2,1,IF(Dataset!C141=3,2,IF(Dataset!C141=4,3,4)))</f>
        <v>3</v>
      </c>
      <c r="G141" s="29">
        <f t="shared" si="17"/>
        <v>1.9500000000000002</v>
      </c>
      <c r="H141" s="29">
        <f>IF(Dataset!G141&lt;=3,0.25,IF(Dataset!G141&lt;=6,0.45,IF(Dataset!G141&lt;=9,0.65,0.85)))</f>
        <v>0.45</v>
      </c>
      <c r="I141" s="29">
        <f>IF(Dataset!G141&lt;=3,1,IF(Dataset!G141&lt;=6,2,IF(Dataset!G141&lt;=9,3,4)))</f>
        <v>2</v>
      </c>
      <c r="J141" s="29">
        <f t="shared" si="18"/>
        <v>0.9</v>
      </c>
      <c r="K141" s="29">
        <f>IF(Dataset!H141&lt;1,0.2,IF(Dataset!H141&lt;1.3,0.45,IF(Dataset!H141&lt;1.8,0.7,0.9)))</f>
        <v>0.7</v>
      </c>
      <c r="L141" s="29">
        <f>IF(Dataset!H141&lt;1,1,IF(Dataset!H141&lt;1.3,2,IF(Dataset!H141&lt;1.8,3,4)))</f>
        <v>3</v>
      </c>
      <c r="M141" s="29">
        <f t="shared" si="19"/>
        <v>2.0999999999999996</v>
      </c>
      <c r="N141" s="29">
        <f>IF(Dataset!F141=1,0.75,IF(Dataset!F141=2,0.45,0.2))</f>
        <v>0.45</v>
      </c>
      <c r="O141" s="29">
        <f>IF(Dataset!F141=1,3,IF(Dataset!F141=2,2,1))</f>
        <v>2</v>
      </c>
      <c r="P141" s="29">
        <f t="shared" si="20"/>
        <v>0.9</v>
      </c>
      <c r="Q141" s="29">
        <f>IF(Dataset!K141&lt;5,0.2,IF(Dataset!K141&lt;10,0.45,IF(Dataset!K141&lt;18,0.7,0.9)))</f>
        <v>0.7</v>
      </c>
      <c r="R141" s="29">
        <f>IF(Dataset!K141&lt;5,1,IF(Dataset!K141&lt;10,2,IF(Dataset!K141&lt;18,3,4)))</f>
        <v>3</v>
      </c>
      <c r="S141" s="29">
        <f t="shared" si="21"/>
        <v>2.0999999999999996</v>
      </c>
      <c r="T141" s="29">
        <f t="shared" si="22"/>
        <v>1.5210000000000001</v>
      </c>
      <c r="U141" s="29" t="str">
        <f t="shared" si="23"/>
        <v>Medium</v>
      </c>
    </row>
    <row r="142" spans="1:21" ht="15" customHeight="1" x14ac:dyDescent="0.25">
      <c r="A142" s="29">
        <f>Dataset!A142</f>
        <v>138</v>
      </c>
      <c r="B142" s="29">
        <f>IF(Dataset!B142&lt;25,0.3,IF(Dataset!B142&lt;75,0.5,IF(Dataset!B142&lt;120,0.65,0.8)))</f>
        <v>0.5</v>
      </c>
      <c r="C142" s="29">
        <f>IF(Dataset!B142&lt;25,1,IF(Dataset!B142&lt;75,2,IF(Dataset!B142&lt;120,3,4)))</f>
        <v>2</v>
      </c>
      <c r="D142" s="29">
        <f t="shared" si="16"/>
        <v>1</v>
      </c>
      <c r="E142" s="29">
        <f>IF(Dataset!C142&lt;=1,0.3,IF(Dataset!C142=2,0.4,IF(Dataset!C142=3,0.5,IF(Dataset!C142=4,0.65,0.8))))</f>
        <v>0.5</v>
      </c>
      <c r="F142" s="29">
        <f>IF(Dataset!C142&lt;=2,1,IF(Dataset!C142=3,2,IF(Dataset!C142=4,3,4)))</f>
        <v>2</v>
      </c>
      <c r="G142" s="29">
        <f t="shared" si="17"/>
        <v>1</v>
      </c>
      <c r="H142" s="29">
        <f>IF(Dataset!G142&lt;=3,0.25,IF(Dataset!G142&lt;=6,0.45,IF(Dataset!G142&lt;=9,0.65,0.85)))</f>
        <v>0.65</v>
      </c>
      <c r="I142" s="29">
        <f>IF(Dataset!G142&lt;=3,1,IF(Dataset!G142&lt;=6,2,IF(Dataset!G142&lt;=9,3,4)))</f>
        <v>3</v>
      </c>
      <c r="J142" s="29">
        <f t="shared" si="18"/>
        <v>1.9500000000000002</v>
      </c>
      <c r="K142" s="29">
        <f>IF(Dataset!H142&lt;1,0.2,IF(Dataset!H142&lt;1.3,0.45,IF(Dataset!H142&lt;1.8,0.7,0.9)))</f>
        <v>0.7</v>
      </c>
      <c r="L142" s="29">
        <f>IF(Dataset!H142&lt;1,1,IF(Dataset!H142&lt;1.3,2,IF(Dataset!H142&lt;1.8,3,4)))</f>
        <v>3</v>
      </c>
      <c r="M142" s="29">
        <f t="shared" si="19"/>
        <v>2.0999999999999996</v>
      </c>
      <c r="N142" s="29">
        <f>IF(Dataset!F142=1,0.75,IF(Dataset!F142=2,0.45,0.2))</f>
        <v>0.75</v>
      </c>
      <c r="O142" s="29">
        <f>IF(Dataset!F142=1,3,IF(Dataset!F142=2,2,1))</f>
        <v>3</v>
      </c>
      <c r="P142" s="29">
        <f t="shared" si="20"/>
        <v>2.25</v>
      </c>
      <c r="Q142" s="29">
        <f>IF(Dataset!K142&lt;5,0.2,IF(Dataset!K142&lt;10,0.45,IF(Dataset!K142&lt;18,0.7,0.9)))</f>
        <v>0.2</v>
      </c>
      <c r="R142" s="29">
        <f>IF(Dataset!K142&lt;5,1,IF(Dataset!K142&lt;10,2,IF(Dataset!K142&lt;18,3,4)))</f>
        <v>1</v>
      </c>
      <c r="S142" s="29">
        <f t="shared" si="21"/>
        <v>0.2</v>
      </c>
      <c r="T142" s="29">
        <f t="shared" si="22"/>
        <v>1.4670000000000001</v>
      </c>
      <c r="U142" s="29" t="str">
        <f t="shared" si="23"/>
        <v>Medium</v>
      </c>
    </row>
    <row r="143" spans="1:21" ht="15" customHeight="1" x14ac:dyDescent="0.25">
      <c r="A143" s="29">
        <f>Dataset!A143</f>
        <v>139</v>
      </c>
      <c r="B143" s="29">
        <f>IF(Dataset!B143&lt;25,0.3,IF(Dataset!B143&lt;75,0.5,IF(Dataset!B143&lt;120,0.65,0.8)))</f>
        <v>0.8</v>
      </c>
      <c r="C143" s="29">
        <f>IF(Dataset!B143&lt;25,1,IF(Dataset!B143&lt;75,2,IF(Dataset!B143&lt;120,3,4)))</f>
        <v>4</v>
      </c>
      <c r="D143" s="29">
        <f t="shared" si="16"/>
        <v>3.2</v>
      </c>
      <c r="E143" s="29">
        <f>IF(Dataset!C143&lt;=1,0.3,IF(Dataset!C143=2,0.4,IF(Dataset!C143=3,0.5,IF(Dataset!C143=4,0.65,0.8))))</f>
        <v>0.5</v>
      </c>
      <c r="F143" s="29">
        <f>IF(Dataset!C143&lt;=2,1,IF(Dataset!C143=3,2,IF(Dataset!C143=4,3,4)))</f>
        <v>2</v>
      </c>
      <c r="G143" s="29">
        <f t="shared" si="17"/>
        <v>1</v>
      </c>
      <c r="H143" s="29">
        <f>IF(Dataset!G143&lt;=3,0.25,IF(Dataset!G143&lt;=6,0.45,IF(Dataset!G143&lt;=9,0.65,0.85)))</f>
        <v>0.25</v>
      </c>
      <c r="I143" s="29">
        <f>IF(Dataset!G143&lt;=3,1,IF(Dataset!G143&lt;=6,2,IF(Dataset!G143&lt;=9,3,4)))</f>
        <v>1</v>
      </c>
      <c r="J143" s="29">
        <f t="shared" si="18"/>
        <v>0.25</v>
      </c>
      <c r="K143" s="29">
        <f>IF(Dataset!H143&lt;1,0.2,IF(Dataset!H143&lt;1.3,0.45,IF(Dataset!H143&lt;1.8,0.7,0.9)))</f>
        <v>0.9</v>
      </c>
      <c r="L143" s="29">
        <f>IF(Dataset!H143&lt;1,1,IF(Dataset!H143&lt;1.3,2,IF(Dataset!H143&lt;1.8,3,4)))</f>
        <v>4</v>
      </c>
      <c r="M143" s="29">
        <f t="shared" si="19"/>
        <v>3.6</v>
      </c>
      <c r="N143" s="29">
        <f>IF(Dataset!F143=1,0.75,IF(Dataset!F143=2,0.45,0.2))</f>
        <v>0.45</v>
      </c>
      <c r="O143" s="29">
        <f>IF(Dataset!F143=1,3,IF(Dataset!F143=2,2,1))</f>
        <v>2</v>
      </c>
      <c r="P143" s="29">
        <f t="shared" si="20"/>
        <v>0.9</v>
      </c>
      <c r="Q143" s="29">
        <f>IF(Dataset!K143&lt;5,0.2,IF(Dataset!K143&lt;10,0.45,IF(Dataset!K143&lt;18,0.7,0.9)))</f>
        <v>0.45</v>
      </c>
      <c r="R143" s="29">
        <f>IF(Dataset!K143&lt;5,1,IF(Dataset!K143&lt;10,2,IF(Dataset!K143&lt;18,3,4)))</f>
        <v>2</v>
      </c>
      <c r="S143" s="29">
        <f t="shared" si="21"/>
        <v>0.9</v>
      </c>
      <c r="T143" s="29">
        <f t="shared" si="22"/>
        <v>1.8460000000000001</v>
      </c>
      <c r="U143" s="29" t="str">
        <f t="shared" si="23"/>
        <v>High</v>
      </c>
    </row>
    <row r="144" spans="1:21" ht="15" customHeight="1" x14ac:dyDescent="0.25">
      <c r="A144" s="29">
        <f>Dataset!A144</f>
        <v>140</v>
      </c>
      <c r="B144" s="29">
        <f>IF(Dataset!B144&lt;25,0.3,IF(Dataset!B144&lt;75,0.5,IF(Dataset!B144&lt;120,0.65,0.8)))</f>
        <v>0.5</v>
      </c>
      <c r="C144" s="29">
        <f>IF(Dataset!B144&lt;25,1,IF(Dataset!B144&lt;75,2,IF(Dataset!B144&lt;120,3,4)))</f>
        <v>2</v>
      </c>
      <c r="D144" s="29">
        <f t="shared" si="16"/>
        <v>1</v>
      </c>
      <c r="E144" s="29">
        <f>IF(Dataset!C144&lt;=1,0.3,IF(Dataset!C144=2,0.4,IF(Dataset!C144=3,0.5,IF(Dataset!C144=4,0.65,0.8))))</f>
        <v>0.3</v>
      </c>
      <c r="F144" s="29">
        <f>IF(Dataset!C144&lt;=2,1,IF(Dataset!C144=3,2,IF(Dataset!C144=4,3,4)))</f>
        <v>1</v>
      </c>
      <c r="G144" s="29">
        <f t="shared" si="17"/>
        <v>0.3</v>
      </c>
      <c r="H144" s="29">
        <f>IF(Dataset!G144&lt;=3,0.25,IF(Dataset!G144&lt;=6,0.45,IF(Dataset!G144&lt;=9,0.65,0.85)))</f>
        <v>0.65</v>
      </c>
      <c r="I144" s="29">
        <f>IF(Dataset!G144&lt;=3,1,IF(Dataset!G144&lt;=6,2,IF(Dataset!G144&lt;=9,3,4)))</f>
        <v>3</v>
      </c>
      <c r="J144" s="29">
        <f t="shared" si="18"/>
        <v>1.9500000000000002</v>
      </c>
      <c r="K144" s="29">
        <f>IF(Dataset!H144&lt;1,0.2,IF(Dataset!H144&lt;1.3,0.45,IF(Dataset!H144&lt;1.8,0.7,0.9)))</f>
        <v>0.9</v>
      </c>
      <c r="L144" s="29">
        <f>IF(Dataset!H144&lt;1,1,IF(Dataset!H144&lt;1.3,2,IF(Dataset!H144&lt;1.8,3,4)))</f>
        <v>4</v>
      </c>
      <c r="M144" s="29">
        <f t="shared" si="19"/>
        <v>3.6</v>
      </c>
      <c r="N144" s="29">
        <f>IF(Dataset!F144=1,0.75,IF(Dataset!F144=2,0.45,0.2))</f>
        <v>0.2</v>
      </c>
      <c r="O144" s="29">
        <f>IF(Dataset!F144=1,3,IF(Dataset!F144=2,2,1))</f>
        <v>1</v>
      </c>
      <c r="P144" s="29">
        <f t="shared" si="20"/>
        <v>0.2</v>
      </c>
      <c r="Q144" s="29">
        <f>IF(Dataset!K144&lt;5,0.2,IF(Dataset!K144&lt;10,0.45,IF(Dataset!K144&lt;18,0.7,0.9)))</f>
        <v>0.2</v>
      </c>
      <c r="R144" s="29">
        <f>IF(Dataset!K144&lt;5,1,IF(Dataset!K144&lt;10,2,IF(Dataset!K144&lt;18,3,4)))</f>
        <v>1</v>
      </c>
      <c r="S144" s="29">
        <f t="shared" si="21"/>
        <v>0.2</v>
      </c>
      <c r="T144" s="29">
        <f t="shared" si="22"/>
        <v>1.524</v>
      </c>
      <c r="U144" s="29" t="str">
        <f t="shared" si="23"/>
        <v>Medium</v>
      </c>
    </row>
    <row r="145" spans="1:21" ht="15" customHeight="1" x14ac:dyDescent="0.25">
      <c r="A145" s="29">
        <f>Dataset!A145</f>
        <v>141</v>
      </c>
      <c r="B145" s="29">
        <f>IF(Dataset!B145&lt;25,0.3,IF(Dataset!B145&lt;75,0.5,IF(Dataset!B145&lt;120,0.65,0.8)))</f>
        <v>0.65</v>
      </c>
      <c r="C145" s="29">
        <f>IF(Dataset!B145&lt;25,1,IF(Dataset!B145&lt;75,2,IF(Dataset!B145&lt;120,3,4)))</f>
        <v>3</v>
      </c>
      <c r="D145" s="29">
        <f t="shared" si="16"/>
        <v>1.9500000000000002</v>
      </c>
      <c r="E145" s="29">
        <f>IF(Dataset!C145&lt;=1,0.3,IF(Dataset!C145=2,0.4,IF(Dataset!C145=3,0.5,IF(Dataset!C145=4,0.65,0.8))))</f>
        <v>0.65</v>
      </c>
      <c r="F145" s="29">
        <f>IF(Dataset!C145&lt;=2,1,IF(Dataset!C145=3,2,IF(Dataset!C145=4,3,4)))</f>
        <v>3</v>
      </c>
      <c r="G145" s="29">
        <f t="shared" si="17"/>
        <v>1.9500000000000002</v>
      </c>
      <c r="H145" s="29">
        <f>IF(Dataset!G145&lt;=3,0.25,IF(Dataset!G145&lt;=6,0.45,IF(Dataset!G145&lt;=9,0.65,0.85)))</f>
        <v>0.45</v>
      </c>
      <c r="I145" s="29">
        <f>IF(Dataset!G145&lt;=3,1,IF(Dataset!G145&lt;=6,2,IF(Dataset!G145&lt;=9,3,4)))</f>
        <v>2</v>
      </c>
      <c r="J145" s="29">
        <f t="shared" si="18"/>
        <v>0.9</v>
      </c>
      <c r="K145" s="29">
        <f>IF(Dataset!H145&lt;1,0.2,IF(Dataset!H145&lt;1.3,0.45,IF(Dataset!H145&lt;1.8,0.7,0.9)))</f>
        <v>0.7</v>
      </c>
      <c r="L145" s="29">
        <f>IF(Dataset!H145&lt;1,1,IF(Dataset!H145&lt;1.3,2,IF(Dataset!H145&lt;1.8,3,4)))</f>
        <v>3</v>
      </c>
      <c r="M145" s="29">
        <f t="shared" si="19"/>
        <v>2.0999999999999996</v>
      </c>
      <c r="N145" s="29">
        <f>IF(Dataset!F145=1,0.75,IF(Dataset!F145=2,0.45,0.2))</f>
        <v>0.45</v>
      </c>
      <c r="O145" s="29">
        <f>IF(Dataset!F145=1,3,IF(Dataset!F145=2,2,1))</f>
        <v>2</v>
      </c>
      <c r="P145" s="29">
        <f t="shared" si="20"/>
        <v>0.9</v>
      </c>
      <c r="Q145" s="29">
        <f>IF(Dataset!K145&lt;5,0.2,IF(Dataset!K145&lt;10,0.45,IF(Dataset!K145&lt;18,0.7,0.9)))</f>
        <v>0.45</v>
      </c>
      <c r="R145" s="29">
        <f>IF(Dataset!K145&lt;5,1,IF(Dataset!K145&lt;10,2,IF(Dataset!K145&lt;18,3,4)))</f>
        <v>2</v>
      </c>
      <c r="S145" s="29">
        <f t="shared" si="21"/>
        <v>0.9</v>
      </c>
      <c r="T145" s="29">
        <f t="shared" si="22"/>
        <v>1.5240000000000002</v>
      </c>
      <c r="U145" s="29" t="str">
        <f t="shared" si="23"/>
        <v>Medium</v>
      </c>
    </row>
    <row r="146" spans="1:21" ht="15" customHeight="1" x14ac:dyDescent="0.25">
      <c r="A146" s="29">
        <f>Dataset!A146</f>
        <v>142</v>
      </c>
      <c r="B146" s="29">
        <f>IF(Dataset!B146&lt;25,0.3,IF(Dataset!B146&lt;75,0.5,IF(Dataset!B146&lt;120,0.65,0.8)))</f>
        <v>0.8</v>
      </c>
      <c r="C146" s="29">
        <f>IF(Dataset!B146&lt;25,1,IF(Dataset!B146&lt;75,2,IF(Dataset!B146&lt;120,3,4)))</f>
        <v>4</v>
      </c>
      <c r="D146" s="29">
        <f t="shared" si="16"/>
        <v>3.2</v>
      </c>
      <c r="E146" s="29">
        <f>IF(Dataset!C146&lt;=1,0.3,IF(Dataset!C146=2,0.4,IF(Dataset!C146=3,0.5,IF(Dataset!C146=4,0.65,0.8))))</f>
        <v>0.4</v>
      </c>
      <c r="F146" s="29">
        <f>IF(Dataset!C146&lt;=2,1,IF(Dataset!C146=3,2,IF(Dataset!C146=4,3,4)))</f>
        <v>1</v>
      </c>
      <c r="G146" s="29">
        <f t="shared" si="17"/>
        <v>0.4</v>
      </c>
      <c r="H146" s="29">
        <f>IF(Dataset!G146&lt;=3,0.25,IF(Dataset!G146&lt;=6,0.45,IF(Dataset!G146&lt;=9,0.65,0.85)))</f>
        <v>0.45</v>
      </c>
      <c r="I146" s="29">
        <f>IF(Dataset!G146&lt;=3,1,IF(Dataset!G146&lt;=6,2,IF(Dataset!G146&lt;=9,3,4)))</f>
        <v>2</v>
      </c>
      <c r="J146" s="29">
        <f t="shared" si="18"/>
        <v>0.9</v>
      </c>
      <c r="K146" s="29">
        <f>IF(Dataset!H146&lt;1,0.2,IF(Dataset!H146&lt;1.3,0.45,IF(Dataset!H146&lt;1.8,0.7,0.9)))</f>
        <v>0.9</v>
      </c>
      <c r="L146" s="29">
        <f>IF(Dataset!H146&lt;1,1,IF(Dataset!H146&lt;1.3,2,IF(Dataset!H146&lt;1.8,3,4)))</f>
        <v>4</v>
      </c>
      <c r="M146" s="29">
        <f t="shared" si="19"/>
        <v>3.6</v>
      </c>
      <c r="N146" s="29">
        <f>IF(Dataset!F146=1,0.75,IF(Dataset!F146=2,0.45,0.2))</f>
        <v>0.75</v>
      </c>
      <c r="O146" s="29">
        <f>IF(Dataset!F146=1,3,IF(Dataset!F146=2,2,1))</f>
        <v>3</v>
      </c>
      <c r="P146" s="29">
        <f t="shared" si="20"/>
        <v>2.25</v>
      </c>
      <c r="Q146" s="29">
        <f>IF(Dataset!K146&lt;5,0.2,IF(Dataset!K146&lt;10,0.45,IF(Dataset!K146&lt;18,0.7,0.9)))</f>
        <v>0.2</v>
      </c>
      <c r="R146" s="29">
        <f>IF(Dataset!K146&lt;5,1,IF(Dataset!K146&lt;10,2,IF(Dataset!K146&lt;18,3,4)))</f>
        <v>1</v>
      </c>
      <c r="S146" s="29">
        <f t="shared" si="21"/>
        <v>0.2</v>
      </c>
      <c r="T146" s="29">
        <f t="shared" si="22"/>
        <v>1.9290000000000003</v>
      </c>
      <c r="U146" s="29" t="str">
        <f t="shared" si="23"/>
        <v>High</v>
      </c>
    </row>
    <row r="147" spans="1:21" ht="15" customHeight="1" x14ac:dyDescent="0.25">
      <c r="A147" s="29">
        <f>Dataset!A147</f>
        <v>143</v>
      </c>
      <c r="B147" s="29">
        <f>IF(Dataset!B147&lt;25,0.3,IF(Dataset!B147&lt;75,0.5,IF(Dataset!B147&lt;120,0.65,0.8)))</f>
        <v>0.65</v>
      </c>
      <c r="C147" s="29">
        <f>IF(Dataset!B147&lt;25,1,IF(Dataset!B147&lt;75,2,IF(Dataset!B147&lt;120,3,4)))</f>
        <v>3</v>
      </c>
      <c r="D147" s="29">
        <f t="shared" si="16"/>
        <v>1.9500000000000002</v>
      </c>
      <c r="E147" s="29">
        <f>IF(Dataset!C147&lt;=1,0.3,IF(Dataset!C147=2,0.4,IF(Dataset!C147=3,0.5,IF(Dataset!C147=4,0.65,0.8))))</f>
        <v>0.5</v>
      </c>
      <c r="F147" s="29">
        <f>IF(Dataset!C147&lt;=2,1,IF(Dataset!C147=3,2,IF(Dataset!C147=4,3,4)))</f>
        <v>2</v>
      </c>
      <c r="G147" s="29">
        <f t="shared" si="17"/>
        <v>1</v>
      </c>
      <c r="H147" s="29">
        <f>IF(Dataset!G147&lt;=3,0.25,IF(Dataset!G147&lt;=6,0.45,IF(Dataset!G147&lt;=9,0.65,0.85)))</f>
        <v>0.45</v>
      </c>
      <c r="I147" s="29">
        <f>IF(Dataset!G147&lt;=3,1,IF(Dataset!G147&lt;=6,2,IF(Dataset!G147&lt;=9,3,4)))</f>
        <v>2</v>
      </c>
      <c r="J147" s="29">
        <f t="shared" si="18"/>
        <v>0.9</v>
      </c>
      <c r="K147" s="29">
        <f>IF(Dataset!H147&lt;1,0.2,IF(Dataset!H147&lt;1.3,0.45,IF(Dataset!H147&lt;1.8,0.7,0.9)))</f>
        <v>0.9</v>
      </c>
      <c r="L147" s="29">
        <f>IF(Dataset!H147&lt;1,1,IF(Dataset!H147&lt;1.3,2,IF(Dataset!H147&lt;1.8,3,4)))</f>
        <v>4</v>
      </c>
      <c r="M147" s="29">
        <f t="shared" si="19"/>
        <v>3.6</v>
      </c>
      <c r="N147" s="29">
        <f>IF(Dataset!F147=1,0.75,IF(Dataset!F147=2,0.45,0.2))</f>
        <v>0.45</v>
      </c>
      <c r="O147" s="29">
        <f>IF(Dataset!F147=1,3,IF(Dataset!F147=2,2,1))</f>
        <v>2</v>
      </c>
      <c r="P147" s="29">
        <f t="shared" si="20"/>
        <v>0.9</v>
      </c>
      <c r="Q147" s="29">
        <f>IF(Dataset!K147&lt;5,0.2,IF(Dataset!K147&lt;10,0.45,IF(Dataset!K147&lt;18,0.7,0.9)))</f>
        <v>0.45</v>
      </c>
      <c r="R147" s="29">
        <f>IF(Dataset!K147&lt;5,1,IF(Dataset!K147&lt;10,2,IF(Dataset!K147&lt;18,3,4)))</f>
        <v>2</v>
      </c>
      <c r="S147" s="29">
        <f t="shared" si="21"/>
        <v>0.9</v>
      </c>
      <c r="T147" s="29">
        <f t="shared" si="22"/>
        <v>1.7510000000000003</v>
      </c>
      <c r="U147" s="29" t="str">
        <f t="shared" si="23"/>
        <v>Medium</v>
      </c>
    </row>
    <row r="148" spans="1:21" ht="15" customHeight="1" x14ac:dyDescent="0.25">
      <c r="A148" s="29">
        <f>Dataset!A148</f>
        <v>144</v>
      </c>
      <c r="B148" s="29">
        <f>IF(Dataset!B148&lt;25,0.3,IF(Dataset!B148&lt;75,0.5,IF(Dataset!B148&lt;120,0.65,0.8)))</f>
        <v>0.8</v>
      </c>
      <c r="C148" s="29">
        <f>IF(Dataset!B148&lt;25,1,IF(Dataset!B148&lt;75,2,IF(Dataset!B148&lt;120,3,4)))</f>
        <v>4</v>
      </c>
      <c r="D148" s="29">
        <f t="shared" si="16"/>
        <v>3.2</v>
      </c>
      <c r="E148" s="29">
        <f>IF(Dataset!C148&lt;=1,0.3,IF(Dataset!C148=2,0.4,IF(Dataset!C148=3,0.5,IF(Dataset!C148=4,0.65,0.8))))</f>
        <v>0.65</v>
      </c>
      <c r="F148" s="29">
        <f>IF(Dataset!C148&lt;=2,1,IF(Dataset!C148=3,2,IF(Dataset!C148=4,3,4)))</f>
        <v>3</v>
      </c>
      <c r="G148" s="29">
        <f t="shared" si="17"/>
        <v>1.9500000000000002</v>
      </c>
      <c r="H148" s="29">
        <f>IF(Dataset!G148&lt;=3,0.25,IF(Dataset!G148&lt;=6,0.45,IF(Dataset!G148&lt;=9,0.65,0.85)))</f>
        <v>0.25</v>
      </c>
      <c r="I148" s="29">
        <f>IF(Dataset!G148&lt;=3,1,IF(Dataset!G148&lt;=6,2,IF(Dataset!G148&lt;=9,3,4)))</f>
        <v>1</v>
      </c>
      <c r="J148" s="29">
        <f t="shared" si="18"/>
        <v>0.25</v>
      </c>
      <c r="K148" s="29">
        <f>IF(Dataset!H148&lt;1,0.2,IF(Dataset!H148&lt;1.3,0.45,IF(Dataset!H148&lt;1.8,0.7,0.9)))</f>
        <v>0.9</v>
      </c>
      <c r="L148" s="29">
        <f>IF(Dataset!H148&lt;1,1,IF(Dataset!H148&lt;1.3,2,IF(Dataset!H148&lt;1.8,3,4)))</f>
        <v>4</v>
      </c>
      <c r="M148" s="29">
        <f t="shared" si="19"/>
        <v>3.6</v>
      </c>
      <c r="N148" s="29">
        <f>IF(Dataset!F148=1,0.75,IF(Dataset!F148=2,0.45,0.2))</f>
        <v>0.2</v>
      </c>
      <c r="O148" s="29">
        <f>IF(Dataset!F148=1,3,IF(Dataset!F148=2,2,1))</f>
        <v>1</v>
      </c>
      <c r="P148" s="29">
        <f t="shared" si="20"/>
        <v>0.2</v>
      </c>
      <c r="Q148" s="29">
        <f>IF(Dataset!K148&lt;5,0.2,IF(Dataset!K148&lt;10,0.45,IF(Dataset!K148&lt;18,0.7,0.9)))</f>
        <v>0.7</v>
      </c>
      <c r="R148" s="29">
        <f>IF(Dataset!K148&lt;5,1,IF(Dataset!K148&lt;10,2,IF(Dataset!K148&lt;18,3,4)))</f>
        <v>3</v>
      </c>
      <c r="S148" s="29">
        <f t="shared" si="21"/>
        <v>2.0999999999999996</v>
      </c>
      <c r="T148" s="29">
        <f t="shared" si="22"/>
        <v>2.077</v>
      </c>
      <c r="U148" s="29" t="str">
        <f t="shared" si="23"/>
        <v>High</v>
      </c>
    </row>
    <row r="149" spans="1:21" ht="15" customHeight="1" x14ac:dyDescent="0.25">
      <c r="A149" s="29">
        <f>Dataset!A149</f>
        <v>145</v>
      </c>
      <c r="B149" s="29">
        <f>IF(Dataset!B149&lt;25,0.3,IF(Dataset!B149&lt;75,0.5,IF(Dataset!B149&lt;120,0.65,0.8)))</f>
        <v>0.3</v>
      </c>
      <c r="C149" s="29">
        <f>IF(Dataset!B149&lt;25,1,IF(Dataset!B149&lt;75,2,IF(Dataset!B149&lt;120,3,4)))</f>
        <v>1</v>
      </c>
      <c r="D149" s="29">
        <f t="shared" si="16"/>
        <v>0.3</v>
      </c>
      <c r="E149" s="29">
        <f>IF(Dataset!C149&lt;=1,0.3,IF(Dataset!C149=2,0.4,IF(Dataset!C149=3,0.5,IF(Dataset!C149=4,0.65,0.8))))</f>
        <v>0.3</v>
      </c>
      <c r="F149" s="29">
        <f>IF(Dataset!C149&lt;=2,1,IF(Dataset!C149=3,2,IF(Dataset!C149=4,3,4)))</f>
        <v>1</v>
      </c>
      <c r="G149" s="29">
        <f t="shared" si="17"/>
        <v>0.3</v>
      </c>
      <c r="H149" s="29">
        <f>IF(Dataset!G149&lt;=3,0.25,IF(Dataset!G149&lt;=6,0.45,IF(Dataset!G149&lt;=9,0.65,0.85)))</f>
        <v>0.45</v>
      </c>
      <c r="I149" s="29">
        <f>IF(Dataset!G149&lt;=3,1,IF(Dataset!G149&lt;=6,2,IF(Dataset!G149&lt;=9,3,4)))</f>
        <v>2</v>
      </c>
      <c r="J149" s="29">
        <f t="shared" si="18"/>
        <v>0.9</v>
      </c>
      <c r="K149" s="29">
        <f>IF(Dataset!H149&lt;1,0.2,IF(Dataset!H149&lt;1.3,0.45,IF(Dataset!H149&lt;1.8,0.7,0.9)))</f>
        <v>0.7</v>
      </c>
      <c r="L149" s="29">
        <f>IF(Dataset!H149&lt;1,1,IF(Dataset!H149&lt;1.3,2,IF(Dataset!H149&lt;1.8,3,4)))</f>
        <v>3</v>
      </c>
      <c r="M149" s="29">
        <f t="shared" si="19"/>
        <v>2.0999999999999996</v>
      </c>
      <c r="N149" s="29">
        <f>IF(Dataset!F149=1,0.75,IF(Dataset!F149=2,0.45,0.2))</f>
        <v>0.45</v>
      </c>
      <c r="O149" s="29">
        <f>IF(Dataset!F149=1,3,IF(Dataset!F149=2,2,1))</f>
        <v>2</v>
      </c>
      <c r="P149" s="29">
        <f t="shared" si="20"/>
        <v>0.9</v>
      </c>
      <c r="Q149" s="29">
        <f>IF(Dataset!K149&lt;5,0.2,IF(Dataset!K149&lt;10,0.45,IF(Dataset!K149&lt;18,0.7,0.9)))</f>
        <v>0.2</v>
      </c>
      <c r="R149" s="29">
        <f>IF(Dataset!K149&lt;5,1,IF(Dataset!K149&lt;10,2,IF(Dataset!K149&lt;18,3,4)))</f>
        <v>1</v>
      </c>
      <c r="S149" s="29">
        <f t="shared" si="21"/>
        <v>0.2</v>
      </c>
      <c r="T149" s="29">
        <f t="shared" si="22"/>
        <v>0.89799999999999991</v>
      </c>
      <c r="U149" s="29" t="str">
        <f t="shared" si="23"/>
        <v>Low</v>
      </c>
    </row>
    <row r="150" spans="1:21" ht="15" customHeight="1" x14ac:dyDescent="0.25">
      <c r="A150" s="29">
        <f>Dataset!A150</f>
        <v>146</v>
      </c>
      <c r="B150" s="29">
        <f>IF(Dataset!B150&lt;25,0.3,IF(Dataset!B150&lt;75,0.5,IF(Dataset!B150&lt;120,0.65,0.8)))</f>
        <v>0.65</v>
      </c>
      <c r="C150" s="29">
        <f>IF(Dataset!B150&lt;25,1,IF(Dataset!B150&lt;75,2,IF(Dataset!B150&lt;120,3,4)))</f>
        <v>3</v>
      </c>
      <c r="D150" s="29">
        <f t="shared" si="16"/>
        <v>1.9500000000000002</v>
      </c>
      <c r="E150" s="29">
        <f>IF(Dataset!C150&lt;=1,0.3,IF(Dataset!C150=2,0.4,IF(Dataset!C150=3,0.5,IF(Dataset!C150=4,0.65,0.8))))</f>
        <v>0.3</v>
      </c>
      <c r="F150" s="29">
        <f>IF(Dataset!C150&lt;=2,1,IF(Dataset!C150=3,2,IF(Dataset!C150=4,3,4)))</f>
        <v>1</v>
      </c>
      <c r="G150" s="29">
        <f t="shared" si="17"/>
        <v>0.3</v>
      </c>
      <c r="H150" s="29">
        <f>IF(Dataset!G150&lt;=3,0.25,IF(Dataset!G150&lt;=6,0.45,IF(Dataset!G150&lt;=9,0.65,0.85)))</f>
        <v>0.45</v>
      </c>
      <c r="I150" s="29">
        <f>IF(Dataset!G150&lt;=3,1,IF(Dataset!G150&lt;=6,2,IF(Dataset!G150&lt;=9,3,4)))</f>
        <v>2</v>
      </c>
      <c r="J150" s="29">
        <f t="shared" si="18"/>
        <v>0.9</v>
      </c>
      <c r="K150" s="29">
        <f>IF(Dataset!H150&lt;1,0.2,IF(Dataset!H150&lt;1.3,0.45,IF(Dataset!H150&lt;1.8,0.7,0.9)))</f>
        <v>0.9</v>
      </c>
      <c r="L150" s="29">
        <f>IF(Dataset!H150&lt;1,1,IF(Dataset!H150&lt;1.3,2,IF(Dataset!H150&lt;1.8,3,4)))</f>
        <v>4</v>
      </c>
      <c r="M150" s="29">
        <f t="shared" si="19"/>
        <v>3.6</v>
      </c>
      <c r="N150" s="29">
        <f>IF(Dataset!F150=1,0.75,IF(Dataset!F150=2,0.45,0.2))</f>
        <v>0.75</v>
      </c>
      <c r="O150" s="29">
        <f>IF(Dataset!F150=1,3,IF(Dataset!F150=2,2,1))</f>
        <v>3</v>
      </c>
      <c r="P150" s="29">
        <f t="shared" si="20"/>
        <v>2.25</v>
      </c>
      <c r="Q150" s="29">
        <f>IF(Dataset!K150&lt;5,0.2,IF(Dataset!K150&lt;10,0.45,IF(Dataset!K150&lt;18,0.7,0.9)))</f>
        <v>0.2</v>
      </c>
      <c r="R150" s="29">
        <f>IF(Dataset!K150&lt;5,1,IF(Dataset!K150&lt;10,2,IF(Dataset!K150&lt;18,3,4)))</f>
        <v>1</v>
      </c>
      <c r="S150" s="29">
        <f t="shared" si="21"/>
        <v>0.2</v>
      </c>
      <c r="T150" s="29">
        <f t="shared" si="22"/>
        <v>1.6900000000000002</v>
      </c>
      <c r="U150" s="29" t="str">
        <f t="shared" si="23"/>
        <v>Medium</v>
      </c>
    </row>
    <row r="151" spans="1:21" ht="15" customHeight="1" x14ac:dyDescent="0.25">
      <c r="A151" s="29">
        <f>Dataset!A151</f>
        <v>147</v>
      </c>
      <c r="B151" s="29">
        <f>IF(Dataset!B151&lt;25,0.3,IF(Dataset!B151&lt;75,0.5,IF(Dataset!B151&lt;120,0.65,0.8)))</f>
        <v>0.5</v>
      </c>
      <c r="C151" s="29">
        <f>IF(Dataset!B151&lt;25,1,IF(Dataset!B151&lt;75,2,IF(Dataset!B151&lt;120,3,4)))</f>
        <v>2</v>
      </c>
      <c r="D151" s="29">
        <f t="shared" si="16"/>
        <v>1</v>
      </c>
      <c r="E151" s="29">
        <f>IF(Dataset!C151&lt;=1,0.3,IF(Dataset!C151=2,0.4,IF(Dataset!C151=3,0.5,IF(Dataset!C151=4,0.65,0.8))))</f>
        <v>0.65</v>
      </c>
      <c r="F151" s="29">
        <f>IF(Dataset!C151&lt;=2,1,IF(Dataset!C151=3,2,IF(Dataset!C151=4,3,4)))</f>
        <v>3</v>
      </c>
      <c r="G151" s="29">
        <f t="shared" si="17"/>
        <v>1.9500000000000002</v>
      </c>
      <c r="H151" s="29">
        <f>IF(Dataset!G151&lt;=3,0.25,IF(Dataset!G151&lt;=6,0.45,IF(Dataset!G151&lt;=9,0.65,0.85)))</f>
        <v>0.45</v>
      </c>
      <c r="I151" s="29">
        <f>IF(Dataset!G151&lt;=3,1,IF(Dataset!G151&lt;=6,2,IF(Dataset!G151&lt;=9,3,4)))</f>
        <v>2</v>
      </c>
      <c r="J151" s="29">
        <f t="shared" si="18"/>
        <v>0.9</v>
      </c>
      <c r="K151" s="29">
        <f>IF(Dataset!H151&lt;1,0.2,IF(Dataset!H151&lt;1.3,0.45,IF(Dataset!H151&lt;1.8,0.7,0.9)))</f>
        <v>0.7</v>
      </c>
      <c r="L151" s="29">
        <f>IF(Dataset!H151&lt;1,1,IF(Dataset!H151&lt;1.3,2,IF(Dataset!H151&lt;1.8,3,4)))</f>
        <v>3</v>
      </c>
      <c r="M151" s="29">
        <f t="shared" si="19"/>
        <v>2.0999999999999996</v>
      </c>
      <c r="N151" s="29">
        <f>IF(Dataset!F151=1,0.75,IF(Dataset!F151=2,0.45,0.2))</f>
        <v>0.45</v>
      </c>
      <c r="O151" s="29">
        <f>IF(Dataset!F151=1,3,IF(Dataset!F151=2,2,1))</f>
        <v>2</v>
      </c>
      <c r="P151" s="29">
        <f t="shared" si="20"/>
        <v>0.9</v>
      </c>
      <c r="Q151" s="29">
        <f>IF(Dataset!K151&lt;5,0.2,IF(Dataset!K151&lt;10,0.45,IF(Dataset!K151&lt;18,0.7,0.9)))</f>
        <v>0.7</v>
      </c>
      <c r="R151" s="29">
        <f>IF(Dataset!K151&lt;5,1,IF(Dataset!K151&lt;10,2,IF(Dataset!K151&lt;18,3,4)))</f>
        <v>3</v>
      </c>
      <c r="S151" s="29">
        <f t="shared" si="21"/>
        <v>2.0999999999999996</v>
      </c>
      <c r="T151" s="29">
        <f t="shared" si="22"/>
        <v>1.5210000000000001</v>
      </c>
      <c r="U151" s="29" t="str">
        <f t="shared" si="23"/>
        <v>Medium</v>
      </c>
    </row>
    <row r="152" spans="1:21" ht="15" customHeight="1" x14ac:dyDescent="0.25">
      <c r="A152" s="29">
        <f>Dataset!A152</f>
        <v>148</v>
      </c>
      <c r="B152" s="29">
        <f>IF(Dataset!B152&lt;25,0.3,IF(Dataset!B152&lt;75,0.5,IF(Dataset!B152&lt;120,0.65,0.8)))</f>
        <v>0.5</v>
      </c>
      <c r="C152" s="29">
        <f>IF(Dataset!B152&lt;25,1,IF(Dataset!B152&lt;75,2,IF(Dataset!B152&lt;120,3,4)))</f>
        <v>2</v>
      </c>
      <c r="D152" s="29">
        <f t="shared" si="16"/>
        <v>1</v>
      </c>
      <c r="E152" s="29">
        <f>IF(Dataset!C152&lt;=1,0.3,IF(Dataset!C152=2,0.4,IF(Dataset!C152=3,0.5,IF(Dataset!C152=4,0.65,0.8))))</f>
        <v>0.3</v>
      </c>
      <c r="F152" s="29">
        <f>IF(Dataset!C152&lt;=2,1,IF(Dataset!C152=3,2,IF(Dataset!C152=4,3,4)))</f>
        <v>1</v>
      </c>
      <c r="G152" s="29">
        <f t="shared" si="17"/>
        <v>0.3</v>
      </c>
      <c r="H152" s="29">
        <f>IF(Dataset!G152&lt;=3,0.25,IF(Dataset!G152&lt;=6,0.45,IF(Dataset!G152&lt;=9,0.65,0.85)))</f>
        <v>0.45</v>
      </c>
      <c r="I152" s="29">
        <f>IF(Dataset!G152&lt;=3,1,IF(Dataset!G152&lt;=6,2,IF(Dataset!G152&lt;=9,3,4)))</f>
        <v>2</v>
      </c>
      <c r="J152" s="29">
        <f t="shared" si="18"/>
        <v>0.9</v>
      </c>
      <c r="K152" s="29">
        <f>IF(Dataset!H152&lt;1,0.2,IF(Dataset!H152&lt;1.3,0.45,IF(Dataset!H152&lt;1.8,0.7,0.9)))</f>
        <v>0.7</v>
      </c>
      <c r="L152" s="29">
        <f>IF(Dataset!H152&lt;1,1,IF(Dataset!H152&lt;1.3,2,IF(Dataset!H152&lt;1.8,3,4)))</f>
        <v>3</v>
      </c>
      <c r="M152" s="29">
        <f t="shared" si="19"/>
        <v>2.0999999999999996</v>
      </c>
      <c r="N152" s="29">
        <f>IF(Dataset!F152=1,0.75,IF(Dataset!F152=2,0.45,0.2))</f>
        <v>0.45</v>
      </c>
      <c r="O152" s="29">
        <f>IF(Dataset!F152=1,3,IF(Dataset!F152=2,2,1))</f>
        <v>2</v>
      </c>
      <c r="P152" s="29">
        <f t="shared" si="20"/>
        <v>0.9</v>
      </c>
      <c r="Q152" s="29">
        <f>IF(Dataset!K152&lt;5,0.2,IF(Dataset!K152&lt;10,0.45,IF(Dataset!K152&lt;18,0.7,0.9)))</f>
        <v>0.2</v>
      </c>
      <c r="R152" s="29">
        <f>IF(Dataset!K152&lt;5,1,IF(Dataset!K152&lt;10,2,IF(Dataset!K152&lt;18,3,4)))</f>
        <v>1</v>
      </c>
      <c r="S152" s="29">
        <f t="shared" si="21"/>
        <v>0.2</v>
      </c>
      <c r="T152" s="29">
        <f t="shared" si="22"/>
        <v>1.0239999999999998</v>
      </c>
      <c r="U152" s="29" t="str">
        <f t="shared" si="23"/>
        <v>Low</v>
      </c>
    </row>
    <row r="153" spans="1:21" ht="15" customHeight="1" x14ac:dyDescent="0.25">
      <c r="A153" s="29">
        <f>Dataset!A153</f>
        <v>149</v>
      </c>
      <c r="B153" s="29">
        <f>IF(Dataset!B153&lt;25,0.3,IF(Dataset!B153&lt;75,0.5,IF(Dataset!B153&lt;120,0.65,0.8)))</f>
        <v>0.8</v>
      </c>
      <c r="C153" s="29">
        <f>IF(Dataset!B153&lt;25,1,IF(Dataset!B153&lt;75,2,IF(Dataset!B153&lt;120,3,4)))</f>
        <v>4</v>
      </c>
      <c r="D153" s="29">
        <f t="shared" si="16"/>
        <v>3.2</v>
      </c>
      <c r="E153" s="29">
        <f>IF(Dataset!C153&lt;=1,0.3,IF(Dataset!C153=2,0.4,IF(Dataset!C153=3,0.5,IF(Dataset!C153=4,0.65,0.8))))</f>
        <v>0.5</v>
      </c>
      <c r="F153" s="29">
        <f>IF(Dataset!C153&lt;=2,1,IF(Dataset!C153=3,2,IF(Dataset!C153=4,3,4)))</f>
        <v>2</v>
      </c>
      <c r="G153" s="29">
        <f t="shared" si="17"/>
        <v>1</v>
      </c>
      <c r="H153" s="29">
        <f>IF(Dataset!G153&lt;=3,0.25,IF(Dataset!G153&lt;=6,0.45,IF(Dataset!G153&lt;=9,0.65,0.85)))</f>
        <v>0.65</v>
      </c>
      <c r="I153" s="29">
        <f>IF(Dataset!G153&lt;=3,1,IF(Dataset!G153&lt;=6,2,IF(Dataset!G153&lt;=9,3,4)))</f>
        <v>3</v>
      </c>
      <c r="J153" s="29">
        <f t="shared" si="18"/>
        <v>1.9500000000000002</v>
      </c>
      <c r="K153" s="29">
        <f>IF(Dataset!H153&lt;1,0.2,IF(Dataset!H153&lt;1.3,0.45,IF(Dataset!H153&lt;1.8,0.7,0.9)))</f>
        <v>0.9</v>
      </c>
      <c r="L153" s="29">
        <f>IF(Dataset!H153&lt;1,1,IF(Dataset!H153&lt;1.3,2,IF(Dataset!H153&lt;1.8,3,4)))</f>
        <v>4</v>
      </c>
      <c r="M153" s="29">
        <f t="shared" si="19"/>
        <v>3.6</v>
      </c>
      <c r="N153" s="29">
        <f>IF(Dataset!F153=1,0.75,IF(Dataset!F153=2,0.45,0.2))</f>
        <v>0.45</v>
      </c>
      <c r="O153" s="29">
        <f>IF(Dataset!F153=1,3,IF(Dataset!F153=2,2,1))</f>
        <v>2</v>
      </c>
      <c r="P153" s="29">
        <f t="shared" si="20"/>
        <v>0.9</v>
      </c>
      <c r="Q153" s="29">
        <f>IF(Dataset!K153&lt;5,0.2,IF(Dataset!K153&lt;10,0.45,IF(Dataset!K153&lt;18,0.7,0.9)))</f>
        <v>0.2</v>
      </c>
      <c r="R153" s="29">
        <f>IF(Dataset!K153&lt;5,1,IF(Dataset!K153&lt;10,2,IF(Dataset!K153&lt;18,3,4)))</f>
        <v>1</v>
      </c>
      <c r="S153" s="29">
        <f t="shared" si="21"/>
        <v>0.2</v>
      </c>
      <c r="T153" s="29">
        <f t="shared" si="22"/>
        <v>2.0880000000000001</v>
      </c>
      <c r="U153" s="29" t="str">
        <f t="shared" si="23"/>
        <v>High</v>
      </c>
    </row>
    <row r="154" spans="1:21" ht="15" customHeight="1" x14ac:dyDescent="0.25">
      <c r="A154" s="29">
        <f>Dataset!A154</f>
        <v>150</v>
      </c>
      <c r="B154" s="29">
        <f>IF(Dataset!B154&lt;25,0.3,IF(Dataset!B154&lt;75,0.5,IF(Dataset!B154&lt;120,0.65,0.8)))</f>
        <v>0.5</v>
      </c>
      <c r="C154" s="29">
        <f>IF(Dataset!B154&lt;25,1,IF(Dataset!B154&lt;75,2,IF(Dataset!B154&lt;120,3,4)))</f>
        <v>2</v>
      </c>
      <c r="D154" s="29">
        <f t="shared" si="16"/>
        <v>1</v>
      </c>
      <c r="E154" s="29">
        <f>IF(Dataset!C154&lt;=1,0.3,IF(Dataset!C154=2,0.4,IF(Dataset!C154=3,0.5,IF(Dataset!C154=4,0.65,0.8))))</f>
        <v>0.5</v>
      </c>
      <c r="F154" s="29">
        <f>IF(Dataset!C154&lt;=2,1,IF(Dataset!C154=3,2,IF(Dataset!C154=4,3,4)))</f>
        <v>2</v>
      </c>
      <c r="G154" s="29">
        <f t="shared" si="17"/>
        <v>1</v>
      </c>
      <c r="H154" s="29">
        <f>IF(Dataset!G154&lt;=3,0.25,IF(Dataset!G154&lt;=6,0.45,IF(Dataset!G154&lt;=9,0.65,0.85)))</f>
        <v>0.65</v>
      </c>
      <c r="I154" s="29">
        <f>IF(Dataset!G154&lt;=3,1,IF(Dataset!G154&lt;=6,2,IF(Dataset!G154&lt;=9,3,4)))</f>
        <v>3</v>
      </c>
      <c r="J154" s="29">
        <f t="shared" si="18"/>
        <v>1.9500000000000002</v>
      </c>
      <c r="K154" s="29">
        <f>IF(Dataset!H154&lt;1,0.2,IF(Dataset!H154&lt;1.3,0.45,IF(Dataset!H154&lt;1.8,0.7,0.9)))</f>
        <v>0.45</v>
      </c>
      <c r="L154" s="29">
        <f>IF(Dataset!H154&lt;1,1,IF(Dataset!H154&lt;1.3,2,IF(Dataset!H154&lt;1.8,3,4)))</f>
        <v>2</v>
      </c>
      <c r="M154" s="29">
        <f t="shared" si="19"/>
        <v>0.9</v>
      </c>
      <c r="N154" s="29">
        <f>IF(Dataset!F154=1,0.75,IF(Dataset!F154=2,0.45,0.2))</f>
        <v>0.75</v>
      </c>
      <c r="O154" s="29">
        <f>IF(Dataset!F154=1,3,IF(Dataset!F154=2,2,1))</f>
        <v>3</v>
      </c>
      <c r="P154" s="29">
        <f t="shared" si="20"/>
        <v>2.25</v>
      </c>
      <c r="Q154" s="29">
        <f>IF(Dataset!K154&lt;5,0.2,IF(Dataset!K154&lt;10,0.45,IF(Dataset!K154&lt;18,0.7,0.9)))</f>
        <v>0.45</v>
      </c>
      <c r="R154" s="29">
        <f>IF(Dataset!K154&lt;5,1,IF(Dataset!K154&lt;10,2,IF(Dataset!K154&lt;18,3,4)))</f>
        <v>2</v>
      </c>
      <c r="S154" s="29">
        <f t="shared" si="21"/>
        <v>0.9</v>
      </c>
      <c r="T154" s="29">
        <f t="shared" si="22"/>
        <v>1.2770000000000001</v>
      </c>
      <c r="U154" s="29" t="str">
        <f t="shared" si="23"/>
        <v>Low</v>
      </c>
    </row>
    <row r="155" spans="1:21" ht="15" customHeight="1" x14ac:dyDescent="0.25">
      <c r="A155" s="29">
        <f>Dataset!A155</f>
        <v>151</v>
      </c>
      <c r="B155" s="29">
        <f>IF(Dataset!B155&lt;25,0.3,IF(Dataset!B155&lt;75,0.5,IF(Dataset!B155&lt;120,0.65,0.8)))</f>
        <v>0.65</v>
      </c>
      <c r="C155" s="29">
        <f>IF(Dataset!B155&lt;25,1,IF(Dataset!B155&lt;75,2,IF(Dataset!B155&lt;120,3,4)))</f>
        <v>3</v>
      </c>
      <c r="D155" s="29">
        <f t="shared" si="16"/>
        <v>1.9500000000000002</v>
      </c>
      <c r="E155" s="29">
        <f>IF(Dataset!C155&lt;=1,0.3,IF(Dataset!C155=2,0.4,IF(Dataset!C155=3,0.5,IF(Dataset!C155=4,0.65,0.8))))</f>
        <v>0.4</v>
      </c>
      <c r="F155" s="29">
        <f>IF(Dataset!C155&lt;=2,1,IF(Dataset!C155=3,2,IF(Dataset!C155=4,3,4)))</f>
        <v>1</v>
      </c>
      <c r="G155" s="29">
        <f t="shared" si="17"/>
        <v>0.4</v>
      </c>
      <c r="H155" s="29">
        <f>IF(Dataset!G155&lt;=3,0.25,IF(Dataset!G155&lt;=6,0.45,IF(Dataset!G155&lt;=9,0.65,0.85)))</f>
        <v>0.45</v>
      </c>
      <c r="I155" s="29">
        <f>IF(Dataset!G155&lt;=3,1,IF(Dataset!G155&lt;=6,2,IF(Dataset!G155&lt;=9,3,4)))</f>
        <v>2</v>
      </c>
      <c r="J155" s="29">
        <f t="shared" si="18"/>
        <v>0.9</v>
      </c>
      <c r="K155" s="29">
        <f>IF(Dataset!H155&lt;1,0.2,IF(Dataset!H155&lt;1.3,0.45,IF(Dataset!H155&lt;1.8,0.7,0.9)))</f>
        <v>0.45</v>
      </c>
      <c r="L155" s="29">
        <f>IF(Dataset!H155&lt;1,1,IF(Dataset!H155&lt;1.3,2,IF(Dataset!H155&lt;1.8,3,4)))</f>
        <v>2</v>
      </c>
      <c r="M155" s="29">
        <f t="shared" si="19"/>
        <v>0.9</v>
      </c>
      <c r="N155" s="29">
        <f>IF(Dataset!F155=1,0.75,IF(Dataset!F155=2,0.45,0.2))</f>
        <v>0.2</v>
      </c>
      <c r="O155" s="29">
        <f>IF(Dataset!F155=1,3,IF(Dataset!F155=2,2,1))</f>
        <v>1</v>
      </c>
      <c r="P155" s="29">
        <f t="shared" si="20"/>
        <v>0.2</v>
      </c>
      <c r="Q155" s="29">
        <f>IF(Dataset!K155&lt;5,0.2,IF(Dataset!K155&lt;10,0.45,IF(Dataset!K155&lt;18,0.7,0.9)))</f>
        <v>0.45</v>
      </c>
      <c r="R155" s="29">
        <f>IF(Dataset!K155&lt;5,1,IF(Dataset!K155&lt;10,2,IF(Dataset!K155&lt;18,3,4)))</f>
        <v>2</v>
      </c>
      <c r="S155" s="29">
        <f t="shared" si="21"/>
        <v>0.9</v>
      </c>
      <c r="T155" s="29">
        <f t="shared" si="22"/>
        <v>0.94900000000000007</v>
      </c>
      <c r="U155" s="29" t="str">
        <f t="shared" si="23"/>
        <v>Low</v>
      </c>
    </row>
    <row r="156" spans="1:21" ht="15" customHeight="1" x14ac:dyDescent="0.25">
      <c r="A156" s="29">
        <f>Dataset!A156</f>
        <v>152</v>
      </c>
      <c r="B156" s="29">
        <f>IF(Dataset!B156&lt;25,0.3,IF(Dataset!B156&lt;75,0.5,IF(Dataset!B156&lt;120,0.65,0.8)))</f>
        <v>0.3</v>
      </c>
      <c r="C156" s="29">
        <f>IF(Dataset!B156&lt;25,1,IF(Dataset!B156&lt;75,2,IF(Dataset!B156&lt;120,3,4)))</f>
        <v>1</v>
      </c>
      <c r="D156" s="29">
        <f t="shared" si="16"/>
        <v>0.3</v>
      </c>
      <c r="E156" s="29">
        <f>IF(Dataset!C156&lt;=1,0.3,IF(Dataset!C156=2,0.4,IF(Dataset!C156=3,0.5,IF(Dataset!C156=4,0.65,0.8))))</f>
        <v>0.4</v>
      </c>
      <c r="F156" s="29">
        <f>IF(Dataset!C156&lt;=2,1,IF(Dataset!C156=3,2,IF(Dataset!C156=4,3,4)))</f>
        <v>1</v>
      </c>
      <c r="G156" s="29">
        <f t="shared" si="17"/>
        <v>0.4</v>
      </c>
      <c r="H156" s="29">
        <f>IF(Dataset!G156&lt;=3,0.25,IF(Dataset!G156&lt;=6,0.45,IF(Dataset!G156&lt;=9,0.65,0.85)))</f>
        <v>0.45</v>
      </c>
      <c r="I156" s="29">
        <f>IF(Dataset!G156&lt;=3,1,IF(Dataset!G156&lt;=6,2,IF(Dataset!G156&lt;=9,3,4)))</f>
        <v>2</v>
      </c>
      <c r="J156" s="29">
        <f t="shared" si="18"/>
        <v>0.9</v>
      </c>
      <c r="K156" s="29">
        <f>IF(Dataset!H156&lt;1,0.2,IF(Dataset!H156&lt;1.3,0.45,IF(Dataset!H156&lt;1.8,0.7,0.9)))</f>
        <v>0.7</v>
      </c>
      <c r="L156" s="29">
        <f>IF(Dataset!H156&lt;1,1,IF(Dataset!H156&lt;1.3,2,IF(Dataset!H156&lt;1.8,3,4)))</f>
        <v>3</v>
      </c>
      <c r="M156" s="29">
        <f t="shared" si="19"/>
        <v>2.0999999999999996</v>
      </c>
      <c r="N156" s="29">
        <f>IF(Dataset!F156=1,0.75,IF(Dataset!F156=2,0.45,0.2))</f>
        <v>0.75</v>
      </c>
      <c r="O156" s="29">
        <f>IF(Dataset!F156=1,3,IF(Dataset!F156=2,2,1))</f>
        <v>3</v>
      </c>
      <c r="P156" s="29">
        <f t="shared" si="20"/>
        <v>2.25</v>
      </c>
      <c r="Q156" s="29">
        <f>IF(Dataset!K156&lt;5,0.2,IF(Dataset!K156&lt;10,0.45,IF(Dataset!K156&lt;18,0.7,0.9)))</f>
        <v>0.2</v>
      </c>
      <c r="R156" s="29">
        <f>IF(Dataset!K156&lt;5,1,IF(Dataset!K156&lt;10,2,IF(Dataset!K156&lt;18,3,4)))</f>
        <v>1</v>
      </c>
      <c r="S156" s="29">
        <f t="shared" si="21"/>
        <v>0.2</v>
      </c>
      <c r="T156" s="29">
        <f t="shared" si="22"/>
        <v>1.0469999999999999</v>
      </c>
      <c r="U156" s="29" t="str">
        <f t="shared" si="23"/>
        <v>Low</v>
      </c>
    </row>
    <row r="157" spans="1:21" ht="15" customHeight="1" x14ac:dyDescent="0.25">
      <c r="A157" s="29">
        <f>Dataset!A157</f>
        <v>153</v>
      </c>
      <c r="B157" s="29">
        <f>IF(Dataset!B157&lt;25,0.3,IF(Dataset!B157&lt;75,0.5,IF(Dataset!B157&lt;120,0.65,0.8)))</f>
        <v>0.8</v>
      </c>
      <c r="C157" s="29">
        <f>IF(Dataset!B157&lt;25,1,IF(Dataset!B157&lt;75,2,IF(Dataset!B157&lt;120,3,4)))</f>
        <v>4</v>
      </c>
      <c r="D157" s="29">
        <f t="shared" si="16"/>
        <v>3.2</v>
      </c>
      <c r="E157" s="29">
        <f>IF(Dataset!C157&lt;=1,0.3,IF(Dataset!C157=2,0.4,IF(Dataset!C157=3,0.5,IF(Dataset!C157=4,0.65,0.8))))</f>
        <v>0.65</v>
      </c>
      <c r="F157" s="29">
        <f>IF(Dataset!C157&lt;=2,1,IF(Dataset!C157=3,2,IF(Dataset!C157=4,3,4)))</f>
        <v>3</v>
      </c>
      <c r="G157" s="29">
        <f t="shared" si="17"/>
        <v>1.9500000000000002</v>
      </c>
      <c r="H157" s="29">
        <f>IF(Dataset!G157&lt;=3,0.25,IF(Dataset!G157&lt;=6,0.45,IF(Dataset!G157&lt;=9,0.65,0.85)))</f>
        <v>0.45</v>
      </c>
      <c r="I157" s="29">
        <f>IF(Dataset!G157&lt;=3,1,IF(Dataset!G157&lt;=6,2,IF(Dataset!G157&lt;=9,3,4)))</f>
        <v>2</v>
      </c>
      <c r="J157" s="29">
        <f t="shared" si="18"/>
        <v>0.9</v>
      </c>
      <c r="K157" s="29">
        <f>IF(Dataset!H157&lt;1,0.2,IF(Dataset!H157&lt;1.3,0.45,IF(Dataset!H157&lt;1.8,0.7,0.9)))</f>
        <v>0.45</v>
      </c>
      <c r="L157" s="29">
        <f>IF(Dataset!H157&lt;1,1,IF(Dataset!H157&lt;1.3,2,IF(Dataset!H157&lt;1.8,3,4)))</f>
        <v>2</v>
      </c>
      <c r="M157" s="29">
        <f t="shared" si="19"/>
        <v>0.9</v>
      </c>
      <c r="N157" s="29">
        <f>IF(Dataset!F157=1,0.75,IF(Dataset!F157=2,0.45,0.2))</f>
        <v>0.75</v>
      </c>
      <c r="O157" s="29">
        <f>IF(Dataset!F157=1,3,IF(Dataset!F157=2,2,1))</f>
        <v>3</v>
      </c>
      <c r="P157" s="29">
        <f t="shared" si="20"/>
        <v>2.25</v>
      </c>
      <c r="Q157" s="29">
        <f>IF(Dataset!K157&lt;5,0.2,IF(Dataset!K157&lt;10,0.45,IF(Dataset!K157&lt;18,0.7,0.9)))</f>
        <v>0.45</v>
      </c>
      <c r="R157" s="29">
        <f>IF(Dataset!K157&lt;5,1,IF(Dataset!K157&lt;10,2,IF(Dataset!K157&lt;18,3,4)))</f>
        <v>2</v>
      </c>
      <c r="S157" s="29">
        <f t="shared" si="21"/>
        <v>0.9</v>
      </c>
      <c r="T157" s="29">
        <f t="shared" si="22"/>
        <v>1.5960000000000001</v>
      </c>
      <c r="U157" s="29" t="str">
        <f t="shared" si="23"/>
        <v>Medium</v>
      </c>
    </row>
    <row r="158" spans="1:21" ht="15" customHeight="1" x14ac:dyDescent="0.25">
      <c r="A158" s="29">
        <f>Dataset!A158</f>
        <v>154</v>
      </c>
      <c r="B158" s="29">
        <f>IF(Dataset!B158&lt;25,0.3,IF(Dataset!B158&lt;75,0.5,IF(Dataset!B158&lt;120,0.65,0.8)))</f>
        <v>0.65</v>
      </c>
      <c r="C158" s="29">
        <f>IF(Dataset!B158&lt;25,1,IF(Dataset!B158&lt;75,2,IF(Dataset!B158&lt;120,3,4)))</f>
        <v>3</v>
      </c>
      <c r="D158" s="29">
        <f t="shared" si="16"/>
        <v>1.9500000000000002</v>
      </c>
      <c r="E158" s="29">
        <f>IF(Dataset!C158&lt;=1,0.3,IF(Dataset!C158=2,0.4,IF(Dataset!C158=3,0.5,IF(Dataset!C158=4,0.65,0.8))))</f>
        <v>0.8</v>
      </c>
      <c r="F158" s="29">
        <f>IF(Dataset!C158&lt;=2,1,IF(Dataset!C158=3,2,IF(Dataset!C158=4,3,4)))</f>
        <v>4</v>
      </c>
      <c r="G158" s="29">
        <f t="shared" si="17"/>
        <v>3.2</v>
      </c>
      <c r="H158" s="29">
        <f>IF(Dataset!G158&lt;=3,0.25,IF(Dataset!G158&lt;=6,0.45,IF(Dataset!G158&lt;=9,0.65,0.85)))</f>
        <v>0.45</v>
      </c>
      <c r="I158" s="29">
        <f>IF(Dataset!G158&lt;=3,1,IF(Dataset!G158&lt;=6,2,IF(Dataset!G158&lt;=9,3,4)))</f>
        <v>2</v>
      </c>
      <c r="J158" s="29">
        <f t="shared" si="18"/>
        <v>0.9</v>
      </c>
      <c r="K158" s="29">
        <f>IF(Dataset!H158&lt;1,0.2,IF(Dataset!H158&lt;1.3,0.45,IF(Dataset!H158&lt;1.8,0.7,0.9)))</f>
        <v>0.45</v>
      </c>
      <c r="L158" s="29">
        <f>IF(Dataset!H158&lt;1,1,IF(Dataset!H158&lt;1.3,2,IF(Dataset!H158&lt;1.8,3,4)))</f>
        <v>2</v>
      </c>
      <c r="M158" s="29">
        <f t="shared" si="19"/>
        <v>0.9</v>
      </c>
      <c r="N158" s="29">
        <f>IF(Dataset!F158=1,0.75,IF(Dataset!F158=2,0.45,0.2))</f>
        <v>0.75</v>
      </c>
      <c r="O158" s="29">
        <f>IF(Dataset!F158=1,3,IF(Dataset!F158=2,2,1))</f>
        <v>3</v>
      </c>
      <c r="P158" s="29">
        <f t="shared" si="20"/>
        <v>2.25</v>
      </c>
      <c r="Q158" s="29">
        <f>IF(Dataset!K158&lt;5,0.2,IF(Dataset!K158&lt;10,0.45,IF(Dataset!K158&lt;18,0.7,0.9)))</f>
        <v>0.9</v>
      </c>
      <c r="R158" s="29">
        <f>IF(Dataset!K158&lt;5,1,IF(Dataset!K158&lt;10,2,IF(Dataset!K158&lt;18,3,4)))</f>
        <v>4</v>
      </c>
      <c r="S158" s="29">
        <f t="shared" si="21"/>
        <v>3.6</v>
      </c>
      <c r="T158" s="29">
        <f t="shared" si="22"/>
        <v>1.9240000000000004</v>
      </c>
      <c r="U158" s="29" t="str">
        <f t="shared" si="23"/>
        <v>High</v>
      </c>
    </row>
    <row r="159" spans="1:21" ht="15" customHeight="1" x14ac:dyDescent="0.25">
      <c r="A159" s="29">
        <f>Dataset!A159</f>
        <v>155</v>
      </c>
      <c r="B159" s="29">
        <f>IF(Dataset!B159&lt;25,0.3,IF(Dataset!B159&lt;75,0.5,IF(Dataset!B159&lt;120,0.65,0.8)))</f>
        <v>0.5</v>
      </c>
      <c r="C159" s="29">
        <f>IF(Dataset!B159&lt;25,1,IF(Dataset!B159&lt;75,2,IF(Dataset!B159&lt;120,3,4)))</f>
        <v>2</v>
      </c>
      <c r="D159" s="29">
        <f t="shared" si="16"/>
        <v>1</v>
      </c>
      <c r="E159" s="29">
        <f>IF(Dataset!C159&lt;=1,0.3,IF(Dataset!C159=2,0.4,IF(Dataset!C159=3,0.5,IF(Dataset!C159=4,0.65,0.8))))</f>
        <v>0.4</v>
      </c>
      <c r="F159" s="29">
        <f>IF(Dataset!C159&lt;=2,1,IF(Dataset!C159=3,2,IF(Dataset!C159=4,3,4)))</f>
        <v>1</v>
      </c>
      <c r="G159" s="29">
        <f t="shared" si="17"/>
        <v>0.4</v>
      </c>
      <c r="H159" s="29">
        <f>IF(Dataset!G159&lt;=3,0.25,IF(Dataset!G159&lt;=6,0.45,IF(Dataset!G159&lt;=9,0.65,0.85)))</f>
        <v>0.65</v>
      </c>
      <c r="I159" s="29">
        <f>IF(Dataset!G159&lt;=3,1,IF(Dataset!G159&lt;=6,2,IF(Dataset!G159&lt;=9,3,4)))</f>
        <v>3</v>
      </c>
      <c r="J159" s="29">
        <f t="shared" si="18"/>
        <v>1.9500000000000002</v>
      </c>
      <c r="K159" s="29">
        <f>IF(Dataset!H159&lt;1,0.2,IF(Dataset!H159&lt;1.3,0.45,IF(Dataset!H159&lt;1.8,0.7,0.9)))</f>
        <v>0.9</v>
      </c>
      <c r="L159" s="29">
        <f>IF(Dataset!H159&lt;1,1,IF(Dataset!H159&lt;1.3,2,IF(Dataset!H159&lt;1.8,3,4)))</f>
        <v>4</v>
      </c>
      <c r="M159" s="29">
        <f t="shared" si="19"/>
        <v>3.6</v>
      </c>
      <c r="N159" s="29">
        <f>IF(Dataset!F159=1,0.75,IF(Dataset!F159=2,0.45,0.2))</f>
        <v>0.45</v>
      </c>
      <c r="O159" s="29">
        <f>IF(Dataset!F159=1,3,IF(Dataset!F159=2,2,1))</f>
        <v>2</v>
      </c>
      <c r="P159" s="29">
        <f t="shared" si="20"/>
        <v>0.9</v>
      </c>
      <c r="Q159" s="29">
        <f>IF(Dataset!K159&lt;5,0.2,IF(Dataset!K159&lt;10,0.45,IF(Dataset!K159&lt;18,0.7,0.9)))</f>
        <v>0.2</v>
      </c>
      <c r="R159" s="29">
        <f>IF(Dataset!K159&lt;5,1,IF(Dataset!K159&lt;10,2,IF(Dataset!K159&lt;18,3,4)))</f>
        <v>1</v>
      </c>
      <c r="S159" s="29">
        <f t="shared" si="21"/>
        <v>0.2</v>
      </c>
      <c r="T159" s="29">
        <f t="shared" si="22"/>
        <v>1.6080000000000003</v>
      </c>
      <c r="U159" s="29" t="str">
        <f t="shared" si="23"/>
        <v>Medium</v>
      </c>
    </row>
    <row r="160" spans="1:21" ht="15" customHeight="1" x14ac:dyDescent="0.25">
      <c r="A160" s="29">
        <f>Dataset!A160</f>
        <v>156</v>
      </c>
      <c r="B160" s="29">
        <f>IF(Dataset!B160&lt;25,0.3,IF(Dataset!B160&lt;75,0.5,IF(Dataset!B160&lt;120,0.65,0.8)))</f>
        <v>0.5</v>
      </c>
      <c r="C160" s="29">
        <f>IF(Dataset!B160&lt;25,1,IF(Dataset!B160&lt;75,2,IF(Dataset!B160&lt;120,3,4)))</f>
        <v>2</v>
      </c>
      <c r="D160" s="29">
        <f t="shared" si="16"/>
        <v>1</v>
      </c>
      <c r="E160" s="29">
        <f>IF(Dataset!C160&lt;=1,0.3,IF(Dataset!C160=2,0.4,IF(Dataset!C160=3,0.5,IF(Dataset!C160=4,0.65,0.8))))</f>
        <v>0.8</v>
      </c>
      <c r="F160" s="29">
        <f>IF(Dataset!C160&lt;=2,1,IF(Dataset!C160=3,2,IF(Dataset!C160=4,3,4)))</f>
        <v>4</v>
      </c>
      <c r="G160" s="29">
        <f t="shared" si="17"/>
        <v>3.2</v>
      </c>
      <c r="H160" s="29">
        <f>IF(Dataset!G160&lt;=3,0.25,IF(Dataset!G160&lt;=6,0.45,IF(Dataset!G160&lt;=9,0.65,0.85)))</f>
        <v>0.45</v>
      </c>
      <c r="I160" s="29">
        <f>IF(Dataset!G160&lt;=3,1,IF(Dataset!G160&lt;=6,2,IF(Dataset!G160&lt;=9,3,4)))</f>
        <v>2</v>
      </c>
      <c r="J160" s="29">
        <f t="shared" si="18"/>
        <v>0.9</v>
      </c>
      <c r="K160" s="29">
        <f>IF(Dataset!H160&lt;1,0.2,IF(Dataset!H160&lt;1.3,0.45,IF(Dataset!H160&lt;1.8,0.7,0.9)))</f>
        <v>0.7</v>
      </c>
      <c r="L160" s="29">
        <f>IF(Dataset!H160&lt;1,1,IF(Dataset!H160&lt;1.3,2,IF(Dataset!H160&lt;1.8,3,4)))</f>
        <v>3</v>
      </c>
      <c r="M160" s="29">
        <f t="shared" si="19"/>
        <v>2.0999999999999996</v>
      </c>
      <c r="N160" s="29">
        <f>IF(Dataset!F160=1,0.75,IF(Dataset!F160=2,0.45,0.2))</f>
        <v>0.45</v>
      </c>
      <c r="O160" s="29">
        <f>IF(Dataset!F160=1,3,IF(Dataset!F160=2,2,1))</f>
        <v>2</v>
      </c>
      <c r="P160" s="29">
        <f t="shared" si="20"/>
        <v>0.9</v>
      </c>
      <c r="Q160" s="29">
        <f>IF(Dataset!K160&lt;5,0.2,IF(Dataset!K160&lt;10,0.45,IF(Dataset!K160&lt;18,0.7,0.9)))</f>
        <v>0.9</v>
      </c>
      <c r="R160" s="29">
        <f>IF(Dataset!K160&lt;5,1,IF(Dataset!K160&lt;10,2,IF(Dataset!K160&lt;18,3,4)))</f>
        <v>4</v>
      </c>
      <c r="S160" s="29">
        <f t="shared" si="21"/>
        <v>3.6</v>
      </c>
      <c r="T160" s="29">
        <f t="shared" si="22"/>
        <v>1.9060000000000001</v>
      </c>
      <c r="U160" s="29" t="str">
        <f t="shared" si="23"/>
        <v>High</v>
      </c>
    </row>
    <row r="161" spans="1:21" ht="15" customHeight="1" x14ac:dyDescent="0.25">
      <c r="A161" s="29">
        <f>Dataset!A161</f>
        <v>157</v>
      </c>
      <c r="B161" s="29">
        <f>IF(Dataset!B161&lt;25,0.3,IF(Dataset!B161&lt;75,0.5,IF(Dataset!B161&lt;120,0.65,0.8)))</f>
        <v>0.65</v>
      </c>
      <c r="C161" s="29">
        <f>IF(Dataset!B161&lt;25,1,IF(Dataset!B161&lt;75,2,IF(Dataset!B161&lt;120,3,4)))</f>
        <v>3</v>
      </c>
      <c r="D161" s="29">
        <f t="shared" si="16"/>
        <v>1.9500000000000002</v>
      </c>
      <c r="E161" s="29">
        <f>IF(Dataset!C161&lt;=1,0.3,IF(Dataset!C161=2,0.4,IF(Dataset!C161=3,0.5,IF(Dataset!C161=4,0.65,0.8))))</f>
        <v>0.65</v>
      </c>
      <c r="F161" s="29">
        <f>IF(Dataset!C161&lt;=2,1,IF(Dataset!C161=3,2,IF(Dataset!C161=4,3,4)))</f>
        <v>3</v>
      </c>
      <c r="G161" s="29">
        <f t="shared" si="17"/>
        <v>1.9500000000000002</v>
      </c>
      <c r="H161" s="29">
        <f>IF(Dataset!G161&lt;=3,0.25,IF(Dataset!G161&lt;=6,0.45,IF(Dataset!G161&lt;=9,0.65,0.85)))</f>
        <v>0.65</v>
      </c>
      <c r="I161" s="29">
        <f>IF(Dataset!G161&lt;=3,1,IF(Dataset!G161&lt;=6,2,IF(Dataset!G161&lt;=9,3,4)))</f>
        <v>3</v>
      </c>
      <c r="J161" s="29">
        <f t="shared" si="18"/>
        <v>1.9500000000000002</v>
      </c>
      <c r="K161" s="29">
        <f>IF(Dataset!H161&lt;1,0.2,IF(Dataset!H161&lt;1.3,0.45,IF(Dataset!H161&lt;1.8,0.7,0.9)))</f>
        <v>0.9</v>
      </c>
      <c r="L161" s="29">
        <f>IF(Dataset!H161&lt;1,1,IF(Dataset!H161&lt;1.3,2,IF(Dataset!H161&lt;1.8,3,4)))</f>
        <v>4</v>
      </c>
      <c r="M161" s="29">
        <f t="shared" si="19"/>
        <v>3.6</v>
      </c>
      <c r="N161" s="29">
        <f>IF(Dataset!F161=1,0.75,IF(Dataset!F161=2,0.45,0.2))</f>
        <v>0.75</v>
      </c>
      <c r="O161" s="29">
        <f>IF(Dataset!F161=1,3,IF(Dataset!F161=2,2,1))</f>
        <v>3</v>
      </c>
      <c r="P161" s="29">
        <f t="shared" si="20"/>
        <v>2.25</v>
      </c>
      <c r="Q161" s="29">
        <f>IF(Dataset!K161&lt;5,0.2,IF(Dataset!K161&lt;10,0.45,IF(Dataset!K161&lt;18,0.7,0.9)))</f>
        <v>0.7</v>
      </c>
      <c r="R161" s="29">
        <f>IF(Dataset!K161&lt;5,1,IF(Dataset!K161&lt;10,2,IF(Dataset!K161&lt;18,3,4)))</f>
        <v>3</v>
      </c>
      <c r="S161" s="29">
        <f t="shared" si="21"/>
        <v>2.0999999999999996</v>
      </c>
      <c r="T161" s="29">
        <f t="shared" si="22"/>
        <v>2.3970000000000002</v>
      </c>
      <c r="U161" s="29" t="str">
        <f t="shared" si="23"/>
        <v>High</v>
      </c>
    </row>
    <row r="162" spans="1:21" ht="15" customHeight="1" x14ac:dyDescent="0.25">
      <c r="A162" s="29">
        <f>Dataset!A162</f>
        <v>158</v>
      </c>
      <c r="B162" s="29">
        <f>IF(Dataset!B162&lt;25,0.3,IF(Dataset!B162&lt;75,0.5,IF(Dataset!B162&lt;120,0.65,0.8)))</f>
        <v>0.8</v>
      </c>
      <c r="C162" s="29">
        <f>IF(Dataset!B162&lt;25,1,IF(Dataset!B162&lt;75,2,IF(Dataset!B162&lt;120,3,4)))</f>
        <v>4</v>
      </c>
      <c r="D162" s="29">
        <f t="shared" si="16"/>
        <v>3.2</v>
      </c>
      <c r="E162" s="29">
        <f>IF(Dataset!C162&lt;=1,0.3,IF(Dataset!C162=2,0.4,IF(Dataset!C162=3,0.5,IF(Dataset!C162=4,0.65,0.8))))</f>
        <v>0.65</v>
      </c>
      <c r="F162" s="29">
        <f>IF(Dataset!C162&lt;=2,1,IF(Dataset!C162=3,2,IF(Dataset!C162=4,3,4)))</f>
        <v>3</v>
      </c>
      <c r="G162" s="29">
        <f t="shared" si="17"/>
        <v>1.9500000000000002</v>
      </c>
      <c r="H162" s="29">
        <f>IF(Dataset!G162&lt;=3,0.25,IF(Dataset!G162&lt;=6,0.45,IF(Dataset!G162&lt;=9,0.65,0.85)))</f>
        <v>0.25</v>
      </c>
      <c r="I162" s="29">
        <f>IF(Dataset!G162&lt;=3,1,IF(Dataset!G162&lt;=6,2,IF(Dataset!G162&lt;=9,3,4)))</f>
        <v>1</v>
      </c>
      <c r="J162" s="29">
        <f t="shared" si="18"/>
        <v>0.25</v>
      </c>
      <c r="K162" s="29">
        <f>IF(Dataset!H162&lt;1,0.2,IF(Dataset!H162&lt;1.3,0.45,IF(Dataset!H162&lt;1.8,0.7,0.9)))</f>
        <v>0.2</v>
      </c>
      <c r="L162" s="29">
        <f>IF(Dataset!H162&lt;1,1,IF(Dataset!H162&lt;1.3,2,IF(Dataset!H162&lt;1.8,3,4)))</f>
        <v>1</v>
      </c>
      <c r="M162" s="29">
        <f t="shared" si="19"/>
        <v>0.2</v>
      </c>
      <c r="N162" s="29">
        <f>IF(Dataset!F162=1,0.75,IF(Dataset!F162=2,0.45,0.2))</f>
        <v>0.45</v>
      </c>
      <c r="O162" s="29">
        <f>IF(Dataset!F162=1,3,IF(Dataset!F162=2,2,1))</f>
        <v>2</v>
      </c>
      <c r="P162" s="29">
        <f t="shared" si="20"/>
        <v>0.9</v>
      </c>
      <c r="Q162" s="29">
        <f>IF(Dataset!K162&lt;5,0.2,IF(Dataset!K162&lt;10,0.45,IF(Dataset!K162&lt;18,0.7,0.9)))</f>
        <v>0.7</v>
      </c>
      <c r="R162" s="29">
        <f>IF(Dataset!K162&lt;5,1,IF(Dataset!K162&lt;10,2,IF(Dataset!K162&lt;18,3,4)))</f>
        <v>3</v>
      </c>
      <c r="S162" s="29">
        <f t="shared" si="21"/>
        <v>2.0999999999999996</v>
      </c>
      <c r="T162" s="29">
        <f t="shared" si="22"/>
        <v>1.3310000000000002</v>
      </c>
      <c r="U162" s="29" t="str">
        <f t="shared" si="23"/>
        <v>Low</v>
      </c>
    </row>
    <row r="163" spans="1:21" ht="15" customHeight="1" x14ac:dyDescent="0.25">
      <c r="A163" s="29">
        <f>Dataset!A163</f>
        <v>159</v>
      </c>
      <c r="B163" s="29">
        <f>IF(Dataset!B163&lt;25,0.3,IF(Dataset!B163&lt;75,0.5,IF(Dataset!B163&lt;120,0.65,0.8)))</f>
        <v>0.8</v>
      </c>
      <c r="C163" s="29">
        <f>IF(Dataset!B163&lt;25,1,IF(Dataset!B163&lt;75,2,IF(Dataset!B163&lt;120,3,4)))</f>
        <v>4</v>
      </c>
      <c r="D163" s="29">
        <f t="shared" si="16"/>
        <v>3.2</v>
      </c>
      <c r="E163" s="29">
        <f>IF(Dataset!C163&lt;=1,0.3,IF(Dataset!C163=2,0.4,IF(Dataset!C163=3,0.5,IF(Dataset!C163=4,0.65,0.8))))</f>
        <v>0.65</v>
      </c>
      <c r="F163" s="29">
        <f>IF(Dataset!C163&lt;=2,1,IF(Dataset!C163=3,2,IF(Dataset!C163=4,3,4)))</f>
        <v>3</v>
      </c>
      <c r="G163" s="29">
        <f t="shared" si="17"/>
        <v>1.9500000000000002</v>
      </c>
      <c r="H163" s="29">
        <f>IF(Dataset!G163&lt;=3,0.25,IF(Dataset!G163&lt;=6,0.45,IF(Dataset!G163&lt;=9,0.65,0.85)))</f>
        <v>0.65</v>
      </c>
      <c r="I163" s="29">
        <f>IF(Dataset!G163&lt;=3,1,IF(Dataset!G163&lt;=6,2,IF(Dataset!G163&lt;=9,3,4)))</f>
        <v>3</v>
      </c>
      <c r="J163" s="29">
        <f t="shared" si="18"/>
        <v>1.9500000000000002</v>
      </c>
      <c r="K163" s="29">
        <f>IF(Dataset!H163&lt;1,0.2,IF(Dataset!H163&lt;1.3,0.45,IF(Dataset!H163&lt;1.8,0.7,0.9)))</f>
        <v>0.45</v>
      </c>
      <c r="L163" s="29">
        <f>IF(Dataset!H163&lt;1,1,IF(Dataset!H163&lt;1.3,2,IF(Dataset!H163&lt;1.8,3,4)))</f>
        <v>2</v>
      </c>
      <c r="M163" s="29">
        <f t="shared" si="19"/>
        <v>0.9</v>
      </c>
      <c r="N163" s="29">
        <f>IF(Dataset!F163=1,0.75,IF(Dataset!F163=2,0.45,0.2))</f>
        <v>0.45</v>
      </c>
      <c r="O163" s="29">
        <f>IF(Dataset!F163=1,3,IF(Dataset!F163=2,2,1))</f>
        <v>2</v>
      </c>
      <c r="P163" s="29">
        <f t="shared" si="20"/>
        <v>0.9</v>
      </c>
      <c r="Q163" s="29">
        <f>IF(Dataset!K163&lt;5,0.2,IF(Dataset!K163&lt;10,0.45,IF(Dataset!K163&lt;18,0.7,0.9)))</f>
        <v>0.45</v>
      </c>
      <c r="R163" s="29">
        <f>IF(Dataset!K163&lt;5,1,IF(Dataset!K163&lt;10,2,IF(Dataset!K163&lt;18,3,4)))</f>
        <v>2</v>
      </c>
      <c r="S163" s="29">
        <f t="shared" si="21"/>
        <v>0.9</v>
      </c>
      <c r="T163" s="29">
        <f t="shared" si="22"/>
        <v>1.6710000000000003</v>
      </c>
      <c r="U163" s="29" t="str">
        <f t="shared" si="23"/>
        <v>Medium</v>
      </c>
    </row>
    <row r="164" spans="1:21" ht="15" customHeight="1" x14ac:dyDescent="0.25">
      <c r="A164" s="29">
        <f>Dataset!A164</f>
        <v>160</v>
      </c>
      <c r="B164" s="29">
        <f>IF(Dataset!B164&lt;25,0.3,IF(Dataset!B164&lt;75,0.5,IF(Dataset!B164&lt;120,0.65,0.8)))</f>
        <v>0.65</v>
      </c>
      <c r="C164" s="29">
        <f>IF(Dataset!B164&lt;25,1,IF(Dataset!B164&lt;75,2,IF(Dataset!B164&lt;120,3,4)))</f>
        <v>3</v>
      </c>
      <c r="D164" s="29">
        <f t="shared" si="16"/>
        <v>1.9500000000000002</v>
      </c>
      <c r="E164" s="29">
        <f>IF(Dataset!C164&lt;=1,0.3,IF(Dataset!C164=2,0.4,IF(Dataset!C164=3,0.5,IF(Dataset!C164=4,0.65,0.8))))</f>
        <v>0.65</v>
      </c>
      <c r="F164" s="29">
        <f>IF(Dataset!C164&lt;=2,1,IF(Dataset!C164=3,2,IF(Dataset!C164=4,3,4)))</f>
        <v>3</v>
      </c>
      <c r="G164" s="29">
        <f t="shared" si="17"/>
        <v>1.9500000000000002</v>
      </c>
      <c r="H164" s="29">
        <f>IF(Dataset!G164&lt;=3,0.25,IF(Dataset!G164&lt;=6,0.45,IF(Dataset!G164&lt;=9,0.65,0.85)))</f>
        <v>0.85</v>
      </c>
      <c r="I164" s="29">
        <f>IF(Dataset!G164&lt;=3,1,IF(Dataset!G164&lt;=6,2,IF(Dataset!G164&lt;=9,3,4)))</f>
        <v>4</v>
      </c>
      <c r="J164" s="29">
        <f t="shared" si="18"/>
        <v>3.4</v>
      </c>
      <c r="K164" s="29">
        <f>IF(Dataset!H164&lt;1,0.2,IF(Dataset!H164&lt;1.3,0.45,IF(Dataset!H164&lt;1.8,0.7,0.9)))</f>
        <v>0.9</v>
      </c>
      <c r="L164" s="29">
        <f>IF(Dataset!H164&lt;1,1,IF(Dataset!H164&lt;1.3,2,IF(Dataset!H164&lt;1.8,3,4)))</f>
        <v>4</v>
      </c>
      <c r="M164" s="29">
        <f t="shared" si="19"/>
        <v>3.6</v>
      </c>
      <c r="N164" s="29">
        <f>IF(Dataset!F164=1,0.75,IF(Dataset!F164=2,0.45,0.2))</f>
        <v>0.75</v>
      </c>
      <c r="O164" s="29">
        <f>IF(Dataset!F164=1,3,IF(Dataset!F164=2,2,1))</f>
        <v>3</v>
      </c>
      <c r="P164" s="29">
        <f t="shared" si="20"/>
        <v>2.25</v>
      </c>
      <c r="Q164" s="29">
        <f>IF(Dataset!K164&lt;5,0.2,IF(Dataset!K164&lt;10,0.45,IF(Dataset!K164&lt;18,0.7,0.9)))</f>
        <v>0.7</v>
      </c>
      <c r="R164" s="29">
        <f>IF(Dataset!K164&lt;5,1,IF(Dataset!K164&lt;10,2,IF(Dataset!K164&lt;18,3,4)))</f>
        <v>3</v>
      </c>
      <c r="S164" s="29">
        <f t="shared" si="21"/>
        <v>2.0999999999999996</v>
      </c>
      <c r="T164" s="29">
        <f t="shared" si="22"/>
        <v>2.6870000000000003</v>
      </c>
      <c r="U164" s="29" t="str">
        <f t="shared" si="23"/>
        <v>High</v>
      </c>
    </row>
    <row r="165" spans="1:21" ht="15" customHeight="1" x14ac:dyDescent="0.25">
      <c r="A165" s="29">
        <f>Dataset!A165</f>
        <v>161</v>
      </c>
      <c r="B165" s="29">
        <f>IF(Dataset!B165&lt;25,0.3,IF(Dataset!B165&lt;75,0.5,IF(Dataset!B165&lt;120,0.65,0.8)))</f>
        <v>0.5</v>
      </c>
      <c r="C165" s="29">
        <f>IF(Dataset!B165&lt;25,1,IF(Dataset!B165&lt;75,2,IF(Dataset!B165&lt;120,3,4)))</f>
        <v>2</v>
      </c>
      <c r="D165" s="29">
        <f t="shared" si="16"/>
        <v>1</v>
      </c>
      <c r="E165" s="29">
        <f>IF(Dataset!C165&lt;=1,0.3,IF(Dataset!C165=2,0.4,IF(Dataset!C165=3,0.5,IF(Dataset!C165=4,0.65,0.8))))</f>
        <v>0.65</v>
      </c>
      <c r="F165" s="29">
        <f>IF(Dataset!C165&lt;=2,1,IF(Dataset!C165=3,2,IF(Dataset!C165=4,3,4)))</f>
        <v>3</v>
      </c>
      <c r="G165" s="29">
        <f t="shared" si="17"/>
        <v>1.9500000000000002</v>
      </c>
      <c r="H165" s="29">
        <f>IF(Dataset!G165&lt;=3,0.25,IF(Dataset!G165&lt;=6,0.45,IF(Dataset!G165&lt;=9,0.65,0.85)))</f>
        <v>0.45</v>
      </c>
      <c r="I165" s="29">
        <f>IF(Dataset!G165&lt;=3,1,IF(Dataset!G165&lt;=6,2,IF(Dataset!G165&lt;=9,3,4)))</f>
        <v>2</v>
      </c>
      <c r="J165" s="29">
        <f t="shared" si="18"/>
        <v>0.9</v>
      </c>
      <c r="K165" s="29">
        <f>IF(Dataset!H165&lt;1,0.2,IF(Dataset!H165&lt;1.3,0.45,IF(Dataset!H165&lt;1.8,0.7,0.9)))</f>
        <v>0.45</v>
      </c>
      <c r="L165" s="29">
        <f>IF(Dataset!H165&lt;1,1,IF(Dataset!H165&lt;1.3,2,IF(Dataset!H165&lt;1.8,3,4)))</f>
        <v>2</v>
      </c>
      <c r="M165" s="29">
        <f t="shared" si="19"/>
        <v>0.9</v>
      </c>
      <c r="N165" s="29">
        <f>IF(Dataset!F165=1,0.75,IF(Dataset!F165=2,0.45,0.2))</f>
        <v>0.2</v>
      </c>
      <c r="O165" s="29">
        <f>IF(Dataset!F165=1,3,IF(Dataset!F165=2,2,1))</f>
        <v>1</v>
      </c>
      <c r="P165" s="29">
        <f t="shared" si="20"/>
        <v>0.2</v>
      </c>
      <c r="Q165" s="29">
        <f>IF(Dataset!K165&lt;5,0.2,IF(Dataset!K165&lt;10,0.45,IF(Dataset!K165&lt;18,0.7,0.9)))</f>
        <v>0.7</v>
      </c>
      <c r="R165" s="29">
        <f>IF(Dataset!K165&lt;5,1,IF(Dataset!K165&lt;10,2,IF(Dataset!K165&lt;18,3,4)))</f>
        <v>3</v>
      </c>
      <c r="S165" s="29">
        <f t="shared" si="21"/>
        <v>2.0999999999999996</v>
      </c>
      <c r="T165" s="29">
        <f t="shared" si="22"/>
        <v>1.163</v>
      </c>
      <c r="U165" s="29" t="str">
        <f t="shared" si="23"/>
        <v>Low</v>
      </c>
    </row>
    <row r="166" spans="1:21" ht="15" customHeight="1" x14ac:dyDescent="0.25">
      <c r="A166" s="29">
        <f>Dataset!A166</f>
        <v>162</v>
      </c>
      <c r="B166" s="29">
        <f>IF(Dataset!B166&lt;25,0.3,IF(Dataset!B166&lt;75,0.5,IF(Dataset!B166&lt;120,0.65,0.8)))</f>
        <v>0.8</v>
      </c>
      <c r="C166" s="29">
        <f>IF(Dataset!B166&lt;25,1,IF(Dataset!B166&lt;75,2,IF(Dataset!B166&lt;120,3,4)))</f>
        <v>4</v>
      </c>
      <c r="D166" s="29">
        <f t="shared" si="16"/>
        <v>3.2</v>
      </c>
      <c r="E166" s="29">
        <f>IF(Dataset!C166&lt;=1,0.3,IF(Dataset!C166=2,0.4,IF(Dataset!C166=3,0.5,IF(Dataset!C166=4,0.65,0.8))))</f>
        <v>0.5</v>
      </c>
      <c r="F166" s="29">
        <f>IF(Dataset!C166&lt;=2,1,IF(Dataset!C166=3,2,IF(Dataset!C166=4,3,4)))</f>
        <v>2</v>
      </c>
      <c r="G166" s="29">
        <f t="shared" si="17"/>
        <v>1</v>
      </c>
      <c r="H166" s="29">
        <f>IF(Dataset!G166&lt;=3,0.25,IF(Dataset!G166&lt;=6,0.45,IF(Dataset!G166&lt;=9,0.65,0.85)))</f>
        <v>0.45</v>
      </c>
      <c r="I166" s="29">
        <f>IF(Dataset!G166&lt;=3,1,IF(Dataset!G166&lt;=6,2,IF(Dataset!G166&lt;=9,3,4)))</f>
        <v>2</v>
      </c>
      <c r="J166" s="29">
        <f t="shared" si="18"/>
        <v>0.9</v>
      </c>
      <c r="K166" s="29">
        <f>IF(Dataset!H166&lt;1,0.2,IF(Dataset!H166&lt;1.3,0.45,IF(Dataset!H166&lt;1.8,0.7,0.9)))</f>
        <v>0.9</v>
      </c>
      <c r="L166" s="29">
        <f>IF(Dataset!H166&lt;1,1,IF(Dataset!H166&lt;1.3,2,IF(Dataset!H166&lt;1.8,3,4)))</f>
        <v>4</v>
      </c>
      <c r="M166" s="29">
        <f t="shared" si="19"/>
        <v>3.6</v>
      </c>
      <c r="N166" s="29">
        <f>IF(Dataset!F166=1,0.75,IF(Dataset!F166=2,0.45,0.2))</f>
        <v>0.45</v>
      </c>
      <c r="O166" s="29">
        <f>IF(Dataset!F166=1,3,IF(Dataset!F166=2,2,1))</f>
        <v>2</v>
      </c>
      <c r="P166" s="29">
        <f t="shared" si="20"/>
        <v>0.9</v>
      </c>
      <c r="Q166" s="29">
        <f>IF(Dataset!K166&lt;5,0.2,IF(Dataset!K166&lt;10,0.45,IF(Dataset!K166&lt;18,0.7,0.9)))</f>
        <v>0.45</v>
      </c>
      <c r="R166" s="29">
        <f>IF(Dataset!K166&lt;5,1,IF(Dataset!K166&lt;10,2,IF(Dataset!K166&lt;18,3,4)))</f>
        <v>2</v>
      </c>
      <c r="S166" s="29">
        <f t="shared" si="21"/>
        <v>0.9</v>
      </c>
      <c r="T166" s="29">
        <f t="shared" si="22"/>
        <v>1.9760000000000002</v>
      </c>
      <c r="U166" s="29" t="str">
        <f t="shared" si="23"/>
        <v>High</v>
      </c>
    </row>
    <row r="167" spans="1:21" ht="15" customHeight="1" x14ac:dyDescent="0.25">
      <c r="A167" s="29">
        <f>Dataset!A167</f>
        <v>163</v>
      </c>
      <c r="B167" s="29">
        <f>IF(Dataset!B167&lt;25,0.3,IF(Dataset!B167&lt;75,0.5,IF(Dataset!B167&lt;120,0.65,0.8)))</f>
        <v>0.65</v>
      </c>
      <c r="C167" s="29">
        <f>IF(Dataset!B167&lt;25,1,IF(Dataset!B167&lt;75,2,IF(Dataset!B167&lt;120,3,4)))</f>
        <v>3</v>
      </c>
      <c r="D167" s="29">
        <f t="shared" si="16"/>
        <v>1.9500000000000002</v>
      </c>
      <c r="E167" s="29">
        <f>IF(Dataset!C167&lt;=1,0.3,IF(Dataset!C167=2,0.4,IF(Dataset!C167=3,0.5,IF(Dataset!C167=4,0.65,0.8))))</f>
        <v>0.5</v>
      </c>
      <c r="F167" s="29">
        <f>IF(Dataset!C167&lt;=2,1,IF(Dataset!C167=3,2,IF(Dataset!C167=4,3,4)))</f>
        <v>2</v>
      </c>
      <c r="G167" s="29">
        <f t="shared" si="17"/>
        <v>1</v>
      </c>
      <c r="H167" s="29">
        <f>IF(Dataset!G167&lt;=3,0.25,IF(Dataset!G167&lt;=6,0.45,IF(Dataset!G167&lt;=9,0.65,0.85)))</f>
        <v>0.65</v>
      </c>
      <c r="I167" s="29">
        <f>IF(Dataset!G167&lt;=3,1,IF(Dataset!G167&lt;=6,2,IF(Dataset!G167&lt;=9,3,4)))</f>
        <v>3</v>
      </c>
      <c r="J167" s="29">
        <f t="shared" si="18"/>
        <v>1.9500000000000002</v>
      </c>
      <c r="K167" s="29">
        <f>IF(Dataset!H167&lt;1,0.2,IF(Dataset!H167&lt;1.3,0.45,IF(Dataset!H167&lt;1.8,0.7,0.9)))</f>
        <v>0.2</v>
      </c>
      <c r="L167" s="29">
        <f>IF(Dataset!H167&lt;1,1,IF(Dataset!H167&lt;1.3,2,IF(Dataset!H167&lt;1.8,3,4)))</f>
        <v>1</v>
      </c>
      <c r="M167" s="29">
        <f t="shared" si="19"/>
        <v>0.2</v>
      </c>
      <c r="N167" s="29">
        <f>IF(Dataset!F167=1,0.75,IF(Dataset!F167=2,0.45,0.2))</f>
        <v>0.75</v>
      </c>
      <c r="O167" s="29">
        <f>IF(Dataset!F167=1,3,IF(Dataset!F167=2,2,1))</f>
        <v>3</v>
      </c>
      <c r="P167" s="29">
        <f t="shared" si="20"/>
        <v>2.25</v>
      </c>
      <c r="Q167" s="29">
        <f>IF(Dataset!K167&lt;5,0.2,IF(Dataset!K167&lt;10,0.45,IF(Dataset!K167&lt;18,0.7,0.9)))</f>
        <v>0.45</v>
      </c>
      <c r="R167" s="29">
        <f>IF(Dataset!K167&lt;5,1,IF(Dataset!K167&lt;10,2,IF(Dataset!K167&lt;18,3,4)))</f>
        <v>2</v>
      </c>
      <c r="S167" s="29">
        <f t="shared" si="21"/>
        <v>0.9</v>
      </c>
      <c r="T167" s="29">
        <f t="shared" si="22"/>
        <v>1.2800000000000002</v>
      </c>
      <c r="U167" s="29" t="str">
        <f t="shared" si="23"/>
        <v>Low</v>
      </c>
    </row>
    <row r="168" spans="1:21" ht="15" customHeight="1" x14ac:dyDescent="0.25">
      <c r="A168" s="29">
        <f>Dataset!A168</f>
        <v>164</v>
      </c>
      <c r="B168" s="29">
        <f>IF(Dataset!B168&lt;25,0.3,IF(Dataset!B168&lt;75,0.5,IF(Dataset!B168&lt;120,0.65,0.8)))</f>
        <v>0.5</v>
      </c>
      <c r="C168" s="29">
        <f>IF(Dataset!B168&lt;25,1,IF(Dataset!B168&lt;75,2,IF(Dataset!B168&lt;120,3,4)))</f>
        <v>2</v>
      </c>
      <c r="D168" s="29">
        <f t="shared" si="16"/>
        <v>1</v>
      </c>
      <c r="E168" s="29">
        <f>IF(Dataset!C168&lt;=1,0.3,IF(Dataset!C168=2,0.4,IF(Dataset!C168=3,0.5,IF(Dataset!C168=4,0.65,0.8))))</f>
        <v>0.5</v>
      </c>
      <c r="F168" s="29">
        <f>IF(Dataset!C168&lt;=2,1,IF(Dataset!C168=3,2,IF(Dataset!C168=4,3,4)))</f>
        <v>2</v>
      </c>
      <c r="G168" s="29">
        <f t="shared" si="17"/>
        <v>1</v>
      </c>
      <c r="H168" s="29">
        <f>IF(Dataset!G168&lt;=3,0.25,IF(Dataset!G168&lt;=6,0.45,IF(Dataset!G168&lt;=9,0.65,0.85)))</f>
        <v>0.45</v>
      </c>
      <c r="I168" s="29">
        <f>IF(Dataset!G168&lt;=3,1,IF(Dataset!G168&lt;=6,2,IF(Dataset!G168&lt;=9,3,4)))</f>
        <v>2</v>
      </c>
      <c r="J168" s="29">
        <f t="shared" si="18"/>
        <v>0.9</v>
      </c>
      <c r="K168" s="29">
        <f>IF(Dataset!H168&lt;1,0.2,IF(Dataset!H168&lt;1.3,0.45,IF(Dataset!H168&lt;1.8,0.7,0.9)))</f>
        <v>0.2</v>
      </c>
      <c r="L168" s="29">
        <f>IF(Dataset!H168&lt;1,1,IF(Dataset!H168&lt;1.3,2,IF(Dataset!H168&lt;1.8,3,4)))</f>
        <v>1</v>
      </c>
      <c r="M168" s="29">
        <f t="shared" si="19"/>
        <v>0.2</v>
      </c>
      <c r="N168" s="29">
        <f>IF(Dataset!F168=1,0.75,IF(Dataset!F168=2,0.45,0.2))</f>
        <v>0.2</v>
      </c>
      <c r="O168" s="29">
        <f>IF(Dataset!F168=1,3,IF(Dataset!F168=2,2,1))</f>
        <v>1</v>
      </c>
      <c r="P168" s="29">
        <f t="shared" si="20"/>
        <v>0.2</v>
      </c>
      <c r="Q168" s="29">
        <f>IF(Dataset!K168&lt;5,0.2,IF(Dataset!K168&lt;10,0.45,IF(Dataset!K168&lt;18,0.7,0.9)))</f>
        <v>0.45</v>
      </c>
      <c r="R168" s="29">
        <f>IF(Dataset!K168&lt;5,1,IF(Dataset!K168&lt;10,2,IF(Dataset!K168&lt;18,3,4)))</f>
        <v>2</v>
      </c>
      <c r="S168" s="29">
        <f t="shared" si="21"/>
        <v>0.9</v>
      </c>
      <c r="T168" s="29">
        <f t="shared" si="22"/>
        <v>0.69400000000000006</v>
      </c>
      <c r="U168" s="29" t="str">
        <f t="shared" si="23"/>
        <v>Low</v>
      </c>
    </row>
    <row r="169" spans="1:21" ht="15" customHeight="1" x14ac:dyDescent="0.25">
      <c r="A169" s="29">
        <f>Dataset!A169</f>
        <v>165</v>
      </c>
      <c r="B169" s="29">
        <f>IF(Dataset!B169&lt;25,0.3,IF(Dataset!B169&lt;75,0.5,IF(Dataset!B169&lt;120,0.65,0.8)))</f>
        <v>0.65</v>
      </c>
      <c r="C169" s="29">
        <f>IF(Dataset!B169&lt;25,1,IF(Dataset!B169&lt;75,2,IF(Dataset!B169&lt;120,3,4)))</f>
        <v>3</v>
      </c>
      <c r="D169" s="29">
        <f t="shared" si="16"/>
        <v>1.9500000000000002</v>
      </c>
      <c r="E169" s="29">
        <f>IF(Dataset!C169&lt;=1,0.3,IF(Dataset!C169=2,0.4,IF(Dataset!C169=3,0.5,IF(Dataset!C169=4,0.65,0.8))))</f>
        <v>0.4</v>
      </c>
      <c r="F169" s="29">
        <f>IF(Dataset!C169&lt;=2,1,IF(Dataset!C169=3,2,IF(Dataset!C169=4,3,4)))</f>
        <v>1</v>
      </c>
      <c r="G169" s="29">
        <f t="shared" si="17"/>
        <v>0.4</v>
      </c>
      <c r="H169" s="29">
        <f>IF(Dataset!G169&lt;=3,0.25,IF(Dataset!G169&lt;=6,0.45,IF(Dataset!G169&lt;=9,0.65,0.85)))</f>
        <v>0.65</v>
      </c>
      <c r="I169" s="29">
        <f>IF(Dataset!G169&lt;=3,1,IF(Dataset!G169&lt;=6,2,IF(Dataset!G169&lt;=9,3,4)))</f>
        <v>3</v>
      </c>
      <c r="J169" s="29">
        <f t="shared" si="18"/>
        <v>1.9500000000000002</v>
      </c>
      <c r="K169" s="29">
        <f>IF(Dataset!H169&lt;1,0.2,IF(Dataset!H169&lt;1.3,0.45,IF(Dataset!H169&lt;1.8,0.7,0.9)))</f>
        <v>0.7</v>
      </c>
      <c r="L169" s="29">
        <f>IF(Dataset!H169&lt;1,1,IF(Dataset!H169&lt;1.3,2,IF(Dataset!H169&lt;1.8,3,4)))</f>
        <v>3</v>
      </c>
      <c r="M169" s="29">
        <f t="shared" si="19"/>
        <v>2.0999999999999996</v>
      </c>
      <c r="N169" s="29">
        <f>IF(Dataset!F169=1,0.75,IF(Dataset!F169=2,0.45,0.2))</f>
        <v>0.2</v>
      </c>
      <c r="O169" s="29">
        <f>IF(Dataset!F169=1,3,IF(Dataset!F169=2,2,1))</f>
        <v>1</v>
      </c>
      <c r="P169" s="29">
        <f t="shared" si="20"/>
        <v>0.2</v>
      </c>
      <c r="Q169" s="29">
        <f>IF(Dataset!K169&lt;5,0.2,IF(Dataset!K169&lt;10,0.45,IF(Dataset!K169&lt;18,0.7,0.9)))</f>
        <v>0.2</v>
      </c>
      <c r="R169" s="29">
        <f>IF(Dataset!K169&lt;5,1,IF(Dataset!K169&lt;10,2,IF(Dataset!K169&lt;18,3,4)))</f>
        <v>1</v>
      </c>
      <c r="S169" s="29">
        <f t="shared" si="21"/>
        <v>0.2</v>
      </c>
      <c r="T169" s="29">
        <f t="shared" si="22"/>
        <v>1.3490000000000002</v>
      </c>
      <c r="U169" s="29" t="str">
        <f t="shared" si="23"/>
        <v>Low</v>
      </c>
    </row>
    <row r="170" spans="1:21" ht="15" customHeight="1" x14ac:dyDescent="0.25">
      <c r="A170" s="29">
        <f>Dataset!A170</f>
        <v>166</v>
      </c>
      <c r="B170" s="29">
        <f>IF(Dataset!B170&lt;25,0.3,IF(Dataset!B170&lt;75,0.5,IF(Dataset!B170&lt;120,0.65,0.8)))</f>
        <v>0.65</v>
      </c>
      <c r="C170" s="29">
        <f>IF(Dataset!B170&lt;25,1,IF(Dataset!B170&lt;75,2,IF(Dataset!B170&lt;120,3,4)))</f>
        <v>3</v>
      </c>
      <c r="D170" s="29">
        <f t="shared" si="16"/>
        <v>1.9500000000000002</v>
      </c>
      <c r="E170" s="29">
        <f>IF(Dataset!C170&lt;=1,0.3,IF(Dataset!C170=2,0.4,IF(Dataset!C170=3,0.5,IF(Dataset!C170=4,0.65,0.8))))</f>
        <v>0.65</v>
      </c>
      <c r="F170" s="29">
        <f>IF(Dataset!C170&lt;=2,1,IF(Dataset!C170=3,2,IF(Dataset!C170=4,3,4)))</f>
        <v>3</v>
      </c>
      <c r="G170" s="29">
        <f t="shared" si="17"/>
        <v>1.9500000000000002</v>
      </c>
      <c r="H170" s="29">
        <f>IF(Dataset!G170&lt;=3,0.25,IF(Dataset!G170&lt;=6,0.45,IF(Dataset!G170&lt;=9,0.65,0.85)))</f>
        <v>0.25</v>
      </c>
      <c r="I170" s="29">
        <f>IF(Dataset!G170&lt;=3,1,IF(Dataset!G170&lt;=6,2,IF(Dataset!G170&lt;=9,3,4)))</f>
        <v>1</v>
      </c>
      <c r="J170" s="29">
        <f t="shared" si="18"/>
        <v>0.25</v>
      </c>
      <c r="K170" s="29">
        <f>IF(Dataset!H170&lt;1,0.2,IF(Dataset!H170&lt;1.3,0.45,IF(Dataset!H170&lt;1.8,0.7,0.9)))</f>
        <v>0.9</v>
      </c>
      <c r="L170" s="29">
        <f>IF(Dataset!H170&lt;1,1,IF(Dataset!H170&lt;1.3,2,IF(Dataset!H170&lt;1.8,3,4)))</f>
        <v>4</v>
      </c>
      <c r="M170" s="29">
        <f t="shared" si="19"/>
        <v>3.6</v>
      </c>
      <c r="N170" s="29">
        <f>IF(Dataset!F170=1,0.75,IF(Dataset!F170=2,0.45,0.2))</f>
        <v>0.45</v>
      </c>
      <c r="O170" s="29">
        <f>IF(Dataset!F170=1,3,IF(Dataset!F170=2,2,1))</f>
        <v>2</v>
      </c>
      <c r="P170" s="29">
        <f t="shared" si="20"/>
        <v>0.9</v>
      </c>
      <c r="Q170" s="29">
        <f>IF(Dataset!K170&lt;5,0.2,IF(Dataset!K170&lt;10,0.45,IF(Dataset!K170&lt;18,0.7,0.9)))</f>
        <v>0.45</v>
      </c>
      <c r="R170" s="29">
        <f>IF(Dataset!K170&lt;5,1,IF(Dataset!K170&lt;10,2,IF(Dataset!K170&lt;18,3,4)))</f>
        <v>2</v>
      </c>
      <c r="S170" s="29">
        <f t="shared" si="21"/>
        <v>0.9</v>
      </c>
      <c r="T170" s="29">
        <f t="shared" si="22"/>
        <v>1.7540000000000004</v>
      </c>
      <c r="U170" s="29" t="str">
        <f t="shared" si="23"/>
        <v>Medium</v>
      </c>
    </row>
    <row r="171" spans="1:21" ht="15" customHeight="1" x14ac:dyDescent="0.25">
      <c r="A171" s="29">
        <f>Dataset!A171</f>
        <v>167</v>
      </c>
      <c r="B171" s="29">
        <f>IF(Dataset!B171&lt;25,0.3,IF(Dataset!B171&lt;75,0.5,IF(Dataset!B171&lt;120,0.65,0.8)))</f>
        <v>0.5</v>
      </c>
      <c r="C171" s="29">
        <f>IF(Dataset!B171&lt;25,1,IF(Dataset!B171&lt;75,2,IF(Dataset!B171&lt;120,3,4)))</f>
        <v>2</v>
      </c>
      <c r="D171" s="29">
        <f t="shared" si="16"/>
        <v>1</v>
      </c>
      <c r="E171" s="29">
        <f>IF(Dataset!C171&lt;=1,0.3,IF(Dataset!C171=2,0.4,IF(Dataset!C171=3,0.5,IF(Dataset!C171=4,0.65,0.8))))</f>
        <v>0.3</v>
      </c>
      <c r="F171" s="29">
        <f>IF(Dataset!C171&lt;=2,1,IF(Dataset!C171=3,2,IF(Dataset!C171=4,3,4)))</f>
        <v>1</v>
      </c>
      <c r="G171" s="29">
        <f t="shared" si="17"/>
        <v>0.3</v>
      </c>
      <c r="H171" s="29">
        <f>IF(Dataset!G171&lt;=3,0.25,IF(Dataset!G171&lt;=6,0.45,IF(Dataset!G171&lt;=9,0.65,0.85)))</f>
        <v>0.45</v>
      </c>
      <c r="I171" s="29">
        <f>IF(Dataset!G171&lt;=3,1,IF(Dataset!G171&lt;=6,2,IF(Dataset!G171&lt;=9,3,4)))</f>
        <v>2</v>
      </c>
      <c r="J171" s="29">
        <f t="shared" si="18"/>
        <v>0.9</v>
      </c>
      <c r="K171" s="29">
        <f>IF(Dataset!H171&lt;1,0.2,IF(Dataset!H171&lt;1.3,0.45,IF(Dataset!H171&lt;1.8,0.7,0.9)))</f>
        <v>0.7</v>
      </c>
      <c r="L171" s="29">
        <f>IF(Dataset!H171&lt;1,1,IF(Dataset!H171&lt;1.3,2,IF(Dataset!H171&lt;1.8,3,4)))</f>
        <v>3</v>
      </c>
      <c r="M171" s="29">
        <f t="shared" si="19"/>
        <v>2.0999999999999996</v>
      </c>
      <c r="N171" s="29">
        <f>IF(Dataset!F171=1,0.75,IF(Dataset!F171=2,0.45,0.2))</f>
        <v>0.2</v>
      </c>
      <c r="O171" s="29">
        <f>IF(Dataset!F171=1,3,IF(Dataset!F171=2,2,1))</f>
        <v>1</v>
      </c>
      <c r="P171" s="29">
        <f t="shared" si="20"/>
        <v>0.2</v>
      </c>
      <c r="Q171" s="29">
        <f>IF(Dataset!K171&lt;5,0.2,IF(Dataset!K171&lt;10,0.45,IF(Dataset!K171&lt;18,0.7,0.9)))</f>
        <v>0.2</v>
      </c>
      <c r="R171" s="29">
        <f>IF(Dataset!K171&lt;5,1,IF(Dataset!K171&lt;10,2,IF(Dataset!K171&lt;18,3,4)))</f>
        <v>1</v>
      </c>
      <c r="S171" s="29">
        <f t="shared" si="21"/>
        <v>0.2</v>
      </c>
      <c r="T171" s="29">
        <f t="shared" si="22"/>
        <v>0.95399999999999996</v>
      </c>
      <c r="U171" s="29" t="str">
        <f t="shared" si="23"/>
        <v>Low</v>
      </c>
    </row>
    <row r="172" spans="1:21" ht="15" customHeight="1" x14ac:dyDescent="0.25">
      <c r="A172" s="29">
        <f>Dataset!A172</f>
        <v>168</v>
      </c>
      <c r="B172" s="29">
        <f>IF(Dataset!B172&lt;25,0.3,IF(Dataset!B172&lt;75,0.5,IF(Dataset!B172&lt;120,0.65,0.8)))</f>
        <v>0.5</v>
      </c>
      <c r="C172" s="29">
        <f>IF(Dataset!B172&lt;25,1,IF(Dataset!B172&lt;75,2,IF(Dataset!B172&lt;120,3,4)))</f>
        <v>2</v>
      </c>
      <c r="D172" s="29">
        <f t="shared" si="16"/>
        <v>1</v>
      </c>
      <c r="E172" s="29">
        <f>IF(Dataset!C172&lt;=1,0.3,IF(Dataset!C172=2,0.4,IF(Dataset!C172=3,0.5,IF(Dataset!C172=4,0.65,0.8))))</f>
        <v>0.5</v>
      </c>
      <c r="F172" s="29">
        <f>IF(Dataset!C172&lt;=2,1,IF(Dataset!C172=3,2,IF(Dataset!C172=4,3,4)))</f>
        <v>2</v>
      </c>
      <c r="G172" s="29">
        <f t="shared" si="17"/>
        <v>1</v>
      </c>
      <c r="H172" s="29">
        <f>IF(Dataset!G172&lt;=3,0.25,IF(Dataset!G172&lt;=6,0.45,IF(Dataset!G172&lt;=9,0.65,0.85)))</f>
        <v>0.85</v>
      </c>
      <c r="I172" s="29">
        <f>IF(Dataset!G172&lt;=3,1,IF(Dataset!G172&lt;=6,2,IF(Dataset!G172&lt;=9,3,4)))</f>
        <v>4</v>
      </c>
      <c r="J172" s="29">
        <f t="shared" si="18"/>
        <v>3.4</v>
      </c>
      <c r="K172" s="29">
        <f>IF(Dataset!H172&lt;1,0.2,IF(Dataset!H172&lt;1.3,0.45,IF(Dataset!H172&lt;1.8,0.7,0.9)))</f>
        <v>0.7</v>
      </c>
      <c r="L172" s="29">
        <f>IF(Dataset!H172&lt;1,1,IF(Dataset!H172&lt;1.3,2,IF(Dataset!H172&lt;1.8,3,4)))</f>
        <v>3</v>
      </c>
      <c r="M172" s="29">
        <f t="shared" si="19"/>
        <v>2.0999999999999996</v>
      </c>
      <c r="N172" s="29">
        <f>IF(Dataset!F172=1,0.75,IF(Dataset!F172=2,0.45,0.2))</f>
        <v>0.45</v>
      </c>
      <c r="O172" s="29">
        <f>IF(Dataset!F172=1,3,IF(Dataset!F172=2,2,1))</f>
        <v>2</v>
      </c>
      <c r="P172" s="29">
        <f t="shared" si="20"/>
        <v>0.9</v>
      </c>
      <c r="Q172" s="29">
        <f>IF(Dataset!K172&lt;5,0.2,IF(Dataset!K172&lt;10,0.45,IF(Dataset!K172&lt;18,0.7,0.9)))</f>
        <v>0.45</v>
      </c>
      <c r="R172" s="29">
        <f>IF(Dataset!K172&lt;5,1,IF(Dataset!K172&lt;10,2,IF(Dataset!K172&lt;18,3,4)))</f>
        <v>2</v>
      </c>
      <c r="S172" s="29">
        <f t="shared" si="21"/>
        <v>0.9</v>
      </c>
      <c r="T172" s="29">
        <f t="shared" si="22"/>
        <v>1.7200000000000002</v>
      </c>
      <c r="U172" s="29" t="str">
        <f t="shared" si="23"/>
        <v>Medium</v>
      </c>
    </row>
    <row r="173" spans="1:21" ht="15" customHeight="1" x14ac:dyDescent="0.25">
      <c r="A173" s="29">
        <f>Dataset!A173</f>
        <v>169</v>
      </c>
      <c r="B173" s="29">
        <f>IF(Dataset!B173&lt;25,0.3,IF(Dataset!B173&lt;75,0.5,IF(Dataset!B173&lt;120,0.65,0.8)))</f>
        <v>0.65</v>
      </c>
      <c r="C173" s="29">
        <f>IF(Dataset!B173&lt;25,1,IF(Dataset!B173&lt;75,2,IF(Dataset!B173&lt;120,3,4)))</f>
        <v>3</v>
      </c>
      <c r="D173" s="29">
        <f t="shared" si="16"/>
        <v>1.9500000000000002</v>
      </c>
      <c r="E173" s="29">
        <f>IF(Dataset!C173&lt;=1,0.3,IF(Dataset!C173=2,0.4,IF(Dataset!C173=3,0.5,IF(Dataset!C173=4,0.65,0.8))))</f>
        <v>0.4</v>
      </c>
      <c r="F173" s="29">
        <f>IF(Dataset!C173&lt;=2,1,IF(Dataset!C173=3,2,IF(Dataset!C173=4,3,4)))</f>
        <v>1</v>
      </c>
      <c r="G173" s="29">
        <f t="shared" si="17"/>
        <v>0.4</v>
      </c>
      <c r="H173" s="29">
        <f>IF(Dataset!G173&lt;=3,0.25,IF(Dataset!G173&lt;=6,0.45,IF(Dataset!G173&lt;=9,0.65,0.85)))</f>
        <v>0.85</v>
      </c>
      <c r="I173" s="29">
        <f>IF(Dataset!G173&lt;=3,1,IF(Dataset!G173&lt;=6,2,IF(Dataset!G173&lt;=9,3,4)))</f>
        <v>4</v>
      </c>
      <c r="J173" s="29">
        <f t="shared" si="18"/>
        <v>3.4</v>
      </c>
      <c r="K173" s="29">
        <f>IF(Dataset!H173&lt;1,0.2,IF(Dataset!H173&lt;1.3,0.45,IF(Dataset!H173&lt;1.8,0.7,0.9)))</f>
        <v>0.9</v>
      </c>
      <c r="L173" s="29">
        <f>IF(Dataset!H173&lt;1,1,IF(Dataset!H173&lt;1.3,2,IF(Dataset!H173&lt;1.8,3,4)))</f>
        <v>4</v>
      </c>
      <c r="M173" s="29">
        <f t="shared" si="19"/>
        <v>3.6</v>
      </c>
      <c r="N173" s="29">
        <f>IF(Dataset!F173=1,0.75,IF(Dataset!F173=2,0.45,0.2))</f>
        <v>0.45</v>
      </c>
      <c r="O173" s="29">
        <f>IF(Dataset!F173=1,3,IF(Dataset!F173=2,2,1))</f>
        <v>2</v>
      </c>
      <c r="P173" s="29">
        <f t="shared" si="20"/>
        <v>0.9</v>
      </c>
      <c r="Q173" s="29">
        <f>IF(Dataset!K173&lt;5,0.2,IF(Dataset!K173&lt;10,0.45,IF(Dataset!K173&lt;18,0.7,0.9)))</f>
        <v>0.2</v>
      </c>
      <c r="R173" s="29">
        <f>IF(Dataset!K173&lt;5,1,IF(Dataset!K173&lt;10,2,IF(Dataset!K173&lt;18,3,4)))</f>
        <v>1</v>
      </c>
      <c r="S173" s="29">
        <f t="shared" si="21"/>
        <v>0.2</v>
      </c>
      <c r="T173" s="29">
        <f t="shared" si="22"/>
        <v>2.069</v>
      </c>
      <c r="U173" s="29" t="str">
        <f t="shared" si="23"/>
        <v>High</v>
      </c>
    </row>
    <row r="174" spans="1:21" ht="15" customHeight="1" x14ac:dyDescent="0.25">
      <c r="A174" s="29">
        <f>Dataset!A174</f>
        <v>170</v>
      </c>
      <c r="B174" s="29">
        <f>IF(Dataset!B174&lt;25,0.3,IF(Dataset!B174&lt;75,0.5,IF(Dataset!B174&lt;120,0.65,0.8)))</f>
        <v>0.3</v>
      </c>
      <c r="C174" s="29">
        <f>IF(Dataset!B174&lt;25,1,IF(Dataset!B174&lt;75,2,IF(Dataset!B174&lt;120,3,4)))</f>
        <v>1</v>
      </c>
      <c r="D174" s="29">
        <f t="shared" si="16"/>
        <v>0.3</v>
      </c>
      <c r="E174" s="29">
        <f>IF(Dataset!C174&lt;=1,0.3,IF(Dataset!C174=2,0.4,IF(Dataset!C174=3,0.5,IF(Dataset!C174=4,0.65,0.8))))</f>
        <v>0.4</v>
      </c>
      <c r="F174" s="29">
        <f>IF(Dataset!C174&lt;=2,1,IF(Dataset!C174=3,2,IF(Dataset!C174=4,3,4)))</f>
        <v>1</v>
      </c>
      <c r="G174" s="29">
        <f t="shared" si="17"/>
        <v>0.4</v>
      </c>
      <c r="H174" s="29">
        <f>IF(Dataset!G174&lt;=3,0.25,IF(Dataset!G174&lt;=6,0.45,IF(Dataset!G174&lt;=9,0.65,0.85)))</f>
        <v>0.45</v>
      </c>
      <c r="I174" s="29">
        <f>IF(Dataset!G174&lt;=3,1,IF(Dataset!G174&lt;=6,2,IF(Dataset!G174&lt;=9,3,4)))</f>
        <v>2</v>
      </c>
      <c r="J174" s="29">
        <f t="shared" si="18"/>
        <v>0.9</v>
      </c>
      <c r="K174" s="29">
        <f>IF(Dataset!H174&lt;1,0.2,IF(Dataset!H174&lt;1.3,0.45,IF(Dataset!H174&lt;1.8,0.7,0.9)))</f>
        <v>0.7</v>
      </c>
      <c r="L174" s="29">
        <f>IF(Dataset!H174&lt;1,1,IF(Dataset!H174&lt;1.3,2,IF(Dataset!H174&lt;1.8,3,4)))</f>
        <v>3</v>
      </c>
      <c r="M174" s="29">
        <f t="shared" si="19"/>
        <v>2.0999999999999996</v>
      </c>
      <c r="N174" s="29">
        <f>IF(Dataset!F174=1,0.75,IF(Dataset!F174=2,0.45,0.2))</f>
        <v>0.2</v>
      </c>
      <c r="O174" s="29">
        <f>IF(Dataset!F174=1,3,IF(Dataset!F174=2,2,1))</f>
        <v>1</v>
      </c>
      <c r="P174" s="29">
        <f t="shared" si="20"/>
        <v>0.2</v>
      </c>
      <c r="Q174" s="29">
        <f>IF(Dataset!K174&lt;5,0.2,IF(Dataset!K174&lt;10,0.45,IF(Dataset!K174&lt;18,0.7,0.9)))</f>
        <v>0.45</v>
      </c>
      <c r="R174" s="29">
        <f>IF(Dataset!K174&lt;5,1,IF(Dataset!K174&lt;10,2,IF(Dataset!K174&lt;18,3,4)))</f>
        <v>2</v>
      </c>
      <c r="S174" s="29">
        <f t="shared" si="21"/>
        <v>0.9</v>
      </c>
      <c r="T174" s="29">
        <f t="shared" si="22"/>
        <v>0.94</v>
      </c>
      <c r="U174" s="29" t="str">
        <f t="shared" si="23"/>
        <v>Low</v>
      </c>
    </row>
    <row r="175" spans="1:21" ht="15" customHeight="1" x14ac:dyDescent="0.25">
      <c r="A175" s="29">
        <f>Dataset!A175</f>
        <v>171</v>
      </c>
      <c r="B175" s="29">
        <f>IF(Dataset!B175&lt;25,0.3,IF(Dataset!B175&lt;75,0.5,IF(Dataset!B175&lt;120,0.65,0.8)))</f>
        <v>0.3</v>
      </c>
      <c r="C175" s="29">
        <f>IF(Dataset!B175&lt;25,1,IF(Dataset!B175&lt;75,2,IF(Dataset!B175&lt;120,3,4)))</f>
        <v>1</v>
      </c>
      <c r="D175" s="29">
        <f t="shared" si="16"/>
        <v>0.3</v>
      </c>
      <c r="E175" s="29">
        <f>IF(Dataset!C175&lt;=1,0.3,IF(Dataset!C175=2,0.4,IF(Dataset!C175=3,0.5,IF(Dataset!C175=4,0.65,0.8))))</f>
        <v>0.65</v>
      </c>
      <c r="F175" s="29">
        <f>IF(Dataset!C175&lt;=2,1,IF(Dataset!C175=3,2,IF(Dataset!C175=4,3,4)))</f>
        <v>3</v>
      </c>
      <c r="G175" s="29">
        <f t="shared" si="17"/>
        <v>1.9500000000000002</v>
      </c>
      <c r="H175" s="29">
        <f>IF(Dataset!G175&lt;=3,0.25,IF(Dataset!G175&lt;=6,0.45,IF(Dataset!G175&lt;=9,0.65,0.85)))</f>
        <v>0.65</v>
      </c>
      <c r="I175" s="29">
        <f>IF(Dataset!G175&lt;=3,1,IF(Dataset!G175&lt;=6,2,IF(Dataset!G175&lt;=9,3,4)))</f>
        <v>3</v>
      </c>
      <c r="J175" s="29">
        <f t="shared" si="18"/>
        <v>1.9500000000000002</v>
      </c>
      <c r="K175" s="29">
        <f>IF(Dataset!H175&lt;1,0.2,IF(Dataset!H175&lt;1.3,0.45,IF(Dataset!H175&lt;1.8,0.7,0.9)))</f>
        <v>0.2</v>
      </c>
      <c r="L175" s="29">
        <f>IF(Dataset!H175&lt;1,1,IF(Dataset!H175&lt;1.3,2,IF(Dataset!H175&lt;1.8,3,4)))</f>
        <v>1</v>
      </c>
      <c r="M175" s="29">
        <f t="shared" si="19"/>
        <v>0.2</v>
      </c>
      <c r="N175" s="29">
        <f>IF(Dataset!F175=1,0.75,IF(Dataset!F175=2,0.45,0.2))</f>
        <v>0.2</v>
      </c>
      <c r="O175" s="29">
        <f>IF(Dataset!F175=1,3,IF(Dataset!F175=2,2,1))</f>
        <v>1</v>
      </c>
      <c r="P175" s="29">
        <f t="shared" si="20"/>
        <v>0.2</v>
      </c>
      <c r="Q175" s="29">
        <f>IF(Dataset!K175&lt;5,0.2,IF(Dataset!K175&lt;10,0.45,IF(Dataset!K175&lt;18,0.7,0.9)))</f>
        <v>0.45</v>
      </c>
      <c r="R175" s="29">
        <f>IF(Dataset!K175&lt;5,1,IF(Dataset!K175&lt;10,2,IF(Dataset!K175&lt;18,3,4)))</f>
        <v>2</v>
      </c>
      <c r="S175" s="29">
        <f t="shared" si="21"/>
        <v>0.9</v>
      </c>
      <c r="T175" s="29">
        <f t="shared" si="22"/>
        <v>0.91100000000000014</v>
      </c>
      <c r="U175" s="29" t="str">
        <f t="shared" si="23"/>
        <v>Low</v>
      </c>
    </row>
    <row r="176" spans="1:21" ht="15" customHeight="1" x14ac:dyDescent="0.25">
      <c r="A176" s="29">
        <f>Dataset!A176</f>
        <v>172</v>
      </c>
      <c r="B176" s="29">
        <f>IF(Dataset!B176&lt;25,0.3,IF(Dataset!B176&lt;75,0.5,IF(Dataset!B176&lt;120,0.65,0.8)))</f>
        <v>0.65</v>
      </c>
      <c r="C176" s="29">
        <f>IF(Dataset!B176&lt;25,1,IF(Dataset!B176&lt;75,2,IF(Dataset!B176&lt;120,3,4)))</f>
        <v>3</v>
      </c>
      <c r="D176" s="29">
        <f t="shared" si="16"/>
        <v>1.9500000000000002</v>
      </c>
      <c r="E176" s="29">
        <f>IF(Dataset!C176&lt;=1,0.3,IF(Dataset!C176=2,0.4,IF(Dataset!C176=3,0.5,IF(Dataset!C176=4,0.65,0.8))))</f>
        <v>0.65</v>
      </c>
      <c r="F176" s="29">
        <f>IF(Dataset!C176&lt;=2,1,IF(Dataset!C176=3,2,IF(Dataset!C176=4,3,4)))</f>
        <v>3</v>
      </c>
      <c r="G176" s="29">
        <f t="shared" si="17"/>
        <v>1.9500000000000002</v>
      </c>
      <c r="H176" s="29">
        <f>IF(Dataset!G176&lt;=3,0.25,IF(Dataset!G176&lt;=6,0.45,IF(Dataset!G176&lt;=9,0.65,0.85)))</f>
        <v>0.45</v>
      </c>
      <c r="I176" s="29">
        <f>IF(Dataset!G176&lt;=3,1,IF(Dataset!G176&lt;=6,2,IF(Dataset!G176&lt;=9,3,4)))</f>
        <v>2</v>
      </c>
      <c r="J176" s="29">
        <f t="shared" si="18"/>
        <v>0.9</v>
      </c>
      <c r="K176" s="29">
        <f>IF(Dataset!H176&lt;1,0.2,IF(Dataset!H176&lt;1.3,0.45,IF(Dataset!H176&lt;1.8,0.7,0.9)))</f>
        <v>0.7</v>
      </c>
      <c r="L176" s="29">
        <f>IF(Dataset!H176&lt;1,1,IF(Dataset!H176&lt;1.3,2,IF(Dataset!H176&lt;1.8,3,4)))</f>
        <v>3</v>
      </c>
      <c r="M176" s="29">
        <f t="shared" si="19"/>
        <v>2.0999999999999996</v>
      </c>
      <c r="N176" s="29">
        <f>IF(Dataset!F176=1,0.75,IF(Dataset!F176=2,0.45,0.2))</f>
        <v>0.75</v>
      </c>
      <c r="O176" s="29">
        <f>IF(Dataset!F176=1,3,IF(Dataset!F176=2,2,1))</f>
        <v>3</v>
      </c>
      <c r="P176" s="29">
        <f t="shared" si="20"/>
        <v>2.25</v>
      </c>
      <c r="Q176" s="29">
        <f>IF(Dataset!K176&lt;5,0.2,IF(Dataset!K176&lt;10,0.45,IF(Dataset!K176&lt;18,0.7,0.9)))</f>
        <v>0.45</v>
      </c>
      <c r="R176" s="29">
        <f>IF(Dataset!K176&lt;5,1,IF(Dataset!K176&lt;10,2,IF(Dataset!K176&lt;18,3,4)))</f>
        <v>2</v>
      </c>
      <c r="S176" s="29">
        <f t="shared" si="21"/>
        <v>0.9</v>
      </c>
      <c r="T176" s="29">
        <f t="shared" si="22"/>
        <v>1.6590000000000003</v>
      </c>
      <c r="U176" s="29" t="str">
        <f t="shared" si="23"/>
        <v>Medium</v>
      </c>
    </row>
    <row r="177" spans="1:21" ht="15" customHeight="1" x14ac:dyDescent="0.25">
      <c r="A177" s="29">
        <f>Dataset!A177</f>
        <v>173</v>
      </c>
      <c r="B177" s="29">
        <f>IF(Dataset!B177&lt;25,0.3,IF(Dataset!B177&lt;75,0.5,IF(Dataset!B177&lt;120,0.65,0.8)))</f>
        <v>0.65</v>
      </c>
      <c r="C177" s="29">
        <f>IF(Dataset!B177&lt;25,1,IF(Dataset!B177&lt;75,2,IF(Dataset!B177&lt;120,3,4)))</f>
        <v>3</v>
      </c>
      <c r="D177" s="29">
        <f t="shared" si="16"/>
        <v>1.9500000000000002</v>
      </c>
      <c r="E177" s="29">
        <f>IF(Dataset!C177&lt;=1,0.3,IF(Dataset!C177=2,0.4,IF(Dataset!C177=3,0.5,IF(Dataset!C177=4,0.65,0.8))))</f>
        <v>0.5</v>
      </c>
      <c r="F177" s="29">
        <f>IF(Dataset!C177&lt;=2,1,IF(Dataset!C177=3,2,IF(Dataset!C177=4,3,4)))</f>
        <v>2</v>
      </c>
      <c r="G177" s="29">
        <f t="shared" si="17"/>
        <v>1</v>
      </c>
      <c r="H177" s="29">
        <f>IF(Dataset!G177&lt;=3,0.25,IF(Dataset!G177&lt;=6,0.45,IF(Dataset!G177&lt;=9,0.65,0.85)))</f>
        <v>0.45</v>
      </c>
      <c r="I177" s="29">
        <f>IF(Dataset!G177&lt;=3,1,IF(Dataset!G177&lt;=6,2,IF(Dataset!G177&lt;=9,3,4)))</f>
        <v>2</v>
      </c>
      <c r="J177" s="29">
        <f t="shared" si="18"/>
        <v>0.9</v>
      </c>
      <c r="K177" s="29">
        <f>IF(Dataset!H177&lt;1,0.2,IF(Dataset!H177&lt;1.3,0.45,IF(Dataset!H177&lt;1.8,0.7,0.9)))</f>
        <v>0.7</v>
      </c>
      <c r="L177" s="29">
        <f>IF(Dataset!H177&lt;1,1,IF(Dataset!H177&lt;1.3,2,IF(Dataset!H177&lt;1.8,3,4)))</f>
        <v>3</v>
      </c>
      <c r="M177" s="29">
        <f t="shared" si="19"/>
        <v>2.0999999999999996</v>
      </c>
      <c r="N177" s="29">
        <f>IF(Dataset!F177=1,0.75,IF(Dataset!F177=2,0.45,0.2))</f>
        <v>0.45</v>
      </c>
      <c r="O177" s="29">
        <f>IF(Dataset!F177=1,3,IF(Dataset!F177=2,2,1))</f>
        <v>2</v>
      </c>
      <c r="P177" s="29">
        <f t="shared" si="20"/>
        <v>0.9</v>
      </c>
      <c r="Q177" s="29">
        <f>IF(Dataset!K177&lt;5,0.2,IF(Dataset!K177&lt;10,0.45,IF(Dataset!K177&lt;18,0.7,0.9)))</f>
        <v>0.45</v>
      </c>
      <c r="R177" s="29">
        <f>IF(Dataset!K177&lt;5,1,IF(Dataset!K177&lt;10,2,IF(Dataset!K177&lt;18,3,4)))</f>
        <v>2</v>
      </c>
      <c r="S177" s="29">
        <f t="shared" si="21"/>
        <v>0.9</v>
      </c>
      <c r="T177" s="29">
        <f t="shared" si="22"/>
        <v>1.391</v>
      </c>
      <c r="U177" s="29" t="str">
        <f t="shared" si="23"/>
        <v>Medium</v>
      </c>
    </row>
    <row r="178" spans="1:21" ht="15" customHeight="1" x14ac:dyDescent="0.25">
      <c r="A178" s="29">
        <f>Dataset!A178</f>
        <v>174</v>
      </c>
      <c r="B178" s="29">
        <f>IF(Dataset!B178&lt;25,0.3,IF(Dataset!B178&lt;75,0.5,IF(Dataset!B178&lt;120,0.65,0.8)))</f>
        <v>0.65</v>
      </c>
      <c r="C178" s="29">
        <f>IF(Dataset!B178&lt;25,1,IF(Dataset!B178&lt;75,2,IF(Dataset!B178&lt;120,3,4)))</f>
        <v>3</v>
      </c>
      <c r="D178" s="29">
        <f t="shared" si="16"/>
        <v>1.9500000000000002</v>
      </c>
      <c r="E178" s="29">
        <f>IF(Dataset!C178&lt;=1,0.3,IF(Dataset!C178=2,0.4,IF(Dataset!C178=3,0.5,IF(Dataset!C178=4,0.65,0.8))))</f>
        <v>0.4</v>
      </c>
      <c r="F178" s="29">
        <f>IF(Dataset!C178&lt;=2,1,IF(Dataset!C178=3,2,IF(Dataset!C178=4,3,4)))</f>
        <v>1</v>
      </c>
      <c r="G178" s="29">
        <f t="shared" si="17"/>
        <v>0.4</v>
      </c>
      <c r="H178" s="29">
        <f>IF(Dataset!G178&lt;=3,0.25,IF(Dataset!G178&lt;=6,0.45,IF(Dataset!G178&lt;=9,0.65,0.85)))</f>
        <v>0.45</v>
      </c>
      <c r="I178" s="29">
        <f>IF(Dataset!G178&lt;=3,1,IF(Dataset!G178&lt;=6,2,IF(Dataset!G178&lt;=9,3,4)))</f>
        <v>2</v>
      </c>
      <c r="J178" s="29">
        <f t="shared" si="18"/>
        <v>0.9</v>
      </c>
      <c r="K178" s="29">
        <f>IF(Dataset!H178&lt;1,0.2,IF(Dataset!H178&lt;1.3,0.45,IF(Dataset!H178&lt;1.8,0.7,0.9)))</f>
        <v>0.7</v>
      </c>
      <c r="L178" s="29">
        <f>IF(Dataset!H178&lt;1,1,IF(Dataset!H178&lt;1.3,2,IF(Dataset!H178&lt;1.8,3,4)))</f>
        <v>3</v>
      </c>
      <c r="M178" s="29">
        <f t="shared" si="19"/>
        <v>2.0999999999999996</v>
      </c>
      <c r="N178" s="29">
        <f>IF(Dataset!F178=1,0.75,IF(Dataset!F178=2,0.45,0.2))</f>
        <v>0.45</v>
      </c>
      <c r="O178" s="29">
        <f>IF(Dataset!F178=1,3,IF(Dataset!F178=2,2,1))</f>
        <v>2</v>
      </c>
      <c r="P178" s="29">
        <f t="shared" si="20"/>
        <v>0.9</v>
      </c>
      <c r="Q178" s="29">
        <f>IF(Dataset!K178&lt;5,0.2,IF(Dataset!K178&lt;10,0.45,IF(Dataset!K178&lt;18,0.7,0.9)))</f>
        <v>0.2</v>
      </c>
      <c r="R178" s="29">
        <f>IF(Dataset!K178&lt;5,1,IF(Dataset!K178&lt;10,2,IF(Dataset!K178&lt;18,3,4)))</f>
        <v>1</v>
      </c>
      <c r="S178" s="29">
        <f t="shared" si="21"/>
        <v>0.2</v>
      </c>
      <c r="T178" s="29">
        <f t="shared" si="22"/>
        <v>1.2090000000000001</v>
      </c>
      <c r="U178" s="29" t="str">
        <f t="shared" si="23"/>
        <v>Low</v>
      </c>
    </row>
    <row r="179" spans="1:21" ht="15" customHeight="1" x14ac:dyDescent="0.25">
      <c r="A179" s="29">
        <f>Dataset!A179</f>
        <v>175</v>
      </c>
      <c r="B179" s="29">
        <f>IF(Dataset!B179&lt;25,0.3,IF(Dataset!B179&lt;75,0.5,IF(Dataset!B179&lt;120,0.65,0.8)))</f>
        <v>0.65</v>
      </c>
      <c r="C179" s="29">
        <f>IF(Dataset!B179&lt;25,1,IF(Dataset!B179&lt;75,2,IF(Dataset!B179&lt;120,3,4)))</f>
        <v>3</v>
      </c>
      <c r="D179" s="29">
        <f t="shared" si="16"/>
        <v>1.9500000000000002</v>
      </c>
      <c r="E179" s="29">
        <f>IF(Dataset!C179&lt;=1,0.3,IF(Dataset!C179=2,0.4,IF(Dataset!C179=3,0.5,IF(Dataset!C179=4,0.65,0.8))))</f>
        <v>0.5</v>
      </c>
      <c r="F179" s="29">
        <f>IF(Dataset!C179&lt;=2,1,IF(Dataset!C179=3,2,IF(Dataset!C179=4,3,4)))</f>
        <v>2</v>
      </c>
      <c r="G179" s="29">
        <f t="shared" si="17"/>
        <v>1</v>
      </c>
      <c r="H179" s="29">
        <f>IF(Dataset!G179&lt;=3,0.25,IF(Dataset!G179&lt;=6,0.45,IF(Dataset!G179&lt;=9,0.65,0.85)))</f>
        <v>0.45</v>
      </c>
      <c r="I179" s="29">
        <f>IF(Dataset!G179&lt;=3,1,IF(Dataset!G179&lt;=6,2,IF(Dataset!G179&lt;=9,3,4)))</f>
        <v>2</v>
      </c>
      <c r="J179" s="29">
        <f t="shared" si="18"/>
        <v>0.9</v>
      </c>
      <c r="K179" s="29">
        <f>IF(Dataset!H179&lt;1,0.2,IF(Dataset!H179&lt;1.3,0.45,IF(Dataset!H179&lt;1.8,0.7,0.9)))</f>
        <v>0.7</v>
      </c>
      <c r="L179" s="29">
        <f>IF(Dataset!H179&lt;1,1,IF(Dataset!H179&lt;1.3,2,IF(Dataset!H179&lt;1.8,3,4)))</f>
        <v>3</v>
      </c>
      <c r="M179" s="29">
        <f t="shared" si="19"/>
        <v>2.0999999999999996</v>
      </c>
      <c r="N179" s="29">
        <f>IF(Dataset!F179=1,0.75,IF(Dataset!F179=2,0.45,0.2))</f>
        <v>0.75</v>
      </c>
      <c r="O179" s="29">
        <f>IF(Dataset!F179=1,3,IF(Dataset!F179=2,2,1))</f>
        <v>3</v>
      </c>
      <c r="P179" s="29">
        <f t="shared" si="20"/>
        <v>2.25</v>
      </c>
      <c r="Q179" s="29">
        <f>IF(Dataset!K179&lt;5,0.2,IF(Dataset!K179&lt;10,0.45,IF(Dataset!K179&lt;18,0.7,0.9)))</f>
        <v>0.45</v>
      </c>
      <c r="R179" s="29">
        <f>IF(Dataset!K179&lt;5,1,IF(Dataset!K179&lt;10,2,IF(Dataset!K179&lt;18,3,4)))</f>
        <v>2</v>
      </c>
      <c r="S179" s="29">
        <f t="shared" si="21"/>
        <v>0.9</v>
      </c>
      <c r="T179" s="29">
        <f t="shared" si="22"/>
        <v>1.526</v>
      </c>
      <c r="U179" s="29" t="str">
        <f t="shared" si="23"/>
        <v>Medium</v>
      </c>
    </row>
    <row r="180" spans="1:21" ht="15" customHeight="1" x14ac:dyDescent="0.25">
      <c r="A180" s="29">
        <f>Dataset!A180</f>
        <v>176</v>
      </c>
      <c r="B180" s="29">
        <f>IF(Dataset!B180&lt;25,0.3,IF(Dataset!B180&lt;75,0.5,IF(Dataset!B180&lt;120,0.65,0.8)))</f>
        <v>0.65</v>
      </c>
      <c r="C180" s="29">
        <f>IF(Dataset!B180&lt;25,1,IF(Dataset!B180&lt;75,2,IF(Dataset!B180&lt;120,3,4)))</f>
        <v>3</v>
      </c>
      <c r="D180" s="29">
        <f t="shared" si="16"/>
        <v>1.9500000000000002</v>
      </c>
      <c r="E180" s="29">
        <f>IF(Dataset!C180&lt;=1,0.3,IF(Dataset!C180=2,0.4,IF(Dataset!C180=3,0.5,IF(Dataset!C180=4,0.65,0.8))))</f>
        <v>0.5</v>
      </c>
      <c r="F180" s="29">
        <f>IF(Dataset!C180&lt;=2,1,IF(Dataset!C180=3,2,IF(Dataset!C180=4,3,4)))</f>
        <v>2</v>
      </c>
      <c r="G180" s="29">
        <f t="shared" si="17"/>
        <v>1</v>
      </c>
      <c r="H180" s="29">
        <f>IF(Dataset!G180&lt;=3,0.25,IF(Dataset!G180&lt;=6,0.45,IF(Dataset!G180&lt;=9,0.65,0.85)))</f>
        <v>0.45</v>
      </c>
      <c r="I180" s="29">
        <f>IF(Dataset!G180&lt;=3,1,IF(Dataset!G180&lt;=6,2,IF(Dataset!G180&lt;=9,3,4)))</f>
        <v>2</v>
      </c>
      <c r="J180" s="29">
        <f t="shared" si="18"/>
        <v>0.9</v>
      </c>
      <c r="K180" s="29">
        <f>IF(Dataset!H180&lt;1,0.2,IF(Dataset!H180&lt;1.3,0.45,IF(Dataset!H180&lt;1.8,0.7,0.9)))</f>
        <v>0.7</v>
      </c>
      <c r="L180" s="29">
        <f>IF(Dataset!H180&lt;1,1,IF(Dataset!H180&lt;1.3,2,IF(Dataset!H180&lt;1.8,3,4)))</f>
        <v>3</v>
      </c>
      <c r="M180" s="29">
        <f t="shared" si="19"/>
        <v>2.0999999999999996</v>
      </c>
      <c r="N180" s="29">
        <f>IF(Dataset!F180=1,0.75,IF(Dataset!F180=2,0.45,0.2))</f>
        <v>0.2</v>
      </c>
      <c r="O180" s="29">
        <f>IF(Dataset!F180=1,3,IF(Dataset!F180=2,2,1))</f>
        <v>1</v>
      </c>
      <c r="P180" s="29">
        <f t="shared" si="20"/>
        <v>0.2</v>
      </c>
      <c r="Q180" s="29">
        <f>IF(Dataset!K180&lt;5,0.2,IF(Dataset!K180&lt;10,0.45,IF(Dataset!K180&lt;18,0.7,0.9)))</f>
        <v>0.45</v>
      </c>
      <c r="R180" s="29">
        <f>IF(Dataset!K180&lt;5,1,IF(Dataset!K180&lt;10,2,IF(Dataset!K180&lt;18,3,4)))</f>
        <v>2</v>
      </c>
      <c r="S180" s="29">
        <f t="shared" si="21"/>
        <v>0.9</v>
      </c>
      <c r="T180" s="29">
        <f t="shared" si="22"/>
        <v>1.321</v>
      </c>
      <c r="U180" s="29" t="str">
        <f t="shared" si="23"/>
        <v>Low</v>
      </c>
    </row>
    <row r="181" spans="1:21" ht="15" customHeight="1" x14ac:dyDescent="0.25">
      <c r="A181" s="29">
        <f>Dataset!A181</f>
        <v>177</v>
      </c>
      <c r="B181" s="29">
        <f>IF(Dataset!B181&lt;25,0.3,IF(Dataset!B181&lt;75,0.5,IF(Dataset!B181&lt;120,0.65,0.8)))</f>
        <v>0.8</v>
      </c>
      <c r="C181" s="29">
        <f>IF(Dataset!B181&lt;25,1,IF(Dataset!B181&lt;75,2,IF(Dataset!B181&lt;120,3,4)))</f>
        <v>4</v>
      </c>
      <c r="D181" s="29">
        <f t="shared" si="16"/>
        <v>3.2</v>
      </c>
      <c r="E181" s="29">
        <f>IF(Dataset!C181&lt;=1,0.3,IF(Dataset!C181=2,0.4,IF(Dataset!C181=3,0.5,IF(Dataset!C181=4,0.65,0.8))))</f>
        <v>0.65</v>
      </c>
      <c r="F181" s="29">
        <f>IF(Dataset!C181&lt;=2,1,IF(Dataset!C181=3,2,IF(Dataset!C181=4,3,4)))</f>
        <v>3</v>
      </c>
      <c r="G181" s="29">
        <f t="shared" si="17"/>
        <v>1.9500000000000002</v>
      </c>
      <c r="H181" s="29">
        <f>IF(Dataset!G181&lt;=3,0.25,IF(Dataset!G181&lt;=6,0.45,IF(Dataset!G181&lt;=9,0.65,0.85)))</f>
        <v>0.45</v>
      </c>
      <c r="I181" s="29">
        <f>IF(Dataset!G181&lt;=3,1,IF(Dataset!G181&lt;=6,2,IF(Dataset!G181&lt;=9,3,4)))</f>
        <v>2</v>
      </c>
      <c r="J181" s="29">
        <f t="shared" si="18"/>
        <v>0.9</v>
      </c>
      <c r="K181" s="29">
        <f>IF(Dataset!H181&lt;1,0.2,IF(Dataset!H181&lt;1.3,0.45,IF(Dataset!H181&lt;1.8,0.7,0.9)))</f>
        <v>0.9</v>
      </c>
      <c r="L181" s="29">
        <f>IF(Dataset!H181&lt;1,1,IF(Dataset!H181&lt;1.3,2,IF(Dataset!H181&lt;1.8,3,4)))</f>
        <v>4</v>
      </c>
      <c r="M181" s="29">
        <f t="shared" si="19"/>
        <v>3.6</v>
      </c>
      <c r="N181" s="29">
        <f>IF(Dataset!F181=1,0.75,IF(Dataset!F181=2,0.45,0.2))</f>
        <v>0.45</v>
      </c>
      <c r="O181" s="29">
        <f>IF(Dataset!F181=1,3,IF(Dataset!F181=2,2,1))</f>
        <v>2</v>
      </c>
      <c r="P181" s="29">
        <f t="shared" si="20"/>
        <v>0.9</v>
      </c>
      <c r="Q181" s="29">
        <f>IF(Dataset!K181&lt;5,0.2,IF(Dataset!K181&lt;10,0.45,IF(Dataset!K181&lt;18,0.7,0.9)))</f>
        <v>0.45</v>
      </c>
      <c r="R181" s="29">
        <f>IF(Dataset!K181&lt;5,1,IF(Dataset!K181&lt;10,2,IF(Dataset!K181&lt;18,3,4)))</f>
        <v>2</v>
      </c>
      <c r="S181" s="29">
        <f t="shared" si="21"/>
        <v>0.9</v>
      </c>
      <c r="T181" s="29">
        <f t="shared" si="22"/>
        <v>2.109</v>
      </c>
      <c r="U181" s="29" t="str">
        <f t="shared" si="23"/>
        <v>High</v>
      </c>
    </row>
    <row r="182" spans="1:21" ht="15" customHeight="1" x14ac:dyDescent="0.25">
      <c r="A182" s="29">
        <f>Dataset!A182</f>
        <v>178</v>
      </c>
      <c r="B182" s="29">
        <f>IF(Dataset!B182&lt;25,0.3,IF(Dataset!B182&lt;75,0.5,IF(Dataset!B182&lt;120,0.65,0.8)))</f>
        <v>0.65</v>
      </c>
      <c r="C182" s="29">
        <f>IF(Dataset!B182&lt;25,1,IF(Dataset!B182&lt;75,2,IF(Dataset!B182&lt;120,3,4)))</f>
        <v>3</v>
      </c>
      <c r="D182" s="29">
        <f t="shared" si="16"/>
        <v>1.9500000000000002</v>
      </c>
      <c r="E182" s="29">
        <f>IF(Dataset!C182&lt;=1,0.3,IF(Dataset!C182=2,0.4,IF(Dataset!C182=3,0.5,IF(Dataset!C182=4,0.65,0.8))))</f>
        <v>0.65</v>
      </c>
      <c r="F182" s="29">
        <f>IF(Dataset!C182&lt;=2,1,IF(Dataset!C182=3,2,IF(Dataset!C182=4,3,4)))</f>
        <v>3</v>
      </c>
      <c r="G182" s="29">
        <f t="shared" si="17"/>
        <v>1.9500000000000002</v>
      </c>
      <c r="H182" s="29">
        <f>IF(Dataset!G182&lt;=3,0.25,IF(Dataset!G182&lt;=6,0.45,IF(Dataset!G182&lt;=9,0.65,0.85)))</f>
        <v>0.65</v>
      </c>
      <c r="I182" s="29">
        <f>IF(Dataset!G182&lt;=3,1,IF(Dataset!G182&lt;=6,2,IF(Dataset!G182&lt;=9,3,4)))</f>
        <v>3</v>
      </c>
      <c r="J182" s="29">
        <f t="shared" si="18"/>
        <v>1.9500000000000002</v>
      </c>
      <c r="K182" s="29">
        <f>IF(Dataset!H182&lt;1,0.2,IF(Dataset!H182&lt;1.3,0.45,IF(Dataset!H182&lt;1.8,0.7,0.9)))</f>
        <v>0.2</v>
      </c>
      <c r="L182" s="29">
        <f>IF(Dataset!H182&lt;1,1,IF(Dataset!H182&lt;1.3,2,IF(Dataset!H182&lt;1.8,3,4)))</f>
        <v>1</v>
      </c>
      <c r="M182" s="29">
        <f t="shared" si="19"/>
        <v>0.2</v>
      </c>
      <c r="N182" s="29">
        <f>IF(Dataset!F182=1,0.75,IF(Dataset!F182=2,0.45,0.2))</f>
        <v>0.45</v>
      </c>
      <c r="O182" s="29">
        <f>IF(Dataset!F182=1,3,IF(Dataset!F182=2,2,1))</f>
        <v>2</v>
      </c>
      <c r="P182" s="29">
        <f t="shared" si="20"/>
        <v>0.9</v>
      </c>
      <c r="Q182" s="29">
        <f>IF(Dataset!K182&lt;5,0.2,IF(Dataset!K182&lt;10,0.45,IF(Dataset!K182&lt;18,0.7,0.9)))</f>
        <v>0.45</v>
      </c>
      <c r="R182" s="29">
        <f>IF(Dataset!K182&lt;5,1,IF(Dataset!K182&lt;10,2,IF(Dataset!K182&lt;18,3,4)))</f>
        <v>2</v>
      </c>
      <c r="S182" s="29">
        <f t="shared" si="21"/>
        <v>0.9</v>
      </c>
      <c r="T182" s="29">
        <f t="shared" si="22"/>
        <v>1.2780000000000005</v>
      </c>
      <c r="U182" s="29" t="str">
        <f t="shared" si="23"/>
        <v>Low</v>
      </c>
    </row>
    <row r="183" spans="1:21" ht="15" customHeight="1" x14ac:dyDescent="0.25">
      <c r="A183" s="29">
        <f>Dataset!A183</f>
        <v>179</v>
      </c>
      <c r="B183" s="29">
        <f>IF(Dataset!B183&lt;25,0.3,IF(Dataset!B183&lt;75,0.5,IF(Dataset!B183&lt;120,0.65,0.8)))</f>
        <v>0.65</v>
      </c>
      <c r="C183" s="29">
        <f>IF(Dataset!B183&lt;25,1,IF(Dataset!B183&lt;75,2,IF(Dataset!B183&lt;120,3,4)))</f>
        <v>3</v>
      </c>
      <c r="D183" s="29">
        <f t="shared" si="16"/>
        <v>1.9500000000000002</v>
      </c>
      <c r="E183" s="29">
        <f>IF(Dataset!C183&lt;=1,0.3,IF(Dataset!C183=2,0.4,IF(Dataset!C183=3,0.5,IF(Dataset!C183=4,0.65,0.8))))</f>
        <v>0.5</v>
      </c>
      <c r="F183" s="29">
        <f>IF(Dataset!C183&lt;=2,1,IF(Dataset!C183=3,2,IF(Dataset!C183=4,3,4)))</f>
        <v>2</v>
      </c>
      <c r="G183" s="29">
        <f t="shared" si="17"/>
        <v>1</v>
      </c>
      <c r="H183" s="29">
        <f>IF(Dataset!G183&lt;=3,0.25,IF(Dataset!G183&lt;=6,0.45,IF(Dataset!G183&lt;=9,0.65,0.85)))</f>
        <v>0.85</v>
      </c>
      <c r="I183" s="29">
        <f>IF(Dataset!G183&lt;=3,1,IF(Dataset!G183&lt;=6,2,IF(Dataset!G183&lt;=9,3,4)))</f>
        <v>4</v>
      </c>
      <c r="J183" s="29">
        <f t="shared" si="18"/>
        <v>3.4</v>
      </c>
      <c r="K183" s="29">
        <f>IF(Dataset!H183&lt;1,0.2,IF(Dataset!H183&lt;1.3,0.45,IF(Dataset!H183&lt;1.8,0.7,0.9)))</f>
        <v>0.45</v>
      </c>
      <c r="L183" s="29">
        <f>IF(Dataset!H183&lt;1,1,IF(Dataset!H183&lt;1.3,2,IF(Dataset!H183&lt;1.8,3,4)))</f>
        <v>2</v>
      </c>
      <c r="M183" s="29">
        <f t="shared" si="19"/>
        <v>0.9</v>
      </c>
      <c r="N183" s="29">
        <f>IF(Dataset!F183=1,0.75,IF(Dataset!F183=2,0.45,0.2))</f>
        <v>0.45</v>
      </c>
      <c r="O183" s="29">
        <f>IF(Dataset!F183=1,3,IF(Dataset!F183=2,2,1))</f>
        <v>2</v>
      </c>
      <c r="P183" s="29">
        <f t="shared" si="20"/>
        <v>0.9</v>
      </c>
      <c r="Q183" s="29">
        <f>IF(Dataset!K183&lt;5,0.2,IF(Dataset!K183&lt;10,0.45,IF(Dataset!K183&lt;18,0.7,0.9)))</f>
        <v>0.2</v>
      </c>
      <c r="R183" s="29">
        <f>IF(Dataset!K183&lt;5,1,IF(Dataset!K183&lt;10,2,IF(Dataset!K183&lt;18,3,4)))</f>
        <v>1</v>
      </c>
      <c r="S183" s="29">
        <f t="shared" si="21"/>
        <v>0.2</v>
      </c>
      <c r="T183" s="29">
        <f t="shared" si="22"/>
        <v>1.5050000000000001</v>
      </c>
      <c r="U183" s="29" t="str">
        <f t="shared" si="23"/>
        <v>Medium</v>
      </c>
    </row>
    <row r="184" spans="1:21" ht="15" customHeight="1" x14ac:dyDescent="0.25">
      <c r="A184" s="29">
        <f>Dataset!A184</f>
        <v>180</v>
      </c>
      <c r="B184" s="29">
        <f>IF(Dataset!B184&lt;25,0.3,IF(Dataset!B184&lt;75,0.5,IF(Dataset!B184&lt;120,0.65,0.8)))</f>
        <v>0.5</v>
      </c>
      <c r="C184" s="29">
        <f>IF(Dataset!B184&lt;25,1,IF(Dataset!B184&lt;75,2,IF(Dataset!B184&lt;120,3,4)))</f>
        <v>2</v>
      </c>
      <c r="D184" s="29">
        <f t="shared" si="16"/>
        <v>1</v>
      </c>
      <c r="E184" s="29">
        <f>IF(Dataset!C184&lt;=1,0.3,IF(Dataset!C184=2,0.4,IF(Dataset!C184=3,0.5,IF(Dataset!C184=4,0.65,0.8))))</f>
        <v>0.5</v>
      </c>
      <c r="F184" s="29">
        <f>IF(Dataset!C184&lt;=2,1,IF(Dataset!C184=3,2,IF(Dataset!C184=4,3,4)))</f>
        <v>2</v>
      </c>
      <c r="G184" s="29">
        <f t="shared" si="17"/>
        <v>1</v>
      </c>
      <c r="H184" s="29">
        <f>IF(Dataset!G184&lt;=3,0.25,IF(Dataset!G184&lt;=6,0.45,IF(Dataset!G184&lt;=9,0.65,0.85)))</f>
        <v>0.45</v>
      </c>
      <c r="I184" s="29">
        <f>IF(Dataset!G184&lt;=3,1,IF(Dataset!G184&lt;=6,2,IF(Dataset!G184&lt;=9,3,4)))</f>
        <v>2</v>
      </c>
      <c r="J184" s="29">
        <f t="shared" si="18"/>
        <v>0.9</v>
      </c>
      <c r="K184" s="29">
        <f>IF(Dataset!H184&lt;1,0.2,IF(Dataset!H184&lt;1.3,0.45,IF(Dataset!H184&lt;1.8,0.7,0.9)))</f>
        <v>0.9</v>
      </c>
      <c r="L184" s="29">
        <f>IF(Dataset!H184&lt;1,1,IF(Dataset!H184&lt;1.3,2,IF(Dataset!H184&lt;1.8,3,4)))</f>
        <v>4</v>
      </c>
      <c r="M184" s="29">
        <f t="shared" si="19"/>
        <v>3.6</v>
      </c>
      <c r="N184" s="29">
        <f>IF(Dataset!F184=1,0.75,IF(Dataset!F184=2,0.45,0.2))</f>
        <v>0.45</v>
      </c>
      <c r="O184" s="29">
        <f>IF(Dataset!F184=1,3,IF(Dataset!F184=2,2,1))</f>
        <v>2</v>
      </c>
      <c r="P184" s="29">
        <f t="shared" si="20"/>
        <v>0.9</v>
      </c>
      <c r="Q184" s="29">
        <f>IF(Dataset!K184&lt;5,0.2,IF(Dataset!K184&lt;10,0.45,IF(Dataset!K184&lt;18,0.7,0.9)))</f>
        <v>0.45</v>
      </c>
      <c r="R184" s="29">
        <f>IF(Dataset!K184&lt;5,1,IF(Dataset!K184&lt;10,2,IF(Dataset!K184&lt;18,3,4)))</f>
        <v>2</v>
      </c>
      <c r="S184" s="29">
        <f t="shared" si="21"/>
        <v>0.9</v>
      </c>
      <c r="T184" s="29">
        <f t="shared" si="22"/>
        <v>1.58</v>
      </c>
      <c r="U184" s="29" t="str">
        <f t="shared" si="23"/>
        <v>Medium</v>
      </c>
    </row>
    <row r="185" spans="1:21" ht="15" customHeight="1" x14ac:dyDescent="0.25">
      <c r="A185" s="29">
        <f>Dataset!A185</f>
        <v>181</v>
      </c>
      <c r="B185" s="29">
        <f>IF(Dataset!B185&lt;25,0.3,IF(Dataset!B185&lt;75,0.5,IF(Dataset!B185&lt;120,0.65,0.8)))</f>
        <v>0.65</v>
      </c>
      <c r="C185" s="29">
        <f>IF(Dataset!B185&lt;25,1,IF(Dataset!B185&lt;75,2,IF(Dataset!B185&lt;120,3,4)))</f>
        <v>3</v>
      </c>
      <c r="D185" s="29">
        <f t="shared" si="16"/>
        <v>1.9500000000000002</v>
      </c>
      <c r="E185" s="29">
        <f>IF(Dataset!C185&lt;=1,0.3,IF(Dataset!C185=2,0.4,IF(Dataset!C185=3,0.5,IF(Dataset!C185=4,0.65,0.8))))</f>
        <v>0.8</v>
      </c>
      <c r="F185" s="29">
        <f>IF(Dataset!C185&lt;=2,1,IF(Dataset!C185=3,2,IF(Dataset!C185=4,3,4)))</f>
        <v>4</v>
      </c>
      <c r="G185" s="29">
        <f t="shared" si="17"/>
        <v>3.2</v>
      </c>
      <c r="H185" s="29">
        <f>IF(Dataset!G185&lt;=3,0.25,IF(Dataset!G185&lt;=6,0.45,IF(Dataset!G185&lt;=9,0.65,0.85)))</f>
        <v>0.45</v>
      </c>
      <c r="I185" s="29">
        <f>IF(Dataset!G185&lt;=3,1,IF(Dataset!G185&lt;=6,2,IF(Dataset!G185&lt;=9,3,4)))</f>
        <v>2</v>
      </c>
      <c r="J185" s="29">
        <f t="shared" si="18"/>
        <v>0.9</v>
      </c>
      <c r="K185" s="29">
        <f>IF(Dataset!H185&lt;1,0.2,IF(Dataset!H185&lt;1.3,0.45,IF(Dataset!H185&lt;1.8,0.7,0.9)))</f>
        <v>0.9</v>
      </c>
      <c r="L185" s="29">
        <f>IF(Dataset!H185&lt;1,1,IF(Dataset!H185&lt;1.3,2,IF(Dataset!H185&lt;1.8,3,4)))</f>
        <v>4</v>
      </c>
      <c r="M185" s="29">
        <f t="shared" si="19"/>
        <v>3.6</v>
      </c>
      <c r="N185" s="29">
        <f>IF(Dataset!F185=1,0.75,IF(Dataset!F185=2,0.45,0.2))</f>
        <v>0.75</v>
      </c>
      <c r="O185" s="29">
        <f>IF(Dataset!F185=1,3,IF(Dataset!F185=2,2,1))</f>
        <v>3</v>
      </c>
      <c r="P185" s="29">
        <f t="shared" si="20"/>
        <v>2.25</v>
      </c>
      <c r="Q185" s="29">
        <f>IF(Dataset!K185&lt;5,0.2,IF(Dataset!K185&lt;10,0.45,IF(Dataset!K185&lt;18,0.7,0.9)))</f>
        <v>0.7</v>
      </c>
      <c r="R185" s="29">
        <f>IF(Dataset!K185&lt;5,1,IF(Dataset!K185&lt;10,2,IF(Dataset!K185&lt;18,3,4)))</f>
        <v>3</v>
      </c>
      <c r="S185" s="29">
        <f t="shared" si="21"/>
        <v>2.0999999999999996</v>
      </c>
      <c r="T185" s="29">
        <f t="shared" si="22"/>
        <v>2.3620000000000001</v>
      </c>
      <c r="U185" s="29" t="str">
        <f t="shared" si="23"/>
        <v>High</v>
      </c>
    </row>
    <row r="186" spans="1:21" ht="15" customHeight="1" x14ac:dyDescent="0.25">
      <c r="A186" s="29">
        <f>Dataset!A186</f>
        <v>182</v>
      </c>
      <c r="B186" s="29">
        <f>IF(Dataset!B186&lt;25,0.3,IF(Dataset!B186&lt;75,0.5,IF(Dataset!B186&lt;120,0.65,0.8)))</f>
        <v>0.5</v>
      </c>
      <c r="C186" s="29">
        <f>IF(Dataset!B186&lt;25,1,IF(Dataset!B186&lt;75,2,IF(Dataset!B186&lt;120,3,4)))</f>
        <v>2</v>
      </c>
      <c r="D186" s="29">
        <f t="shared" si="16"/>
        <v>1</v>
      </c>
      <c r="E186" s="29">
        <f>IF(Dataset!C186&lt;=1,0.3,IF(Dataset!C186=2,0.4,IF(Dataset!C186=3,0.5,IF(Dataset!C186=4,0.65,0.8))))</f>
        <v>0.65</v>
      </c>
      <c r="F186" s="29">
        <f>IF(Dataset!C186&lt;=2,1,IF(Dataset!C186=3,2,IF(Dataset!C186=4,3,4)))</f>
        <v>3</v>
      </c>
      <c r="G186" s="29">
        <f t="shared" si="17"/>
        <v>1.9500000000000002</v>
      </c>
      <c r="H186" s="29">
        <f>IF(Dataset!G186&lt;=3,0.25,IF(Dataset!G186&lt;=6,0.45,IF(Dataset!G186&lt;=9,0.65,0.85)))</f>
        <v>0.45</v>
      </c>
      <c r="I186" s="29">
        <f>IF(Dataset!G186&lt;=3,1,IF(Dataset!G186&lt;=6,2,IF(Dataset!G186&lt;=9,3,4)))</f>
        <v>2</v>
      </c>
      <c r="J186" s="29">
        <f t="shared" si="18"/>
        <v>0.9</v>
      </c>
      <c r="K186" s="29">
        <f>IF(Dataset!H186&lt;1,0.2,IF(Dataset!H186&lt;1.3,0.45,IF(Dataset!H186&lt;1.8,0.7,0.9)))</f>
        <v>0.9</v>
      </c>
      <c r="L186" s="29">
        <f>IF(Dataset!H186&lt;1,1,IF(Dataset!H186&lt;1.3,2,IF(Dataset!H186&lt;1.8,3,4)))</f>
        <v>4</v>
      </c>
      <c r="M186" s="29">
        <f t="shared" si="19"/>
        <v>3.6</v>
      </c>
      <c r="N186" s="29">
        <f>IF(Dataset!F186=1,0.75,IF(Dataset!F186=2,0.45,0.2))</f>
        <v>0.2</v>
      </c>
      <c r="O186" s="29">
        <f>IF(Dataset!F186=1,3,IF(Dataset!F186=2,2,1))</f>
        <v>1</v>
      </c>
      <c r="P186" s="29">
        <f t="shared" si="20"/>
        <v>0.2</v>
      </c>
      <c r="Q186" s="29">
        <f>IF(Dataset!K186&lt;5,0.2,IF(Dataset!K186&lt;10,0.45,IF(Dataset!K186&lt;18,0.7,0.9)))</f>
        <v>0.7</v>
      </c>
      <c r="R186" s="29">
        <f>IF(Dataset!K186&lt;5,1,IF(Dataset!K186&lt;10,2,IF(Dataset!K186&lt;18,3,4)))</f>
        <v>3</v>
      </c>
      <c r="S186" s="29">
        <f t="shared" si="21"/>
        <v>2.0999999999999996</v>
      </c>
      <c r="T186" s="29">
        <f t="shared" si="22"/>
        <v>1.8110000000000002</v>
      </c>
      <c r="U186" s="29" t="str">
        <f t="shared" si="23"/>
        <v>High</v>
      </c>
    </row>
    <row r="187" spans="1:21" ht="15" customHeight="1" x14ac:dyDescent="0.25">
      <c r="A187" s="29">
        <f>Dataset!A187</f>
        <v>183</v>
      </c>
      <c r="B187" s="29">
        <f>IF(Dataset!B187&lt;25,0.3,IF(Dataset!B187&lt;75,0.5,IF(Dataset!B187&lt;120,0.65,0.8)))</f>
        <v>0.65</v>
      </c>
      <c r="C187" s="29">
        <f>IF(Dataset!B187&lt;25,1,IF(Dataset!B187&lt;75,2,IF(Dataset!B187&lt;120,3,4)))</f>
        <v>3</v>
      </c>
      <c r="D187" s="29">
        <f t="shared" si="16"/>
        <v>1.9500000000000002</v>
      </c>
      <c r="E187" s="29">
        <f>IF(Dataset!C187&lt;=1,0.3,IF(Dataset!C187=2,0.4,IF(Dataset!C187=3,0.5,IF(Dataset!C187=4,0.65,0.8))))</f>
        <v>0.5</v>
      </c>
      <c r="F187" s="29">
        <f>IF(Dataset!C187&lt;=2,1,IF(Dataset!C187=3,2,IF(Dataset!C187=4,3,4)))</f>
        <v>2</v>
      </c>
      <c r="G187" s="29">
        <f t="shared" si="17"/>
        <v>1</v>
      </c>
      <c r="H187" s="29">
        <f>IF(Dataset!G187&lt;=3,0.25,IF(Dataset!G187&lt;=6,0.45,IF(Dataset!G187&lt;=9,0.65,0.85)))</f>
        <v>0.65</v>
      </c>
      <c r="I187" s="29">
        <f>IF(Dataset!G187&lt;=3,1,IF(Dataset!G187&lt;=6,2,IF(Dataset!G187&lt;=9,3,4)))</f>
        <v>3</v>
      </c>
      <c r="J187" s="29">
        <f t="shared" si="18"/>
        <v>1.9500000000000002</v>
      </c>
      <c r="K187" s="29">
        <f>IF(Dataset!H187&lt;1,0.2,IF(Dataset!H187&lt;1.3,0.45,IF(Dataset!H187&lt;1.8,0.7,0.9)))</f>
        <v>0.7</v>
      </c>
      <c r="L187" s="29">
        <f>IF(Dataset!H187&lt;1,1,IF(Dataset!H187&lt;1.3,2,IF(Dataset!H187&lt;1.8,3,4)))</f>
        <v>3</v>
      </c>
      <c r="M187" s="29">
        <f t="shared" si="19"/>
        <v>2.0999999999999996</v>
      </c>
      <c r="N187" s="29">
        <f>IF(Dataset!F187=1,0.75,IF(Dataset!F187=2,0.45,0.2))</f>
        <v>0.45</v>
      </c>
      <c r="O187" s="29">
        <f>IF(Dataset!F187=1,3,IF(Dataset!F187=2,2,1))</f>
        <v>2</v>
      </c>
      <c r="P187" s="29">
        <f t="shared" si="20"/>
        <v>0.9</v>
      </c>
      <c r="Q187" s="29">
        <f>IF(Dataset!K187&lt;5,0.2,IF(Dataset!K187&lt;10,0.45,IF(Dataset!K187&lt;18,0.7,0.9)))</f>
        <v>0.45</v>
      </c>
      <c r="R187" s="29">
        <f>IF(Dataset!K187&lt;5,1,IF(Dataset!K187&lt;10,2,IF(Dataset!K187&lt;18,3,4)))</f>
        <v>2</v>
      </c>
      <c r="S187" s="29">
        <f t="shared" si="21"/>
        <v>0.9</v>
      </c>
      <c r="T187" s="29">
        <f t="shared" si="22"/>
        <v>1.6010000000000002</v>
      </c>
      <c r="U187" s="29" t="str">
        <f t="shared" si="23"/>
        <v>Medium</v>
      </c>
    </row>
    <row r="188" spans="1:21" ht="15" customHeight="1" x14ac:dyDescent="0.25">
      <c r="A188" s="29">
        <f>Dataset!A188</f>
        <v>184</v>
      </c>
      <c r="B188" s="29">
        <f>IF(Dataset!B188&lt;25,0.3,IF(Dataset!B188&lt;75,0.5,IF(Dataset!B188&lt;120,0.65,0.8)))</f>
        <v>0.3</v>
      </c>
      <c r="C188" s="29">
        <f>IF(Dataset!B188&lt;25,1,IF(Dataset!B188&lt;75,2,IF(Dataset!B188&lt;120,3,4)))</f>
        <v>1</v>
      </c>
      <c r="D188" s="29">
        <f t="shared" si="16"/>
        <v>0.3</v>
      </c>
      <c r="E188" s="29">
        <f>IF(Dataset!C188&lt;=1,0.3,IF(Dataset!C188=2,0.4,IF(Dataset!C188=3,0.5,IF(Dataset!C188=4,0.65,0.8))))</f>
        <v>0.5</v>
      </c>
      <c r="F188" s="29">
        <f>IF(Dataset!C188&lt;=2,1,IF(Dataset!C188=3,2,IF(Dataset!C188=4,3,4)))</f>
        <v>2</v>
      </c>
      <c r="G188" s="29">
        <f t="shared" si="17"/>
        <v>1</v>
      </c>
      <c r="H188" s="29">
        <f>IF(Dataset!G188&lt;=3,0.25,IF(Dataset!G188&lt;=6,0.45,IF(Dataset!G188&lt;=9,0.65,0.85)))</f>
        <v>0.45</v>
      </c>
      <c r="I188" s="29">
        <f>IF(Dataset!G188&lt;=3,1,IF(Dataset!G188&lt;=6,2,IF(Dataset!G188&lt;=9,3,4)))</f>
        <v>2</v>
      </c>
      <c r="J188" s="29">
        <f t="shared" si="18"/>
        <v>0.9</v>
      </c>
      <c r="K188" s="29">
        <f>IF(Dataset!H188&lt;1,0.2,IF(Dataset!H188&lt;1.3,0.45,IF(Dataset!H188&lt;1.8,0.7,0.9)))</f>
        <v>0.45</v>
      </c>
      <c r="L188" s="29">
        <f>IF(Dataset!H188&lt;1,1,IF(Dataset!H188&lt;1.3,2,IF(Dataset!H188&lt;1.8,3,4)))</f>
        <v>2</v>
      </c>
      <c r="M188" s="29">
        <f t="shared" si="19"/>
        <v>0.9</v>
      </c>
      <c r="N188" s="29">
        <f>IF(Dataset!F188=1,0.75,IF(Dataset!F188=2,0.45,0.2))</f>
        <v>0.45</v>
      </c>
      <c r="O188" s="29">
        <f>IF(Dataset!F188=1,3,IF(Dataset!F188=2,2,1))</f>
        <v>2</v>
      </c>
      <c r="P188" s="29">
        <f t="shared" si="20"/>
        <v>0.9</v>
      </c>
      <c r="Q188" s="29">
        <f>IF(Dataset!K188&lt;5,0.2,IF(Dataset!K188&lt;10,0.45,IF(Dataset!K188&lt;18,0.7,0.9)))</f>
        <v>0.45</v>
      </c>
      <c r="R188" s="29">
        <f>IF(Dataset!K188&lt;5,1,IF(Dataset!K188&lt;10,2,IF(Dataset!K188&lt;18,3,4)))</f>
        <v>2</v>
      </c>
      <c r="S188" s="29">
        <f t="shared" si="21"/>
        <v>0.9</v>
      </c>
      <c r="T188" s="29">
        <f t="shared" si="22"/>
        <v>0.80599999999999994</v>
      </c>
      <c r="U188" s="29" t="str">
        <f t="shared" si="23"/>
        <v>Low</v>
      </c>
    </row>
    <row r="189" spans="1:21" ht="15" customHeight="1" x14ac:dyDescent="0.25">
      <c r="A189" s="29">
        <f>Dataset!A189</f>
        <v>185</v>
      </c>
      <c r="B189" s="29">
        <f>IF(Dataset!B189&lt;25,0.3,IF(Dataset!B189&lt;75,0.5,IF(Dataset!B189&lt;120,0.65,0.8)))</f>
        <v>0.8</v>
      </c>
      <c r="C189" s="29">
        <f>IF(Dataset!B189&lt;25,1,IF(Dataset!B189&lt;75,2,IF(Dataset!B189&lt;120,3,4)))</f>
        <v>4</v>
      </c>
      <c r="D189" s="29">
        <f t="shared" si="16"/>
        <v>3.2</v>
      </c>
      <c r="E189" s="29">
        <f>IF(Dataset!C189&lt;=1,0.3,IF(Dataset!C189=2,0.4,IF(Dataset!C189=3,0.5,IF(Dataset!C189=4,0.65,0.8))))</f>
        <v>0.3</v>
      </c>
      <c r="F189" s="29">
        <f>IF(Dataset!C189&lt;=2,1,IF(Dataset!C189=3,2,IF(Dataset!C189=4,3,4)))</f>
        <v>1</v>
      </c>
      <c r="G189" s="29">
        <f t="shared" si="17"/>
        <v>0.3</v>
      </c>
      <c r="H189" s="29">
        <f>IF(Dataset!G189&lt;=3,0.25,IF(Dataset!G189&lt;=6,0.45,IF(Dataset!G189&lt;=9,0.65,0.85)))</f>
        <v>0.65</v>
      </c>
      <c r="I189" s="29">
        <f>IF(Dataset!G189&lt;=3,1,IF(Dataset!G189&lt;=6,2,IF(Dataset!G189&lt;=9,3,4)))</f>
        <v>3</v>
      </c>
      <c r="J189" s="29">
        <f t="shared" si="18"/>
        <v>1.9500000000000002</v>
      </c>
      <c r="K189" s="29">
        <f>IF(Dataset!H189&lt;1,0.2,IF(Dataset!H189&lt;1.3,0.45,IF(Dataset!H189&lt;1.8,0.7,0.9)))</f>
        <v>0.45</v>
      </c>
      <c r="L189" s="29">
        <f>IF(Dataset!H189&lt;1,1,IF(Dataset!H189&lt;1.3,2,IF(Dataset!H189&lt;1.8,3,4)))</f>
        <v>2</v>
      </c>
      <c r="M189" s="29">
        <f t="shared" si="19"/>
        <v>0.9</v>
      </c>
      <c r="N189" s="29">
        <f>IF(Dataset!F189=1,0.75,IF(Dataset!F189=2,0.45,0.2))</f>
        <v>0.45</v>
      </c>
      <c r="O189" s="29">
        <f>IF(Dataset!F189=1,3,IF(Dataset!F189=2,2,1))</f>
        <v>2</v>
      </c>
      <c r="P189" s="29">
        <f t="shared" si="20"/>
        <v>0.9</v>
      </c>
      <c r="Q189" s="29">
        <f>IF(Dataset!K189&lt;5,0.2,IF(Dataset!K189&lt;10,0.45,IF(Dataset!K189&lt;18,0.7,0.9)))</f>
        <v>0.2</v>
      </c>
      <c r="R189" s="29">
        <f>IF(Dataset!K189&lt;5,1,IF(Dataset!K189&lt;10,2,IF(Dataset!K189&lt;18,3,4)))</f>
        <v>1</v>
      </c>
      <c r="S189" s="29">
        <f t="shared" si="21"/>
        <v>0.2</v>
      </c>
      <c r="T189" s="29">
        <f t="shared" si="22"/>
        <v>1.3420000000000001</v>
      </c>
      <c r="U189" s="29" t="str">
        <f t="shared" si="23"/>
        <v>Low</v>
      </c>
    </row>
    <row r="190" spans="1:21" ht="15" customHeight="1" x14ac:dyDescent="0.25">
      <c r="A190" s="29">
        <f>Dataset!A190</f>
        <v>186</v>
      </c>
      <c r="B190" s="29">
        <f>IF(Dataset!B190&lt;25,0.3,IF(Dataset!B190&lt;75,0.5,IF(Dataset!B190&lt;120,0.65,0.8)))</f>
        <v>0.5</v>
      </c>
      <c r="C190" s="29">
        <f>IF(Dataset!B190&lt;25,1,IF(Dataset!B190&lt;75,2,IF(Dataset!B190&lt;120,3,4)))</f>
        <v>2</v>
      </c>
      <c r="D190" s="29">
        <f t="shared" si="16"/>
        <v>1</v>
      </c>
      <c r="E190" s="29">
        <f>IF(Dataset!C190&lt;=1,0.3,IF(Dataset!C190=2,0.4,IF(Dataset!C190=3,0.5,IF(Dataset!C190=4,0.65,0.8))))</f>
        <v>0.8</v>
      </c>
      <c r="F190" s="29">
        <f>IF(Dataset!C190&lt;=2,1,IF(Dataset!C190=3,2,IF(Dataset!C190=4,3,4)))</f>
        <v>4</v>
      </c>
      <c r="G190" s="29">
        <f t="shared" si="17"/>
        <v>3.2</v>
      </c>
      <c r="H190" s="29">
        <f>IF(Dataset!G190&lt;=3,0.25,IF(Dataset!G190&lt;=6,0.45,IF(Dataset!G190&lt;=9,0.65,0.85)))</f>
        <v>0.45</v>
      </c>
      <c r="I190" s="29">
        <f>IF(Dataset!G190&lt;=3,1,IF(Dataset!G190&lt;=6,2,IF(Dataset!G190&lt;=9,3,4)))</f>
        <v>2</v>
      </c>
      <c r="J190" s="29">
        <f t="shared" si="18"/>
        <v>0.9</v>
      </c>
      <c r="K190" s="29">
        <f>IF(Dataset!H190&lt;1,0.2,IF(Dataset!H190&lt;1.3,0.45,IF(Dataset!H190&lt;1.8,0.7,0.9)))</f>
        <v>0.7</v>
      </c>
      <c r="L190" s="29">
        <f>IF(Dataset!H190&lt;1,1,IF(Dataset!H190&lt;1.3,2,IF(Dataset!H190&lt;1.8,3,4)))</f>
        <v>3</v>
      </c>
      <c r="M190" s="29">
        <f t="shared" si="19"/>
        <v>2.0999999999999996</v>
      </c>
      <c r="N190" s="29">
        <f>IF(Dataset!F190=1,0.75,IF(Dataset!F190=2,0.45,0.2))</f>
        <v>0.75</v>
      </c>
      <c r="O190" s="29">
        <f>IF(Dataset!F190=1,3,IF(Dataset!F190=2,2,1))</f>
        <v>3</v>
      </c>
      <c r="P190" s="29">
        <f t="shared" si="20"/>
        <v>2.25</v>
      </c>
      <c r="Q190" s="29">
        <f>IF(Dataset!K190&lt;5,0.2,IF(Dataset!K190&lt;10,0.45,IF(Dataset!K190&lt;18,0.7,0.9)))</f>
        <v>0.7</v>
      </c>
      <c r="R190" s="29">
        <f>IF(Dataset!K190&lt;5,1,IF(Dataset!K190&lt;10,2,IF(Dataset!K190&lt;18,3,4)))</f>
        <v>3</v>
      </c>
      <c r="S190" s="29">
        <f t="shared" si="21"/>
        <v>2.0999999999999996</v>
      </c>
      <c r="T190" s="29">
        <f t="shared" si="22"/>
        <v>1.8310000000000002</v>
      </c>
      <c r="U190" s="29" t="str">
        <f t="shared" si="23"/>
        <v>High</v>
      </c>
    </row>
    <row r="191" spans="1:21" ht="15" customHeight="1" x14ac:dyDescent="0.25">
      <c r="A191" s="29">
        <f>Dataset!A191</f>
        <v>187</v>
      </c>
      <c r="B191" s="29">
        <f>IF(Dataset!B191&lt;25,0.3,IF(Dataset!B191&lt;75,0.5,IF(Dataset!B191&lt;120,0.65,0.8)))</f>
        <v>0.65</v>
      </c>
      <c r="C191" s="29">
        <f>IF(Dataset!B191&lt;25,1,IF(Dataset!B191&lt;75,2,IF(Dataset!B191&lt;120,3,4)))</f>
        <v>3</v>
      </c>
      <c r="D191" s="29">
        <f t="shared" si="16"/>
        <v>1.9500000000000002</v>
      </c>
      <c r="E191" s="29">
        <f>IF(Dataset!C191&lt;=1,0.3,IF(Dataset!C191=2,0.4,IF(Dataset!C191=3,0.5,IF(Dataset!C191=4,0.65,0.8))))</f>
        <v>0.5</v>
      </c>
      <c r="F191" s="29">
        <f>IF(Dataset!C191&lt;=2,1,IF(Dataset!C191=3,2,IF(Dataset!C191=4,3,4)))</f>
        <v>2</v>
      </c>
      <c r="G191" s="29">
        <f t="shared" si="17"/>
        <v>1</v>
      </c>
      <c r="H191" s="29">
        <f>IF(Dataset!G191&lt;=3,0.25,IF(Dataset!G191&lt;=6,0.45,IF(Dataset!G191&lt;=9,0.65,0.85)))</f>
        <v>0.65</v>
      </c>
      <c r="I191" s="29">
        <f>IF(Dataset!G191&lt;=3,1,IF(Dataset!G191&lt;=6,2,IF(Dataset!G191&lt;=9,3,4)))</f>
        <v>3</v>
      </c>
      <c r="J191" s="29">
        <f t="shared" si="18"/>
        <v>1.9500000000000002</v>
      </c>
      <c r="K191" s="29">
        <f>IF(Dataset!H191&lt;1,0.2,IF(Dataset!H191&lt;1.3,0.45,IF(Dataset!H191&lt;1.8,0.7,0.9)))</f>
        <v>0.45</v>
      </c>
      <c r="L191" s="29">
        <f>IF(Dataset!H191&lt;1,1,IF(Dataset!H191&lt;1.3,2,IF(Dataset!H191&lt;1.8,3,4)))</f>
        <v>2</v>
      </c>
      <c r="M191" s="29">
        <f t="shared" si="19"/>
        <v>0.9</v>
      </c>
      <c r="N191" s="29">
        <f>IF(Dataset!F191=1,0.75,IF(Dataset!F191=2,0.45,0.2))</f>
        <v>0.75</v>
      </c>
      <c r="O191" s="29">
        <f>IF(Dataset!F191=1,3,IF(Dataset!F191=2,2,1))</f>
        <v>3</v>
      </c>
      <c r="P191" s="29">
        <f t="shared" si="20"/>
        <v>2.25</v>
      </c>
      <c r="Q191" s="29">
        <f>IF(Dataset!K191&lt;5,0.2,IF(Dataset!K191&lt;10,0.45,IF(Dataset!K191&lt;18,0.7,0.9)))</f>
        <v>0.45</v>
      </c>
      <c r="R191" s="29">
        <f>IF(Dataset!K191&lt;5,1,IF(Dataset!K191&lt;10,2,IF(Dataset!K191&lt;18,3,4)))</f>
        <v>2</v>
      </c>
      <c r="S191" s="29">
        <f t="shared" si="21"/>
        <v>0.9</v>
      </c>
      <c r="T191" s="29">
        <f t="shared" si="22"/>
        <v>1.4480000000000004</v>
      </c>
      <c r="U191" s="29" t="str">
        <f t="shared" si="23"/>
        <v>Medium</v>
      </c>
    </row>
    <row r="192" spans="1:21" ht="15" customHeight="1" x14ac:dyDescent="0.25">
      <c r="A192" s="29">
        <f>Dataset!A192</f>
        <v>188</v>
      </c>
      <c r="B192" s="29">
        <f>IF(Dataset!B192&lt;25,0.3,IF(Dataset!B192&lt;75,0.5,IF(Dataset!B192&lt;120,0.65,0.8)))</f>
        <v>0.8</v>
      </c>
      <c r="C192" s="29">
        <f>IF(Dataset!B192&lt;25,1,IF(Dataset!B192&lt;75,2,IF(Dataset!B192&lt;120,3,4)))</f>
        <v>4</v>
      </c>
      <c r="D192" s="29">
        <f t="shared" si="16"/>
        <v>3.2</v>
      </c>
      <c r="E192" s="29">
        <f>IF(Dataset!C192&lt;=1,0.3,IF(Dataset!C192=2,0.4,IF(Dataset!C192=3,0.5,IF(Dataset!C192=4,0.65,0.8))))</f>
        <v>0.5</v>
      </c>
      <c r="F192" s="29">
        <f>IF(Dataset!C192&lt;=2,1,IF(Dataset!C192=3,2,IF(Dataset!C192=4,3,4)))</f>
        <v>2</v>
      </c>
      <c r="G192" s="29">
        <f t="shared" si="17"/>
        <v>1</v>
      </c>
      <c r="H192" s="29">
        <f>IF(Dataset!G192&lt;=3,0.25,IF(Dataset!G192&lt;=6,0.45,IF(Dataset!G192&lt;=9,0.65,0.85)))</f>
        <v>0.65</v>
      </c>
      <c r="I192" s="29">
        <f>IF(Dataset!G192&lt;=3,1,IF(Dataset!G192&lt;=6,2,IF(Dataset!G192&lt;=9,3,4)))</f>
        <v>3</v>
      </c>
      <c r="J192" s="29">
        <f t="shared" si="18"/>
        <v>1.9500000000000002</v>
      </c>
      <c r="K192" s="29">
        <f>IF(Dataset!H192&lt;1,0.2,IF(Dataset!H192&lt;1.3,0.45,IF(Dataset!H192&lt;1.8,0.7,0.9)))</f>
        <v>0.9</v>
      </c>
      <c r="L192" s="29">
        <f>IF(Dataset!H192&lt;1,1,IF(Dataset!H192&lt;1.3,2,IF(Dataset!H192&lt;1.8,3,4)))</f>
        <v>4</v>
      </c>
      <c r="M192" s="29">
        <f t="shared" si="19"/>
        <v>3.6</v>
      </c>
      <c r="N192" s="29">
        <f>IF(Dataset!F192=1,0.75,IF(Dataset!F192=2,0.45,0.2))</f>
        <v>0.45</v>
      </c>
      <c r="O192" s="29">
        <f>IF(Dataset!F192=1,3,IF(Dataset!F192=2,2,1))</f>
        <v>2</v>
      </c>
      <c r="P192" s="29">
        <f t="shared" si="20"/>
        <v>0.9</v>
      </c>
      <c r="Q192" s="29">
        <f>IF(Dataset!K192&lt;5,0.2,IF(Dataset!K192&lt;10,0.45,IF(Dataset!K192&lt;18,0.7,0.9)))</f>
        <v>0.45</v>
      </c>
      <c r="R192" s="29">
        <f>IF(Dataset!K192&lt;5,1,IF(Dataset!K192&lt;10,2,IF(Dataset!K192&lt;18,3,4)))</f>
        <v>2</v>
      </c>
      <c r="S192" s="29">
        <f t="shared" si="21"/>
        <v>0.9</v>
      </c>
      <c r="T192" s="29">
        <f t="shared" si="22"/>
        <v>2.1859999999999999</v>
      </c>
      <c r="U192" s="29" t="str">
        <f t="shared" si="23"/>
        <v>High</v>
      </c>
    </row>
    <row r="193" spans="1:21" ht="15" customHeight="1" x14ac:dyDescent="0.25">
      <c r="A193" s="29">
        <f>Dataset!A193</f>
        <v>189</v>
      </c>
      <c r="B193" s="29">
        <f>IF(Dataset!B193&lt;25,0.3,IF(Dataset!B193&lt;75,0.5,IF(Dataset!B193&lt;120,0.65,0.8)))</f>
        <v>0.65</v>
      </c>
      <c r="C193" s="29">
        <f>IF(Dataset!B193&lt;25,1,IF(Dataset!B193&lt;75,2,IF(Dataset!B193&lt;120,3,4)))</f>
        <v>3</v>
      </c>
      <c r="D193" s="29">
        <f t="shared" si="16"/>
        <v>1.9500000000000002</v>
      </c>
      <c r="E193" s="29">
        <f>IF(Dataset!C193&lt;=1,0.3,IF(Dataset!C193=2,0.4,IF(Dataset!C193=3,0.5,IF(Dataset!C193=4,0.65,0.8))))</f>
        <v>0.8</v>
      </c>
      <c r="F193" s="29">
        <f>IF(Dataset!C193&lt;=2,1,IF(Dataset!C193=3,2,IF(Dataset!C193=4,3,4)))</f>
        <v>4</v>
      </c>
      <c r="G193" s="29">
        <f t="shared" si="17"/>
        <v>3.2</v>
      </c>
      <c r="H193" s="29">
        <f>IF(Dataset!G193&lt;=3,0.25,IF(Dataset!G193&lt;=6,0.45,IF(Dataset!G193&lt;=9,0.65,0.85)))</f>
        <v>0.45</v>
      </c>
      <c r="I193" s="29">
        <f>IF(Dataset!G193&lt;=3,1,IF(Dataset!G193&lt;=6,2,IF(Dataset!G193&lt;=9,3,4)))</f>
        <v>2</v>
      </c>
      <c r="J193" s="29">
        <f t="shared" si="18"/>
        <v>0.9</v>
      </c>
      <c r="K193" s="29">
        <f>IF(Dataset!H193&lt;1,0.2,IF(Dataset!H193&lt;1.3,0.45,IF(Dataset!H193&lt;1.8,0.7,0.9)))</f>
        <v>0.7</v>
      </c>
      <c r="L193" s="29">
        <f>IF(Dataset!H193&lt;1,1,IF(Dataset!H193&lt;1.3,2,IF(Dataset!H193&lt;1.8,3,4)))</f>
        <v>3</v>
      </c>
      <c r="M193" s="29">
        <f t="shared" si="19"/>
        <v>2.0999999999999996</v>
      </c>
      <c r="N193" s="29">
        <f>IF(Dataset!F193=1,0.75,IF(Dataset!F193=2,0.45,0.2))</f>
        <v>0.75</v>
      </c>
      <c r="O193" s="29">
        <f>IF(Dataset!F193=1,3,IF(Dataset!F193=2,2,1))</f>
        <v>3</v>
      </c>
      <c r="P193" s="29">
        <f t="shared" si="20"/>
        <v>2.25</v>
      </c>
      <c r="Q193" s="29">
        <f>IF(Dataset!K193&lt;5,0.2,IF(Dataset!K193&lt;10,0.45,IF(Dataset!K193&lt;18,0.7,0.9)))</f>
        <v>0.9</v>
      </c>
      <c r="R193" s="29">
        <f>IF(Dataset!K193&lt;5,1,IF(Dataset!K193&lt;10,2,IF(Dataset!K193&lt;18,3,4)))</f>
        <v>4</v>
      </c>
      <c r="S193" s="29">
        <f t="shared" si="21"/>
        <v>3.6</v>
      </c>
      <c r="T193" s="29">
        <f t="shared" si="22"/>
        <v>2.2120000000000002</v>
      </c>
      <c r="U193" s="29" t="str">
        <f t="shared" si="23"/>
        <v>High</v>
      </c>
    </row>
    <row r="194" spans="1:21" ht="15" customHeight="1" x14ac:dyDescent="0.25">
      <c r="A194" s="29">
        <f>Dataset!A194</f>
        <v>190</v>
      </c>
      <c r="B194" s="29">
        <f>IF(Dataset!B194&lt;25,0.3,IF(Dataset!B194&lt;75,0.5,IF(Dataset!B194&lt;120,0.65,0.8)))</f>
        <v>0.8</v>
      </c>
      <c r="C194" s="29">
        <f>IF(Dataset!B194&lt;25,1,IF(Dataset!B194&lt;75,2,IF(Dataset!B194&lt;120,3,4)))</f>
        <v>4</v>
      </c>
      <c r="D194" s="29">
        <f t="shared" si="16"/>
        <v>3.2</v>
      </c>
      <c r="E194" s="29">
        <f>IF(Dataset!C194&lt;=1,0.3,IF(Dataset!C194=2,0.4,IF(Dataset!C194=3,0.5,IF(Dataset!C194=4,0.65,0.8))))</f>
        <v>0.65</v>
      </c>
      <c r="F194" s="29">
        <f>IF(Dataset!C194&lt;=2,1,IF(Dataset!C194=3,2,IF(Dataset!C194=4,3,4)))</f>
        <v>3</v>
      </c>
      <c r="G194" s="29">
        <f t="shared" si="17"/>
        <v>1.9500000000000002</v>
      </c>
      <c r="H194" s="29">
        <f>IF(Dataset!G194&lt;=3,0.25,IF(Dataset!G194&lt;=6,0.45,IF(Dataset!G194&lt;=9,0.65,0.85)))</f>
        <v>0.65</v>
      </c>
      <c r="I194" s="29">
        <f>IF(Dataset!G194&lt;=3,1,IF(Dataset!G194&lt;=6,2,IF(Dataset!G194&lt;=9,3,4)))</f>
        <v>3</v>
      </c>
      <c r="J194" s="29">
        <f t="shared" si="18"/>
        <v>1.9500000000000002</v>
      </c>
      <c r="K194" s="29">
        <f>IF(Dataset!H194&lt;1,0.2,IF(Dataset!H194&lt;1.3,0.45,IF(Dataset!H194&lt;1.8,0.7,0.9)))</f>
        <v>0.9</v>
      </c>
      <c r="L194" s="29">
        <f>IF(Dataset!H194&lt;1,1,IF(Dataset!H194&lt;1.3,2,IF(Dataset!H194&lt;1.8,3,4)))</f>
        <v>4</v>
      </c>
      <c r="M194" s="29">
        <f t="shared" si="19"/>
        <v>3.6</v>
      </c>
      <c r="N194" s="29">
        <f>IF(Dataset!F194=1,0.75,IF(Dataset!F194=2,0.45,0.2))</f>
        <v>0.45</v>
      </c>
      <c r="O194" s="29">
        <f>IF(Dataset!F194=1,3,IF(Dataset!F194=2,2,1))</f>
        <v>2</v>
      </c>
      <c r="P194" s="29">
        <f t="shared" si="20"/>
        <v>0.9</v>
      </c>
      <c r="Q194" s="29">
        <f>IF(Dataset!K194&lt;5,0.2,IF(Dataset!K194&lt;10,0.45,IF(Dataset!K194&lt;18,0.7,0.9)))</f>
        <v>0.7</v>
      </c>
      <c r="R194" s="29">
        <f>IF(Dataset!K194&lt;5,1,IF(Dataset!K194&lt;10,2,IF(Dataset!K194&lt;18,3,4)))</f>
        <v>3</v>
      </c>
      <c r="S194" s="29">
        <f t="shared" si="21"/>
        <v>2.0999999999999996</v>
      </c>
      <c r="T194" s="29">
        <f t="shared" si="22"/>
        <v>2.4870000000000001</v>
      </c>
      <c r="U194" s="29" t="str">
        <f t="shared" si="23"/>
        <v>High</v>
      </c>
    </row>
    <row r="195" spans="1:21" ht="15" customHeight="1" x14ac:dyDescent="0.25">
      <c r="A195" s="29">
        <f>Dataset!A195</f>
        <v>191</v>
      </c>
      <c r="B195" s="29">
        <f>IF(Dataset!B195&lt;25,0.3,IF(Dataset!B195&lt;75,0.5,IF(Dataset!B195&lt;120,0.65,0.8)))</f>
        <v>0.3</v>
      </c>
      <c r="C195" s="29">
        <f>IF(Dataset!B195&lt;25,1,IF(Dataset!B195&lt;75,2,IF(Dataset!B195&lt;120,3,4)))</f>
        <v>1</v>
      </c>
      <c r="D195" s="29">
        <f t="shared" si="16"/>
        <v>0.3</v>
      </c>
      <c r="E195" s="29">
        <f>IF(Dataset!C195&lt;=1,0.3,IF(Dataset!C195=2,0.4,IF(Dataset!C195=3,0.5,IF(Dataset!C195=4,0.65,0.8))))</f>
        <v>0.3</v>
      </c>
      <c r="F195" s="29">
        <f>IF(Dataset!C195&lt;=2,1,IF(Dataset!C195=3,2,IF(Dataset!C195=4,3,4)))</f>
        <v>1</v>
      </c>
      <c r="G195" s="29">
        <f t="shared" si="17"/>
        <v>0.3</v>
      </c>
      <c r="H195" s="29">
        <f>IF(Dataset!G195&lt;=3,0.25,IF(Dataset!G195&lt;=6,0.45,IF(Dataset!G195&lt;=9,0.65,0.85)))</f>
        <v>0.65</v>
      </c>
      <c r="I195" s="29">
        <f>IF(Dataset!G195&lt;=3,1,IF(Dataset!G195&lt;=6,2,IF(Dataset!G195&lt;=9,3,4)))</f>
        <v>3</v>
      </c>
      <c r="J195" s="29">
        <f t="shared" si="18"/>
        <v>1.9500000000000002</v>
      </c>
      <c r="K195" s="29">
        <f>IF(Dataset!H195&lt;1,0.2,IF(Dataset!H195&lt;1.3,0.45,IF(Dataset!H195&lt;1.8,0.7,0.9)))</f>
        <v>0.45</v>
      </c>
      <c r="L195" s="29">
        <f>IF(Dataset!H195&lt;1,1,IF(Dataset!H195&lt;1.3,2,IF(Dataset!H195&lt;1.8,3,4)))</f>
        <v>2</v>
      </c>
      <c r="M195" s="29">
        <f t="shared" si="19"/>
        <v>0.9</v>
      </c>
      <c r="N195" s="29">
        <f>IF(Dataset!F195=1,0.75,IF(Dataset!F195=2,0.45,0.2))</f>
        <v>0.2</v>
      </c>
      <c r="O195" s="29">
        <f>IF(Dataset!F195=1,3,IF(Dataset!F195=2,2,1))</f>
        <v>1</v>
      </c>
      <c r="P195" s="29">
        <f t="shared" si="20"/>
        <v>0.2</v>
      </c>
      <c r="Q195" s="29">
        <f>IF(Dataset!K195&lt;5,0.2,IF(Dataset!K195&lt;10,0.45,IF(Dataset!K195&lt;18,0.7,0.9)))</f>
        <v>0.2</v>
      </c>
      <c r="R195" s="29">
        <f>IF(Dataset!K195&lt;5,1,IF(Dataset!K195&lt;10,2,IF(Dataset!K195&lt;18,3,4)))</f>
        <v>1</v>
      </c>
      <c r="S195" s="29">
        <f t="shared" si="21"/>
        <v>0.2</v>
      </c>
      <c r="T195" s="29">
        <f t="shared" si="22"/>
        <v>0.75000000000000011</v>
      </c>
      <c r="U195" s="29" t="str">
        <f t="shared" si="23"/>
        <v>Low</v>
      </c>
    </row>
    <row r="196" spans="1:21" ht="15" customHeight="1" x14ac:dyDescent="0.25">
      <c r="A196" s="29">
        <f>Dataset!A196</f>
        <v>192</v>
      </c>
      <c r="B196" s="29">
        <f>IF(Dataset!B196&lt;25,0.3,IF(Dataset!B196&lt;75,0.5,IF(Dataset!B196&lt;120,0.65,0.8)))</f>
        <v>0.5</v>
      </c>
      <c r="C196" s="29">
        <f>IF(Dataset!B196&lt;25,1,IF(Dataset!B196&lt;75,2,IF(Dataset!B196&lt;120,3,4)))</f>
        <v>2</v>
      </c>
      <c r="D196" s="29">
        <f t="shared" si="16"/>
        <v>1</v>
      </c>
      <c r="E196" s="29">
        <f>IF(Dataset!C196&lt;=1,0.3,IF(Dataset!C196=2,0.4,IF(Dataset!C196=3,0.5,IF(Dataset!C196=4,0.65,0.8))))</f>
        <v>0.3</v>
      </c>
      <c r="F196" s="29">
        <f>IF(Dataset!C196&lt;=2,1,IF(Dataset!C196=3,2,IF(Dataset!C196=4,3,4)))</f>
        <v>1</v>
      </c>
      <c r="G196" s="29">
        <f t="shared" si="17"/>
        <v>0.3</v>
      </c>
      <c r="H196" s="29">
        <f>IF(Dataset!G196&lt;=3,0.25,IF(Dataset!G196&lt;=6,0.45,IF(Dataset!G196&lt;=9,0.65,0.85)))</f>
        <v>0.65</v>
      </c>
      <c r="I196" s="29">
        <f>IF(Dataset!G196&lt;=3,1,IF(Dataset!G196&lt;=6,2,IF(Dataset!G196&lt;=9,3,4)))</f>
        <v>3</v>
      </c>
      <c r="J196" s="29">
        <f t="shared" si="18"/>
        <v>1.9500000000000002</v>
      </c>
      <c r="K196" s="29">
        <f>IF(Dataset!H196&lt;1,0.2,IF(Dataset!H196&lt;1.3,0.45,IF(Dataset!H196&lt;1.8,0.7,0.9)))</f>
        <v>0.7</v>
      </c>
      <c r="L196" s="29">
        <f>IF(Dataset!H196&lt;1,1,IF(Dataset!H196&lt;1.3,2,IF(Dataset!H196&lt;1.8,3,4)))</f>
        <v>3</v>
      </c>
      <c r="M196" s="29">
        <f t="shared" si="19"/>
        <v>2.0999999999999996</v>
      </c>
      <c r="N196" s="29">
        <f>IF(Dataset!F196=1,0.75,IF(Dataset!F196=2,0.45,0.2))</f>
        <v>0.45</v>
      </c>
      <c r="O196" s="29">
        <f>IF(Dataset!F196=1,3,IF(Dataset!F196=2,2,1))</f>
        <v>2</v>
      </c>
      <c r="P196" s="29">
        <f t="shared" si="20"/>
        <v>0.9</v>
      </c>
      <c r="Q196" s="29">
        <f>IF(Dataset!K196&lt;5,0.2,IF(Dataset!K196&lt;10,0.45,IF(Dataset!K196&lt;18,0.7,0.9)))</f>
        <v>0.2</v>
      </c>
      <c r="R196" s="29">
        <f>IF(Dataset!K196&lt;5,1,IF(Dataset!K196&lt;10,2,IF(Dataset!K196&lt;18,3,4)))</f>
        <v>1</v>
      </c>
      <c r="S196" s="29">
        <f t="shared" si="21"/>
        <v>0.2</v>
      </c>
      <c r="T196" s="29">
        <f t="shared" si="22"/>
        <v>1.2340000000000002</v>
      </c>
      <c r="U196" s="29" t="str">
        <f t="shared" si="23"/>
        <v>Low</v>
      </c>
    </row>
    <row r="197" spans="1:21" ht="15" customHeight="1" x14ac:dyDescent="0.25">
      <c r="A197" s="29">
        <f>Dataset!A197</f>
        <v>193</v>
      </c>
      <c r="B197" s="29">
        <f>IF(Dataset!B197&lt;25,0.3,IF(Dataset!B197&lt;75,0.5,IF(Dataset!B197&lt;120,0.65,0.8)))</f>
        <v>0.8</v>
      </c>
      <c r="C197" s="29">
        <f>IF(Dataset!B197&lt;25,1,IF(Dataset!B197&lt;75,2,IF(Dataset!B197&lt;120,3,4)))</f>
        <v>4</v>
      </c>
      <c r="D197" s="29">
        <f t="shared" ref="D197:D260" si="24">B197*C197</f>
        <v>3.2</v>
      </c>
      <c r="E197" s="29">
        <f>IF(Dataset!C197&lt;=1,0.3,IF(Dataset!C197=2,0.4,IF(Dataset!C197=3,0.5,IF(Dataset!C197=4,0.65,0.8))))</f>
        <v>0.3</v>
      </c>
      <c r="F197" s="29">
        <f>IF(Dataset!C197&lt;=2,1,IF(Dataset!C197=3,2,IF(Dataset!C197=4,3,4)))</f>
        <v>1</v>
      </c>
      <c r="G197" s="29">
        <f t="shared" ref="G197:G260" si="25">E197*F197</f>
        <v>0.3</v>
      </c>
      <c r="H197" s="29">
        <f>IF(Dataset!G197&lt;=3,0.25,IF(Dataset!G197&lt;=6,0.45,IF(Dataset!G197&lt;=9,0.65,0.85)))</f>
        <v>0.45</v>
      </c>
      <c r="I197" s="29">
        <f>IF(Dataset!G197&lt;=3,1,IF(Dataset!G197&lt;=6,2,IF(Dataset!G197&lt;=9,3,4)))</f>
        <v>2</v>
      </c>
      <c r="J197" s="29">
        <f t="shared" ref="J197:J260" si="26">H197*I197</f>
        <v>0.9</v>
      </c>
      <c r="K197" s="29">
        <f>IF(Dataset!H197&lt;1,0.2,IF(Dataset!H197&lt;1.3,0.45,IF(Dataset!H197&lt;1.8,0.7,0.9)))</f>
        <v>0.7</v>
      </c>
      <c r="L197" s="29">
        <f>IF(Dataset!H197&lt;1,1,IF(Dataset!H197&lt;1.3,2,IF(Dataset!H197&lt;1.8,3,4)))</f>
        <v>3</v>
      </c>
      <c r="M197" s="29">
        <f t="shared" ref="M197:M260" si="27">K197*L197</f>
        <v>2.0999999999999996</v>
      </c>
      <c r="N197" s="29">
        <f>IF(Dataset!F197=1,0.75,IF(Dataset!F197=2,0.45,0.2))</f>
        <v>0.45</v>
      </c>
      <c r="O197" s="29">
        <f>IF(Dataset!F197=1,3,IF(Dataset!F197=2,2,1))</f>
        <v>2</v>
      </c>
      <c r="P197" s="29">
        <f t="shared" ref="P197:P260" si="28">N197*O197</f>
        <v>0.9</v>
      </c>
      <c r="Q197" s="29">
        <f>IF(Dataset!K197&lt;5,0.2,IF(Dataset!K197&lt;10,0.45,IF(Dataset!K197&lt;18,0.7,0.9)))</f>
        <v>0.2</v>
      </c>
      <c r="R197" s="29">
        <f>IF(Dataset!K197&lt;5,1,IF(Dataset!K197&lt;10,2,IF(Dataset!K197&lt;18,3,4)))</f>
        <v>1</v>
      </c>
      <c r="S197" s="29">
        <f t="shared" ref="S197:S260" si="29">Q197*R197</f>
        <v>0.2</v>
      </c>
      <c r="T197" s="29">
        <f t="shared" ref="T197:T260" si="30">$Y$6*D197+$Y$7*G197+$Y$8*J197+$Y$9*M197+$Y$10*P197+$Y$11*S197</f>
        <v>1.4200000000000002</v>
      </c>
      <c r="U197" s="29" t="str">
        <f t="shared" ref="U197:U260" si="31">IF(T197&lt;=$Y$15,"Low",IF(T197&lt;=$Y$16,"Medium","High"))</f>
        <v>Medium</v>
      </c>
    </row>
    <row r="198" spans="1:21" ht="15" customHeight="1" x14ac:dyDescent="0.25">
      <c r="A198" s="29">
        <f>Dataset!A198</f>
        <v>194</v>
      </c>
      <c r="B198" s="29">
        <f>IF(Dataset!B198&lt;25,0.3,IF(Dataset!B198&lt;75,0.5,IF(Dataset!B198&lt;120,0.65,0.8)))</f>
        <v>0.3</v>
      </c>
      <c r="C198" s="29">
        <f>IF(Dataset!B198&lt;25,1,IF(Dataset!B198&lt;75,2,IF(Dataset!B198&lt;120,3,4)))</f>
        <v>1</v>
      </c>
      <c r="D198" s="29">
        <f t="shared" si="24"/>
        <v>0.3</v>
      </c>
      <c r="E198" s="29">
        <f>IF(Dataset!C198&lt;=1,0.3,IF(Dataset!C198=2,0.4,IF(Dataset!C198=3,0.5,IF(Dataset!C198=4,0.65,0.8))))</f>
        <v>0.65</v>
      </c>
      <c r="F198" s="29">
        <f>IF(Dataset!C198&lt;=2,1,IF(Dataset!C198=3,2,IF(Dataset!C198=4,3,4)))</f>
        <v>3</v>
      </c>
      <c r="G198" s="29">
        <f t="shared" si="25"/>
        <v>1.9500000000000002</v>
      </c>
      <c r="H198" s="29">
        <f>IF(Dataset!G198&lt;=3,0.25,IF(Dataset!G198&lt;=6,0.45,IF(Dataset!G198&lt;=9,0.65,0.85)))</f>
        <v>0.45</v>
      </c>
      <c r="I198" s="29">
        <f>IF(Dataset!G198&lt;=3,1,IF(Dataset!G198&lt;=6,2,IF(Dataset!G198&lt;=9,3,4)))</f>
        <v>2</v>
      </c>
      <c r="J198" s="29">
        <f t="shared" si="26"/>
        <v>0.9</v>
      </c>
      <c r="K198" s="29">
        <f>IF(Dataset!H198&lt;1,0.2,IF(Dataset!H198&lt;1.3,0.45,IF(Dataset!H198&lt;1.8,0.7,0.9)))</f>
        <v>0.2</v>
      </c>
      <c r="L198" s="29">
        <f>IF(Dataset!H198&lt;1,1,IF(Dataset!H198&lt;1.3,2,IF(Dataset!H198&lt;1.8,3,4)))</f>
        <v>1</v>
      </c>
      <c r="M198" s="29">
        <f t="shared" si="27"/>
        <v>0.2</v>
      </c>
      <c r="N198" s="29">
        <f>IF(Dataset!F198=1,0.75,IF(Dataset!F198=2,0.45,0.2))</f>
        <v>0.45</v>
      </c>
      <c r="O198" s="29">
        <f>IF(Dataset!F198=1,3,IF(Dataset!F198=2,2,1))</f>
        <v>2</v>
      </c>
      <c r="P198" s="29">
        <f t="shared" si="28"/>
        <v>0.9</v>
      </c>
      <c r="Q198" s="29">
        <f>IF(Dataset!K198&lt;5,0.2,IF(Dataset!K198&lt;10,0.45,IF(Dataset!K198&lt;18,0.7,0.9)))</f>
        <v>0.7</v>
      </c>
      <c r="R198" s="29">
        <f>IF(Dataset!K198&lt;5,1,IF(Dataset!K198&lt;10,2,IF(Dataset!K198&lt;18,3,4)))</f>
        <v>3</v>
      </c>
      <c r="S198" s="29">
        <f t="shared" si="29"/>
        <v>2.0999999999999996</v>
      </c>
      <c r="T198" s="29">
        <f t="shared" si="30"/>
        <v>0.93900000000000006</v>
      </c>
      <c r="U198" s="29" t="str">
        <f t="shared" si="31"/>
        <v>Low</v>
      </c>
    </row>
    <row r="199" spans="1:21" ht="15" customHeight="1" x14ac:dyDescent="0.25">
      <c r="A199" s="29">
        <f>Dataset!A199</f>
        <v>195</v>
      </c>
      <c r="B199" s="29">
        <f>IF(Dataset!B199&lt;25,0.3,IF(Dataset!B199&lt;75,0.5,IF(Dataset!B199&lt;120,0.65,0.8)))</f>
        <v>0.5</v>
      </c>
      <c r="C199" s="29">
        <f>IF(Dataset!B199&lt;25,1,IF(Dataset!B199&lt;75,2,IF(Dataset!B199&lt;120,3,4)))</f>
        <v>2</v>
      </c>
      <c r="D199" s="29">
        <f t="shared" si="24"/>
        <v>1</v>
      </c>
      <c r="E199" s="29">
        <f>IF(Dataset!C199&lt;=1,0.3,IF(Dataset!C199=2,0.4,IF(Dataset!C199=3,0.5,IF(Dataset!C199=4,0.65,0.8))))</f>
        <v>0.3</v>
      </c>
      <c r="F199" s="29">
        <f>IF(Dataset!C199&lt;=2,1,IF(Dataset!C199=3,2,IF(Dataset!C199=4,3,4)))</f>
        <v>1</v>
      </c>
      <c r="G199" s="29">
        <f t="shared" si="25"/>
        <v>0.3</v>
      </c>
      <c r="H199" s="29">
        <f>IF(Dataset!G199&lt;=3,0.25,IF(Dataset!G199&lt;=6,0.45,IF(Dataset!G199&lt;=9,0.65,0.85)))</f>
        <v>0.25</v>
      </c>
      <c r="I199" s="29">
        <f>IF(Dataset!G199&lt;=3,1,IF(Dataset!G199&lt;=6,2,IF(Dataset!G199&lt;=9,3,4)))</f>
        <v>1</v>
      </c>
      <c r="J199" s="29">
        <f t="shared" si="26"/>
        <v>0.25</v>
      </c>
      <c r="K199" s="29">
        <f>IF(Dataset!H199&lt;1,0.2,IF(Dataset!H199&lt;1.3,0.45,IF(Dataset!H199&lt;1.8,0.7,0.9)))</f>
        <v>0.7</v>
      </c>
      <c r="L199" s="29">
        <f>IF(Dataset!H199&lt;1,1,IF(Dataset!H199&lt;1.3,2,IF(Dataset!H199&lt;1.8,3,4)))</f>
        <v>3</v>
      </c>
      <c r="M199" s="29">
        <f t="shared" si="27"/>
        <v>2.0999999999999996</v>
      </c>
      <c r="N199" s="29">
        <f>IF(Dataset!F199=1,0.75,IF(Dataset!F199=2,0.45,0.2))</f>
        <v>0.75</v>
      </c>
      <c r="O199" s="29">
        <f>IF(Dataset!F199=1,3,IF(Dataset!F199=2,2,1))</f>
        <v>3</v>
      </c>
      <c r="P199" s="29">
        <f t="shared" si="28"/>
        <v>2.25</v>
      </c>
      <c r="Q199" s="29">
        <f>IF(Dataset!K199&lt;5,0.2,IF(Dataset!K199&lt;10,0.45,IF(Dataset!K199&lt;18,0.7,0.9)))</f>
        <v>0.2</v>
      </c>
      <c r="R199" s="29">
        <f>IF(Dataset!K199&lt;5,1,IF(Dataset!K199&lt;10,2,IF(Dataset!K199&lt;18,3,4)))</f>
        <v>1</v>
      </c>
      <c r="S199" s="29">
        <f t="shared" si="29"/>
        <v>0.2</v>
      </c>
      <c r="T199" s="29">
        <f t="shared" si="30"/>
        <v>1.0289999999999999</v>
      </c>
      <c r="U199" s="29" t="str">
        <f t="shared" si="31"/>
        <v>Low</v>
      </c>
    </row>
    <row r="200" spans="1:21" ht="15" customHeight="1" x14ac:dyDescent="0.25">
      <c r="A200" s="29">
        <f>Dataset!A200</f>
        <v>196</v>
      </c>
      <c r="B200" s="29">
        <f>IF(Dataset!B200&lt;25,0.3,IF(Dataset!B200&lt;75,0.5,IF(Dataset!B200&lt;120,0.65,0.8)))</f>
        <v>0.65</v>
      </c>
      <c r="C200" s="29">
        <f>IF(Dataset!B200&lt;25,1,IF(Dataset!B200&lt;75,2,IF(Dataset!B200&lt;120,3,4)))</f>
        <v>3</v>
      </c>
      <c r="D200" s="29">
        <f t="shared" si="24"/>
        <v>1.9500000000000002</v>
      </c>
      <c r="E200" s="29">
        <f>IF(Dataset!C200&lt;=1,0.3,IF(Dataset!C200=2,0.4,IF(Dataset!C200=3,0.5,IF(Dataset!C200=4,0.65,0.8))))</f>
        <v>0.8</v>
      </c>
      <c r="F200" s="29">
        <f>IF(Dataset!C200&lt;=2,1,IF(Dataset!C200=3,2,IF(Dataset!C200=4,3,4)))</f>
        <v>4</v>
      </c>
      <c r="G200" s="29">
        <f t="shared" si="25"/>
        <v>3.2</v>
      </c>
      <c r="H200" s="29">
        <f>IF(Dataset!G200&lt;=3,0.25,IF(Dataset!G200&lt;=6,0.45,IF(Dataset!G200&lt;=9,0.65,0.85)))</f>
        <v>0.65</v>
      </c>
      <c r="I200" s="29">
        <f>IF(Dataset!G200&lt;=3,1,IF(Dataset!G200&lt;=6,2,IF(Dataset!G200&lt;=9,3,4)))</f>
        <v>3</v>
      </c>
      <c r="J200" s="29">
        <f t="shared" si="26"/>
        <v>1.9500000000000002</v>
      </c>
      <c r="K200" s="29">
        <f>IF(Dataset!H200&lt;1,0.2,IF(Dataset!H200&lt;1.3,0.45,IF(Dataset!H200&lt;1.8,0.7,0.9)))</f>
        <v>0.7</v>
      </c>
      <c r="L200" s="29">
        <f>IF(Dataset!H200&lt;1,1,IF(Dataset!H200&lt;1.3,2,IF(Dataset!H200&lt;1.8,3,4)))</f>
        <v>3</v>
      </c>
      <c r="M200" s="29">
        <f t="shared" si="27"/>
        <v>2.0999999999999996</v>
      </c>
      <c r="N200" s="29">
        <f>IF(Dataset!F200=1,0.75,IF(Dataset!F200=2,0.45,0.2))</f>
        <v>0.2</v>
      </c>
      <c r="O200" s="29">
        <f>IF(Dataset!F200=1,3,IF(Dataset!F200=2,2,1))</f>
        <v>1</v>
      </c>
      <c r="P200" s="29">
        <f t="shared" si="28"/>
        <v>0.2</v>
      </c>
      <c r="Q200" s="29">
        <f>IF(Dataset!K200&lt;5,0.2,IF(Dataset!K200&lt;10,0.45,IF(Dataset!K200&lt;18,0.7,0.9)))</f>
        <v>0.9</v>
      </c>
      <c r="R200" s="29">
        <f>IF(Dataset!K200&lt;5,1,IF(Dataset!K200&lt;10,2,IF(Dataset!K200&lt;18,3,4)))</f>
        <v>4</v>
      </c>
      <c r="S200" s="29">
        <f t="shared" si="29"/>
        <v>3.6</v>
      </c>
      <c r="T200" s="29">
        <f t="shared" si="30"/>
        <v>2.2170000000000001</v>
      </c>
      <c r="U200" s="29" t="str">
        <f t="shared" si="31"/>
        <v>High</v>
      </c>
    </row>
    <row r="201" spans="1:21" ht="15" customHeight="1" x14ac:dyDescent="0.25">
      <c r="A201" s="29">
        <f>Dataset!A201</f>
        <v>197</v>
      </c>
      <c r="B201" s="29">
        <f>IF(Dataset!B201&lt;25,0.3,IF(Dataset!B201&lt;75,0.5,IF(Dataset!B201&lt;120,0.65,0.8)))</f>
        <v>0.5</v>
      </c>
      <c r="C201" s="29">
        <f>IF(Dataset!B201&lt;25,1,IF(Dataset!B201&lt;75,2,IF(Dataset!B201&lt;120,3,4)))</f>
        <v>2</v>
      </c>
      <c r="D201" s="29">
        <f t="shared" si="24"/>
        <v>1</v>
      </c>
      <c r="E201" s="29">
        <f>IF(Dataset!C201&lt;=1,0.3,IF(Dataset!C201=2,0.4,IF(Dataset!C201=3,0.5,IF(Dataset!C201=4,0.65,0.8))))</f>
        <v>0.8</v>
      </c>
      <c r="F201" s="29">
        <f>IF(Dataset!C201&lt;=2,1,IF(Dataset!C201=3,2,IF(Dataset!C201=4,3,4)))</f>
        <v>4</v>
      </c>
      <c r="G201" s="29">
        <f t="shared" si="25"/>
        <v>3.2</v>
      </c>
      <c r="H201" s="29">
        <f>IF(Dataset!G201&lt;=3,0.25,IF(Dataset!G201&lt;=6,0.45,IF(Dataset!G201&lt;=9,0.65,0.85)))</f>
        <v>0.65</v>
      </c>
      <c r="I201" s="29">
        <f>IF(Dataset!G201&lt;=3,1,IF(Dataset!G201&lt;=6,2,IF(Dataset!G201&lt;=9,3,4)))</f>
        <v>3</v>
      </c>
      <c r="J201" s="29">
        <f t="shared" si="26"/>
        <v>1.9500000000000002</v>
      </c>
      <c r="K201" s="29">
        <f>IF(Dataset!H201&lt;1,0.2,IF(Dataset!H201&lt;1.3,0.45,IF(Dataset!H201&lt;1.8,0.7,0.9)))</f>
        <v>0.2</v>
      </c>
      <c r="L201" s="29">
        <f>IF(Dataset!H201&lt;1,1,IF(Dataset!H201&lt;1.3,2,IF(Dataset!H201&lt;1.8,3,4)))</f>
        <v>1</v>
      </c>
      <c r="M201" s="29">
        <f t="shared" si="27"/>
        <v>0.2</v>
      </c>
      <c r="N201" s="29">
        <f>IF(Dataset!F201=1,0.75,IF(Dataset!F201=2,0.45,0.2))</f>
        <v>0.45</v>
      </c>
      <c r="O201" s="29">
        <f>IF(Dataset!F201=1,3,IF(Dataset!F201=2,2,1))</f>
        <v>2</v>
      </c>
      <c r="P201" s="29">
        <f t="shared" si="28"/>
        <v>0.9</v>
      </c>
      <c r="Q201" s="29">
        <f>IF(Dataset!K201&lt;5,0.2,IF(Dataset!K201&lt;10,0.45,IF(Dataset!K201&lt;18,0.7,0.9)))</f>
        <v>0.9</v>
      </c>
      <c r="R201" s="29">
        <f>IF(Dataset!K201&lt;5,1,IF(Dataset!K201&lt;10,2,IF(Dataset!K201&lt;18,3,4)))</f>
        <v>4</v>
      </c>
      <c r="S201" s="29">
        <f t="shared" si="29"/>
        <v>3.6</v>
      </c>
      <c r="T201" s="29">
        <f t="shared" si="30"/>
        <v>1.6600000000000006</v>
      </c>
      <c r="U201" s="29" t="str">
        <f t="shared" si="31"/>
        <v>Medium</v>
      </c>
    </row>
    <row r="202" spans="1:21" ht="15" customHeight="1" x14ac:dyDescent="0.25">
      <c r="A202" s="29">
        <f>Dataset!A202</f>
        <v>198</v>
      </c>
      <c r="B202" s="29">
        <f>IF(Dataset!B202&lt;25,0.3,IF(Dataset!B202&lt;75,0.5,IF(Dataset!B202&lt;120,0.65,0.8)))</f>
        <v>0.65</v>
      </c>
      <c r="C202" s="29">
        <f>IF(Dataset!B202&lt;25,1,IF(Dataset!B202&lt;75,2,IF(Dataset!B202&lt;120,3,4)))</f>
        <v>3</v>
      </c>
      <c r="D202" s="29">
        <f t="shared" si="24"/>
        <v>1.9500000000000002</v>
      </c>
      <c r="E202" s="29">
        <f>IF(Dataset!C202&lt;=1,0.3,IF(Dataset!C202=2,0.4,IF(Dataset!C202=3,0.5,IF(Dataset!C202=4,0.65,0.8))))</f>
        <v>0.5</v>
      </c>
      <c r="F202" s="29">
        <f>IF(Dataset!C202&lt;=2,1,IF(Dataset!C202=3,2,IF(Dataset!C202=4,3,4)))</f>
        <v>2</v>
      </c>
      <c r="G202" s="29">
        <f t="shared" si="25"/>
        <v>1</v>
      </c>
      <c r="H202" s="29">
        <f>IF(Dataset!G202&lt;=3,0.25,IF(Dataset!G202&lt;=6,0.45,IF(Dataset!G202&lt;=9,0.65,0.85)))</f>
        <v>0.65</v>
      </c>
      <c r="I202" s="29">
        <f>IF(Dataset!G202&lt;=3,1,IF(Dataset!G202&lt;=6,2,IF(Dataset!G202&lt;=9,3,4)))</f>
        <v>3</v>
      </c>
      <c r="J202" s="29">
        <f t="shared" si="26"/>
        <v>1.9500000000000002</v>
      </c>
      <c r="K202" s="29">
        <f>IF(Dataset!H202&lt;1,0.2,IF(Dataset!H202&lt;1.3,0.45,IF(Dataset!H202&lt;1.8,0.7,0.9)))</f>
        <v>0.9</v>
      </c>
      <c r="L202" s="29">
        <f>IF(Dataset!H202&lt;1,1,IF(Dataset!H202&lt;1.3,2,IF(Dataset!H202&lt;1.8,3,4)))</f>
        <v>4</v>
      </c>
      <c r="M202" s="29">
        <f t="shared" si="27"/>
        <v>3.6</v>
      </c>
      <c r="N202" s="29">
        <f>IF(Dataset!F202=1,0.75,IF(Dataset!F202=2,0.45,0.2))</f>
        <v>0.75</v>
      </c>
      <c r="O202" s="29">
        <f>IF(Dataset!F202=1,3,IF(Dataset!F202=2,2,1))</f>
        <v>3</v>
      </c>
      <c r="P202" s="29">
        <f t="shared" si="28"/>
        <v>2.25</v>
      </c>
      <c r="Q202" s="29">
        <f>IF(Dataset!K202&lt;5,0.2,IF(Dataset!K202&lt;10,0.45,IF(Dataset!K202&lt;18,0.7,0.9)))</f>
        <v>0.2</v>
      </c>
      <c r="R202" s="29">
        <f>IF(Dataset!K202&lt;5,1,IF(Dataset!K202&lt;10,2,IF(Dataset!K202&lt;18,3,4)))</f>
        <v>1</v>
      </c>
      <c r="S202" s="29">
        <f t="shared" si="29"/>
        <v>0.2</v>
      </c>
      <c r="T202" s="29">
        <f t="shared" si="30"/>
        <v>1.9980000000000002</v>
      </c>
      <c r="U202" s="29" t="str">
        <f t="shared" si="31"/>
        <v>High</v>
      </c>
    </row>
    <row r="203" spans="1:21" ht="15" customHeight="1" x14ac:dyDescent="0.25">
      <c r="A203" s="29">
        <f>Dataset!A203</f>
        <v>199</v>
      </c>
      <c r="B203" s="29">
        <f>IF(Dataset!B203&lt;25,0.3,IF(Dataset!B203&lt;75,0.5,IF(Dataset!B203&lt;120,0.65,0.8)))</f>
        <v>0.5</v>
      </c>
      <c r="C203" s="29">
        <f>IF(Dataset!B203&lt;25,1,IF(Dataset!B203&lt;75,2,IF(Dataset!B203&lt;120,3,4)))</f>
        <v>2</v>
      </c>
      <c r="D203" s="29">
        <f t="shared" si="24"/>
        <v>1</v>
      </c>
      <c r="E203" s="29">
        <f>IF(Dataset!C203&lt;=1,0.3,IF(Dataset!C203=2,0.4,IF(Dataset!C203=3,0.5,IF(Dataset!C203=4,0.65,0.8))))</f>
        <v>0.65</v>
      </c>
      <c r="F203" s="29">
        <f>IF(Dataset!C203&lt;=2,1,IF(Dataset!C203=3,2,IF(Dataset!C203=4,3,4)))</f>
        <v>3</v>
      </c>
      <c r="G203" s="29">
        <f t="shared" si="25"/>
        <v>1.9500000000000002</v>
      </c>
      <c r="H203" s="29">
        <f>IF(Dataset!G203&lt;=3,0.25,IF(Dataset!G203&lt;=6,0.45,IF(Dataset!G203&lt;=9,0.65,0.85)))</f>
        <v>0.45</v>
      </c>
      <c r="I203" s="29">
        <f>IF(Dataset!G203&lt;=3,1,IF(Dataset!G203&lt;=6,2,IF(Dataset!G203&lt;=9,3,4)))</f>
        <v>2</v>
      </c>
      <c r="J203" s="29">
        <f t="shared" si="26"/>
        <v>0.9</v>
      </c>
      <c r="K203" s="29">
        <f>IF(Dataset!H203&lt;1,0.2,IF(Dataset!H203&lt;1.3,0.45,IF(Dataset!H203&lt;1.8,0.7,0.9)))</f>
        <v>0.9</v>
      </c>
      <c r="L203" s="29">
        <f>IF(Dataset!H203&lt;1,1,IF(Dataset!H203&lt;1.3,2,IF(Dataset!H203&lt;1.8,3,4)))</f>
        <v>4</v>
      </c>
      <c r="M203" s="29">
        <f t="shared" si="27"/>
        <v>3.6</v>
      </c>
      <c r="N203" s="29">
        <f>IF(Dataset!F203=1,0.75,IF(Dataset!F203=2,0.45,0.2))</f>
        <v>0.75</v>
      </c>
      <c r="O203" s="29">
        <f>IF(Dataset!F203=1,3,IF(Dataset!F203=2,2,1))</f>
        <v>3</v>
      </c>
      <c r="P203" s="29">
        <f t="shared" si="28"/>
        <v>2.25</v>
      </c>
      <c r="Q203" s="29">
        <f>IF(Dataset!K203&lt;5,0.2,IF(Dataset!K203&lt;10,0.45,IF(Dataset!K203&lt;18,0.7,0.9)))</f>
        <v>0.45</v>
      </c>
      <c r="R203" s="29">
        <f>IF(Dataset!K203&lt;5,1,IF(Dataset!K203&lt;10,2,IF(Dataset!K203&lt;18,3,4)))</f>
        <v>2</v>
      </c>
      <c r="S203" s="29">
        <f t="shared" si="29"/>
        <v>0.9</v>
      </c>
      <c r="T203" s="29">
        <f t="shared" si="30"/>
        <v>1.8480000000000003</v>
      </c>
      <c r="U203" s="29" t="str">
        <f t="shared" si="31"/>
        <v>High</v>
      </c>
    </row>
    <row r="204" spans="1:21" ht="15" customHeight="1" x14ac:dyDescent="0.25">
      <c r="A204" s="29">
        <f>Dataset!A204</f>
        <v>200</v>
      </c>
      <c r="B204" s="29">
        <f>IF(Dataset!B204&lt;25,0.3,IF(Dataset!B204&lt;75,0.5,IF(Dataset!B204&lt;120,0.65,0.8)))</f>
        <v>0.5</v>
      </c>
      <c r="C204" s="29">
        <f>IF(Dataset!B204&lt;25,1,IF(Dataset!B204&lt;75,2,IF(Dataset!B204&lt;120,3,4)))</f>
        <v>2</v>
      </c>
      <c r="D204" s="29">
        <f t="shared" si="24"/>
        <v>1</v>
      </c>
      <c r="E204" s="29">
        <f>IF(Dataset!C204&lt;=1,0.3,IF(Dataset!C204=2,0.4,IF(Dataset!C204=3,0.5,IF(Dataset!C204=4,0.65,0.8))))</f>
        <v>0.5</v>
      </c>
      <c r="F204" s="29">
        <f>IF(Dataset!C204&lt;=2,1,IF(Dataset!C204=3,2,IF(Dataset!C204=4,3,4)))</f>
        <v>2</v>
      </c>
      <c r="G204" s="29">
        <f t="shared" si="25"/>
        <v>1</v>
      </c>
      <c r="H204" s="29">
        <f>IF(Dataset!G204&lt;=3,0.25,IF(Dataset!G204&lt;=6,0.45,IF(Dataset!G204&lt;=9,0.65,0.85)))</f>
        <v>0.45</v>
      </c>
      <c r="I204" s="29">
        <f>IF(Dataset!G204&lt;=3,1,IF(Dataset!G204&lt;=6,2,IF(Dataset!G204&lt;=9,3,4)))</f>
        <v>2</v>
      </c>
      <c r="J204" s="29">
        <f t="shared" si="26"/>
        <v>0.9</v>
      </c>
      <c r="K204" s="29">
        <f>IF(Dataset!H204&lt;1,0.2,IF(Dataset!H204&lt;1.3,0.45,IF(Dataset!H204&lt;1.8,0.7,0.9)))</f>
        <v>0.7</v>
      </c>
      <c r="L204" s="29">
        <f>IF(Dataset!H204&lt;1,1,IF(Dataset!H204&lt;1.3,2,IF(Dataset!H204&lt;1.8,3,4)))</f>
        <v>3</v>
      </c>
      <c r="M204" s="29">
        <f t="shared" si="27"/>
        <v>2.0999999999999996</v>
      </c>
      <c r="N204" s="29">
        <f>IF(Dataset!F204=1,0.75,IF(Dataset!F204=2,0.45,0.2))</f>
        <v>0.2</v>
      </c>
      <c r="O204" s="29">
        <f>IF(Dataset!F204=1,3,IF(Dataset!F204=2,2,1))</f>
        <v>1</v>
      </c>
      <c r="P204" s="29">
        <f t="shared" si="28"/>
        <v>0.2</v>
      </c>
      <c r="Q204" s="29">
        <f>IF(Dataset!K204&lt;5,0.2,IF(Dataset!K204&lt;10,0.45,IF(Dataset!K204&lt;18,0.7,0.9)))</f>
        <v>0.2</v>
      </c>
      <c r="R204" s="29">
        <f>IF(Dataset!K204&lt;5,1,IF(Dataset!K204&lt;10,2,IF(Dataset!K204&lt;18,3,4)))</f>
        <v>1</v>
      </c>
      <c r="S204" s="29">
        <f t="shared" si="29"/>
        <v>0.2</v>
      </c>
      <c r="T204" s="29">
        <f t="shared" si="30"/>
        <v>1.052</v>
      </c>
      <c r="U204" s="29" t="str">
        <f t="shared" si="31"/>
        <v>Low</v>
      </c>
    </row>
    <row r="205" spans="1:21" ht="15" customHeight="1" x14ac:dyDescent="0.25">
      <c r="A205" s="29">
        <f>Dataset!A205</f>
        <v>201</v>
      </c>
      <c r="B205" s="29">
        <f>IF(Dataset!B205&lt;25,0.3,IF(Dataset!B205&lt;75,0.5,IF(Dataset!B205&lt;120,0.65,0.8)))</f>
        <v>0.5</v>
      </c>
      <c r="C205" s="29">
        <f>IF(Dataset!B205&lt;25,1,IF(Dataset!B205&lt;75,2,IF(Dataset!B205&lt;120,3,4)))</f>
        <v>2</v>
      </c>
      <c r="D205" s="29">
        <f t="shared" si="24"/>
        <v>1</v>
      </c>
      <c r="E205" s="29">
        <f>IF(Dataset!C205&lt;=1,0.3,IF(Dataset!C205=2,0.4,IF(Dataset!C205=3,0.5,IF(Dataset!C205=4,0.65,0.8))))</f>
        <v>0.3</v>
      </c>
      <c r="F205" s="29">
        <f>IF(Dataset!C205&lt;=2,1,IF(Dataset!C205=3,2,IF(Dataset!C205=4,3,4)))</f>
        <v>1</v>
      </c>
      <c r="G205" s="29">
        <f t="shared" si="25"/>
        <v>0.3</v>
      </c>
      <c r="H205" s="29">
        <f>IF(Dataset!G205&lt;=3,0.25,IF(Dataset!G205&lt;=6,0.45,IF(Dataset!G205&lt;=9,0.65,0.85)))</f>
        <v>0.45</v>
      </c>
      <c r="I205" s="29">
        <f>IF(Dataset!G205&lt;=3,1,IF(Dataset!G205&lt;=6,2,IF(Dataset!G205&lt;=9,3,4)))</f>
        <v>2</v>
      </c>
      <c r="J205" s="29">
        <f t="shared" si="26"/>
        <v>0.9</v>
      </c>
      <c r="K205" s="29">
        <f>IF(Dataset!H205&lt;1,0.2,IF(Dataset!H205&lt;1.3,0.45,IF(Dataset!H205&lt;1.8,0.7,0.9)))</f>
        <v>0.9</v>
      </c>
      <c r="L205" s="29">
        <f>IF(Dataset!H205&lt;1,1,IF(Dataset!H205&lt;1.3,2,IF(Dataset!H205&lt;1.8,3,4)))</f>
        <v>4</v>
      </c>
      <c r="M205" s="29">
        <f t="shared" si="27"/>
        <v>3.6</v>
      </c>
      <c r="N205" s="29">
        <f>IF(Dataset!F205=1,0.75,IF(Dataset!F205=2,0.45,0.2))</f>
        <v>0.75</v>
      </c>
      <c r="O205" s="29">
        <f>IF(Dataset!F205=1,3,IF(Dataset!F205=2,2,1))</f>
        <v>3</v>
      </c>
      <c r="P205" s="29">
        <f t="shared" si="28"/>
        <v>2.25</v>
      </c>
      <c r="Q205" s="29">
        <f>IF(Dataset!K205&lt;5,0.2,IF(Dataset!K205&lt;10,0.45,IF(Dataset!K205&lt;18,0.7,0.9)))</f>
        <v>0.2</v>
      </c>
      <c r="R205" s="29">
        <f>IF(Dataset!K205&lt;5,1,IF(Dataset!K205&lt;10,2,IF(Dataset!K205&lt;18,3,4)))</f>
        <v>1</v>
      </c>
      <c r="S205" s="29">
        <f t="shared" si="29"/>
        <v>0.2</v>
      </c>
      <c r="T205" s="29">
        <f t="shared" si="30"/>
        <v>1.5190000000000001</v>
      </c>
      <c r="U205" s="29" t="str">
        <f t="shared" si="31"/>
        <v>Medium</v>
      </c>
    </row>
    <row r="206" spans="1:21" ht="15" customHeight="1" x14ac:dyDescent="0.25">
      <c r="A206" s="29">
        <f>Dataset!A206</f>
        <v>202</v>
      </c>
      <c r="B206" s="29">
        <f>IF(Dataset!B206&lt;25,0.3,IF(Dataset!B206&lt;75,0.5,IF(Dataset!B206&lt;120,0.65,0.8)))</f>
        <v>0.5</v>
      </c>
      <c r="C206" s="29">
        <f>IF(Dataset!B206&lt;25,1,IF(Dataset!B206&lt;75,2,IF(Dataset!B206&lt;120,3,4)))</f>
        <v>2</v>
      </c>
      <c r="D206" s="29">
        <f t="shared" si="24"/>
        <v>1</v>
      </c>
      <c r="E206" s="29">
        <f>IF(Dataset!C206&lt;=1,0.3,IF(Dataset!C206=2,0.4,IF(Dataset!C206=3,0.5,IF(Dataset!C206=4,0.65,0.8))))</f>
        <v>0.65</v>
      </c>
      <c r="F206" s="29">
        <f>IF(Dataset!C206&lt;=2,1,IF(Dataset!C206=3,2,IF(Dataset!C206=4,3,4)))</f>
        <v>3</v>
      </c>
      <c r="G206" s="29">
        <f t="shared" si="25"/>
        <v>1.9500000000000002</v>
      </c>
      <c r="H206" s="29">
        <f>IF(Dataset!G206&lt;=3,0.25,IF(Dataset!G206&lt;=6,0.45,IF(Dataset!G206&lt;=9,0.65,0.85)))</f>
        <v>0.45</v>
      </c>
      <c r="I206" s="29">
        <f>IF(Dataset!G206&lt;=3,1,IF(Dataset!G206&lt;=6,2,IF(Dataset!G206&lt;=9,3,4)))</f>
        <v>2</v>
      </c>
      <c r="J206" s="29">
        <f t="shared" si="26"/>
        <v>0.9</v>
      </c>
      <c r="K206" s="29">
        <f>IF(Dataset!H206&lt;1,0.2,IF(Dataset!H206&lt;1.3,0.45,IF(Dataset!H206&lt;1.8,0.7,0.9)))</f>
        <v>0.9</v>
      </c>
      <c r="L206" s="29">
        <f>IF(Dataset!H206&lt;1,1,IF(Dataset!H206&lt;1.3,2,IF(Dataset!H206&lt;1.8,3,4)))</f>
        <v>4</v>
      </c>
      <c r="M206" s="29">
        <f t="shared" si="27"/>
        <v>3.6</v>
      </c>
      <c r="N206" s="29">
        <f>IF(Dataset!F206=1,0.75,IF(Dataset!F206=2,0.45,0.2))</f>
        <v>0.45</v>
      </c>
      <c r="O206" s="29">
        <f>IF(Dataset!F206=1,3,IF(Dataset!F206=2,2,1))</f>
        <v>2</v>
      </c>
      <c r="P206" s="29">
        <f t="shared" si="28"/>
        <v>0.9</v>
      </c>
      <c r="Q206" s="29">
        <f>IF(Dataset!K206&lt;5,0.2,IF(Dataset!K206&lt;10,0.45,IF(Dataset!K206&lt;18,0.7,0.9)))</f>
        <v>0.7</v>
      </c>
      <c r="R206" s="29">
        <f>IF(Dataset!K206&lt;5,1,IF(Dataset!K206&lt;10,2,IF(Dataset!K206&lt;18,3,4)))</f>
        <v>3</v>
      </c>
      <c r="S206" s="29">
        <f t="shared" si="29"/>
        <v>2.0999999999999996</v>
      </c>
      <c r="T206" s="29">
        <f t="shared" si="30"/>
        <v>1.8810000000000002</v>
      </c>
      <c r="U206" s="29" t="str">
        <f t="shared" si="31"/>
        <v>High</v>
      </c>
    </row>
    <row r="207" spans="1:21" ht="15" customHeight="1" x14ac:dyDescent="0.25">
      <c r="A207" s="29">
        <f>Dataset!A207</f>
        <v>203</v>
      </c>
      <c r="B207" s="29">
        <f>IF(Dataset!B207&lt;25,0.3,IF(Dataset!B207&lt;75,0.5,IF(Dataset!B207&lt;120,0.65,0.8)))</f>
        <v>0.5</v>
      </c>
      <c r="C207" s="29">
        <f>IF(Dataset!B207&lt;25,1,IF(Dataset!B207&lt;75,2,IF(Dataset!B207&lt;120,3,4)))</f>
        <v>2</v>
      </c>
      <c r="D207" s="29">
        <f t="shared" si="24"/>
        <v>1</v>
      </c>
      <c r="E207" s="29">
        <f>IF(Dataset!C207&lt;=1,0.3,IF(Dataset!C207=2,0.4,IF(Dataset!C207=3,0.5,IF(Dataset!C207=4,0.65,0.8))))</f>
        <v>0.4</v>
      </c>
      <c r="F207" s="29">
        <f>IF(Dataset!C207&lt;=2,1,IF(Dataset!C207=3,2,IF(Dataset!C207=4,3,4)))</f>
        <v>1</v>
      </c>
      <c r="G207" s="29">
        <f t="shared" si="25"/>
        <v>0.4</v>
      </c>
      <c r="H207" s="29">
        <f>IF(Dataset!G207&lt;=3,0.25,IF(Dataset!G207&lt;=6,0.45,IF(Dataset!G207&lt;=9,0.65,0.85)))</f>
        <v>0.45</v>
      </c>
      <c r="I207" s="29">
        <f>IF(Dataset!G207&lt;=3,1,IF(Dataset!G207&lt;=6,2,IF(Dataset!G207&lt;=9,3,4)))</f>
        <v>2</v>
      </c>
      <c r="J207" s="29">
        <f t="shared" si="26"/>
        <v>0.9</v>
      </c>
      <c r="K207" s="29">
        <f>IF(Dataset!H207&lt;1,0.2,IF(Dataset!H207&lt;1.3,0.45,IF(Dataset!H207&lt;1.8,0.7,0.9)))</f>
        <v>0.9</v>
      </c>
      <c r="L207" s="29">
        <f>IF(Dataset!H207&lt;1,1,IF(Dataset!H207&lt;1.3,2,IF(Dataset!H207&lt;1.8,3,4)))</f>
        <v>4</v>
      </c>
      <c r="M207" s="29">
        <f t="shared" si="27"/>
        <v>3.6</v>
      </c>
      <c r="N207" s="29">
        <f>IF(Dataset!F207=1,0.75,IF(Dataset!F207=2,0.45,0.2))</f>
        <v>0.75</v>
      </c>
      <c r="O207" s="29">
        <f>IF(Dataset!F207=1,3,IF(Dataset!F207=2,2,1))</f>
        <v>3</v>
      </c>
      <c r="P207" s="29">
        <f t="shared" si="28"/>
        <v>2.25</v>
      </c>
      <c r="Q207" s="29">
        <f>IF(Dataset!K207&lt;5,0.2,IF(Dataset!K207&lt;10,0.45,IF(Dataset!K207&lt;18,0.7,0.9)))</f>
        <v>0.2</v>
      </c>
      <c r="R207" s="29">
        <f>IF(Dataset!K207&lt;5,1,IF(Dataset!K207&lt;10,2,IF(Dataset!K207&lt;18,3,4)))</f>
        <v>1</v>
      </c>
      <c r="S207" s="29">
        <f t="shared" si="29"/>
        <v>0.2</v>
      </c>
      <c r="T207" s="29">
        <f t="shared" si="30"/>
        <v>1.5330000000000001</v>
      </c>
      <c r="U207" s="29" t="str">
        <f t="shared" si="31"/>
        <v>Medium</v>
      </c>
    </row>
    <row r="208" spans="1:21" ht="15" customHeight="1" x14ac:dyDescent="0.25">
      <c r="A208" s="29">
        <f>Dataset!A208</f>
        <v>204</v>
      </c>
      <c r="B208" s="29">
        <f>IF(Dataset!B208&lt;25,0.3,IF(Dataset!B208&lt;75,0.5,IF(Dataset!B208&lt;120,0.65,0.8)))</f>
        <v>0.5</v>
      </c>
      <c r="C208" s="29">
        <f>IF(Dataset!B208&lt;25,1,IF(Dataset!B208&lt;75,2,IF(Dataset!B208&lt;120,3,4)))</f>
        <v>2</v>
      </c>
      <c r="D208" s="29">
        <f t="shared" si="24"/>
        <v>1</v>
      </c>
      <c r="E208" s="29">
        <f>IF(Dataset!C208&lt;=1,0.3,IF(Dataset!C208=2,0.4,IF(Dataset!C208=3,0.5,IF(Dataset!C208=4,0.65,0.8))))</f>
        <v>0.4</v>
      </c>
      <c r="F208" s="29">
        <f>IF(Dataset!C208&lt;=2,1,IF(Dataset!C208=3,2,IF(Dataset!C208=4,3,4)))</f>
        <v>1</v>
      </c>
      <c r="G208" s="29">
        <f t="shared" si="25"/>
        <v>0.4</v>
      </c>
      <c r="H208" s="29">
        <f>IF(Dataset!G208&lt;=3,0.25,IF(Dataset!G208&lt;=6,0.45,IF(Dataset!G208&lt;=9,0.65,0.85)))</f>
        <v>0.65</v>
      </c>
      <c r="I208" s="29">
        <f>IF(Dataset!G208&lt;=3,1,IF(Dataset!G208&lt;=6,2,IF(Dataset!G208&lt;=9,3,4)))</f>
        <v>3</v>
      </c>
      <c r="J208" s="29">
        <f t="shared" si="26"/>
        <v>1.9500000000000002</v>
      </c>
      <c r="K208" s="29">
        <f>IF(Dataset!H208&lt;1,0.2,IF(Dataset!H208&lt;1.3,0.45,IF(Dataset!H208&lt;1.8,0.7,0.9)))</f>
        <v>0.2</v>
      </c>
      <c r="L208" s="29">
        <f>IF(Dataset!H208&lt;1,1,IF(Dataset!H208&lt;1.3,2,IF(Dataset!H208&lt;1.8,3,4)))</f>
        <v>1</v>
      </c>
      <c r="M208" s="29">
        <f t="shared" si="27"/>
        <v>0.2</v>
      </c>
      <c r="N208" s="29">
        <f>IF(Dataset!F208=1,0.75,IF(Dataset!F208=2,0.45,0.2))</f>
        <v>0.75</v>
      </c>
      <c r="O208" s="29">
        <f>IF(Dataset!F208=1,3,IF(Dataset!F208=2,2,1))</f>
        <v>3</v>
      </c>
      <c r="P208" s="29">
        <f t="shared" si="28"/>
        <v>2.25</v>
      </c>
      <c r="Q208" s="29">
        <f>IF(Dataset!K208&lt;5,0.2,IF(Dataset!K208&lt;10,0.45,IF(Dataset!K208&lt;18,0.7,0.9)))</f>
        <v>0.2</v>
      </c>
      <c r="R208" s="29">
        <f>IF(Dataset!K208&lt;5,1,IF(Dataset!K208&lt;10,2,IF(Dataset!K208&lt;18,3,4)))</f>
        <v>1</v>
      </c>
      <c r="S208" s="29">
        <f t="shared" si="29"/>
        <v>0.2</v>
      </c>
      <c r="T208" s="29">
        <f t="shared" si="30"/>
        <v>0.92700000000000016</v>
      </c>
      <c r="U208" s="29" t="str">
        <f t="shared" si="31"/>
        <v>Low</v>
      </c>
    </row>
    <row r="209" spans="1:21" ht="15" customHeight="1" x14ac:dyDescent="0.25">
      <c r="A209" s="29">
        <f>Dataset!A209</f>
        <v>205</v>
      </c>
      <c r="B209" s="29">
        <f>IF(Dataset!B209&lt;25,0.3,IF(Dataset!B209&lt;75,0.5,IF(Dataset!B209&lt;120,0.65,0.8)))</f>
        <v>0.65</v>
      </c>
      <c r="C209" s="29">
        <f>IF(Dataset!B209&lt;25,1,IF(Dataset!B209&lt;75,2,IF(Dataset!B209&lt;120,3,4)))</f>
        <v>3</v>
      </c>
      <c r="D209" s="29">
        <f t="shared" si="24"/>
        <v>1.9500000000000002</v>
      </c>
      <c r="E209" s="29">
        <f>IF(Dataset!C209&lt;=1,0.3,IF(Dataset!C209=2,0.4,IF(Dataset!C209=3,0.5,IF(Dataset!C209=4,0.65,0.8))))</f>
        <v>0.5</v>
      </c>
      <c r="F209" s="29">
        <f>IF(Dataset!C209&lt;=2,1,IF(Dataset!C209=3,2,IF(Dataset!C209=4,3,4)))</f>
        <v>2</v>
      </c>
      <c r="G209" s="29">
        <f t="shared" si="25"/>
        <v>1</v>
      </c>
      <c r="H209" s="29">
        <f>IF(Dataset!G209&lt;=3,0.25,IF(Dataset!G209&lt;=6,0.45,IF(Dataset!G209&lt;=9,0.65,0.85)))</f>
        <v>0.45</v>
      </c>
      <c r="I209" s="29">
        <f>IF(Dataset!G209&lt;=3,1,IF(Dataset!G209&lt;=6,2,IF(Dataset!G209&lt;=9,3,4)))</f>
        <v>2</v>
      </c>
      <c r="J209" s="29">
        <f t="shared" si="26"/>
        <v>0.9</v>
      </c>
      <c r="K209" s="29">
        <f>IF(Dataset!H209&lt;1,0.2,IF(Dataset!H209&lt;1.3,0.45,IF(Dataset!H209&lt;1.8,0.7,0.9)))</f>
        <v>0.9</v>
      </c>
      <c r="L209" s="29">
        <f>IF(Dataset!H209&lt;1,1,IF(Dataset!H209&lt;1.3,2,IF(Dataset!H209&lt;1.8,3,4)))</f>
        <v>4</v>
      </c>
      <c r="M209" s="29">
        <f t="shared" si="27"/>
        <v>3.6</v>
      </c>
      <c r="N209" s="29">
        <f>IF(Dataset!F209=1,0.75,IF(Dataset!F209=2,0.45,0.2))</f>
        <v>0.2</v>
      </c>
      <c r="O209" s="29">
        <f>IF(Dataset!F209=1,3,IF(Dataset!F209=2,2,1))</f>
        <v>1</v>
      </c>
      <c r="P209" s="29">
        <f t="shared" si="28"/>
        <v>0.2</v>
      </c>
      <c r="Q209" s="29">
        <f>IF(Dataset!K209&lt;5,0.2,IF(Dataset!K209&lt;10,0.45,IF(Dataset!K209&lt;18,0.7,0.9)))</f>
        <v>0.45</v>
      </c>
      <c r="R209" s="29">
        <f>IF(Dataset!K209&lt;5,1,IF(Dataset!K209&lt;10,2,IF(Dataset!K209&lt;18,3,4)))</f>
        <v>2</v>
      </c>
      <c r="S209" s="29">
        <f t="shared" si="29"/>
        <v>0.9</v>
      </c>
      <c r="T209" s="29">
        <f t="shared" si="30"/>
        <v>1.6810000000000003</v>
      </c>
      <c r="U209" s="29" t="str">
        <f t="shared" si="31"/>
        <v>Medium</v>
      </c>
    </row>
    <row r="210" spans="1:21" ht="15" customHeight="1" x14ac:dyDescent="0.25">
      <c r="A210" s="29">
        <f>Dataset!A210</f>
        <v>206</v>
      </c>
      <c r="B210" s="29">
        <f>IF(Dataset!B210&lt;25,0.3,IF(Dataset!B210&lt;75,0.5,IF(Dataset!B210&lt;120,0.65,0.8)))</f>
        <v>0.3</v>
      </c>
      <c r="C210" s="29">
        <f>IF(Dataset!B210&lt;25,1,IF(Dataset!B210&lt;75,2,IF(Dataset!B210&lt;120,3,4)))</f>
        <v>1</v>
      </c>
      <c r="D210" s="29">
        <f t="shared" si="24"/>
        <v>0.3</v>
      </c>
      <c r="E210" s="29">
        <f>IF(Dataset!C210&lt;=1,0.3,IF(Dataset!C210=2,0.4,IF(Dataset!C210=3,0.5,IF(Dataset!C210=4,0.65,0.8))))</f>
        <v>0.3</v>
      </c>
      <c r="F210" s="29">
        <f>IF(Dataset!C210&lt;=2,1,IF(Dataset!C210=3,2,IF(Dataset!C210=4,3,4)))</f>
        <v>1</v>
      </c>
      <c r="G210" s="29">
        <f t="shared" si="25"/>
        <v>0.3</v>
      </c>
      <c r="H210" s="29">
        <f>IF(Dataset!G210&lt;=3,0.25,IF(Dataset!G210&lt;=6,0.45,IF(Dataset!G210&lt;=9,0.65,0.85)))</f>
        <v>0.45</v>
      </c>
      <c r="I210" s="29">
        <f>IF(Dataset!G210&lt;=3,1,IF(Dataset!G210&lt;=6,2,IF(Dataset!G210&lt;=9,3,4)))</f>
        <v>2</v>
      </c>
      <c r="J210" s="29">
        <f t="shared" si="26"/>
        <v>0.9</v>
      </c>
      <c r="K210" s="29">
        <f>IF(Dataset!H210&lt;1,0.2,IF(Dataset!H210&lt;1.3,0.45,IF(Dataset!H210&lt;1.8,0.7,0.9)))</f>
        <v>0.9</v>
      </c>
      <c r="L210" s="29">
        <f>IF(Dataset!H210&lt;1,1,IF(Dataset!H210&lt;1.3,2,IF(Dataset!H210&lt;1.8,3,4)))</f>
        <v>4</v>
      </c>
      <c r="M210" s="29">
        <f t="shared" si="27"/>
        <v>3.6</v>
      </c>
      <c r="N210" s="29">
        <f>IF(Dataset!F210=1,0.75,IF(Dataset!F210=2,0.45,0.2))</f>
        <v>0.75</v>
      </c>
      <c r="O210" s="29">
        <f>IF(Dataset!F210=1,3,IF(Dataset!F210=2,2,1))</f>
        <v>3</v>
      </c>
      <c r="P210" s="29">
        <f t="shared" si="28"/>
        <v>2.25</v>
      </c>
      <c r="Q210" s="29">
        <f>IF(Dataset!K210&lt;5,0.2,IF(Dataset!K210&lt;10,0.45,IF(Dataset!K210&lt;18,0.7,0.9)))</f>
        <v>0.2</v>
      </c>
      <c r="R210" s="29">
        <f>IF(Dataset!K210&lt;5,1,IF(Dataset!K210&lt;10,2,IF(Dataset!K210&lt;18,3,4)))</f>
        <v>1</v>
      </c>
      <c r="S210" s="29">
        <f t="shared" si="29"/>
        <v>0.2</v>
      </c>
      <c r="T210" s="29">
        <f t="shared" si="30"/>
        <v>1.3930000000000002</v>
      </c>
      <c r="U210" s="29" t="str">
        <f t="shared" si="31"/>
        <v>Medium</v>
      </c>
    </row>
    <row r="211" spans="1:21" ht="15" customHeight="1" x14ac:dyDescent="0.25">
      <c r="A211" s="29">
        <f>Dataset!A211</f>
        <v>207</v>
      </c>
      <c r="B211" s="29">
        <f>IF(Dataset!B211&lt;25,0.3,IF(Dataset!B211&lt;75,0.5,IF(Dataset!B211&lt;120,0.65,0.8)))</f>
        <v>0.3</v>
      </c>
      <c r="C211" s="29">
        <f>IF(Dataset!B211&lt;25,1,IF(Dataset!B211&lt;75,2,IF(Dataset!B211&lt;120,3,4)))</f>
        <v>1</v>
      </c>
      <c r="D211" s="29">
        <f t="shared" si="24"/>
        <v>0.3</v>
      </c>
      <c r="E211" s="29">
        <f>IF(Dataset!C211&lt;=1,0.3,IF(Dataset!C211=2,0.4,IF(Dataset!C211=3,0.5,IF(Dataset!C211=4,0.65,0.8))))</f>
        <v>0.5</v>
      </c>
      <c r="F211" s="29">
        <f>IF(Dataset!C211&lt;=2,1,IF(Dataset!C211=3,2,IF(Dataset!C211=4,3,4)))</f>
        <v>2</v>
      </c>
      <c r="G211" s="29">
        <f t="shared" si="25"/>
        <v>1</v>
      </c>
      <c r="H211" s="29">
        <f>IF(Dataset!G211&lt;=3,0.25,IF(Dataset!G211&lt;=6,0.45,IF(Dataset!G211&lt;=9,0.65,0.85)))</f>
        <v>0.45</v>
      </c>
      <c r="I211" s="29">
        <f>IF(Dataset!G211&lt;=3,1,IF(Dataset!G211&lt;=6,2,IF(Dataset!G211&lt;=9,3,4)))</f>
        <v>2</v>
      </c>
      <c r="J211" s="29">
        <f t="shared" si="26"/>
        <v>0.9</v>
      </c>
      <c r="K211" s="29">
        <f>IF(Dataset!H211&lt;1,0.2,IF(Dataset!H211&lt;1.3,0.45,IF(Dataset!H211&lt;1.8,0.7,0.9)))</f>
        <v>0.9</v>
      </c>
      <c r="L211" s="29">
        <f>IF(Dataset!H211&lt;1,1,IF(Dataset!H211&lt;1.3,2,IF(Dataset!H211&lt;1.8,3,4)))</f>
        <v>4</v>
      </c>
      <c r="M211" s="29">
        <f t="shared" si="27"/>
        <v>3.6</v>
      </c>
      <c r="N211" s="29">
        <f>IF(Dataset!F211=1,0.75,IF(Dataset!F211=2,0.45,0.2))</f>
        <v>0.75</v>
      </c>
      <c r="O211" s="29">
        <f>IF(Dataset!F211=1,3,IF(Dataset!F211=2,2,1))</f>
        <v>3</v>
      </c>
      <c r="P211" s="29">
        <f t="shared" si="28"/>
        <v>2.25</v>
      </c>
      <c r="Q211" s="29">
        <f>IF(Dataset!K211&lt;5,0.2,IF(Dataset!K211&lt;10,0.45,IF(Dataset!K211&lt;18,0.7,0.9)))</f>
        <v>0.45</v>
      </c>
      <c r="R211" s="29">
        <f>IF(Dataset!K211&lt;5,1,IF(Dataset!K211&lt;10,2,IF(Dataset!K211&lt;18,3,4)))</f>
        <v>2</v>
      </c>
      <c r="S211" s="29">
        <f t="shared" si="29"/>
        <v>0.9</v>
      </c>
      <c r="T211" s="29">
        <f t="shared" si="30"/>
        <v>1.5890000000000002</v>
      </c>
      <c r="U211" s="29" t="str">
        <f t="shared" si="31"/>
        <v>Medium</v>
      </c>
    </row>
    <row r="212" spans="1:21" ht="15" customHeight="1" x14ac:dyDescent="0.25">
      <c r="A212" s="29">
        <f>Dataset!A212</f>
        <v>208</v>
      </c>
      <c r="B212" s="29">
        <f>IF(Dataset!B212&lt;25,0.3,IF(Dataset!B212&lt;75,0.5,IF(Dataset!B212&lt;120,0.65,0.8)))</f>
        <v>0.65</v>
      </c>
      <c r="C212" s="29">
        <f>IF(Dataset!B212&lt;25,1,IF(Dataset!B212&lt;75,2,IF(Dataset!B212&lt;120,3,4)))</f>
        <v>3</v>
      </c>
      <c r="D212" s="29">
        <f t="shared" si="24"/>
        <v>1.9500000000000002</v>
      </c>
      <c r="E212" s="29">
        <f>IF(Dataset!C212&lt;=1,0.3,IF(Dataset!C212=2,0.4,IF(Dataset!C212=3,0.5,IF(Dataset!C212=4,0.65,0.8))))</f>
        <v>0.65</v>
      </c>
      <c r="F212" s="29">
        <f>IF(Dataset!C212&lt;=2,1,IF(Dataset!C212=3,2,IF(Dataset!C212=4,3,4)))</f>
        <v>3</v>
      </c>
      <c r="G212" s="29">
        <f t="shared" si="25"/>
        <v>1.9500000000000002</v>
      </c>
      <c r="H212" s="29">
        <f>IF(Dataset!G212&lt;=3,0.25,IF(Dataset!G212&lt;=6,0.45,IF(Dataset!G212&lt;=9,0.65,0.85)))</f>
        <v>0.65</v>
      </c>
      <c r="I212" s="29">
        <f>IF(Dataset!G212&lt;=3,1,IF(Dataset!G212&lt;=6,2,IF(Dataset!G212&lt;=9,3,4)))</f>
        <v>3</v>
      </c>
      <c r="J212" s="29">
        <f t="shared" si="26"/>
        <v>1.9500000000000002</v>
      </c>
      <c r="K212" s="29">
        <f>IF(Dataset!H212&lt;1,0.2,IF(Dataset!H212&lt;1.3,0.45,IF(Dataset!H212&lt;1.8,0.7,0.9)))</f>
        <v>0.45</v>
      </c>
      <c r="L212" s="29">
        <f>IF(Dataset!H212&lt;1,1,IF(Dataset!H212&lt;1.3,2,IF(Dataset!H212&lt;1.8,3,4)))</f>
        <v>2</v>
      </c>
      <c r="M212" s="29">
        <f t="shared" si="27"/>
        <v>0.9</v>
      </c>
      <c r="N212" s="29">
        <f>IF(Dataset!F212=1,0.75,IF(Dataset!F212=2,0.45,0.2))</f>
        <v>0.45</v>
      </c>
      <c r="O212" s="29">
        <f>IF(Dataset!F212=1,3,IF(Dataset!F212=2,2,1))</f>
        <v>2</v>
      </c>
      <c r="P212" s="29">
        <f t="shared" si="28"/>
        <v>0.9</v>
      </c>
      <c r="Q212" s="29">
        <f>IF(Dataset!K212&lt;5,0.2,IF(Dataset!K212&lt;10,0.45,IF(Dataset!K212&lt;18,0.7,0.9)))</f>
        <v>0.7</v>
      </c>
      <c r="R212" s="29">
        <f>IF(Dataset!K212&lt;5,1,IF(Dataset!K212&lt;10,2,IF(Dataset!K212&lt;18,3,4)))</f>
        <v>3</v>
      </c>
      <c r="S212" s="29">
        <f t="shared" si="29"/>
        <v>2.0999999999999996</v>
      </c>
      <c r="T212" s="29">
        <f t="shared" si="30"/>
        <v>1.6140000000000003</v>
      </c>
      <c r="U212" s="29" t="str">
        <f t="shared" si="31"/>
        <v>Medium</v>
      </c>
    </row>
    <row r="213" spans="1:21" ht="15" customHeight="1" x14ac:dyDescent="0.25">
      <c r="A213" s="29">
        <f>Dataset!A213</f>
        <v>209</v>
      </c>
      <c r="B213" s="29">
        <f>IF(Dataset!B213&lt;25,0.3,IF(Dataset!B213&lt;75,0.5,IF(Dataset!B213&lt;120,0.65,0.8)))</f>
        <v>0.5</v>
      </c>
      <c r="C213" s="29">
        <f>IF(Dataset!B213&lt;25,1,IF(Dataset!B213&lt;75,2,IF(Dataset!B213&lt;120,3,4)))</f>
        <v>2</v>
      </c>
      <c r="D213" s="29">
        <f t="shared" si="24"/>
        <v>1</v>
      </c>
      <c r="E213" s="29">
        <f>IF(Dataset!C213&lt;=1,0.3,IF(Dataset!C213=2,0.4,IF(Dataset!C213=3,0.5,IF(Dataset!C213=4,0.65,0.8))))</f>
        <v>0.65</v>
      </c>
      <c r="F213" s="29">
        <f>IF(Dataset!C213&lt;=2,1,IF(Dataset!C213=3,2,IF(Dataset!C213=4,3,4)))</f>
        <v>3</v>
      </c>
      <c r="G213" s="29">
        <f t="shared" si="25"/>
        <v>1.9500000000000002</v>
      </c>
      <c r="H213" s="29">
        <f>IF(Dataset!G213&lt;=3,0.25,IF(Dataset!G213&lt;=6,0.45,IF(Dataset!G213&lt;=9,0.65,0.85)))</f>
        <v>0.65</v>
      </c>
      <c r="I213" s="29">
        <f>IF(Dataset!G213&lt;=3,1,IF(Dataset!G213&lt;=6,2,IF(Dataset!G213&lt;=9,3,4)))</f>
        <v>3</v>
      </c>
      <c r="J213" s="29">
        <f t="shared" si="26"/>
        <v>1.9500000000000002</v>
      </c>
      <c r="K213" s="29">
        <f>IF(Dataset!H213&lt;1,0.2,IF(Dataset!H213&lt;1.3,0.45,IF(Dataset!H213&lt;1.8,0.7,0.9)))</f>
        <v>0.7</v>
      </c>
      <c r="L213" s="29">
        <f>IF(Dataset!H213&lt;1,1,IF(Dataset!H213&lt;1.3,2,IF(Dataset!H213&lt;1.8,3,4)))</f>
        <v>3</v>
      </c>
      <c r="M213" s="29">
        <f t="shared" si="27"/>
        <v>2.0999999999999996</v>
      </c>
      <c r="N213" s="29">
        <f>IF(Dataset!F213=1,0.75,IF(Dataset!F213=2,0.45,0.2))</f>
        <v>0.2</v>
      </c>
      <c r="O213" s="29">
        <f>IF(Dataset!F213=1,3,IF(Dataset!F213=2,2,1))</f>
        <v>1</v>
      </c>
      <c r="P213" s="29">
        <f t="shared" si="28"/>
        <v>0.2</v>
      </c>
      <c r="Q213" s="29">
        <f>IF(Dataset!K213&lt;5,0.2,IF(Dataset!K213&lt;10,0.45,IF(Dataset!K213&lt;18,0.7,0.9)))</f>
        <v>0.7</v>
      </c>
      <c r="R213" s="29">
        <f>IF(Dataset!K213&lt;5,1,IF(Dataset!K213&lt;10,2,IF(Dataset!K213&lt;18,3,4)))</f>
        <v>3</v>
      </c>
      <c r="S213" s="29">
        <f t="shared" si="29"/>
        <v>2.0999999999999996</v>
      </c>
      <c r="T213" s="29">
        <f t="shared" si="30"/>
        <v>1.661</v>
      </c>
      <c r="U213" s="29" t="str">
        <f t="shared" si="31"/>
        <v>Medium</v>
      </c>
    </row>
    <row r="214" spans="1:21" ht="15" customHeight="1" x14ac:dyDescent="0.25">
      <c r="A214" s="29">
        <f>Dataset!A214</f>
        <v>210</v>
      </c>
      <c r="B214" s="29">
        <f>IF(Dataset!B214&lt;25,0.3,IF(Dataset!B214&lt;75,0.5,IF(Dataset!B214&lt;120,0.65,0.8)))</f>
        <v>0.8</v>
      </c>
      <c r="C214" s="29">
        <f>IF(Dataset!B214&lt;25,1,IF(Dataset!B214&lt;75,2,IF(Dataset!B214&lt;120,3,4)))</f>
        <v>4</v>
      </c>
      <c r="D214" s="29">
        <f t="shared" si="24"/>
        <v>3.2</v>
      </c>
      <c r="E214" s="29">
        <f>IF(Dataset!C214&lt;=1,0.3,IF(Dataset!C214=2,0.4,IF(Dataset!C214=3,0.5,IF(Dataset!C214=4,0.65,0.8))))</f>
        <v>0.65</v>
      </c>
      <c r="F214" s="29">
        <f>IF(Dataset!C214&lt;=2,1,IF(Dataset!C214=3,2,IF(Dataset!C214=4,3,4)))</f>
        <v>3</v>
      </c>
      <c r="G214" s="29">
        <f t="shared" si="25"/>
        <v>1.9500000000000002</v>
      </c>
      <c r="H214" s="29">
        <f>IF(Dataset!G214&lt;=3,0.25,IF(Dataset!G214&lt;=6,0.45,IF(Dataset!G214&lt;=9,0.65,0.85)))</f>
        <v>0.45</v>
      </c>
      <c r="I214" s="29">
        <f>IF(Dataset!G214&lt;=3,1,IF(Dataset!G214&lt;=6,2,IF(Dataset!G214&lt;=9,3,4)))</f>
        <v>2</v>
      </c>
      <c r="J214" s="29">
        <f t="shared" si="26"/>
        <v>0.9</v>
      </c>
      <c r="K214" s="29">
        <f>IF(Dataset!H214&lt;1,0.2,IF(Dataset!H214&lt;1.3,0.45,IF(Dataset!H214&lt;1.8,0.7,0.9)))</f>
        <v>0.45</v>
      </c>
      <c r="L214" s="29">
        <f>IF(Dataset!H214&lt;1,1,IF(Dataset!H214&lt;1.3,2,IF(Dataset!H214&lt;1.8,3,4)))</f>
        <v>2</v>
      </c>
      <c r="M214" s="29">
        <f t="shared" si="27"/>
        <v>0.9</v>
      </c>
      <c r="N214" s="29">
        <f>IF(Dataset!F214=1,0.75,IF(Dataset!F214=2,0.45,0.2))</f>
        <v>0.45</v>
      </c>
      <c r="O214" s="29">
        <f>IF(Dataset!F214=1,3,IF(Dataset!F214=2,2,1))</f>
        <v>2</v>
      </c>
      <c r="P214" s="29">
        <f t="shared" si="28"/>
        <v>0.9</v>
      </c>
      <c r="Q214" s="29">
        <f>IF(Dataset!K214&lt;5,0.2,IF(Dataset!K214&lt;10,0.45,IF(Dataset!K214&lt;18,0.7,0.9)))</f>
        <v>0.7</v>
      </c>
      <c r="R214" s="29">
        <f>IF(Dataset!K214&lt;5,1,IF(Dataset!K214&lt;10,2,IF(Dataset!K214&lt;18,3,4)))</f>
        <v>3</v>
      </c>
      <c r="S214" s="29">
        <f t="shared" si="29"/>
        <v>2.0999999999999996</v>
      </c>
      <c r="T214" s="29">
        <f t="shared" si="30"/>
        <v>1.629</v>
      </c>
      <c r="U214" s="29" t="str">
        <f t="shared" si="31"/>
        <v>Medium</v>
      </c>
    </row>
    <row r="215" spans="1:21" ht="15" customHeight="1" x14ac:dyDescent="0.25">
      <c r="A215" s="29">
        <f>Dataset!A215</f>
        <v>211</v>
      </c>
      <c r="B215" s="29">
        <f>IF(Dataset!B215&lt;25,0.3,IF(Dataset!B215&lt;75,0.5,IF(Dataset!B215&lt;120,0.65,0.8)))</f>
        <v>0.5</v>
      </c>
      <c r="C215" s="29">
        <f>IF(Dataset!B215&lt;25,1,IF(Dataset!B215&lt;75,2,IF(Dataset!B215&lt;120,3,4)))</f>
        <v>2</v>
      </c>
      <c r="D215" s="29">
        <f t="shared" si="24"/>
        <v>1</v>
      </c>
      <c r="E215" s="29">
        <f>IF(Dataset!C215&lt;=1,0.3,IF(Dataset!C215=2,0.4,IF(Dataset!C215=3,0.5,IF(Dataset!C215=4,0.65,0.8))))</f>
        <v>0.65</v>
      </c>
      <c r="F215" s="29">
        <f>IF(Dataset!C215&lt;=2,1,IF(Dataset!C215=3,2,IF(Dataset!C215=4,3,4)))</f>
        <v>3</v>
      </c>
      <c r="G215" s="29">
        <f t="shared" si="25"/>
        <v>1.9500000000000002</v>
      </c>
      <c r="H215" s="29">
        <f>IF(Dataset!G215&lt;=3,0.25,IF(Dataset!G215&lt;=6,0.45,IF(Dataset!G215&lt;=9,0.65,0.85)))</f>
        <v>0.45</v>
      </c>
      <c r="I215" s="29">
        <f>IF(Dataset!G215&lt;=3,1,IF(Dataset!G215&lt;=6,2,IF(Dataset!G215&lt;=9,3,4)))</f>
        <v>2</v>
      </c>
      <c r="J215" s="29">
        <f t="shared" si="26"/>
        <v>0.9</v>
      </c>
      <c r="K215" s="29">
        <f>IF(Dataset!H215&lt;1,0.2,IF(Dataset!H215&lt;1.3,0.45,IF(Dataset!H215&lt;1.8,0.7,0.9)))</f>
        <v>0.7</v>
      </c>
      <c r="L215" s="29">
        <f>IF(Dataset!H215&lt;1,1,IF(Dataset!H215&lt;1.3,2,IF(Dataset!H215&lt;1.8,3,4)))</f>
        <v>3</v>
      </c>
      <c r="M215" s="29">
        <f t="shared" si="27"/>
        <v>2.0999999999999996</v>
      </c>
      <c r="N215" s="29">
        <f>IF(Dataset!F215=1,0.75,IF(Dataset!F215=2,0.45,0.2))</f>
        <v>0.75</v>
      </c>
      <c r="O215" s="29">
        <f>IF(Dataset!F215=1,3,IF(Dataset!F215=2,2,1))</f>
        <v>3</v>
      </c>
      <c r="P215" s="29">
        <f t="shared" si="28"/>
        <v>2.25</v>
      </c>
      <c r="Q215" s="29">
        <f>IF(Dataset!K215&lt;5,0.2,IF(Dataset!K215&lt;10,0.45,IF(Dataset!K215&lt;18,0.7,0.9)))</f>
        <v>0.45</v>
      </c>
      <c r="R215" s="29">
        <f>IF(Dataset!K215&lt;5,1,IF(Dataset!K215&lt;10,2,IF(Dataset!K215&lt;18,3,4)))</f>
        <v>2</v>
      </c>
      <c r="S215" s="29">
        <f t="shared" si="29"/>
        <v>0.9</v>
      </c>
      <c r="T215" s="29">
        <f t="shared" si="30"/>
        <v>1.4880000000000002</v>
      </c>
      <c r="U215" s="29" t="str">
        <f t="shared" si="31"/>
        <v>Medium</v>
      </c>
    </row>
    <row r="216" spans="1:21" ht="15" customHeight="1" x14ac:dyDescent="0.25">
      <c r="A216" s="29">
        <f>Dataset!A216</f>
        <v>212</v>
      </c>
      <c r="B216" s="29">
        <f>IF(Dataset!B216&lt;25,0.3,IF(Dataset!B216&lt;75,0.5,IF(Dataset!B216&lt;120,0.65,0.8)))</f>
        <v>0.5</v>
      </c>
      <c r="C216" s="29">
        <f>IF(Dataset!B216&lt;25,1,IF(Dataset!B216&lt;75,2,IF(Dataset!B216&lt;120,3,4)))</f>
        <v>2</v>
      </c>
      <c r="D216" s="29">
        <f t="shared" si="24"/>
        <v>1</v>
      </c>
      <c r="E216" s="29">
        <f>IF(Dataset!C216&lt;=1,0.3,IF(Dataset!C216=2,0.4,IF(Dataset!C216=3,0.5,IF(Dataset!C216=4,0.65,0.8))))</f>
        <v>0.5</v>
      </c>
      <c r="F216" s="29">
        <f>IF(Dataset!C216&lt;=2,1,IF(Dataset!C216=3,2,IF(Dataset!C216=4,3,4)))</f>
        <v>2</v>
      </c>
      <c r="G216" s="29">
        <f t="shared" si="25"/>
        <v>1</v>
      </c>
      <c r="H216" s="29">
        <f>IF(Dataset!G216&lt;=3,0.25,IF(Dataset!G216&lt;=6,0.45,IF(Dataset!G216&lt;=9,0.65,0.85)))</f>
        <v>0.65</v>
      </c>
      <c r="I216" s="29">
        <f>IF(Dataset!G216&lt;=3,1,IF(Dataset!G216&lt;=6,2,IF(Dataset!G216&lt;=9,3,4)))</f>
        <v>3</v>
      </c>
      <c r="J216" s="29">
        <f t="shared" si="26"/>
        <v>1.9500000000000002</v>
      </c>
      <c r="K216" s="29">
        <f>IF(Dataset!H216&lt;1,0.2,IF(Dataset!H216&lt;1.3,0.45,IF(Dataset!H216&lt;1.8,0.7,0.9)))</f>
        <v>0.9</v>
      </c>
      <c r="L216" s="29">
        <f>IF(Dataset!H216&lt;1,1,IF(Dataset!H216&lt;1.3,2,IF(Dataset!H216&lt;1.8,3,4)))</f>
        <v>4</v>
      </c>
      <c r="M216" s="29">
        <f t="shared" si="27"/>
        <v>3.6</v>
      </c>
      <c r="N216" s="29">
        <f>IF(Dataset!F216=1,0.75,IF(Dataset!F216=2,0.45,0.2))</f>
        <v>0.2</v>
      </c>
      <c r="O216" s="29">
        <f>IF(Dataset!F216=1,3,IF(Dataset!F216=2,2,1))</f>
        <v>1</v>
      </c>
      <c r="P216" s="29">
        <f t="shared" si="28"/>
        <v>0.2</v>
      </c>
      <c r="Q216" s="29">
        <f>IF(Dataset!K216&lt;5,0.2,IF(Dataset!K216&lt;10,0.45,IF(Dataset!K216&lt;18,0.7,0.9)))</f>
        <v>0.45</v>
      </c>
      <c r="R216" s="29">
        <f>IF(Dataset!K216&lt;5,1,IF(Dataset!K216&lt;10,2,IF(Dataset!K216&lt;18,3,4)))</f>
        <v>2</v>
      </c>
      <c r="S216" s="29">
        <f t="shared" si="29"/>
        <v>0.9</v>
      </c>
      <c r="T216" s="29">
        <f t="shared" si="30"/>
        <v>1.7200000000000002</v>
      </c>
      <c r="U216" s="29" t="str">
        <f t="shared" si="31"/>
        <v>Medium</v>
      </c>
    </row>
    <row r="217" spans="1:21" ht="15" customHeight="1" x14ac:dyDescent="0.25">
      <c r="A217" s="29">
        <f>Dataset!A217</f>
        <v>213</v>
      </c>
      <c r="B217" s="29">
        <f>IF(Dataset!B217&lt;25,0.3,IF(Dataset!B217&lt;75,0.5,IF(Dataset!B217&lt;120,0.65,0.8)))</f>
        <v>0.5</v>
      </c>
      <c r="C217" s="29">
        <f>IF(Dataset!B217&lt;25,1,IF(Dataset!B217&lt;75,2,IF(Dataset!B217&lt;120,3,4)))</f>
        <v>2</v>
      </c>
      <c r="D217" s="29">
        <f t="shared" si="24"/>
        <v>1</v>
      </c>
      <c r="E217" s="29">
        <f>IF(Dataset!C217&lt;=1,0.3,IF(Dataset!C217=2,0.4,IF(Dataset!C217=3,0.5,IF(Dataset!C217=4,0.65,0.8))))</f>
        <v>0.65</v>
      </c>
      <c r="F217" s="29">
        <f>IF(Dataset!C217&lt;=2,1,IF(Dataset!C217=3,2,IF(Dataset!C217=4,3,4)))</f>
        <v>3</v>
      </c>
      <c r="G217" s="29">
        <f t="shared" si="25"/>
        <v>1.9500000000000002</v>
      </c>
      <c r="H217" s="29">
        <f>IF(Dataset!G217&lt;=3,0.25,IF(Dataset!G217&lt;=6,0.45,IF(Dataset!G217&lt;=9,0.65,0.85)))</f>
        <v>0.45</v>
      </c>
      <c r="I217" s="29">
        <f>IF(Dataset!G217&lt;=3,1,IF(Dataset!G217&lt;=6,2,IF(Dataset!G217&lt;=9,3,4)))</f>
        <v>2</v>
      </c>
      <c r="J217" s="29">
        <f t="shared" si="26"/>
        <v>0.9</v>
      </c>
      <c r="K217" s="29">
        <f>IF(Dataset!H217&lt;1,0.2,IF(Dataset!H217&lt;1.3,0.45,IF(Dataset!H217&lt;1.8,0.7,0.9)))</f>
        <v>0.9</v>
      </c>
      <c r="L217" s="29">
        <f>IF(Dataset!H217&lt;1,1,IF(Dataset!H217&lt;1.3,2,IF(Dataset!H217&lt;1.8,3,4)))</f>
        <v>4</v>
      </c>
      <c r="M217" s="29">
        <f t="shared" si="27"/>
        <v>3.6</v>
      </c>
      <c r="N217" s="29">
        <f>IF(Dataset!F217=1,0.75,IF(Dataset!F217=2,0.45,0.2))</f>
        <v>0.45</v>
      </c>
      <c r="O217" s="29">
        <f>IF(Dataset!F217=1,3,IF(Dataset!F217=2,2,1))</f>
        <v>2</v>
      </c>
      <c r="P217" s="29">
        <f t="shared" si="28"/>
        <v>0.9</v>
      </c>
      <c r="Q217" s="29">
        <f>IF(Dataset!K217&lt;5,0.2,IF(Dataset!K217&lt;10,0.45,IF(Dataset!K217&lt;18,0.7,0.9)))</f>
        <v>0.45</v>
      </c>
      <c r="R217" s="29">
        <f>IF(Dataset!K217&lt;5,1,IF(Dataset!K217&lt;10,2,IF(Dataset!K217&lt;18,3,4)))</f>
        <v>2</v>
      </c>
      <c r="S217" s="29">
        <f t="shared" si="29"/>
        <v>0.9</v>
      </c>
      <c r="T217" s="29">
        <f t="shared" si="30"/>
        <v>1.7130000000000003</v>
      </c>
      <c r="U217" s="29" t="str">
        <f t="shared" si="31"/>
        <v>Medium</v>
      </c>
    </row>
    <row r="218" spans="1:21" ht="15" customHeight="1" x14ac:dyDescent="0.25">
      <c r="A218" s="29">
        <f>Dataset!A218</f>
        <v>214</v>
      </c>
      <c r="B218" s="29">
        <f>IF(Dataset!B218&lt;25,0.3,IF(Dataset!B218&lt;75,0.5,IF(Dataset!B218&lt;120,0.65,0.8)))</f>
        <v>0.5</v>
      </c>
      <c r="C218" s="29">
        <f>IF(Dataset!B218&lt;25,1,IF(Dataset!B218&lt;75,2,IF(Dataset!B218&lt;120,3,4)))</f>
        <v>2</v>
      </c>
      <c r="D218" s="29">
        <f t="shared" si="24"/>
        <v>1</v>
      </c>
      <c r="E218" s="29">
        <f>IF(Dataset!C218&lt;=1,0.3,IF(Dataset!C218=2,0.4,IF(Dataset!C218=3,0.5,IF(Dataset!C218=4,0.65,0.8))))</f>
        <v>0.5</v>
      </c>
      <c r="F218" s="29">
        <f>IF(Dataset!C218&lt;=2,1,IF(Dataset!C218=3,2,IF(Dataset!C218=4,3,4)))</f>
        <v>2</v>
      </c>
      <c r="G218" s="29">
        <f t="shared" si="25"/>
        <v>1</v>
      </c>
      <c r="H218" s="29">
        <f>IF(Dataset!G218&lt;=3,0.25,IF(Dataset!G218&lt;=6,0.45,IF(Dataset!G218&lt;=9,0.65,0.85)))</f>
        <v>0.65</v>
      </c>
      <c r="I218" s="29">
        <f>IF(Dataset!G218&lt;=3,1,IF(Dataset!G218&lt;=6,2,IF(Dataset!G218&lt;=9,3,4)))</f>
        <v>3</v>
      </c>
      <c r="J218" s="29">
        <f t="shared" si="26"/>
        <v>1.9500000000000002</v>
      </c>
      <c r="K218" s="29">
        <f>IF(Dataset!H218&lt;1,0.2,IF(Dataset!H218&lt;1.3,0.45,IF(Dataset!H218&lt;1.8,0.7,0.9)))</f>
        <v>0.9</v>
      </c>
      <c r="L218" s="29">
        <f>IF(Dataset!H218&lt;1,1,IF(Dataset!H218&lt;1.3,2,IF(Dataset!H218&lt;1.8,3,4)))</f>
        <v>4</v>
      </c>
      <c r="M218" s="29">
        <f t="shared" si="27"/>
        <v>3.6</v>
      </c>
      <c r="N218" s="29">
        <f>IF(Dataset!F218=1,0.75,IF(Dataset!F218=2,0.45,0.2))</f>
        <v>0.2</v>
      </c>
      <c r="O218" s="29">
        <f>IF(Dataset!F218=1,3,IF(Dataset!F218=2,2,1))</f>
        <v>1</v>
      </c>
      <c r="P218" s="29">
        <f t="shared" si="28"/>
        <v>0.2</v>
      </c>
      <c r="Q218" s="29">
        <f>IF(Dataset!K218&lt;5,0.2,IF(Dataset!K218&lt;10,0.45,IF(Dataset!K218&lt;18,0.7,0.9)))</f>
        <v>0.2</v>
      </c>
      <c r="R218" s="29">
        <f>IF(Dataset!K218&lt;5,1,IF(Dataset!K218&lt;10,2,IF(Dataset!K218&lt;18,3,4)))</f>
        <v>1</v>
      </c>
      <c r="S218" s="29">
        <f t="shared" si="29"/>
        <v>0.2</v>
      </c>
      <c r="T218" s="29">
        <f t="shared" si="30"/>
        <v>1.6220000000000001</v>
      </c>
      <c r="U218" s="29" t="str">
        <f t="shared" si="31"/>
        <v>Medium</v>
      </c>
    </row>
    <row r="219" spans="1:21" ht="15" customHeight="1" x14ac:dyDescent="0.25">
      <c r="A219" s="29">
        <f>Dataset!A219</f>
        <v>215</v>
      </c>
      <c r="B219" s="29">
        <f>IF(Dataset!B219&lt;25,0.3,IF(Dataset!B219&lt;75,0.5,IF(Dataset!B219&lt;120,0.65,0.8)))</f>
        <v>0.5</v>
      </c>
      <c r="C219" s="29">
        <f>IF(Dataset!B219&lt;25,1,IF(Dataset!B219&lt;75,2,IF(Dataset!B219&lt;120,3,4)))</f>
        <v>2</v>
      </c>
      <c r="D219" s="29">
        <f t="shared" si="24"/>
        <v>1</v>
      </c>
      <c r="E219" s="29">
        <f>IF(Dataset!C219&lt;=1,0.3,IF(Dataset!C219=2,0.4,IF(Dataset!C219=3,0.5,IF(Dataset!C219=4,0.65,0.8))))</f>
        <v>0.4</v>
      </c>
      <c r="F219" s="29">
        <f>IF(Dataset!C219&lt;=2,1,IF(Dataset!C219=3,2,IF(Dataset!C219=4,3,4)))</f>
        <v>1</v>
      </c>
      <c r="G219" s="29">
        <f t="shared" si="25"/>
        <v>0.4</v>
      </c>
      <c r="H219" s="29">
        <f>IF(Dataset!G219&lt;=3,0.25,IF(Dataset!G219&lt;=6,0.45,IF(Dataset!G219&lt;=9,0.65,0.85)))</f>
        <v>0.85</v>
      </c>
      <c r="I219" s="29">
        <f>IF(Dataset!G219&lt;=3,1,IF(Dataset!G219&lt;=6,2,IF(Dataset!G219&lt;=9,3,4)))</f>
        <v>4</v>
      </c>
      <c r="J219" s="29">
        <f t="shared" si="26"/>
        <v>3.4</v>
      </c>
      <c r="K219" s="29">
        <f>IF(Dataset!H219&lt;1,0.2,IF(Dataset!H219&lt;1.3,0.45,IF(Dataset!H219&lt;1.8,0.7,0.9)))</f>
        <v>0.7</v>
      </c>
      <c r="L219" s="29">
        <f>IF(Dataset!H219&lt;1,1,IF(Dataset!H219&lt;1.3,2,IF(Dataset!H219&lt;1.8,3,4)))</f>
        <v>3</v>
      </c>
      <c r="M219" s="29">
        <f t="shared" si="27"/>
        <v>2.0999999999999996</v>
      </c>
      <c r="N219" s="29">
        <f>IF(Dataset!F219=1,0.75,IF(Dataset!F219=2,0.45,0.2))</f>
        <v>0.2</v>
      </c>
      <c r="O219" s="29">
        <f>IF(Dataset!F219=1,3,IF(Dataset!F219=2,2,1))</f>
        <v>1</v>
      </c>
      <c r="P219" s="29">
        <f t="shared" si="28"/>
        <v>0.2</v>
      </c>
      <c r="Q219" s="29">
        <f>IF(Dataset!K219&lt;5,0.2,IF(Dataset!K219&lt;10,0.45,IF(Dataset!K219&lt;18,0.7,0.9)))</f>
        <v>0.2</v>
      </c>
      <c r="R219" s="29">
        <f>IF(Dataset!K219&lt;5,1,IF(Dataset!K219&lt;10,2,IF(Dataset!K219&lt;18,3,4)))</f>
        <v>1</v>
      </c>
      <c r="S219" s="29">
        <f t="shared" si="29"/>
        <v>0.2</v>
      </c>
      <c r="T219" s="29">
        <f t="shared" si="30"/>
        <v>1.468</v>
      </c>
      <c r="U219" s="29" t="str">
        <f t="shared" si="31"/>
        <v>Medium</v>
      </c>
    </row>
    <row r="220" spans="1:21" ht="15" customHeight="1" x14ac:dyDescent="0.25">
      <c r="A220" s="29">
        <f>Dataset!A220</f>
        <v>216</v>
      </c>
      <c r="B220" s="29">
        <f>IF(Dataset!B220&lt;25,0.3,IF(Dataset!B220&lt;75,0.5,IF(Dataset!B220&lt;120,0.65,0.8)))</f>
        <v>0.65</v>
      </c>
      <c r="C220" s="29">
        <f>IF(Dataset!B220&lt;25,1,IF(Dataset!B220&lt;75,2,IF(Dataset!B220&lt;120,3,4)))</f>
        <v>3</v>
      </c>
      <c r="D220" s="29">
        <f t="shared" si="24"/>
        <v>1.9500000000000002</v>
      </c>
      <c r="E220" s="29">
        <f>IF(Dataset!C220&lt;=1,0.3,IF(Dataset!C220=2,0.4,IF(Dataset!C220=3,0.5,IF(Dataset!C220=4,0.65,0.8))))</f>
        <v>0.8</v>
      </c>
      <c r="F220" s="29">
        <f>IF(Dataset!C220&lt;=2,1,IF(Dataset!C220=3,2,IF(Dataset!C220=4,3,4)))</f>
        <v>4</v>
      </c>
      <c r="G220" s="29">
        <f t="shared" si="25"/>
        <v>3.2</v>
      </c>
      <c r="H220" s="29">
        <f>IF(Dataset!G220&lt;=3,0.25,IF(Dataset!G220&lt;=6,0.45,IF(Dataset!G220&lt;=9,0.65,0.85)))</f>
        <v>0.65</v>
      </c>
      <c r="I220" s="29">
        <f>IF(Dataset!G220&lt;=3,1,IF(Dataset!G220&lt;=6,2,IF(Dataset!G220&lt;=9,3,4)))</f>
        <v>3</v>
      </c>
      <c r="J220" s="29">
        <f t="shared" si="26"/>
        <v>1.9500000000000002</v>
      </c>
      <c r="K220" s="29">
        <f>IF(Dataset!H220&lt;1,0.2,IF(Dataset!H220&lt;1.3,0.45,IF(Dataset!H220&lt;1.8,0.7,0.9)))</f>
        <v>0.7</v>
      </c>
      <c r="L220" s="29">
        <f>IF(Dataset!H220&lt;1,1,IF(Dataset!H220&lt;1.3,2,IF(Dataset!H220&lt;1.8,3,4)))</f>
        <v>3</v>
      </c>
      <c r="M220" s="29">
        <f t="shared" si="27"/>
        <v>2.0999999999999996</v>
      </c>
      <c r="N220" s="29">
        <f>IF(Dataset!F220=1,0.75,IF(Dataset!F220=2,0.45,0.2))</f>
        <v>0.45</v>
      </c>
      <c r="O220" s="29">
        <f>IF(Dataset!F220=1,3,IF(Dataset!F220=2,2,1))</f>
        <v>2</v>
      </c>
      <c r="P220" s="29">
        <f t="shared" si="28"/>
        <v>0.9</v>
      </c>
      <c r="Q220" s="29">
        <f>IF(Dataset!K220&lt;5,0.2,IF(Dataset!K220&lt;10,0.45,IF(Dataset!K220&lt;18,0.7,0.9)))</f>
        <v>0.9</v>
      </c>
      <c r="R220" s="29">
        <f>IF(Dataset!K220&lt;5,1,IF(Dataset!K220&lt;10,2,IF(Dataset!K220&lt;18,3,4)))</f>
        <v>4</v>
      </c>
      <c r="S220" s="29">
        <f t="shared" si="29"/>
        <v>3.6</v>
      </c>
      <c r="T220" s="29">
        <f t="shared" si="30"/>
        <v>2.2870000000000004</v>
      </c>
      <c r="U220" s="29" t="str">
        <f t="shared" si="31"/>
        <v>High</v>
      </c>
    </row>
    <row r="221" spans="1:21" ht="15" customHeight="1" x14ac:dyDescent="0.25">
      <c r="A221" s="29">
        <f>Dataset!A221</f>
        <v>217</v>
      </c>
      <c r="B221" s="29">
        <f>IF(Dataset!B221&lt;25,0.3,IF(Dataset!B221&lt;75,0.5,IF(Dataset!B221&lt;120,0.65,0.8)))</f>
        <v>0.3</v>
      </c>
      <c r="C221" s="29">
        <f>IF(Dataset!B221&lt;25,1,IF(Dataset!B221&lt;75,2,IF(Dataset!B221&lt;120,3,4)))</f>
        <v>1</v>
      </c>
      <c r="D221" s="29">
        <f t="shared" si="24"/>
        <v>0.3</v>
      </c>
      <c r="E221" s="29">
        <f>IF(Dataset!C221&lt;=1,0.3,IF(Dataset!C221=2,0.4,IF(Dataset!C221=3,0.5,IF(Dataset!C221=4,0.65,0.8))))</f>
        <v>0.5</v>
      </c>
      <c r="F221" s="29">
        <f>IF(Dataset!C221&lt;=2,1,IF(Dataset!C221=3,2,IF(Dataset!C221=4,3,4)))</f>
        <v>2</v>
      </c>
      <c r="G221" s="29">
        <f t="shared" si="25"/>
        <v>1</v>
      </c>
      <c r="H221" s="29">
        <f>IF(Dataset!G221&lt;=3,0.25,IF(Dataset!G221&lt;=6,0.45,IF(Dataset!G221&lt;=9,0.65,0.85)))</f>
        <v>0.65</v>
      </c>
      <c r="I221" s="29">
        <f>IF(Dataset!G221&lt;=3,1,IF(Dataset!G221&lt;=6,2,IF(Dataset!G221&lt;=9,3,4)))</f>
        <v>3</v>
      </c>
      <c r="J221" s="29">
        <f t="shared" si="26"/>
        <v>1.9500000000000002</v>
      </c>
      <c r="K221" s="29">
        <f>IF(Dataset!H221&lt;1,0.2,IF(Dataset!H221&lt;1.3,0.45,IF(Dataset!H221&lt;1.8,0.7,0.9)))</f>
        <v>0.45</v>
      </c>
      <c r="L221" s="29">
        <f>IF(Dataset!H221&lt;1,1,IF(Dataset!H221&lt;1.3,2,IF(Dataset!H221&lt;1.8,3,4)))</f>
        <v>2</v>
      </c>
      <c r="M221" s="29">
        <f t="shared" si="27"/>
        <v>0.9</v>
      </c>
      <c r="N221" s="29">
        <f>IF(Dataset!F221=1,0.75,IF(Dataset!F221=2,0.45,0.2))</f>
        <v>0.45</v>
      </c>
      <c r="O221" s="29">
        <f>IF(Dataset!F221=1,3,IF(Dataset!F221=2,2,1))</f>
        <v>2</v>
      </c>
      <c r="P221" s="29">
        <f t="shared" si="28"/>
        <v>0.9</v>
      </c>
      <c r="Q221" s="29">
        <f>IF(Dataset!K221&lt;5,0.2,IF(Dataset!K221&lt;10,0.45,IF(Dataset!K221&lt;18,0.7,0.9)))</f>
        <v>0.2</v>
      </c>
      <c r="R221" s="29">
        <f>IF(Dataset!K221&lt;5,1,IF(Dataset!K221&lt;10,2,IF(Dataset!K221&lt;18,3,4)))</f>
        <v>1</v>
      </c>
      <c r="S221" s="29">
        <f t="shared" si="29"/>
        <v>0.2</v>
      </c>
      <c r="T221" s="29">
        <f t="shared" si="30"/>
        <v>0.91800000000000004</v>
      </c>
      <c r="U221" s="29" t="str">
        <f t="shared" si="31"/>
        <v>Low</v>
      </c>
    </row>
    <row r="222" spans="1:21" ht="15" customHeight="1" x14ac:dyDescent="0.25">
      <c r="A222" s="29">
        <f>Dataset!A222</f>
        <v>218</v>
      </c>
      <c r="B222" s="29">
        <f>IF(Dataset!B222&lt;25,0.3,IF(Dataset!B222&lt;75,0.5,IF(Dataset!B222&lt;120,0.65,0.8)))</f>
        <v>0.3</v>
      </c>
      <c r="C222" s="29">
        <f>IF(Dataset!B222&lt;25,1,IF(Dataset!B222&lt;75,2,IF(Dataset!B222&lt;120,3,4)))</f>
        <v>1</v>
      </c>
      <c r="D222" s="29">
        <f t="shared" si="24"/>
        <v>0.3</v>
      </c>
      <c r="E222" s="29">
        <f>IF(Dataset!C222&lt;=1,0.3,IF(Dataset!C222=2,0.4,IF(Dataset!C222=3,0.5,IF(Dataset!C222=4,0.65,0.8))))</f>
        <v>0.3</v>
      </c>
      <c r="F222" s="29">
        <f>IF(Dataset!C222&lt;=2,1,IF(Dataset!C222=3,2,IF(Dataset!C222=4,3,4)))</f>
        <v>1</v>
      </c>
      <c r="G222" s="29">
        <f t="shared" si="25"/>
        <v>0.3</v>
      </c>
      <c r="H222" s="29">
        <f>IF(Dataset!G222&lt;=3,0.25,IF(Dataset!G222&lt;=6,0.45,IF(Dataset!G222&lt;=9,0.65,0.85)))</f>
        <v>0.45</v>
      </c>
      <c r="I222" s="29">
        <f>IF(Dataset!G222&lt;=3,1,IF(Dataset!G222&lt;=6,2,IF(Dataset!G222&lt;=9,3,4)))</f>
        <v>2</v>
      </c>
      <c r="J222" s="29">
        <f t="shared" si="26"/>
        <v>0.9</v>
      </c>
      <c r="K222" s="29">
        <f>IF(Dataset!H222&lt;1,0.2,IF(Dataset!H222&lt;1.3,0.45,IF(Dataset!H222&lt;1.8,0.7,0.9)))</f>
        <v>0.9</v>
      </c>
      <c r="L222" s="29">
        <f>IF(Dataset!H222&lt;1,1,IF(Dataset!H222&lt;1.3,2,IF(Dataset!H222&lt;1.8,3,4)))</f>
        <v>4</v>
      </c>
      <c r="M222" s="29">
        <f t="shared" si="27"/>
        <v>3.6</v>
      </c>
      <c r="N222" s="29">
        <f>IF(Dataset!F222=1,0.75,IF(Dataset!F222=2,0.45,0.2))</f>
        <v>0.45</v>
      </c>
      <c r="O222" s="29">
        <f>IF(Dataset!F222=1,3,IF(Dataset!F222=2,2,1))</f>
        <v>2</v>
      </c>
      <c r="P222" s="29">
        <f t="shared" si="28"/>
        <v>0.9</v>
      </c>
      <c r="Q222" s="29">
        <f>IF(Dataset!K222&lt;5,0.2,IF(Dataset!K222&lt;10,0.45,IF(Dataset!K222&lt;18,0.7,0.9)))</f>
        <v>0.2</v>
      </c>
      <c r="R222" s="29">
        <f>IF(Dataset!K222&lt;5,1,IF(Dataset!K222&lt;10,2,IF(Dataset!K222&lt;18,3,4)))</f>
        <v>1</v>
      </c>
      <c r="S222" s="29">
        <f t="shared" si="29"/>
        <v>0.2</v>
      </c>
      <c r="T222" s="29">
        <f t="shared" si="30"/>
        <v>1.2580000000000002</v>
      </c>
      <c r="U222" s="29" t="str">
        <f t="shared" si="31"/>
        <v>Low</v>
      </c>
    </row>
    <row r="223" spans="1:21" ht="15" customHeight="1" x14ac:dyDescent="0.25">
      <c r="A223" s="29">
        <f>Dataset!A223</f>
        <v>219</v>
      </c>
      <c r="B223" s="29">
        <f>IF(Dataset!B223&lt;25,0.3,IF(Dataset!B223&lt;75,0.5,IF(Dataset!B223&lt;120,0.65,0.8)))</f>
        <v>0.5</v>
      </c>
      <c r="C223" s="29">
        <f>IF(Dataset!B223&lt;25,1,IF(Dataset!B223&lt;75,2,IF(Dataset!B223&lt;120,3,4)))</f>
        <v>2</v>
      </c>
      <c r="D223" s="29">
        <f t="shared" si="24"/>
        <v>1</v>
      </c>
      <c r="E223" s="29">
        <f>IF(Dataset!C223&lt;=1,0.3,IF(Dataset!C223=2,0.4,IF(Dataset!C223=3,0.5,IF(Dataset!C223=4,0.65,0.8))))</f>
        <v>0.5</v>
      </c>
      <c r="F223" s="29">
        <f>IF(Dataset!C223&lt;=2,1,IF(Dataset!C223=3,2,IF(Dataset!C223=4,3,4)))</f>
        <v>2</v>
      </c>
      <c r="G223" s="29">
        <f t="shared" si="25"/>
        <v>1</v>
      </c>
      <c r="H223" s="29">
        <f>IF(Dataset!G223&lt;=3,0.25,IF(Dataset!G223&lt;=6,0.45,IF(Dataset!G223&lt;=9,0.65,0.85)))</f>
        <v>0.65</v>
      </c>
      <c r="I223" s="29">
        <f>IF(Dataset!G223&lt;=3,1,IF(Dataset!G223&lt;=6,2,IF(Dataset!G223&lt;=9,3,4)))</f>
        <v>3</v>
      </c>
      <c r="J223" s="29">
        <f t="shared" si="26"/>
        <v>1.9500000000000002</v>
      </c>
      <c r="K223" s="29">
        <f>IF(Dataset!H223&lt;1,0.2,IF(Dataset!H223&lt;1.3,0.45,IF(Dataset!H223&lt;1.8,0.7,0.9)))</f>
        <v>0.9</v>
      </c>
      <c r="L223" s="29">
        <f>IF(Dataset!H223&lt;1,1,IF(Dataset!H223&lt;1.3,2,IF(Dataset!H223&lt;1.8,3,4)))</f>
        <v>4</v>
      </c>
      <c r="M223" s="29">
        <f t="shared" si="27"/>
        <v>3.6</v>
      </c>
      <c r="N223" s="29">
        <f>IF(Dataset!F223=1,0.75,IF(Dataset!F223=2,0.45,0.2))</f>
        <v>0.45</v>
      </c>
      <c r="O223" s="29">
        <f>IF(Dataset!F223=1,3,IF(Dataset!F223=2,2,1))</f>
        <v>2</v>
      </c>
      <c r="P223" s="29">
        <f t="shared" si="28"/>
        <v>0.9</v>
      </c>
      <c r="Q223" s="29">
        <f>IF(Dataset!K223&lt;5,0.2,IF(Dataset!K223&lt;10,0.45,IF(Dataset!K223&lt;18,0.7,0.9)))</f>
        <v>0.45</v>
      </c>
      <c r="R223" s="29">
        <f>IF(Dataset!K223&lt;5,1,IF(Dataset!K223&lt;10,2,IF(Dataset!K223&lt;18,3,4)))</f>
        <v>2</v>
      </c>
      <c r="S223" s="29">
        <f t="shared" si="29"/>
        <v>0.9</v>
      </c>
      <c r="T223" s="29">
        <f t="shared" si="30"/>
        <v>1.7900000000000003</v>
      </c>
      <c r="U223" s="29" t="str">
        <f t="shared" si="31"/>
        <v>High</v>
      </c>
    </row>
    <row r="224" spans="1:21" ht="15" customHeight="1" x14ac:dyDescent="0.25">
      <c r="A224" s="29">
        <f>Dataset!A224</f>
        <v>220</v>
      </c>
      <c r="B224" s="29">
        <f>IF(Dataset!B224&lt;25,0.3,IF(Dataset!B224&lt;75,0.5,IF(Dataset!B224&lt;120,0.65,0.8)))</f>
        <v>0.8</v>
      </c>
      <c r="C224" s="29">
        <f>IF(Dataset!B224&lt;25,1,IF(Dataset!B224&lt;75,2,IF(Dataset!B224&lt;120,3,4)))</f>
        <v>4</v>
      </c>
      <c r="D224" s="29">
        <f t="shared" si="24"/>
        <v>3.2</v>
      </c>
      <c r="E224" s="29">
        <f>IF(Dataset!C224&lt;=1,0.3,IF(Dataset!C224=2,0.4,IF(Dataset!C224=3,0.5,IF(Dataset!C224=4,0.65,0.8))))</f>
        <v>0.5</v>
      </c>
      <c r="F224" s="29">
        <f>IF(Dataset!C224&lt;=2,1,IF(Dataset!C224=3,2,IF(Dataset!C224=4,3,4)))</f>
        <v>2</v>
      </c>
      <c r="G224" s="29">
        <f t="shared" si="25"/>
        <v>1</v>
      </c>
      <c r="H224" s="29">
        <f>IF(Dataset!G224&lt;=3,0.25,IF(Dataset!G224&lt;=6,0.45,IF(Dataset!G224&lt;=9,0.65,0.85)))</f>
        <v>0.45</v>
      </c>
      <c r="I224" s="29">
        <f>IF(Dataset!G224&lt;=3,1,IF(Dataset!G224&lt;=6,2,IF(Dataset!G224&lt;=9,3,4)))</f>
        <v>2</v>
      </c>
      <c r="J224" s="29">
        <f t="shared" si="26"/>
        <v>0.9</v>
      </c>
      <c r="K224" s="29">
        <f>IF(Dataset!H224&lt;1,0.2,IF(Dataset!H224&lt;1.3,0.45,IF(Dataset!H224&lt;1.8,0.7,0.9)))</f>
        <v>0.7</v>
      </c>
      <c r="L224" s="29">
        <f>IF(Dataset!H224&lt;1,1,IF(Dataset!H224&lt;1.3,2,IF(Dataset!H224&lt;1.8,3,4)))</f>
        <v>3</v>
      </c>
      <c r="M224" s="29">
        <f t="shared" si="27"/>
        <v>2.0999999999999996</v>
      </c>
      <c r="N224" s="29">
        <f>IF(Dataset!F224=1,0.75,IF(Dataset!F224=2,0.45,0.2))</f>
        <v>0.45</v>
      </c>
      <c r="O224" s="29">
        <f>IF(Dataset!F224=1,3,IF(Dataset!F224=2,2,1))</f>
        <v>2</v>
      </c>
      <c r="P224" s="29">
        <f t="shared" si="28"/>
        <v>0.9</v>
      </c>
      <c r="Q224" s="29">
        <f>IF(Dataset!K224&lt;5,0.2,IF(Dataset!K224&lt;10,0.45,IF(Dataset!K224&lt;18,0.7,0.9)))</f>
        <v>0.2</v>
      </c>
      <c r="R224" s="29">
        <f>IF(Dataset!K224&lt;5,1,IF(Dataset!K224&lt;10,2,IF(Dataset!K224&lt;18,3,4)))</f>
        <v>1</v>
      </c>
      <c r="S224" s="29">
        <f t="shared" si="29"/>
        <v>0.2</v>
      </c>
      <c r="T224" s="29">
        <f t="shared" si="30"/>
        <v>1.518</v>
      </c>
      <c r="U224" s="29" t="str">
        <f t="shared" si="31"/>
        <v>Medium</v>
      </c>
    </row>
    <row r="225" spans="1:21" ht="15" customHeight="1" x14ac:dyDescent="0.25">
      <c r="A225" s="29">
        <f>Dataset!A225</f>
        <v>221</v>
      </c>
      <c r="B225" s="29">
        <f>IF(Dataset!B225&lt;25,0.3,IF(Dataset!B225&lt;75,0.5,IF(Dataset!B225&lt;120,0.65,0.8)))</f>
        <v>0.5</v>
      </c>
      <c r="C225" s="29">
        <f>IF(Dataset!B225&lt;25,1,IF(Dataset!B225&lt;75,2,IF(Dataset!B225&lt;120,3,4)))</f>
        <v>2</v>
      </c>
      <c r="D225" s="29">
        <f t="shared" si="24"/>
        <v>1</v>
      </c>
      <c r="E225" s="29">
        <f>IF(Dataset!C225&lt;=1,0.3,IF(Dataset!C225=2,0.4,IF(Dataset!C225=3,0.5,IF(Dataset!C225=4,0.65,0.8))))</f>
        <v>0.5</v>
      </c>
      <c r="F225" s="29">
        <f>IF(Dataset!C225&lt;=2,1,IF(Dataset!C225=3,2,IF(Dataset!C225=4,3,4)))</f>
        <v>2</v>
      </c>
      <c r="G225" s="29">
        <f t="shared" si="25"/>
        <v>1</v>
      </c>
      <c r="H225" s="29">
        <f>IF(Dataset!G225&lt;=3,0.25,IF(Dataset!G225&lt;=6,0.45,IF(Dataset!G225&lt;=9,0.65,0.85)))</f>
        <v>0.45</v>
      </c>
      <c r="I225" s="29">
        <f>IF(Dataset!G225&lt;=3,1,IF(Dataset!G225&lt;=6,2,IF(Dataset!G225&lt;=9,3,4)))</f>
        <v>2</v>
      </c>
      <c r="J225" s="29">
        <f t="shared" si="26"/>
        <v>0.9</v>
      </c>
      <c r="K225" s="29">
        <f>IF(Dataset!H225&lt;1,0.2,IF(Dataset!H225&lt;1.3,0.45,IF(Dataset!H225&lt;1.8,0.7,0.9)))</f>
        <v>0.2</v>
      </c>
      <c r="L225" s="29">
        <f>IF(Dataset!H225&lt;1,1,IF(Dataset!H225&lt;1.3,2,IF(Dataset!H225&lt;1.8,3,4)))</f>
        <v>1</v>
      </c>
      <c r="M225" s="29">
        <f t="shared" si="27"/>
        <v>0.2</v>
      </c>
      <c r="N225" s="29">
        <f>IF(Dataset!F225=1,0.75,IF(Dataset!F225=2,0.45,0.2))</f>
        <v>0.2</v>
      </c>
      <c r="O225" s="29">
        <f>IF(Dataset!F225=1,3,IF(Dataset!F225=2,2,1))</f>
        <v>1</v>
      </c>
      <c r="P225" s="29">
        <f t="shared" si="28"/>
        <v>0.2</v>
      </c>
      <c r="Q225" s="29">
        <f>IF(Dataset!K225&lt;5,0.2,IF(Dataset!K225&lt;10,0.45,IF(Dataset!K225&lt;18,0.7,0.9)))</f>
        <v>0.45</v>
      </c>
      <c r="R225" s="29">
        <f>IF(Dataset!K225&lt;5,1,IF(Dataset!K225&lt;10,2,IF(Dataset!K225&lt;18,3,4)))</f>
        <v>2</v>
      </c>
      <c r="S225" s="29">
        <f t="shared" si="29"/>
        <v>0.9</v>
      </c>
      <c r="T225" s="29">
        <f t="shared" si="30"/>
        <v>0.69400000000000006</v>
      </c>
      <c r="U225" s="29" t="str">
        <f t="shared" si="31"/>
        <v>Low</v>
      </c>
    </row>
    <row r="226" spans="1:21" ht="15" customHeight="1" x14ac:dyDescent="0.25">
      <c r="A226" s="29">
        <f>Dataset!A226</f>
        <v>222</v>
      </c>
      <c r="B226" s="29">
        <f>IF(Dataset!B226&lt;25,0.3,IF(Dataset!B226&lt;75,0.5,IF(Dataset!B226&lt;120,0.65,0.8)))</f>
        <v>0.5</v>
      </c>
      <c r="C226" s="29">
        <f>IF(Dataset!B226&lt;25,1,IF(Dataset!B226&lt;75,2,IF(Dataset!B226&lt;120,3,4)))</f>
        <v>2</v>
      </c>
      <c r="D226" s="29">
        <f t="shared" si="24"/>
        <v>1</v>
      </c>
      <c r="E226" s="29">
        <f>IF(Dataset!C226&lt;=1,0.3,IF(Dataset!C226=2,0.4,IF(Dataset!C226=3,0.5,IF(Dataset!C226=4,0.65,0.8))))</f>
        <v>0.5</v>
      </c>
      <c r="F226" s="29">
        <f>IF(Dataset!C226&lt;=2,1,IF(Dataset!C226=3,2,IF(Dataset!C226=4,3,4)))</f>
        <v>2</v>
      </c>
      <c r="G226" s="29">
        <f t="shared" si="25"/>
        <v>1</v>
      </c>
      <c r="H226" s="29">
        <f>IF(Dataset!G226&lt;=3,0.25,IF(Dataset!G226&lt;=6,0.45,IF(Dataset!G226&lt;=9,0.65,0.85)))</f>
        <v>0.25</v>
      </c>
      <c r="I226" s="29">
        <f>IF(Dataset!G226&lt;=3,1,IF(Dataset!G226&lt;=6,2,IF(Dataset!G226&lt;=9,3,4)))</f>
        <v>1</v>
      </c>
      <c r="J226" s="29">
        <f t="shared" si="26"/>
        <v>0.25</v>
      </c>
      <c r="K226" s="29">
        <f>IF(Dataset!H226&lt;1,0.2,IF(Dataset!H226&lt;1.3,0.45,IF(Dataset!H226&lt;1.8,0.7,0.9)))</f>
        <v>0.7</v>
      </c>
      <c r="L226" s="29">
        <f>IF(Dataset!H226&lt;1,1,IF(Dataset!H226&lt;1.3,2,IF(Dataset!H226&lt;1.8,3,4)))</f>
        <v>3</v>
      </c>
      <c r="M226" s="29">
        <f t="shared" si="27"/>
        <v>2.0999999999999996</v>
      </c>
      <c r="N226" s="29">
        <f>IF(Dataset!F226=1,0.75,IF(Dataset!F226=2,0.45,0.2))</f>
        <v>0.45</v>
      </c>
      <c r="O226" s="29">
        <f>IF(Dataset!F226=1,3,IF(Dataset!F226=2,2,1))</f>
        <v>2</v>
      </c>
      <c r="P226" s="29">
        <f t="shared" si="28"/>
        <v>0.9</v>
      </c>
      <c r="Q226" s="29">
        <f>IF(Dataset!K226&lt;5,0.2,IF(Dataset!K226&lt;10,0.45,IF(Dataset!K226&lt;18,0.7,0.9)))</f>
        <v>0.45</v>
      </c>
      <c r="R226" s="29">
        <f>IF(Dataset!K226&lt;5,1,IF(Dataset!K226&lt;10,2,IF(Dataset!K226&lt;18,3,4)))</f>
        <v>2</v>
      </c>
      <c r="S226" s="29">
        <f t="shared" si="29"/>
        <v>0.9</v>
      </c>
      <c r="T226" s="29">
        <f t="shared" si="30"/>
        <v>1.0899999999999999</v>
      </c>
      <c r="U226" s="29" t="str">
        <f t="shared" si="31"/>
        <v>Low</v>
      </c>
    </row>
    <row r="227" spans="1:21" ht="15" customHeight="1" x14ac:dyDescent="0.25">
      <c r="A227" s="29">
        <f>Dataset!A227</f>
        <v>223</v>
      </c>
      <c r="B227" s="29">
        <f>IF(Dataset!B227&lt;25,0.3,IF(Dataset!B227&lt;75,0.5,IF(Dataset!B227&lt;120,0.65,0.8)))</f>
        <v>0.5</v>
      </c>
      <c r="C227" s="29">
        <f>IF(Dataset!B227&lt;25,1,IF(Dataset!B227&lt;75,2,IF(Dataset!B227&lt;120,3,4)))</f>
        <v>2</v>
      </c>
      <c r="D227" s="29">
        <f t="shared" si="24"/>
        <v>1</v>
      </c>
      <c r="E227" s="29">
        <f>IF(Dataset!C227&lt;=1,0.3,IF(Dataset!C227=2,0.4,IF(Dataset!C227=3,0.5,IF(Dataset!C227=4,0.65,0.8))))</f>
        <v>0.8</v>
      </c>
      <c r="F227" s="29">
        <f>IF(Dataset!C227&lt;=2,1,IF(Dataset!C227=3,2,IF(Dataset!C227=4,3,4)))</f>
        <v>4</v>
      </c>
      <c r="G227" s="29">
        <f t="shared" si="25"/>
        <v>3.2</v>
      </c>
      <c r="H227" s="29">
        <f>IF(Dataset!G227&lt;=3,0.25,IF(Dataset!G227&lt;=6,0.45,IF(Dataset!G227&lt;=9,0.65,0.85)))</f>
        <v>0.85</v>
      </c>
      <c r="I227" s="29">
        <f>IF(Dataset!G227&lt;=3,1,IF(Dataset!G227&lt;=6,2,IF(Dataset!G227&lt;=9,3,4)))</f>
        <v>4</v>
      </c>
      <c r="J227" s="29">
        <f t="shared" si="26"/>
        <v>3.4</v>
      </c>
      <c r="K227" s="29">
        <f>IF(Dataset!H227&lt;1,0.2,IF(Dataset!H227&lt;1.3,0.45,IF(Dataset!H227&lt;1.8,0.7,0.9)))</f>
        <v>0.9</v>
      </c>
      <c r="L227" s="29">
        <f>IF(Dataset!H227&lt;1,1,IF(Dataset!H227&lt;1.3,2,IF(Dataset!H227&lt;1.8,3,4)))</f>
        <v>4</v>
      </c>
      <c r="M227" s="29">
        <f t="shared" si="27"/>
        <v>3.6</v>
      </c>
      <c r="N227" s="29">
        <f>IF(Dataset!F227=1,0.75,IF(Dataset!F227=2,0.45,0.2))</f>
        <v>0.75</v>
      </c>
      <c r="O227" s="29">
        <f>IF(Dataset!F227=1,3,IF(Dataset!F227=2,2,1))</f>
        <v>3</v>
      </c>
      <c r="P227" s="29">
        <f t="shared" si="28"/>
        <v>2.25</v>
      </c>
      <c r="Q227" s="29">
        <f>IF(Dataset!K227&lt;5,0.2,IF(Dataset!K227&lt;10,0.45,IF(Dataset!K227&lt;18,0.7,0.9)))</f>
        <v>0.9</v>
      </c>
      <c r="R227" s="29">
        <f>IF(Dataset!K227&lt;5,1,IF(Dataset!K227&lt;10,2,IF(Dataset!K227&lt;18,3,4)))</f>
        <v>4</v>
      </c>
      <c r="S227" s="29">
        <f t="shared" si="29"/>
        <v>3.6</v>
      </c>
      <c r="T227" s="29">
        <f t="shared" si="30"/>
        <v>2.9010000000000002</v>
      </c>
      <c r="U227" s="29" t="str">
        <f t="shared" si="31"/>
        <v>High</v>
      </c>
    </row>
    <row r="228" spans="1:21" ht="15" customHeight="1" x14ac:dyDescent="0.25">
      <c r="A228" s="29">
        <f>Dataset!A228</f>
        <v>224</v>
      </c>
      <c r="B228" s="29">
        <f>IF(Dataset!B228&lt;25,0.3,IF(Dataset!B228&lt;75,0.5,IF(Dataset!B228&lt;120,0.65,0.8)))</f>
        <v>0.65</v>
      </c>
      <c r="C228" s="29">
        <f>IF(Dataset!B228&lt;25,1,IF(Dataset!B228&lt;75,2,IF(Dataset!B228&lt;120,3,4)))</f>
        <v>3</v>
      </c>
      <c r="D228" s="29">
        <f t="shared" si="24"/>
        <v>1.9500000000000002</v>
      </c>
      <c r="E228" s="29">
        <f>IF(Dataset!C228&lt;=1,0.3,IF(Dataset!C228=2,0.4,IF(Dataset!C228=3,0.5,IF(Dataset!C228=4,0.65,0.8))))</f>
        <v>0.5</v>
      </c>
      <c r="F228" s="29">
        <f>IF(Dataset!C228&lt;=2,1,IF(Dataset!C228=3,2,IF(Dataset!C228=4,3,4)))</f>
        <v>2</v>
      </c>
      <c r="G228" s="29">
        <f t="shared" si="25"/>
        <v>1</v>
      </c>
      <c r="H228" s="29">
        <f>IF(Dataset!G228&lt;=3,0.25,IF(Dataset!G228&lt;=6,0.45,IF(Dataset!G228&lt;=9,0.65,0.85)))</f>
        <v>0.45</v>
      </c>
      <c r="I228" s="29">
        <f>IF(Dataset!G228&lt;=3,1,IF(Dataset!G228&lt;=6,2,IF(Dataset!G228&lt;=9,3,4)))</f>
        <v>2</v>
      </c>
      <c r="J228" s="29">
        <f t="shared" si="26"/>
        <v>0.9</v>
      </c>
      <c r="K228" s="29">
        <f>IF(Dataset!H228&lt;1,0.2,IF(Dataset!H228&lt;1.3,0.45,IF(Dataset!H228&lt;1.8,0.7,0.9)))</f>
        <v>0.2</v>
      </c>
      <c r="L228" s="29">
        <f>IF(Dataset!H228&lt;1,1,IF(Dataset!H228&lt;1.3,2,IF(Dataset!H228&lt;1.8,3,4)))</f>
        <v>1</v>
      </c>
      <c r="M228" s="29">
        <f t="shared" si="27"/>
        <v>0.2</v>
      </c>
      <c r="N228" s="29">
        <f>IF(Dataset!F228=1,0.75,IF(Dataset!F228=2,0.45,0.2))</f>
        <v>0.45</v>
      </c>
      <c r="O228" s="29">
        <f>IF(Dataset!F228=1,3,IF(Dataset!F228=2,2,1))</f>
        <v>2</v>
      </c>
      <c r="P228" s="29">
        <f t="shared" si="28"/>
        <v>0.9</v>
      </c>
      <c r="Q228" s="29">
        <f>IF(Dataset!K228&lt;5,0.2,IF(Dataset!K228&lt;10,0.45,IF(Dataset!K228&lt;18,0.7,0.9)))</f>
        <v>0.45</v>
      </c>
      <c r="R228" s="29">
        <f>IF(Dataset!K228&lt;5,1,IF(Dataset!K228&lt;10,2,IF(Dataset!K228&lt;18,3,4)))</f>
        <v>2</v>
      </c>
      <c r="S228" s="29">
        <f t="shared" si="29"/>
        <v>0.9</v>
      </c>
      <c r="T228" s="29">
        <f t="shared" si="30"/>
        <v>0.93500000000000005</v>
      </c>
      <c r="U228" s="29" t="str">
        <f t="shared" si="31"/>
        <v>Low</v>
      </c>
    </row>
    <row r="229" spans="1:21" ht="15" customHeight="1" x14ac:dyDescent="0.25">
      <c r="A229" s="29">
        <f>Dataset!A229</f>
        <v>225</v>
      </c>
      <c r="B229" s="29">
        <f>IF(Dataset!B229&lt;25,0.3,IF(Dataset!B229&lt;75,0.5,IF(Dataset!B229&lt;120,0.65,0.8)))</f>
        <v>0.5</v>
      </c>
      <c r="C229" s="29">
        <f>IF(Dataset!B229&lt;25,1,IF(Dataset!B229&lt;75,2,IF(Dataset!B229&lt;120,3,4)))</f>
        <v>2</v>
      </c>
      <c r="D229" s="29">
        <f t="shared" si="24"/>
        <v>1</v>
      </c>
      <c r="E229" s="29">
        <f>IF(Dataset!C229&lt;=1,0.3,IF(Dataset!C229=2,0.4,IF(Dataset!C229=3,0.5,IF(Dataset!C229=4,0.65,0.8))))</f>
        <v>0.5</v>
      </c>
      <c r="F229" s="29">
        <f>IF(Dataset!C229&lt;=2,1,IF(Dataset!C229=3,2,IF(Dataset!C229=4,3,4)))</f>
        <v>2</v>
      </c>
      <c r="G229" s="29">
        <f t="shared" si="25"/>
        <v>1</v>
      </c>
      <c r="H229" s="29">
        <f>IF(Dataset!G229&lt;=3,0.25,IF(Dataset!G229&lt;=6,0.45,IF(Dataset!G229&lt;=9,0.65,0.85)))</f>
        <v>0.45</v>
      </c>
      <c r="I229" s="29">
        <f>IF(Dataset!G229&lt;=3,1,IF(Dataset!G229&lt;=6,2,IF(Dataset!G229&lt;=9,3,4)))</f>
        <v>2</v>
      </c>
      <c r="J229" s="29">
        <f t="shared" si="26"/>
        <v>0.9</v>
      </c>
      <c r="K229" s="29">
        <f>IF(Dataset!H229&lt;1,0.2,IF(Dataset!H229&lt;1.3,0.45,IF(Dataset!H229&lt;1.8,0.7,0.9)))</f>
        <v>0.2</v>
      </c>
      <c r="L229" s="29">
        <f>IF(Dataset!H229&lt;1,1,IF(Dataset!H229&lt;1.3,2,IF(Dataset!H229&lt;1.8,3,4)))</f>
        <v>1</v>
      </c>
      <c r="M229" s="29">
        <f t="shared" si="27"/>
        <v>0.2</v>
      </c>
      <c r="N229" s="29">
        <f>IF(Dataset!F229=1,0.75,IF(Dataset!F229=2,0.45,0.2))</f>
        <v>0.45</v>
      </c>
      <c r="O229" s="29">
        <f>IF(Dataset!F229=1,3,IF(Dataset!F229=2,2,1))</f>
        <v>2</v>
      </c>
      <c r="P229" s="29">
        <f t="shared" si="28"/>
        <v>0.9</v>
      </c>
      <c r="Q229" s="29">
        <f>IF(Dataset!K229&lt;5,0.2,IF(Dataset!K229&lt;10,0.45,IF(Dataset!K229&lt;18,0.7,0.9)))</f>
        <v>0.45</v>
      </c>
      <c r="R229" s="29">
        <f>IF(Dataset!K229&lt;5,1,IF(Dataset!K229&lt;10,2,IF(Dataset!K229&lt;18,3,4)))</f>
        <v>2</v>
      </c>
      <c r="S229" s="29">
        <f t="shared" si="29"/>
        <v>0.9</v>
      </c>
      <c r="T229" s="29">
        <f t="shared" si="30"/>
        <v>0.76400000000000001</v>
      </c>
      <c r="U229" s="29" t="str">
        <f t="shared" si="31"/>
        <v>Low</v>
      </c>
    </row>
    <row r="230" spans="1:21" ht="15" customHeight="1" x14ac:dyDescent="0.25">
      <c r="A230" s="29">
        <f>Dataset!A230</f>
        <v>226</v>
      </c>
      <c r="B230" s="29">
        <f>IF(Dataset!B230&lt;25,0.3,IF(Dataset!B230&lt;75,0.5,IF(Dataset!B230&lt;120,0.65,0.8)))</f>
        <v>0.8</v>
      </c>
      <c r="C230" s="29">
        <f>IF(Dataset!B230&lt;25,1,IF(Dataset!B230&lt;75,2,IF(Dataset!B230&lt;120,3,4)))</f>
        <v>4</v>
      </c>
      <c r="D230" s="29">
        <f t="shared" si="24"/>
        <v>3.2</v>
      </c>
      <c r="E230" s="29">
        <f>IF(Dataset!C230&lt;=1,0.3,IF(Dataset!C230=2,0.4,IF(Dataset!C230=3,0.5,IF(Dataset!C230=4,0.65,0.8))))</f>
        <v>0.5</v>
      </c>
      <c r="F230" s="29">
        <f>IF(Dataset!C230&lt;=2,1,IF(Dataset!C230=3,2,IF(Dataset!C230=4,3,4)))</f>
        <v>2</v>
      </c>
      <c r="G230" s="29">
        <f t="shared" si="25"/>
        <v>1</v>
      </c>
      <c r="H230" s="29">
        <f>IF(Dataset!G230&lt;=3,0.25,IF(Dataset!G230&lt;=6,0.45,IF(Dataset!G230&lt;=9,0.65,0.85)))</f>
        <v>0.65</v>
      </c>
      <c r="I230" s="29">
        <f>IF(Dataset!G230&lt;=3,1,IF(Dataset!G230&lt;=6,2,IF(Dataset!G230&lt;=9,3,4)))</f>
        <v>3</v>
      </c>
      <c r="J230" s="29">
        <f t="shared" si="26"/>
        <v>1.9500000000000002</v>
      </c>
      <c r="K230" s="29">
        <f>IF(Dataset!H230&lt;1,0.2,IF(Dataset!H230&lt;1.3,0.45,IF(Dataset!H230&lt;1.8,0.7,0.9)))</f>
        <v>0.7</v>
      </c>
      <c r="L230" s="29">
        <f>IF(Dataset!H230&lt;1,1,IF(Dataset!H230&lt;1.3,2,IF(Dataset!H230&lt;1.8,3,4)))</f>
        <v>3</v>
      </c>
      <c r="M230" s="29">
        <f t="shared" si="27"/>
        <v>2.0999999999999996</v>
      </c>
      <c r="N230" s="29">
        <f>IF(Dataset!F230=1,0.75,IF(Dataset!F230=2,0.45,0.2))</f>
        <v>0.45</v>
      </c>
      <c r="O230" s="29">
        <f>IF(Dataset!F230=1,3,IF(Dataset!F230=2,2,1))</f>
        <v>2</v>
      </c>
      <c r="P230" s="29">
        <f t="shared" si="28"/>
        <v>0.9</v>
      </c>
      <c r="Q230" s="29">
        <f>IF(Dataset!K230&lt;5,0.2,IF(Dataset!K230&lt;10,0.45,IF(Dataset!K230&lt;18,0.7,0.9)))</f>
        <v>0.2</v>
      </c>
      <c r="R230" s="29">
        <f>IF(Dataset!K230&lt;5,1,IF(Dataset!K230&lt;10,2,IF(Dataset!K230&lt;18,3,4)))</f>
        <v>1</v>
      </c>
      <c r="S230" s="29">
        <f t="shared" si="29"/>
        <v>0.2</v>
      </c>
      <c r="T230" s="29">
        <f t="shared" si="30"/>
        <v>1.728</v>
      </c>
      <c r="U230" s="29" t="str">
        <f t="shared" si="31"/>
        <v>Medium</v>
      </c>
    </row>
    <row r="231" spans="1:21" ht="15" customHeight="1" x14ac:dyDescent="0.25">
      <c r="A231" s="29">
        <f>Dataset!A231</f>
        <v>227</v>
      </c>
      <c r="B231" s="29">
        <f>IF(Dataset!B231&lt;25,0.3,IF(Dataset!B231&lt;75,0.5,IF(Dataset!B231&lt;120,0.65,0.8)))</f>
        <v>0.8</v>
      </c>
      <c r="C231" s="29">
        <f>IF(Dataset!B231&lt;25,1,IF(Dataset!B231&lt;75,2,IF(Dataset!B231&lt;120,3,4)))</f>
        <v>4</v>
      </c>
      <c r="D231" s="29">
        <f t="shared" si="24"/>
        <v>3.2</v>
      </c>
      <c r="E231" s="29">
        <f>IF(Dataset!C231&lt;=1,0.3,IF(Dataset!C231=2,0.4,IF(Dataset!C231=3,0.5,IF(Dataset!C231=4,0.65,0.8))))</f>
        <v>0.65</v>
      </c>
      <c r="F231" s="29">
        <f>IF(Dataset!C231&lt;=2,1,IF(Dataset!C231=3,2,IF(Dataset!C231=4,3,4)))</f>
        <v>3</v>
      </c>
      <c r="G231" s="29">
        <f t="shared" si="25"/>
        <v>1.9500000000000002</v>
      </c>
      <c r="H231" s="29">
        <f>IF(Dataset!G231&lt;=3,0.25,IF(Dataset!G231&lt;=6,0.45,IF(Dataset!G231&lt;=9,0.65,0.85)))</f>
        <v>0.65</v>
      </c>
      <c r="I231" s="29">
        <f>IF(Dataset!G231&lt;=3,1,IF(Dataset!G231&lt;=6,2,IF(Dataset!G231&lt;=9,3,4)))</f>
        <v>3</v>
      </c>
      <c r="J231" s="29">
        <f t="shared" si="26"/>
        <v>1.9500000000000002</v>
      </c>
      <c r="K231" s="29">
        <f>IF(Dataset!H231&lt;1,0.2,IF(Dataset!H231&lt;1.3,0.45,IF(Dataset!H231&lt;1.8,0.7,0.9)))</f>
        <v>0.9</v>
      </c>
      <c r="L231" s="29">
        <f>IF(Dataset!H231&lt;1,1,IF(Dataset!H231&lt;1.3,2,IF(Dataset!H231&lt;1.8,3,4)))</f>
        <v>4</v>
      </c>
      <c r="M231" s="29">
        <f t="shared" si="27"/>
        <v>3.6</v>
      </c>
      <c r="N231" s="29">
        <f>IF(Dataset!F231=1,0.75,IF(Dataset!F231=2,0.45,0.2))</f>
        <v>0.2</v>
      </c>
      <c r="O231" s="29">
        <f>IF(Dataset!F231=1,3,IF(Dataset!F231=2,2,1))</f>
        <v>1</v>
      </c>
      <c r="P231" s="29">
        <f t="shared" si="28"/>
        <v>0.2</v>
      </c>
      <c r="Q231" s="29">
        <f>IF(Dataset!K231&lt;5,0.2,IF(Dataset!K231&lt;10,0.45,IF(Dataset!K231&lt;18,0.7,0.9)))</f>
        <v>0.45</v>
      </c>
      <c r="R231" s="29">
        <f>IF(Dataset!K231&lt;5,1,IF(Dataset!K231&lt;10,2,IF(Dataset!K231&lt;18,3,4)))</f>
        <v>2</v>
      </c>
      <c r="S231" s="29">
        <f t="shared" si="29"/>
        <v>0.9</v>
      </c>
      <c r="T231" s="29">
        <f t="shared" si="30"/>
        <v>2.2490000000000001</v>
      </c>
      <c r="U231" s="29" t="str">
        <f t="shared" si="31"/>
        <v>High</v>
      </c>
    </row>
    <row r="232" spans="1:21" ht="15" customHeight="1" x14ac:dyDescent="0.25">
      <c r="A232" s="29">
        <f>Dataset!A232</f>
        <v>228</v>
      </c>
      <c r="B232" s="29">
        <f>IF(Dataset!B232&lt;25,0.3,IF(Dataset!B232&lt;75,0.5,IF(Dataset!B232&lt;120,0.65,0.8)))</f>
        <v>0.5</v>
      </c>
      <c r="C232" s="29">
        <f>IF(Dataset!B232&lt;25,1,IF(Dataset!B232&lt;75,2,IF(Dataset!B232&lt;120,3,4)))</f>
        <v>2</v>
      </c>
      <c r="D232" s="29">
        <f t="shared" si="24"/>
        <v>1</v>
      </c>
      <c r="E232" s="29">
        <f>IF(Dataset!C232&lt;=1,0.3,IF(Dataset!C232=2,0.4,IF(Dataset!C232=3,0.5,IF(Dataset!C232=4,0.65,0.8))))</f>
        <v>0.4</v>
      </c>
      <c r="F232" s="29">
        <f>IF(Dataset!C232&lt;=2,1,IF(Dataset!C232=3,2,IF(Dataset!C232=4,3,4)))</f>
        <v>1</v>
      </c>
      <c r="G232" s="29">
        <f t="shared" si="25"/>
        <v>0.4</v>
      </c>
      <c r="H232" s="29">
        <f>IF(Dataset!G232&lt;=3,0.25,IF(Dataset!G232&lt;=6,0.45,IF(Dataset!G232&lt;=9,0.65,0.85)))</f>
        <v>0.25</v>
      </c>
      <c r="I232" s="29">
        <f>IF(Dataset!G232&lt;=3,1,IF(Dataset!G232&lt;=6,2,IF(Dataset!G232&lt;=9,3,4)))</f>
        <v>1</v>
      </c>
      <c r="J232" s="29">
        <f t="shared" si="26"/>
        <v>0.25</v>
      </c>
      <c r="K232" s="29">
        <f>IF(Dataset!H232&lt;1,0.2,IF(Dataset!H232&lt;1.3,0.45,IF(Dataset!H232&lt;1.8,0.7,0.9)))</f>
        <v>0.9</v>
      </c>
      <c r="L232" s="29">
        <f>IF(Dataset!H232&lt;1,1,IF(Dataset!H232&lt;1.3,2,IF(Dataset!H232&lt;1.8,3,4)))</f>
        <v>4</v>
      </c>
      <c r="M232" s="29">
        <f t="shared" si="27"/>
        <v>3.6</v>
      </c>
      <c r="N232" s="29">
        <f>IF(Dataset!F232=1,0.75,IF(Dataset!F232=2,0.45,0.2))</f>
        <v>0.45</v>
      </c>
      <c r="O232" s="29">
        <f>IF(Dataset!F232=1,3,IF(Dataset!F232=2,2,1))</f>
        <v>2</v>
      </c>
      <c r="P232" s="29">
        <f t="shared" si="28"/>
        <v>0.9</v>
      </c>
      <c r="Q232" s="29">
        <f>IF(Dataset!K232&lt;5,0.2,IF(Dataset!K232&lt;10,0.45,IF(Dataset!K232&lt;18,0.7,0.9)))</f>
        <v>0.2</v>
      </c>
      <c r="R232" s="29">
        <f>IF(Dataset!K232&lt;5,1,IF(Dataset!K232&lt;10,2,IF(Dataset!K232&lt;18,3,4)))</f>
        <v>1</v>
      </c>
      <c r="S232" s="29">
        <f t="shared" si="29"/>
        <v>0.2</v>
      </c>
      <c r="T232" s="29">
        <f t="shared" si="30"/>
        <v>1.268</v>
      </c>
      <c r="U232" s="29" t="str">
        <f t="shared" si="31"/>
        <v>Low</v>
      </c>
    </row>
    <row r="233" spans="1:21" ht="15" customHeight="1" x14ac:dyDescent="0.25">
      <c r="A233" s="29">
        <f>Dataset!A233</f>
        <v>229</v>
      </c>
      <c r="B233" s="29">
        <f>IF(Dataset!B233&lt;25,0.3,IF(Dataset!B233&lt;75,0.5,IF(Dataset!B233&lt;120,0.65,0.8)))</f>
        <v>0.8</v>
      </c>
      <c r="C233" s="29">
        <f>IF(Dataset!B233&lt;25,1,IF(Dataset!B233&lt;75,2,IF(Dataset!B233&lt;120,3,4)))</f>
        <v>4</v>
      </c>
      <c r="D233" s="29">
        <f t="shared" si="24"/>
        <v>3.2</v>
      </c>
      <c r="E233" s="29">
        <f>IF(Dataset!C233&lt;=1,0.3,IF(Dataset!C233=2,0.4,IF(Dataset!C233=3,0.5,IF(Dataset!C233=4,0.65,0.8))))</f>
        <v>0.4</v>
      </c>
      <c r="F233" s="29">
        <f>IF(Dataset!C233&lt;=2,1,IF(Dataset!C233=3,2,IF(Dataset!C233=4,3,4)))</f>
        <v>1</v>
      </c>
      <c r="G233" s="29">
        <f t="shared" si="25"/>
        <v>0.4</v>
      </c>
      <c r="H233" s="29">
        <f>IF(Dataset!G233&lt;=3,0.25,IF(Dataset!G233&lt;=6,0.45,IF(Dataset!G233&lt;=9,0.65,0.85)))</f>
        <v>0.45</v>
      </c>
      <c r="I233" s="29">
        <f>IF(Dataset!G233&lt;=3,1,IF(Dataset!G233&lt;=6,2,IF(Dataset!G233&lt;=9,3,4)))</f>
        <v>2</v>
      </c>
      <c r="J233" s="29">
        <f t="shared" si="26"/>
        <v>0.9</v>
      </c>
      <c r="K233" s="29">
        <f>IF(Dataset!H233&lt;1,0.2,IF(Dataset!H233&lt;1.3,0.45,IF(Dataset!H233&lt;1.8,0.7,0.9)))</f>
        <v>0.7</v>
      </c>
      <c r="L233" s="29">
        <f>IF(Dataset!H233&lt;1,1,IF(Dataset!H233&lt;1.3,2,IF(Dataset!H233&lt;1.8,3,4)))</f>
        <v>3</v>
      </c>
      <c r="M233" s="29">
        <f t="shared" si="27"/>
        <v>2.0999999999999996</v>
      </c>
      <c r="N233" s="29">
        <f>IF(Dataset!F233=1,0.75,IF(Dataset!F233=2,0.45,0.2))</f>
        <v>0.75</v>
      </c>
      <c r="O233" s="29">
        <f>IF(Dataset!F233=1,3,IF(Dataset!F233=2,2,1))</f>
        <v>3</v>
      </c>
      <c r="P233" s="29">
        <f t="shared" si="28"/>
        <v>2.25</v>
      </c>
      <c r="Q233" s="29">
        <f>IF(Dataset!K233&lt;5,0.2,IF(Dataset!K233&lt;10,0.45,IF(Dataset!K233&lt;18,0.7,0.9)))</f>
        <v>0.45</v>
      </c>
      <c r="R233" s="29">
        <f>IF(Dataset!K233&lt;5,1,IF(Dataset!K233&lt;10,2,IF(Dataset!K233&lt;18,3,4)))</f>
        <v>2</v>
      </c>
      <c r="S233" s="29">
        <f t="shared" si="29"/>
        <v>0.9</v>
      </c>
      <c r="T233" s="29">
        <f t="shared" si="30"/>
        <v>1.667</v>
      </c>
      <c r="U233" s="29" t="str">
        <f t="shared" si="31"/>
        <v>Medium</v>
      </c>
    </row>
    <row r="234" spans="1:21" ht="15" customHeight="1" x14ac:dyDescent="0.25">
      <c r="A234" s="29">
        <f>Dataset!A234</f>
        <v>230</v>
      </c>
      <c r="B234" s="29">
        <f>IF(Dataset!B234&lt;25,0.3,IF(Dataset!B234&lt;75,0.5,IF(Dataset!B234&lt;120,0.65,0.8)))</f>
        <v>0.5</v>
      </c>
      <c r="C234" s="29">
        <f>IF(Dataset!B234&lt;25,1,IF(Dataset!B234&lt;75,2,IF(Dataset!B234&lt;120,3,4)))</f>
        <v>2</v>
      </c>
      <c r="D234" s="29">
        <f t="shared" si="24"/>
        <v>1</v>
      </c>
      <c r="E234" s="29">
        <f>IF(Dataset!C234&lt;=1,0.3,IF(Dataset!C234=2,0.4,IF(Dataset!C234=3,0.5,IF(Dataset!C234=4,0.65,0.8))))</f>
        <v>0.5</v>
      </c>
      <c r="F234" s="29">
        <f>IF(Dataset!C234&lt;=2,1,IF(Dataset!C234=3,2,IF(Dataset!C234=4,3,4)))</f>
        <v>2</v>
      </c>
      <c r="G234" s="29">
        <f t="shared" si="25"/>
        <v>1</v>
      </c>
      <c r="H234" s="29">
        <f>IF(Dataset!G234&lt;=3,0.25,IF(Dataset!G234&lt;=6,0.45,IF(Dataset!G234&lt;=9,0.65,0.85)))</f>
        <v>0.65</v>
      </c>
      <c r="I234" s="29">
        <f>IF(Dataset!G234&lt;=3,1,IF(Dataset!G234&lt;=6,2,IF(Dataset!G234&lt;=9,3,4)))</f>
        <v>3</v>
      </c>
      <c r="J234" s="29">
        <f t="shared" si="26"/>
        <v>1.9500000000000002</v>
      </c>
      <c r="K234" s="29">
        <f>IF(Dataset!H234&lt;1,0.2,IF(Dataset!H234&lt;1.3,0.45,IF(Dataset!H234&lt;1.8,0.7,0.9)))</f>
        <v>0.7</v>
      </c>
      <c r="L234" s="29">
        <f>IF(Dataset!H234&lt;1,1,IF(Dataset!H234&lt;1.3,2,IF(Dataset!H234&lt;1.8,3,4)))</f>
        <v>3</v>
      </c>
      <c r="M234" s="29">
        <f t="shared" si="27"/>
        <v>2.0999999999999996</v>
      </c>
      <c r="N234" s="29">
        <f>IF(Dataset!F234=1,0.75,IF(Dataset!F234=2,0.45,0.2))</f>
        <v>0.45</v>
      </c>
      <c r="O234" s="29">
        <f>IF(Dataset!F234=1,3,IF(Dataset!F234=2,2,1))</f>
        <v>2</v>
      </c>
      <c r="P234" s="29">
        <f t="shared" si="28"/>
        <v>0.9</v>
      </c>
      <c r="Q234" s="29">
        <f>IF(Dataset!K234&lt;5,0.2,IF(Dataset!K234&lt;10,0.45,IF(Dataset!K234&lt;18,0.7,0.9)))</f>
        <v>0.2</v>
      </c>
      <c r="R234" s="29">
        <f>IF(Dataset!K234&lt;5,1,IF(Dataset!K234&lt;10,2,IF(Dataset!K234&lt;18,3,4)))</f>
        <v>1</v>
      </c>
      <c r="S234" s="29">
        <f t="shared" si="29"/>
        <v>0.2</v>
      </c>
      <c r="T234" s="29">
        <f t="shared" si="30"/>
        <v>1.3320000000000001</v>
      </c>
      <c r="U234" s="29" t="str">
        <f t="shared" si="31"/>
        <v>Low</v>
      </c>
    </row>
    <row r="235" spans="1:21" ht="15" customHeight="1" x14ac:dyDescent="0.25">
      <c r="A235" s="29">
        <f>Dataset!A235</f>
        <v>231</v>
      </c>
      <c r="B235" s="29">
        <f>IF(Dataset!B235&lt;25,0.3,IF(Dataset!B235&lt;75,0.5,IF(Dataset!B235&lt;120,0.65,0.8)))</f>
        <v>0.8</v>
      </c>
      <c r="C235" s="29">
        <f>IF(Dataset!B235&lt;25,1,IF(Dataset!B235&lt;75,2,IF(Dataset!B235&lt;120,3,4)))</f>
        <v>4</v>
      </c>
      <c r="D235" s="29">
        <f t="shared" si="24"/>
        <v>3.2</v>
      </c>
      <c r="E235" s="29">
        <f>IF(Dataset!C235&lt;=1,0.3,IF(Dataset!C235=2,0.4,IF(Dataset!C235=3,0.5,IF(Dataset!C235=4,0.65,0.8))))</f>
        <v>0.65</v>
      </c>
      <c r="F235" s="29">
        <f>IF(Dataset!C235&lt;=2,1,IF(Dataset!C235=3,2,IF(Dataset!C235=4,3,4)))</f>
        <v>3</v>
      </c>
      <c r="G235" s="29">
        <f t="shared" si="25"/>
        <v>1.9500000000000002</v>
      </c>
      <c r="H235" s="29">
        <f>IF(Dataset!G235&lt;=3,0.25,IF(Dataset!G235&lt;=6,0.45,IF(Dataset!G235&lt;=9,0.65,0.85)))</f>
        <v>0.45</v>
      </c>
      <c r="I235" s="29">
        <f>IF(Dataset!G235&lt;=3,1,IF(Dataset!G235&lt;=6,2,IF(Dataset!G235&lt;=9,3,4)))</f>
        <v>2</v>
      </c>
      <c r="J235" s="29">
        <f t="shared" si="26"/>
        <v>0.9</v>
      </c>
      <c r="K235" s="29">
        <f>IF(Dataset!H235&lt;1,0.2,IF(Dataset!H235&lt;1.3,0.45,IF(Dataset!H235&lt;1.8,0.7,0.9)))</f>
        <v>0.45</v>
      </c>
      <c r="L235" s="29">
        <f>IF(Dataset!H235&lt;1,1,IF(Dataset!H235&lt;1.3,2,IF(Dataset!H235&lt;1.8,3,4)))</f>
        <v>2</v>
      </c>
      <c r="M235" s="29">
        <f t="shared" si="27"/>
        <v>0.9</v>
      </c>
      <c r="N235" s="29">
        <f>IF(Dataset!F235=1,0.75,IF(Dataset!F235=2,0.45,0.2))</f>
        <v>0.45</v>
      </c>
      <c r="O235" s="29">
        <f>IF(Dataset!F235=1,3,IF(Dataset!F235=2,2,1))</f>
        <v>2</v>
      </c>
      <c r="P235" s="29">
        <f t="shared" si="28"/>
        <v>0.9</v>
      </c>
      <c r="Q235" s="29">
        <f>IF(Dataset!K235&lt;5,0.2,IF(Dataset!K235&lt;10,0.45,IF(Dataset!K235&lt;18,0.7,0.9)))</f>
        <v>0.45</v>
      </c>
      <c r="R235" s="29">
        <f>IF(Dataset!K235&lt;5,1,IF(Dataset!K235&lt;10,2,IF(Dataset!K235&lt;18,3,4)))</f>
        <v>2</v>
      </c>
      <c r="S235" s="29">
        <f t="shared" si="29"/>
        <v>0.9</v>
      </c>
      <c r="T235" s="29">
        <f t="shared" si="30"/>
        <v>1.4610000000000001</v>
      </c>
      <c r="U235" s="29" t="str">
        <f t="shared" si="31"/>
        <v>Medium</v>
      </c>
    </row>
    <row r="236" spans="1:21" ht="15" customHeight="1" x14ac:dyDescent="0.25">
      <c r="A236" s="29">
        <f>Dataset!A236</f>
        <v>232</v>
      </c>
      <c r="B236" s="29">
        <f>IF(Dataset!B236&lt;25,0.3,IF(Dataset!B236&lt;75,0.5,IF(Dataset!B236&lt;120,0.65,0.8)))</f>
        <v>0.65</v>
      </c>
      <c r="C236" s="29">
        <f>IF(Dataset!B236&lt;25,1,IF(Dataset!B236&lt;75,2,IF(Dataset!B236&lt;120,3,4)))</f>
        <v>3</v>
      </c>
      <c r="D236" s="29">
        <f t="shared" si="24"/>
        <v>1.9500000000000002</v>
      </c>
      <c r="E236" s="29">
        <f>IF(Dataset!C236&lt;=1,0.3,IF(Dataset!C236=2,0.4,IF(Dataset!C236=3,0.5,IF(Dataset!C236=4,0.65,0.8))))</f>
        <v>0.65</v>
      </c>
      <c r="F236" s="29">
        <f>IF(Dataset!C236&lt;=2,1,IF(Dataset!C236=3,2,IF(Dataset!C236=4,3,4)))</f>
        <v>3</v>
      </c>
      <c r="G236" s="29">
        <f t="shared" si="25"/>
        <v>1.9500000000000002</v>
      </c>
      <c r="H236" s="29">
        <f>IF(Dataset!G236&lt;=3,0.25,IF(Dataset!G236&lt;=6,0.45,IF(Dataset!G236&lt;=9,0.65,0.85)))</f>
        <v>0.45</v>
      </c>
      <c r="I236" s="29">
        <f>IF(Dataset!G236&lt;=3,1,IF(Dataset!G236&lt;=6,2,IF(Dataset!G236&lt;=9,3,4)))</f>
        <v>2</v>
      </c>
      <c r="J236" s="29">
        <f t="shared" si="26"/>
        <v>0.9</v>
      </c>
      <c r="K236" s="29">
        <f>IF(Dataset!H236&lt;1,0.2,IF(Dataset!H236&lt;1.3,0.45,IF(Dataset!H236&lt;1.8,0.7,0.9)))</f>
        <v>0.45</v>
      </c>
      <c r="L236" s="29">
        <f>IF(Dataset!H236&lt;1,1,IF(Dataset!H236&lt;1.3,2,IF(Dataset!H236&lt;1.8,3,4)))</f>
        <v>2</v>
      </c>
      <c r="M236" s="29">
        <f t="shared" si="27"/>
        <v>0.9</v>
      </c>
      <c r="N236" s="29">
        <f>IF(Dataset!F236=1,0.75,IF(Dataset!F236=2,0.45,0.2))</f>
        <v>0.2</v>
      </c>
      <c r="O236" s="29">
        <f>IF(Dataset!F236=1,3,IF(Dataset!F236=2,2,1))</f>
        <v>1</v>
      </c>
      <c r="P236" s="29">
        <f t="shared" si="28"/>
        <v>0.2</v>
      </c>
      <c r="Q236" s="29">
        <f>IF(Dataset!K236&lt;5,0.2,IF(Dataset!K236&lt;10,0.45,IF(Dataset!K236&lt;18,0.7,0.9)))</f>
        <v>0.7</v>
      </c>
      <c r="R236" s="29">
        <f>IF(Dataset!K236&lt;5,1,IF(Dataset!K236&lt;10,2,IF(Dataset!K236&lt;18,3,4)))</f>
        <v>3</v>
      </c>
      <c r="S236" s="29">
        <f t="shared" si="29"/>
        <v>2.0999999999999996</v>
      </c>
      <c r="T236" s="29">
        <f t="shared" si="30"/>
        <v>1.3340000000000003</v>
      </c>
      <c r="U236" s="29" t="str">
        <f t="shared" si="31"/>
        <v>Low</v>
      </c>
    </row>
    <row r="237" spans="1:21" ht="15" customHeight="1" x14ac:dyDescent="0.25">
      <c r="A237" s="29">
        <f>Dataset!A237</f>
        <v>233</v>
      </c>
      <c r="B237" s="29">
        <f>IF(Dataset!B237&lt;25,0.3,IF(Dataset!B237&lt;75,0.5,IF(Dataset!B237&lt;120,0.65,0.8)))</f>
        <v>0.65</v>
      </c>
      <c r="C237" s="29">
        <f>IF(Dataset!B237&lt;25,1,IF(Dataset!B237&lt;75,2,IF(Dataset!B237&lt;120,3,4)))</f>
        <v>3</v>
      </c>
      <c r="D237" s="29">
        <f t="shared" si="24"/>
        <v>1.9500000000000002</v>
      </c>
      <c r="E237" s="29">
        <f>IF(Dataset!C237&lt;=1,0.3,IF(Dataset!C237=2,0.4,IF(Dataset!C237=3,0.5,IF(Dataset!C237=4,0.65,0.8))))</f>
        <v>0.65</v>
      </c>
      <c r="F237" s="29">
        <f>IF(Dataset!C237&lt;=2,1,IF(Dataset!C237=3,2,IF(Dataset!C237=4,3,4)))</f>
        <v>3</v>
      </c>
      <c r="G237" s="29">
        <f t="shared" si="25"/>
        <v>1.9500000000000002</v>
      </c>
      <c r="H237" s="29">
        <f>IF(Dataset!G237&lt;=3,0.25,IF(Dataset!G237&lt;=6,0.45,IF(Dataset!G237&lt;=9,0.65,0.85)))</f>
        <v>0.45</v>
      </c>
      <c r="I237" s="29">
        <f>IF(Dataset!G237&lt;=3,1,IF(Dataset!G237&lt;=6,2,IF(Dataset!G237&lt;=9,3,4)))</f>
        <v>2</v>
      </c>
      <c r="J237" s="29">
        <f t="shared" si="26"/>
        <v>0.9</v>
      </c>
      <c r="K237" s="29">
        <f>IF(Dataset!H237&lt;1,0.2,IF(Dataset!H237&lt;1.3,0.45,IF(Dataset!H237&lt;1.8,0.7,0.9)))</f>
        <v>0.7</v>
      </c>
      <c r="L237" s="29">
        <f>IF(Dataset!H237&lt;1,1,IF(Dataset!H237&lt;1.3,2,IF(Dataset!H237&lt;1.8,3,4)))</f>
        <v>3</v>
      </c>
      <c r="M237" s="29">
        <f t="shared" si="27"/>
        <v>2.0999999999999996</v>
      </c>
      <c r="N237" s="29">
        <f>IF(Dataset!F237=1,0.75,IF(Dataset!F237=2,0.45,0.2))</f>
        <v>0.45</v>
      </c>
      <c r="O237" s="29">
        <f>IF(Dataset!F237=1,3,IF(Dataset!F237=2,2,1))</f>
        <v>2</v>
      </c>
      <c r="P237" s="29">
        <f t="shared" si="28"/>
        <v>0.9</v>
      </c>
      <c r="Q237" s="29">
        <f>IF(Dataset!K237&lt;5,0.2,IF(Dataset!K237&lt;10,0.45,IF(Dataset!K237&lt;18,0.7,0.9)))</f>
        <v>0.7</v>
      </c>
      <c r="R237" s="29">
        <f>IF(Dataset!K237&lt;5,1,IF(Dataset!K237&lt;10,2,IF(Dataset!K237&lt;18,3,4)))</f>
        <v>3</v>
      </c>
      <c r="S237" s="29">
        <f t="shared" si="29"/>
        <v>2.0999999999999996</v>
      </c>
      <c r="T237" s="29">
        <f t="shared" si="30"/>
        <v>1.6920000000000002</v>
      </c>
      <c r="U237" s="29" t="str">
        <f t="shared" si="31"/>
        <v>Medium</v>
      </c>
    </row>
    <row r="238" spans="1:21" ht="15" customHeight="1" x14ac:dyDescent="0.25">
      <c r="A238" s="29">
        <f>Dataset!A238</f>
        <v>234</v>
      </c>
      <c r="B238" s="29">
        <f>IF(Dataset!B238&lt;25,0.3,IF(Dataset!B238&lt;75,0.5,IF(Dataset!B238&lt;120,0.65,0.8)))</f>
        <v>0.3</v>
      </c>
      <c r="C238" s="29">
        <f>IF(Dataset!B238&lt;25,1,IF(Dataset!B238&lt;75,2,IF(Dataset!B238&lt;120,3,4)))</f>
        <v>1</v>
      </c>
      <c r="D238" s="29">
        <f t="shared" si="24"/>
        <v>0.3</v>
      </c>
      <c r="E238" s="29">
        <f>IF(Dataset!C238&lt;=1,0.3,IF(Dataset!C238=2,0.4,IF(Dataset!C238=3,0.5,IF(Dataset!C238=4,0.65,0.8))))</f>
        <v>0.65</v>
      </c>
      <c r="F238" s="29">
        <f>IF(Dataset!C238&lt;=2,1,IF(Dataset!C238=3,2,IF(Dataset!C238=4,3,4)))</f>
        <v>3</v>
      </c>
      <c r="G238" s="29">
        <f t="shared" si="25"/>
        <v>1.9500000000000002</v>
      </c>
      <c r="H238" s="29">
        <f>IF(Dataset!G238&lt;=3,0.25,IF(Dataset!G238&lt;=6,0.45,IF(Dataset!G238&lt;=9,0.65,0.85)))</f>
        <v>0.25</v>
      </c>
      <c r="I238" s="29">
        <f>IF(Dataset!G238&lt;=3,1,IF(Dataset!G238&lt;=6,2,IF(Dataset!G238&lt;=9,3,4)))</f>
        <v>1</v>
      </c>
      <c r="J238" s="29">
        <f t="shared" si="26"/>
        <v>0.25</v>
      </c>
      <c r="K238" s="29">
        <f>IF(Dataset!H238&lt;1,0.2,IF(Dataset!H238&lt;1.3,0.45,IF(Dataset!H238&lt;1.8,0.7,0.9)))</f>
        <v>0.9</v>
      </c>
      <c r="L238" s="29">
        <f>IF(Dataset!H238&lt;1,1,IF(Dataset!H238&lt;1.3,2,IF(Dataset!H238&lt;1.8,3,4)))</f>
        <v>4</v>
      </c>
      <c r="M238" s="29">
        <f t="shared" si="27"/>
        <v>3.6</v>
      </c>
      <c r="N238" s="29">
        <f>IF(Dataset!F238=1,0.75,IF(Dataset!F238=2,0.45,0.2))</f>
        <v>0.45</v>
      </c>
      <c r="O238" s="29">
        <f>IF(Dataset!F238=1,3,IF(Dataset!F238=2,2,1))</f>
        <v>2</v>
      </c>
      <c r="P238" s="29">
        <f t="shared" si="28"/>
        <v>0.9</v>
      </c>
      <c r="Q238" s="29">
        <f>IF(Dataset!K238&lt;5,0.2,IF(Dataset!K238&lt;10,0.45,IF(Dataset!K238&lt;18,0.7,0.9)))</f>
        <v>0.45</v>
      </c>
      <c r="R238" s="29">
        <f>IF(Dataset!K238&lt;5,1,IF(Dataset!K238&lt;10,2,IF(Dataset!K238&lt;18,3,4)))</f>
        <v>2</v>
      </c>
      <c r="S238" s="29">
        <f t="shared" si="29"/>
        <v>0.9</v>
      </c>
      <c r="T238" s="29">
        <f t="shared" si="30"/>
        <v>1.4570000000000003</v>
      </c>
      <c r="U238" s="29" t="str">
        <f t="shared" si="31"/>
        <v>Medium</v>
      </c>
    </row>
    <row r="239" spans="1:21" ht="15" customHeight="1" x14ac:dyDescent="0.25">
      <c r="A239" s="29">
        <f>Dataset!A239</f>
        <v>235</v>
      </c>
      <c r="B239" s="29">
        <f>IF(Dataset!B239&lt;25,0.3,IF(Dataset!B239&lt;75,0.5,IF(Dataset!B239&lt;120,0.65,0.8)))</f>
        <v>0.3</v>
      </c>
      <c r="C239" s="29">
        <f>IF(Dataset!B239&lt;25,1,IF(Dataset!B239&lt;75,2,IF(Dataset!B239&lt;120,3,4)))</f>
        <v>1</v>
      </c>
      <c r="D239" s="29">
        <f t="shared" si="24"/>
        <v>0.3</v>
      </c>
      <c r="E239" s="29">
        <f>IF(Dataset!C239&lt;=1,0.3,IF(Dataset!C239=2,0.4,IF(Dataset!C239=3,0.5,IF(Dataset!C239=4,0.65,0.8))))</f>
        <v>0.5</v>
      </c>
      <c r="F239" s="29">
        <f>IF(Dataset!C239&lt;=2,1,IF(Dataset!C239=3,2,IF(Dataset!C239=4,3,4)))</f>
        <v>2</v>
      </c>
      <c r="G239" s="29">
        <f t="shared" si="25"/>
        <v>1</v>
      </c>
      <c r="H239" s="29">
        <f>IF(Dataset!G239&lt;=3,0.25,IF(Dataset!G239&lt;=6,0.45,IF(Dataset!G239&lt;=9,0.65,0.85)))</f>
        <v>0.85</v>
      </c>
      <c r="I239" s="29">
        <f>IF(Dataset!G239&lt;=3,1,IF(Dataset!G239&lt;=6,2,IF(Dataset!G239&lt;=9,3,4)))</f>
        <v>4</v>
      </c>
      <c r="J239" s="29">
        <f t="shared" si="26"/>
        <v>3.4</v>
      </c>
      <c r="K239" s="29">
        <f>IF(Dataset!H239&lt;1,0.2,IF(Dataset!H239&lt;1.3,0.45,IF(Dataset!H239&lt;1.8,0.7,0.9)))</f>
        <v>0.7</v>
      </c>
      <c r="L239" s="29">
        <f>IF(Dataset!H239&lt;1,1,IF(Dataset!H239&lt;1.3,2,IF(Dataset!H239&lt;1.8,3,4)))</f>
        <v>3</v>
      </c>
      <c r="M239" s="29">
        <f t="shared" si="27"/>
        <v>2.0999999999999996</v>
      </c>
      <c r="N239" s="29">
        <f>IF(Dataset!F239=1,0.75,IF(Dataset!F239=2,0.45,0.2))</f>
        <v>0.45</v>
      </c>
      <c r="O239" s="29">
        <f>IF(Dataset!F239=1,3,IF(Dataset!F239=2,2,1))</f>
        <v>2</v>
      </c>
      <c r="P239" s="29">
        <f t="shared" si="28"/>
        <v>0.9</v>
      </c>
      <c r="Q239" s="29">
        <f>IF(Dataset!K239&lt;5,0.2,IF(Dataset!K239&lt;10,0.45,IF(Dataset!K239&lt;18,0.7,0.9)))</f>
        <v>0.45</v>
      </c>
      <c r="R239" s="29">
        <f>IF(Dataset!K239&lt;5,1,IF(Dataset!K239&lt;10,2,IF(Dataset!K239&lt;18,3,4)))</f>
        <v>2</v>
      </c>
      <c r="S239" s="29">
        <f t="shared" si="29"/>
        <v>0.9</v>
      </c>
      <c r="T239" s="29">
        <f t="shared" si="30"/>
        <v>1.5940000000000003</v>
      </c>
      <c r="U239" s="29" t="str">
        <f t="shared" si="31"/>
        <v>Medium</v>
      </c>
    </row>
    <row r="240" spans="1:21" ht="15" customHeight="1" x14ac:dyDescent="0.25">
      <c r="A240" s="29">
        <f>Dataset!A240</f>
        <v>236</v>
      </c>
      <c r="B240" s="29">
        <f>IF(Dataset!B240&lt;25,0.3,IF(Dataset!B240&lt;75,0.5,IF(Dataset!B240&lt;120,0.65,0.8)))</f>
        <v>0.5</v>
      </c>
      <c r="C240" s="29">
        <f>IF(Dataset!B240&lt;25,1,IF(Dataset!B240&lt;75,2,IF(Dataset!B240&lt;120,3,4)))</f>
        <v>2</v>
      </c>
      <c r="D240" s="29">
        <f t="shared" si="24"/>
        <v>1</v>
      </c>
      <c r="E240" s="29">
        <f>IF(Dataset!C240&lt;=1,0.3,IF(Dataset!C240=2,0.4,IF(Dataset!C240=3,0.5,IF(Dataset!C240=4,0.65,0.8))))</f>
        <v>0.3</v>
      </c>
      <c r="F240" s="29">
        <f>IF(Dataset!C240&lt;=2,1,IF(Dataset!C240=3,2,IF(Dataset!C240=4,3,4)))</f>
        <v>1</v>
      </c>
      <c r="G240" s="29">
        <f t="shared" si="25"/>
        <v>0.3</v>
      </c>
      <c r="H240" s="29">
        <f>IF(Dataset!G240&lt;=3,0.25,IF(Dataset!G240&lt;=6,0.45,IF(Dataset!G240&lt;=9,0.65,0.85)))</f>
        <v>0.65</v>
      </c>
      <c r="I240" s="29">
        <f>IF(Dataset!G240&lt;=3,1,IF(Dataset!G240&lt;=6,2,IF(Dataset!G240&lt;=9,3,4)))</f>
        <v>3</v>
      </c>
      <c r="J240" s="29">
        <f t="shared" si="26"/>
        <v>1.9500000000000002</v>
      </c>
      <c r="K240" s="29">
        <f>IF(Dataset!H240&lt;1,0.2,IF(Dataset!H240&lt;1.3,0.45,IF(Dataset!H240&lt;1.8,0.7,0.9)))</f>
        <v>0.7</v>
      </c>
      <c r="L240" s="29">
        <f>IF(Dataset!H240&lt;1,1,IF(Dataset!H240&lt;1.3,2,IF(Dataset!H240&lt;1.8,3,4)))</f>
        <v>3</v>
      </c>
      <c r="M240" s="29">
        <f t="shared" si="27"/>
        <v>2.0999999999999996</v>
      </c>
      <c r="N240" s="29">
        <f>IF(Dataset!F240=1,0.75,IF(Dataset!F240=2,0.45,0.2))</f>
        <v>0.45</v>
      </c>
      <c r="O240" s="29">
        <f>IF(Dataset!F240=1,3,IF(Dataset!F240=2,2,1))</f>
        <v>2</v>
      </c>
      <c r="P240" s="29">
        <f t="shared" si="28"/>
        <v>0.9</v>
      </c>
      <c r="Q240" s="29">
        <f>IF(Dataset!K240&lt;5,0.2,IF(Dataset!K240&lt;10,0.45,IF(Dataset!K240&lt;18,0.7,0.9)))</f>
        <v>0.2</v>
      </c>
      <c r="R240" s="29">
        <f>IF(Dataset!K240&lt;5,1,IF(Dataset!K240&lt;10,2,IF(Dataset!K240&lt;18,3,4)))</f>
        <v>1</v>
      </c>
      <c r="S240" s="29">
        <f t="shared" si="29"/>
        <v>0.2</v>
      </c>
      <c r="T240" s="29">
        <f t="shared" si="30"/>
        <v>1.2340000000000002</v>
      </c>
      <c r="U240" s="29" t="str">
        <f t="shared" si="31"/>
        <v>Low</v>
      </c>
    </row>
    <row r="241" spans="1:21" ht="15" customHeight="1" x14ac:dyDescent="0.25">
      <c r="A241" s="29">
        <f>Dataset!A241</f>
        <v>237</v>
      </c>
      <c r="B241" s="29">
        <f>IF(Dataset!B241&lt;25,0.3,IF(Dataset!B241&lt;75,0.5,IF(Dataset!B241&lt;120,0.65,0.8)))</f>
        <v>0.8</v>
      </c>
      <c r="C241" s="29">
        <f>IF(Dataset!B241&lt;25,1,IF(Dataset!B241&lt;75,2,IF(Dataset!B241&lt;120,3,4)))</f>
        <v>4</v>
      </c>
      <c r="D241" s="29">
        <f t="shared" si="24"/>
        <v>3.2</v>
      </c>
      <c r="E241" s="29">
        <f>IF(Dataset!C241&lt;=1,0.3,IF(Dataset!C241=2,0.4,IF(Dataset!C241=3,0.5,IF(Dataset!C241=4,0.65,0.8))))</f>
        <v>0.4</v>
      </c>
      <c r="F241" s="29">
        <f>IF(Dataset!C241&lt;=2,1,IF(Dataset!C241=3,2,IF(Dataset!C241=4,3,4)))</f>
        <v>1</v>
      </c>
      <c r="G241" s="29">
        <f t="shared" si="25"/>
        <v>0.4</v>
      </c>
      <c r="H241" s="29">
        <f>IF(Dataset!G241&lt;=3,0.25,IF(Dataset!G241&lt;=6,0.45,IF(Dataset!G241&lt;=9,0.65,0.85)))</f>
        <v>0.85</v>
      </c>
      <c r="I241" s="29">
        <f>IF(Dataset!G241&lt;=3,1,IF(Dataset!G241&lt;=6,2,IF(Dataset!G241&lt;=9,3,4)))</f>
        <v>4</v>
      </c>
      <c r="J241" s="29">
        <f t="shared" si="26"/>
        <v>3.4</v>
      </c>
      <c r="K241" s="29">
        <f>IF(Dataset!H241&lt;1,0.2,IF(Dataset!H241&lt;1.3,0.45,IF(Dataset!H241&lt;1.8,0.7,0.9)))</f>
        <v>0.45</v>
      </c>
      <c r="L241" s="29">
        <f>IF(Dataset!H241&lt;1,1,IF(Dataset!H241&lt;1.3,2,IF(Dataset!H241&lt;1.8,3,4)))</f>
        <v>2</v>
      </c>
      <c r="M241" s="29">
        <f t="shared" si="27"/>
        <v>0.9</v>
      </c>
      <c r="N241" s="29">
        <f>IF(Dataset!F241=1,0.75,IF(Dataset!F241=2,0.45,0.2))</f>
        <v>0.75</v>
      </c>
      <c r="O241" s="29">
        <f>IF(Dataset!F241=1,3,IF(Dataset!F241=2,2,1))</f>
        <v>3</v>
      </c>
      <c r="P241" s="29">
        <f t="shared" si="28"/>
        <v>2.25</v>
      </c>
      <c r="Q241" s="29">
        <f>IF(Dataset!K241&lt;5,0.2,IF(Dataset!K241&lt;10,0.45,IF(Dataset!K241&lt;18,0.7,0.9)))</f>
        <v>0.45</v>
      </c>
      <c r="R241" s="29">
        <f>IF(Dataset!K241&lt;5,1,IF(Dataset!K241&lt;10,2,IF(Dataset!K241&lt;18,3,4)))</f>
        <v>2</v>
      </c>
      <c r="S241" s="29">
        <f t="shared" si="29"/>
        <v>0.9</v>
      </c>
      <c r="T241" s="29">
        <f t="shared" si="30"/>
        <v>1.8790000000000002</v>
      </c>
      <c r="U241" s="29" t="str">
        <f t="shared" si="31"/>
        <v>High</v>
      </c>
    </row>
    <row r="242" spans="1:21" ht="15" customHeight="1" x14ac:dyDescent="0.25">
      <c r="A242" s="29">
        <f>Dataset!A242</f>
        <v>238</v>
      </c>
      <c r="B242" s="29">
        <f>IF(Dataset!B242&lt;25,0.3,IF(Dataset!B242&lt;75,0.5,IF(Dataset!B242&lt;120,0.65,0.8)))</f>
        <v>0.65</v>
      </c>
      <c r="C242" s="29">
        <f>IF(Dataset!B242&lt;25,1,IF(Dataset!B242&lt;75,2,IF(Dataset!B242&lt;120,3,4)))</f>
        <v>3</v>
      </c>
      <c r="D242" s="29">
        <f t="shared" si="24"/>
        <v>1.9500000000000002</v>
      </c>
      <c r="E242" s="29">
        <f>IF(Dataset!C242&lt;=1,0.3,IF(Dataset!C242=2,0.4,IF(Dataset!C242=3,0.5,IF(Dataset!C242=4,0.65,0.8))))</f>
        <v>0.3</v>
      </c>
      <c r="F242" s="29">
        <f>IF(Dataset!C242&lt;=2,1,IF(Dataset!C242=3,2,IF(Dataset!C242=4,3,4)))</f>
        <v>1</v>
      </c>
      <c r="G242" s="29">
        <f t="shared" si="25"/>
        <v>0.3</v>
      </c>
      <c r="H242" s="29">
        <f>IF(Dataset!G242&lt;=3,0.25,IF(Dataset!G242&lt;=6,0.45,IF(Dataset!G242&lt;=9,0.65,0.85)))</f>
        <v>0.45</v>
      </c>
      <c r="I242" s="29">
        <f>IF(Dataset!G242&lt;=3,1,IF(Dataset!G242&lt;=6,2,IF(Dataset!G242&lt;=9,3,4)))</f>
        <v>2</v>
      </c>
      <c r="J242" s="29">
        <f t="shared" si="26"/>
        <v>0.9</v>
      </c>
      <c r="K242" s="29">
        <f>IF(Dataset!H242&lt;1,0.2,IF(Dataset!H242&lt;1.3,0.45,IF(Dataset!H242&lt;1.8,0.7,0.9)))</f>
        <v>0.9</v>
      </c>
      <c r="L242" s="29">
        <f>IF(Dataset!H242&lt;1,1,IF(Dataset!H242&lt;1.3,2,IF(Dataset!H242&lt;1.8,3,4)))</f>
        <v>4</v>
      </c>
      <c r="M242" s="29">
        <f t="shared" si="27"/>
        <v>3.6</v>
      </c>
      <c r="N242" s="29">
        <f>IF(Dataset!F242=1,0.75,IF(Dataset!F242=2,0.45,0.2))</f>
        <v>0.2</v>
      </c>
      <c r="O242" s="29">
        <f>IF(Dataset!F242=1,3,IF(Dataset!F242=2,2,1))</f>
        <v>1</v>
      </c>
      <c r="P242" s="29">
        <f t="shared" si="28"/>
        <v>0.2</v>
      </c>
      <c r="Q242" s="29">
        <f>IF(Dataset!K242&lt;5,0.2,IF(Dataset!K242&lt;10,0.45,IF(Dataset!K242&lt;18,0.7,0.9)))</f>
        <v>0.2</v>
      </c>
      <c r="R242" s="29">
        <f>IF(Dataset!K242&lt;5,1,IF(Dataset!K242&lt;10,2,IF(Dataset!K242&lt;18,3,4)))</f>
        <v>1</v>
      </c>
      <c r="S242" s="29">
        <f t="shared" si="29"/>
        <v>0.2</v>
      </c>
      <c r="T242" s="29">
        <f t="shared" si="30"/>
        <v>1.4850000000000001</v>
      </c>
      <c r="U242" s="29" t="str">
        <f t="shared" si="31"/>
        <v>Medium</v>
      </c>
    </row>
    <row r="243" spans="1:21" ht="15" customHeight="1" x14ac:dyDescent="0.25">
      <c r="A243" s="29">
        <f>Dataset!A243</f>
        <v>239</v>
      </c>
      <c r="B243" s="29">
        <f>IF(Dataset!B243&lt;25,0.3,IF(Dataset!B243&lt;75,0.5,IF(Dataset!B243&lt;120,0.65,0.8)))</f>
        <v>0.5</v>
      </c>
      <c r="C243" s="29">
        <f>IF(Dataset!B243&lt;25,1,IF(Dataset!B243&lt;75,2,IF(Dataset!B243&lt;120,3,4)))</f>
        <v>2</v>
      </c>
      <c r="D243" s="29">
        <f t="shared" si="24"/>
        <v>1</v>
      </c>
      <c r="E243" s="29">
        <f>IF(Dataset!C243&lt;=1,0.3,IF(Dataset!C243=2,0.4,IF(Dataset!C243=3,0.5,IF(Dataset!C243=4,0.65,0.8))))</f>
        <v>0.5</v>
      </c>
      <c r="F243" s="29">
        <f>IF(Dataset!C243&lt;=2,1,IF(Dataset!C243=3,2,IF(Dataset!C243=4,3,4)))</f>
        <v>2</v>
      </c>
      <c r="G243" s="29">
        <f t="shared" si="25"/>
        <v>1</v>
      </c>
      <c r="H243" s="29">
        <f>IF(Dataset!G243&lt;=3,0.25,IF(Dataset!G243&lt;=6,0.45,IF(Dataset!G243&lt;=9,0.65,0.85)))</f>
        <v>0.45</v>
      </c>
      <c r="I243" s="29">
        <f>IF(Dataset!G243&lt;=3,1,IF(Dataset!G243&lt;=6,2,IF(Dataset!G243&lt;=9,3,4)))</f>
        <v>2</v>
      </c>
      <c r="J243" s="29">
        <f t="shared" si="26"/>
        <v>0.9</v>
      </c>
      <c r="K243" s="29">
        <f>IF(Dataset!H243&lt;1,0.2,IF(Dataset!H243&lt;1.3,0.45,IF(Dataset!H243&lt;1.8,0.7,0.9)))</f>
        <v>0.7</v>
      </c>
      <c r="L243" s="29">
        <f>IF(Dataset!H243&lt;1,1,IF(Dataset!H243&lt;1.3,2,IF(Dataset!H243&lt;1.8,3,4)))</f>
        <v>3</v>
      </c>
      <c r="M243" s="29">
        <f t="shared" si="27"/>
        <v>2.0999999999999996</v>
      </c>
      <c r="N243" s="29">
        <f>IF(Dataset!F243=1,0.75,IF(Dataset!F243=2,0.45,0.2))</f>
        <v>0.2</v>
      </c>
      <c r="O243" s="29">
        <f>IF(Dataset!F243=1,3,IF(Dataset!F243=2,2,1))</f>
        <v>1</v>
      </c>
      <c r="P243" s="29">
        <f t="shared" si="28"/>
        <v>0.2</v>
      </c>
      <c r="Q243" s="29">
        <f>IF(Dataset!K243&lt;5,0.2,IF(Dataset!K243&lt;10,0.45,IF(Dataset!K243&lt;18,0.7,0.9)))</f>
        <v>0.45</v>
      </c>
      <c r="R243" s="29">
        <f>IF(Dataset!K243&lt;5,1,IF(Dataset!K243&lt;10,2,IF(Dataset!K243&lt;18,3,4)))</f>
        <v>2</v>
      </c>
      <c r="S243" s="29">
        <f t="shared" si="29"/>
        <v>0.9</v>
      </c>
      <c r="T243" s="29">
        <f t="shared" si="30"/>
        <v>1.1500000000000001</v>
      </c>
      <c r="U243" s="29" t="str">
        <f t="shared" si="31"/>
        <v>Low</v>
      </c>
    </row>
    <row r="244" spans="1:21" ht="15" customHeight="1" x14ac:dyDescent="0.25">
      <c r="A244" s="29">
        <f>Dataset!A244</f>
        <v>240</v>
      </c>
      <c r="B244" s="29">
        <f>IF(Dataset!B244&lt;25,0.3,IF(Dataset!B244&lt;75,0.5,IF(Dataset!B244&lt;120,0.65,0.8)))</f>
        <v>0.65</v>
      </c>
      <c r="C244" s="29">
        <f>IF(Dataset!B244&lt;25,1,IF(Dataset!B244&lt;75,2,IF(Dataset!B244&lt;120,3,4)))</f>
        <v>3</v>
      </c>
      <c r="D244" s="29">
        <f t="shared" si="24"/>
        <v>1.9500000000000002</v>
      </c>
      <c r="E244" s="29">
        <f>IF(Dataset!C244&lt;=1,0.3,IF(Dataset!C244=2,0.4,IF(Dataset!C244=3,0.5,IF(Dataset!C244=4,0.65,0.8))))</f>
        <v>0.5</v>
      </c>
      <c r="F244" s="29">
        <f>IF(Dataset!C244&lt;=2,1,IF(Dataset!C244=3,2,IF(Dataset!C244=4,3,4)))</f>
        <v>2</v>
      </c>
      <c r="G244" s="29">
        <f t="shared" si="25"/>
        <v>1</v>
      </c>
      <c r="H244" s="29">
        <f>IF(Dataset!G244&lt;=3,0.25,IF(Dataset!G244&lt;=6,0.45,IF(Dataset!G244&lt;=9,0.65,0.85)))</f>
        <v>0.65</v>
      </c>
      <c r="I244" s="29">
        <f>IF(Dataset!G244&lt;=3,1,IF(Dataset!G244&lt;=6,2,IF(Dataset!G244&lt;=9,3,4)))</f>
        <v>3</v>
      </c>
      <c r="J244" s="29">
        <f t="shared" si="26"/>
        <v>1.9500000000000002</v>
      </c>
      <c r="K244" s="29">
        <f>IF(Dataset!H244&lt;1,0.2,IF(Dataset!H244&lt;1.3,0.45,IF(Dataset!H244&lt;1.8,0.7,0.9)))</f>
        <v>0.7</v>
      </c>
      <c r="L244" s="29">
        <f>IF(Dataset!H244&lt;1,1,IF(Dataset!H244&lt;1.3,2,IF(Dataset!H244&lt;1.8,3,4)))</f>
        <v>3</v>
      </c>
      <c r="M244" s="29">
        <f t="shared" si="27"/>
        <v>2.0999999999999996</v>
      </c>
      <c r="N244" s="29">
        <f>IF(Dataset!F244=1,0.75,IF(Dataset!F244=2,0.45,0.2))</f>
        <v>0.45</v>
      </c>
      <c r="O244" s="29">
        <f>IF(Dataset!F244=1,3,IF(Dataset!F244=2,2,1))</f>
        <v>2</v>
      </c>
      <c r="P244" s="29">
        <f t="shared" si="28"/>
        <v>0.9</v>
      </c>
      <c r="Q244" s="29">
        <f>IF(Dataset!K244&lt;5,0.2,IF(Dataset!K244&lt;10,0.45,IF(Dataset!K244&lt;18,0.7,0.9)))</f>
        <v>0.2</v>
      </c>
      <c r="R244" s="29">
        <f>IF(Dataset!K244&lt;5,1,IF(Dataset!K244&lt;10,2,IF(Dataset!K244&lt;18,3,4)))</f>
        <v>1</v>
      </c>
      <c r="S244" s="29">
        <f t="shared" si="29"/>
        <v>0.2</v>
      </c>
      <c r="T244" s="29">
        <f t="shared" si="30"/>
        <v>1.5030000000000001</v>
      </c>
      <c r="U244" s="29" t="str">
        <f t="shared" si="31"/>
        <v>Medium</v>
      </c>
    </row>
    <row r="245" spans="1:21" ht="15" customHeight="1" x14ac:dyDescent="0.25">
      <c r="A245" s="29">
        <f>Dataset!A245</f>
        <v>241</v>
      </c>
      <c r="B245" s="29">
        <f>IF(Dataset!B245&lt;25,0.3,IF(Dataset!B245&lt;75,0.5,IF(Dataset!B245&lt;120,0.65,0.8)))</f>
        <v>0.8</v>
      </c>
      <c r="C245" s="29">
        <f>IF(Dataset!B245&lt;25,1,IF(Dataset!B245&lt;75,2,IF(Dataset!B245&lt;120,3,4)))</f>
        <v>4</v>
      </c>
      <c r="D245" s="29">
        <f t="shared" si="24"/>
        <v>3.2</v>
      </c>
      <c r="E245" s="29">
        <f>IF(Dataset!C245&lt;=1,0.3,IF(Dataset!C245=2,0.4,IF(Dataset!C245=3,0.5,IF(Dataset!C245=4,0.65,0.8))))</f>
        <v>0.5</v>
      </c>
      <c r="F245" s="29">
        <f>IF(Dataset!C245&lt;=2,1,IF(Dataset!C245=3,2,IF(Dataset!C245=4,3,4)))</f>
        <v>2</v>
      </c>
      <c r="G245" s="29">
        <f t="shared" si="25"/>
        <v>1</v>
      </c>
      <c r="H245" s="29">
        <f>IF(Dataset!G245&lt;=3,0.25,IF(Dataset!G245&lt;=6,0.45,IF(Dataset!G245&lt;=9,0.65,0.85)))</f>
        <v>0.65</v>
      </c>
      <c r="I245" s="29">
        <f>IF(Dataset!G245&lt;=3,1,IF(Dataset!G245&lt;=6,2,IF(Dataset!G245&lt;=9,3,4)))</f>
        <v>3</v>
      </c>
      <c r="J245" s="29">
        <f t="shared" si="26"/>
        <v>1.9500000000000002</v>
      </c>
      <c r="K245" s="29">
        <f>IF(Dataset!H245&lt;1,0.2,IF(Dataset!H245&lt;1.3,0.45,IF(Dataset!H245&lt;1.8,0.7,0.9)))</f>
        <v>0.45</v>
      </c>
      <c r="L245" s="29">
        <f>IF(Dataset!H245&lt;1,1,IF(Dataset!H245&lt;1.3,2,IF(Dataset!H245&lt;1.8,3,4)))</f>
        <v>2</v>
      </c>
      <c r="M245" s="29">
        <f t="shared" si="27"/>
        <v>0.9</v>
      </c>
      <c r="N245" s="29">
        <f>IF(Dataset!F245=1,0.75,IF(Dataset!F245=2,0.45,0.2))</f>
        <v>0.45</v>
      </c>
      <c r="O245" s="29">
        <f>IF(Dataset!F245=1,3,IF(Dataset!F245=2,2,1))</f>
        <v>2</v>
      </c>
      <c r="P245" s="29">
        <f t="shared" si="28"/>
        <v>0.9</v>
      </c>
      <c r="Q245" s="29">
        <f>IF(Dataset!K245&lt;5,0.2,IF(Dataset!K245&lt;10,0.45,IF(Dataset!K245&lt;18,0.7,0.9)))</f>
        <v>0.45</v>
      </c>
      <c r="R245" s="29">
        <f>IF(Dataset!K245&lt;5,1,IF(Dataset!K245&lt;10,2,IF(Dataset!K245&lt;18,3,4)))</f>
        <v>2</v>
      </c>
      <c r="S245" s="29">
        <f t="shared" si="29"/>
        <v>0.9</v>
      </c>
      <c r="T245" s="29">
        <f t="shared" si="30"/>
        <v>1.5380000000000003</v>
      </c>
      <c r="U245" s="29" t="str">
        <f t="shared" si="31"/>
        <v>Medium</v>
      </c>
    </row>
    <row r="246" spans="1:21" ht="15" customHeight="1" x14ac:dyDescent="0.25">
      <c r="A246" s="29">
        <f>Dataset!A246</f>
        <v>242</v>
      </c>
      <c r="B246" s="29">
        <f>IF(Dataset!B246&lt;25,0.3,IF(Dataset!B246&lt;75,0.5,IF(Dataset!B246&lt;120,0.65,0.8)))</f>
        <v>0.5</v>
      </c>
      <c r="C246" s="29">
        <f>IF(Dataset!B246&lt;25,1,IF(Dataset!B246&lt;75,2,IF(Dataset!B246&lt;120,3,4)))</f>
        <v>2</v>
      </c>
      <c r="D246" s="29">
        <f t="shared" si="24"/>
        <v>1</v>
      </c>
      <c r="E246" s="29">
        <f>IF(Dataset!C246&lt;=1,0.3,IF(Dataset!C246=2,0.4,IF(Dataset!C246=3,0.5,IF(Dataset!C246=4,0.65,0.8))))</f>
        <v>0.65</v>
      </c>
      <c r="F246" s="29">
        <f>IF(Dataset!C246&lt;=2,1,IF(Dataset!C246=3,2,IF(Dataset!C246=4,3,4)))</f>
        <v>3</v>
      </c>
      <c r="G246" s="29">
        <f t="shared" si="25"/>
        <v>1.9500000000000002</v>
      </c>
      <c r="H246" s="29">
        <f>IF(Dataset!G246&lt;=3,0.25,IF(Dataset!G246&lt;=6,0.45,IF(Dataset!G246&lt;=9,0.65,0.85)))</f>
        <v>0.45</v>
      </c>
      <c r="I246" s="29">
        <f>IF(Dataset!G246&lt;=3,1,IF(Dataset!G246&lt;=6,2,IF(Dataset!G246&lt;=9,3,4)))</f>
        <v>2</v>
      </c>
      <c r="J246" s="29">
        <f t="shared" si="26"/>
        <v>0.9</v>
      </c>
      <c r="K246" s="29">
        <f>IF(Dataset!H246&lt;1,0.2,IF(Dataset!H246&lt;1.3,0.45,IF(Dataset!H246&lt;1.8,0.7,0.9)))</f>
        <v>0.45</v>
      </c>
      <c r="L246" s="29">
        <f>IF(Dataset!H246&lt;1,1,IF(Dataset!H246&lt;1.3,2,IF(Dataset!H246&lt;1.8,3,4)))</f>
        <v>2</v>
      </c>
      <c r="M246" s="29">
        <f t="shared" si="27"/>
        <v>0.9</v>
      </c>
      <c r="N246" s="29">
        <f>IF(Dataset!F246=1,0.75,IF(Dataset!F246=2,0.45,0.2))</f>
        <v>0.75</v>
      </c>
      <c r="O246" s="29">
        <f>IF(Dataset!F246=1,3,IF(Dataset!F246=2,2,1))</f>
        <v>3</v>
      </c>
      <c r="P246" s="29">
        <f t="shared" si="28"/>
        <v>2.25</v>
      </c>
      <c r="Q246" s="29">
        <f>IF(Dataset!K246&lt;5,0.2,IF(Dataset!K246&lt;10,0.45,IF(Dataset!K246&lt;18,0.7,0.9)))</f>
        <v>0.45</v>
      </c>
      <c r="R246" s="29">
        <f>IF(Dataset!K246&lt;5,1,IF(Dataset!K246&lt;10,2,IF(Dataset!K246&lt;18,3,4)))</f>
        <v>2</v>
      </c>
      <c r="S246" s="29">
        <f t="shared" si="29"/>
        <v>0.9</v>
      </c>
      <c r="T246" s="29">
        <f t="shared" si="30"/>
        <v>1.2000000000000002</v>
      </c>
      <c r="U246" s="29" t="str">
        <f t="shared" si="31"/>
        <v>Low</v>
      </c>
    </row>
    <row r="247" spans="1:21" ht="15" customHeight="1" x14ac:dyDescent="0.25">
      <c r="A247" s="29">
        <f>Dataset!A247</f>
        <v>243</v>
      </c>
      <c r="B247" s="29">
        <f>IF(Dataset!B247&lt;25,0.3,IF(Dataset!B247&lt;75,0.5,IF(Dataset!B247&lt;120,0.65,0.8)))</f>
        <v>0.5</v>
      </c>
      <c r="C247" s="29">
        <f>IF(Dataset!B247&lt;25,1,IF(Dataset!B247&lt;75,2,IF(Dataset!B247&lt;120,3,4)))</f>
        <v>2</v>
      </c>
      <c r="D247" s="29">
        <f t="shared" si="24"/>
        <v>1</v>
      </c>
      <c r="E247" s="29">
        <f>IF(Dataset!C247&lt;=1,0.3,IF(Dataset!C247=2,0.4,IF(Dataset!C247=3,0.5,IF(Dataset!C247=4,0.65,0.8))))</f>
        <v>0.5</v>
      </c>
      <c r="F247" s="29">
        <f>IF(Dataset!C247&lt;=2,1,IF(Dataset!C247=3,2,IF(Dataset!C247=4,3,4)))</f>
        <v>2</v>
      </c>
      <c r="G247" s="29">
        <f t="shared" si="25"/>
        <v>1</v>
      </c>
      <c r="H247" s="29">
        <f>IF(Dataset!G247&lt;=3,0.25,IF(Dataset!G247&lt;=6,0.45,IF(Dataset!G247&lt;=9,0.65,0.85)))</f>
        <v>0.45</v>
      </c>
      <c r="I247" s="29">
        <f>IF(Dataset!G247&lt;=3,1,IF(Dataset!G247&lt;=6,2,IF(Dataset!G247&lt;=9,3,4)))</f>
        <v>2</v>
      </c>
      <c r="J247" s="29">
        <f t="shared" si="26"/>
        <v>0.9</v>
      </c>
      <c r="K247" s="29">
        <f>IF(Dataset!H247&lt;1,0.2,IF(Dataset!H247&lt;1.3,0.45,IF(Dataset!H247&lt;1.8,0.7,0.9)))</f>
        <v>0.7</v>
      </c>
      <c r="L247" s="29">
        <f>IF(Dataset!H247&lt;1,1,IF(Dataset!H247&lt;1.3,2,IF(Dataset!H247&lt;1.8,3,4)))</f>
        <v>3</v>
      </c>
      <c r="M247" s="29">
        <f t="shared" si="27"/>
        <v>2.0999999999999996</v>
      </c>
      <c r="N247" s="29">
        <f>IF(Dataset!F247=1,0.75,IF(Dataset!F247=2,0.45,0.2))</f>
        <v>0.45</v>
      </c>
      <c r="O247" s="29">
        <f>IF(Dataset!F247=1,3,IF(Dataset!F247=2,2,1))</f>
        <v>2</v>
      </c>
      <c r="P247" s="29">
        <f t="shared" si="28"/>
        <v>0.9</v>
      </c>
      <c r="Q247" s="29">
        <f>IF(Dataset!K247&lt;5,0.2,IF(Dataset!K247&lt;10,0.45,IF(Dataset!K247&lt;18,0.7,0.9)))</f>
        <v>0.2</v>
      </c>
      <c r="R247" s="29">
        <f>IF(Dataset!K247&lt;5,1,IF(Dataset!K247&lt;10,2,IF(Dataset!K247&lt;18,3,4)))</f>
        <v>1</v>
      </c>
      <c r="S247" s="29">
        <f t="shared" si="29"/>
        <v>0.2</v>
      </c>
      <c r="T247" s="29">
        <f t="shared" si="30"/>
        <v>1.1220000000000001</v>
      </c>
      <c r="U247" s="29" t="str">
        <f t="shared" si="31"/>
        <v>Low</v>
      </c>
    </row>
    <row r="248" spans="1:21" ht="15" customHeight="1" x14ac:dyDescent="0.25">
      <c r="A248" s="29">
        <f>Dataset!A248</f>
        <v>244</v>
      </c>
      <c r="B248" s="29">
        <f>IF(Dataset!B248&lt;25,0.3,IF(Dataset!B248&lt;75,0.5,IF(Dataset!B248&lt;120,0.65,0.8)))</f>
        <v>0.5</v>
      </c>
      <c r="C248" s="29">
        <f>IF(Dataset!B248&lt;25,1,IF(Dataset!B248&lt;75,2,IF(Dataset!B248&lt;120,3,4)))</f>
        <v>2</v>
      </c>
      <c r="D248" s="29">
        <f t="shared" si="24"/>
        <v>1</v>
      </c>
      <c r="E248" s="29">
        <f>IF(Dataset!C248&lt;=1,0.3,IF(Dataset!C248=2,0.4,IF(Dataset!C248=3,0.5,IF(Dataset!C248=4,0.65,0.8))))</f>
        <v>0.65</v>
      </c>
      <c r="F248" s="29">
        <f>IF(Dataset!C248&lt;=2,1,IF(Dataset!C248=3,2,IF(Dataset!C248=4,3,4)))</f>
        <v>3</v>
      </c>
      <c r="G248" s="29">
        <f t="shared" si="25"/>
        <v>1.9500000000000002</v>
      </c>
      <c r="H248" s="29">
        <f>IF(Dataset!G248&lt;=3,0.25,IF(Dataset!G248&lt;=6,0.45,IF(Dataset!G248&lt;=9,0.65,0.85)))</f>
        <v>0.45</v>
      </c>
      <c r="I248" s="29">
        <f>IF(Dataset!G248&lt;=3,1,IF(Dataset!G248&lt;=6,2,IF(Dataset!G248&lt;=9,3,4)))</f>
        <v>2</v>
      </c>
      <c r="J248" s="29">
        <f t="shared" si="26"/>
        <v>0.9</v>
      </c>
      <c r="K248" s="29">
        <f>IF(Dataset!H248&lt;1,0.2,IF(Dataset!H248&lt;1.3,0.45,IF(Dataset!H248&lt;1.8,0.7,0.9)))</f>
        <v>0.7</v>
      </c>
      <c r="L248" s="29">
        <f>IF(Dataset!H248&lt;1,1,IF(Dataset!H248&lt;1.3,2,IF(Dataset!H248&lt;1.8,3,4)))</f>
        <v>3</v>
      </c>
      <c r="M248" s="29">
        <f t="shared" si="27"/>
        <v>2.0999999999999996</v>
      </c>
      <c r="N248" s="29">
        <f>IF(Dataset!F248=1,0.75,IF(Dataset!F248=2,0.45,0.2))</f>
        <v>0.45</v>
      </c>
      <c r="O248" s="29">
        <f>IF(Dataset!F248=1,3,IF(Dataset!F248=2,2,1))</f>
        <v>2</v>
      </c>
      <c r="P248" s="29">
        <f t="shared" si="28"/>
        <v>0.9</v>
      </c>
      <c r="Q248" s="29">
        <f>IF(Dataset!K248&lt;5,0.2,IF(Dataset!K248&lt;10,0.45,IF(Dataset!K248&lt;18,0.7,0.9)))</f>
        <v>0.45</v>
      </c>
      <c r="R248" s="29">
        <f>IF(Dataset!K248&lt;5,1,IF(Dataset!K248&lt;10,2,IF(Dataset!K248&lt;18,3,4)))</f>
        <v>2</v>
      </c>
      <c r="S248" s="29">
        <f t="shared" si="29"/>
        <v>0.9</v>
      </c>
      <c r="T248" s="29">
        <f t="shared" si="30"/>
        <v>1.3530000000000002</v>
      </c>
      <c r="U248" s="29" t="str">
        <f t="shared" si="31"/>
        <v>Low</v>
      </c>
    </row>
    <row r="249" spans="1:21" ht="15" customHeight="1" x14ac:dyDescent="0.25">
      <c r="A249" s="29">
        <f>Dataset!A249</f>
        <v>245</v>
      </c>
      <c r="B249" s="29">
        <f>IF(Dataset!B249&lt;25,0.3,IF(Dataset!B249&lt;75,0.5,IF(Dataset!B249&lt;120,0.65,0.8)))</f>
        <v>0.5</v>
      </c>
      <c r="C249" s="29">
        <f>IF(Dataset!B249&lt;25,1,IF(Dataset!B249&lt;75,2,IF(Dataset!B249&lt;120,3,4)))</f>
        <v>2</v>
      </c>
      <c r="D249" s="29">
        <f t="shared" si="24"/>
        <v>1</v>
      </c>
      <c r="E249" s="29">
        <f>IF(Dataset!C249&lt;=1,0.3,IF(Dataset!C249=2,0.4,IF(Dataset!C249=3,0.5,IF(Dataset!C249=4,0.65,0.8))))</f>
        <v>0.65</v>
      </c>
      <c r="F249" s="29">
        <f>IF(Dataset!C249&lt;=2,1,IF(Dataset!C249=3,2,IF(Dataset!C249=4,3,4)))</f>
        <v>3</v>
      </c>
      <c r="G249" s="29">
        <f t="shared" si="25"/>
        <v>1.9500000000000002</v>
      </c>
      <c r="H249" s="29">
        <f>IF(Dataset!G249&lt;=3,0.25,IF(Dataset!G249&lt;=6,0.45,IF(Dataset!G249&lt;=9,0.65,0.85)))</f>
        <v>0.65</v>
      </c>
      <c r="I249" s="29">
        <f>IF(Dataset!G249&lt;=3,1,IF(Dataset!G249&lt;=6,2,IF(Dataset!G249&lt;=9,3,4)))</f>
        <v>3</v>
      </c>
      <c r="J249" s="29">
        <f t="shared" si="26"/>
        <v>1.9500000000000002</v>
      </c>
      <c r="K249" s="29">
        <f>IF(Dataset!H249&lt;1,0.2,IF(Dataset!H249&lt;1.3,0.45,IF(Dataset!H249&lt;1.8,0.7,0.9)))</f>
        <v>0.45</v>
      </c>
      <c r="L249" s="29">
        <f>IF(Dataset!H249&lt;1,1,IF(Dataset!H249&lt;1.3,2,IF(Dataset!H249&lt;1.8,3,4)))</f>
        <v>2</v>
      </c>
      <c r="M249" s="29">
        <f t="shared" si="27"/>
        <v>0.9</v>
      </c>
      <c r="N249" s="29">
        <f>IF(Dataset!F249=1,0.75,IF(Dataset!F249=2,0.45,0.2))</f>
        <v>0.45</v>
      </c>
      <c r="O249" s="29">
        <f>IF(Dataset!F249=1,3,IF(Dataset!F249=2,2,1))</f>
        <v>2</v>
      </c>
      <c r="P249" s="29">
        <f t="shared" si="28"/>
        <v>0.9</v>
      </c>
      <c r="Q249" s="29">
        <f>IF(Dataset!K249&lt;5,0.2,IF(Dataset!K249&lt;10,0.45,IF(Dataset!K249&lt;18,0.7,0.9)))</f>
        <v>0.45</v>
      </c>
      <c r="R249" s="29">
        <f>IF(Dataset!K249&lt;5,1,IF(Dataset!K249&lt;10,2,IF(Dataset!K249&lt;18,3,4)))</f>
        <v>2</v>
      </c>
      <c r="S249" s="29">
        <f t="shared" si="29"/>
        <v>0.9</v>
      </c>
      <c r="T249" s="29">
        <f t="shared" si="30"/>
        <v>1.2750000000000004</v>
      </c>
      <c r="U249" s="29" t="str">
        <f t="shared" si="31"/>
        <v>Low</v>
      </c>
    </row>
    <row r="250" spans="1:21" ht="15" customHeight="1" x14ac:dyDescent="0.25">
      <c r="A250" s="29">
        <f>Dataset!A250</f>
        <v>246</v>
      </c>
      <c r="B250" s="29">
        <f>IF(Dataset!B250&lt;25,0.3,IF(Dataset!B250&lt;75,0.5,IF(Dataset!B250&lt;120,0.65,0.8)))</f>
        <v>0.5</v>
      </c>
      <c r="C250" s="29">
        <f>IF(Dataset!B250&lt;25,1,IF(Dataset!B250&lt;75,2,IF(Dataset!B250&lt;120,3,4)))</f>
        <v>2</v>
      </c>
      <c r="D250" s="29">
        <f t="shared" si="24"/>
        <v>1</v>
      </c>
      <c r="E250" s="29">
        <f>IF(Dataset!C250&lt;=1,0.3,IF(Dataset!C250=2,0.4,IF(Dataset!C250=3,0.5,IF(Dataset!C250=4,0.65,0.8))))</f>
        <v>0.5</v>
      </c>
      <c r="F250" s="29">
        <f>IF(Dataset!C250&lt;=2,1,IF(Dataset!C250=3,2,IF(Dataset!C250=4,3,4)))</f>
        <v>2</v>
      </c>
      <c r="G250" s="29">
        <f t="shared" si="25"/>
        <v>1</v>
      </c>
      <c r="H250" s="29">
        <f>IF(Dataset!G250&lt;=3,0.25,IF(Dataset!G250&lt;=6,0.45,IF(Dataset!G250&lt;=9,0.65,0.85)))</f>
        <v>0.45</v>
      </c>
      <c r="I250" s="29">
        <f>IF(Dataset!G250&lt;=3,1,IF(Dataset!G250&lt;=6,2,IF(Dataset!G250&lt;=9,3,4)))</f>
        <v>2</v>
      </c>
      <c r="J250" s="29">
        <f t="shared" si="26"/>
        <v>0.9</v>
      </c>
      <c r="K250" s="29">
        <f>IF(Dataset!H250&lt;1,0.2,IF(Dataset!H250&lt;1.3,0.45,IF(Dataset!H250&lt;1.8,0.7,0.9)))</f>
        <v>0.7</v>
      </c>
      <c r="L250" s="29">
        <f>IF(Dataset!H250&lt;1,1,IF(Dataset!H250&lt;1.3,2,IF(Dataset!H250&lt;1.8,3,4)))</f>
        <v>3</v>
      </c>
      <c r="M250" s="29">
        <f t="shared" si="27"/>
        <v>2.0999999999999996</v>
      </c>
      <c r="N250" s="29">
        <f>IF(Dataset!F250=1,0.75,IF(Dataset!F250=2,0.45,0.2))</f>
        <v>0.75</v>
      </c>
      <c r="O250" s="29">
        <f>IF(Dataset!F250=1,3,IF(Dataset!F250=2,2,1))</f>
        <v>3</v>
      </c>
      <c r="P250" s="29">
        <f t="shared" si="28"/>
        <v>2.25</v>
      </c>
      <c r="Q250" s="29">
        <f>IF(Dataset!K250&lt;5,0.2,IF(Dataset!K250&lt;10,0.45,IF(Dataset!K250&lt;18,0.7,0.9)))</f>
        <v>0.2</v>
      </c>
      <c r="R250" s="29">
        <f>IF(Dataset!K250&lt;5,1,IF(Dataset!K250&lt;10,2,IF(Dataset!K250&lt;18,3,4)))</f>
        <v>1</v>
      </c>
      <c r="S250" s="29">
        <f t="shared" si="29"/>
        <v>0.2</v>
      </c>
      <c r="T250" s="29">
        <f t="shared" si="30"/>
        <v>1.2570000000000001</v>
      </c>
      <c r="U250" s="29" t="str">
        <f t="shared" si="31"/>
        <v>Low</v>
      </c>
    </row>
    <row r="251" spans="1:21" ht="15" customHeight="1" x14ac:dyDescent="0.25">
      <c r="A251" s="29">
        <f>Dataset!A251</f>
        <v>247</v>
      </c>
      <c r="B251" s="29">
        <f>IF(Dataset!B251&lt;25,0.3,IF(Dataset!B251&lt;75,0.5,IF(Dataset!B251&lt;120,0.65,0.8)))</f>
        <v>0.5</v>
      </c>
      <c r="C251" s="29">
        <f>IF(Dataset!B251&lt;25,1,IF(Dataset!B251&lt;75,2,IF(Dataset!B251&lt;120,3,4)))</f>
        <v>2</v>
      </c>
      <c r="D251" s="29">
        <f t="shared" si="24"/>
        <v>1</v>
      </c>
      <c r="E251" s="29">
        <f>IF(Dataset!C251&lt;=1,0.3,IF(Dataset!C251=2,0.4,IF(Dataset!C251=3,0.5,IF(Dataset!C251=4,0.65,0.8))))</f>
        <v>0.5</v>
      </c>
      <c r="F251" s="29">
        <f>IF(Dataset!C251&lt;=2,1,IF(Dataset!C251=3,2,IF(Dataset!C251=4,3,4)))</f>
        <v>2</v>
      </c>
      <c r="G251" s="29">
        <f t="shared" si="25"/>
        <v>1</v>
      </c>
      <c r="H251" s="29">
        <f>IF(Dataset!G251&lt;=3,0.25,IF(Dataset!G251&lt;=6,0.45,IF(Dataset!G251&lt;=9,0.65,0.85)))</f>
        <v>0.25</v>
      </c>
      <c r="I251" s="29">
        <f>IF(Dataset!G251&lt;=3,1,IF(Dataset!G251&lt;=6,2,IF(Dataset!G251&lt;=9,3,4)))</f>
        <v>1</v>
      </c>
      <c r="J251" s="29">
        <f t="shared" si="26"/>
        <v>0.25</v>
      </c>
      <c r="K251" s="29">
        <f>IF(Dataset!H251&lt;1,0.2,IF(Dataset!H251&lt;1.3,0.45,IF(Dataset!H251&lt;1.8,0.7,0.9)))</f>
        <v>0.7</v>
      </c>
      <c r="L251" s="29">
        <f>IF(Dataset!H251&lt;1,1,IF(Dataset!H251&lt;1.3,2,IF(Dataset!H251&lt;1.8,3,4)))</f>
        <v>3</v>
      </c>
      <c r="M251" s="29">
        <f t="shared" si="27"/>
        <v>2.0999999999999996</v>
      </c>
      <c r="N251" s="29">
        <f>IF(Dataset!F251=1,0.75,IF(Dataset!F251=2,0.45,0.2))</f>
        <v>0.45</v>
      </c>
      <c r="O251" s="29">
        <f>IF(Dataset!F251=1,3,IF(Dataset!F251=2,2,1))</f>
        <v>2</v>
      </c>
      <c r="P251" s="29">
        <f t="shared" si="28"/>
        <v>0.9</v>
      </c>
      <c r="Q251" s="29">
        <f>IF(Dataset!K251&lt;5,0.2,IF(Dataset!K251&lt;10,0.45,IF(Dataset!K251&lt;18,0.7,0.9)))</f>
        <v>0.2</v>
      </c>
      <c r="R251" s="29">
        <f>IF(Dataset!K251&lt;5,1,IF(Dataset!K251&lt;10,2,IF(Dataset!K251&lt;18,3,4)))</f>
        <v>1</v>
      </c>
      <c r="S251" s="29">
        <f t="shared" si="29"/>
        <v>0.2</v>
      </c>
      <c r="T251" s="29">
        <f t="shared" si="30"/>
        <v>0.99199999999999988</v>
      </c>
      <c r="U251" s="29" t="str">
        <f t="shared" si="31"/>
        <v>Low</v>
      </c>
    </row>
    <row r="252" spans="1:21" ht="15" customHeight="1" x14ac:dyDescent="0.25">
      <c r="A252" s="29">
        <f>Dataset!A252</f>
        <v>248</v>
      </c>
      <c r="B252" s="29">
        <f>IF(Dataset!B252&lt;25,0.3,IF(Dataset!B252&lt;75,0.5,IF(Dataset!B252&lt;120,0.65,0.8)))</f>
        <v>0.65</v>
      </c>
      <c r="C252" s="29">
        <f>IF(Dataset!B252&lt;25,1,IF(Dataset!B252&lt;75,2,IF(Dataset!B252&lt;120,3,4)))</f>
        <v>3</v>
      </c>
      <c r="D252" s="29">
        <f t="shared" si="24"/>
        <v>1.9500000000000002</v>
      </c>
      <c r="E252" s="29">
        <f>IF(Dataset!C252&lt;=1,0.3,IF(Dataset!C252=2,0.4,IF(Dataset!C252=3,0.5,IF(Dataset!C252=4,0.65,0.8))))</f>
        <v>0.65</v>
      </c>
      <c r="F252" s="29">
        <f>IF(Dataset!C252&lt;=2,1,IF(Dataset!C252=3,2,IF(Dataset!C252=4,3,4)))</f>
        <v>3</v>
      </c>
      <c r="G252" s="29">
        <f t="shared" si="25"/>
        <v>1.9500000000000002</v>
      </c>
      <c r="H252" s="29">
        <f>IF(Dataset!G252&lt;=3,0.25,IF(Dataset!G252&lt;=6,0.45,IF(Dataset!G252&lt;=9,0.65,0.85)))</f>
        <v>0.45</v>
      </c>
      <c r="I252" s="29">
        <f>IF(Dataset!G252&lt;=3,1,IF(Dataset!G252&lt;=6,2,IF(Dataset!G252&lt;=9,3,4)))</f>
        <v>2</v>
      </c>
      <c r="J252" s="29">
        <f t="shared" si="26"/>
        <v>0.9</v>
      </c>
      <c r="K252" s="29">
        <f>IF(Dataset!H252&lt;1,0.2,IF(Dataset!H252&lt;1.3,0.45,IF(Dataset!H252&lt;1.8,0.7,0.9)))</f>
        <v>0.9</v>
      </c>
      <c r="L252" s="29">
        <f>IF(Dataset!H252&lt;1,1,IF(Dataset!H252&lt;1.3,2,IF(Dataset!H252&lt;1.8,3,4)))</f>
        <v>4</v>
      </c>
      <c r="M252" s="29">
        <f t="shared" si="27"/>
        <v>3.6</v>
      </c>
      <c r="N252" s="29">
        <f>IF(Dataset!F252=1,0.75,IF(Dataset!F252=2,0.45,0.2))</f>
        <v>0.75</v>
      </c>
      <c r="O252" s="29">
        <f>IF(Dataset!F252=1,3,IF(Dataset!F252=2,2,1))</f>
        <v>3</v>
      </c>
      <c r="P252" s="29">
        <f t="shared" si="28"/>
        <v>2.25</v>
      </c>
      <c r="Q252" s="29">
        <f>IF(Dataset!K252&lt;5,0.2,IF(Dataset!K252&lt;10,0.45,IF(Dataset!K252&lt;18,0.7,0.9)))</f>
        <v>0.45</v>
      </c>
      <c r="R252" s="29">
        <f>IF(Dataset!K252&lt;5,1,IF(Dataset!K252&lt;10,2,IF(Dataset!K252&lt;18,3,4)))</f>
        <v>2</v>
      </c>
      <c r="S252" s="29">
        <f t="shared" si="29"/>
        <v>0.9</v>
      </c>
      <c r="T252" s="29">
        <f t="shared" si="30"/>
        <v>2.0190000000000001</v>
      </c>
      <c r="U252" s="29" t="str">
        <f t="shared" si="31"/>
        <v>High</v>
      </c>
    </row>
    <row r="253" spans="1:21" ht="15" customHeight="1" x14ac:dyDescent="0.25">
      <c r="A253" s="29">
        <f>Dataset!A253</f>
        <v>249</v>
      </c>
      <c r="B253" s="29">
        <f>IF(Dataset!B253&lt;25,0.3,IF(Dataset!B253&lt;75,0.5,IF(Dataset!B253&lt;120,0.65,0.8)))</f>
        <v>0.8</v>
      </c>
      <c r="C253" s="29">
        <f>IF(Dataset!B253&lt;25,1,IF(Dataset!B253&lt;75,2,IF(Dataset!B253&lt;120,3,4)))</f>
        <v>4</v>
      </c>
      <c r="D253" s="29">
        <f t="shared" si="24"/>
        <v>3.2</v>
      </c>
      <c r="E253" s="29">
        <f>IF(Dataset!C253&lt;=1,0.3,IF(Dataset!C253=2,0.4,IF(Dataset!C253=3,0.5,IF(Dataset!C253=4,0.65,0.8))))</f>
        <v>0.65</v>
      </c>
      <c r="F253" s="29">
        <f>IF(Dataset!C253&lt;=2,1,IF(Dataset!C253=3,2,IF(Dataset!C253=4,3,4)))</f>
        <v>3</v>
      </c>
      <c r="G253" s="29">
        <f t="shared" si="25"/>
        <v>1.9500000000000002</v>
      </c>
      <c r="H253" s="29">
        <f>IF(Dataset!G253&lt;=3,0.25,IF(Dataset!G253&lt;=6,0.45,IF(Dataset!G253&lt;=9,0.65,0.85)))</f>
        <v>0.45</v>
      </c>
      <c r="I253" s="29">
        <f>IF(Dataset!G253&lt;=3,1,IF(Dataset!G253&lt;=6,2,IF(Dataset!G253&lt;=9,3,4)))</f>
        <v>2</v>
      </c>
      <c r="J253" s="29">
        <f t="shared" si="26"/>
        <v>0.9</v>
      </c>
      <c r="K253" s="29">
        <f>IF(Dataset!H253&lt;1,0.2,IF(Dataset!H253&lt;1.3,0.45,IF(Dataset!H253&lt;1.8,0.7,0.9)))</f>
        <v>0.9</v>
      </c>
      <c r="L253" s="29">
        <f>IF(Dataset!H253&lt;1,1,IF(Dataset!H253&lt;1.3,2,IF(Dataset!H253&lt;1.8,3,4)))</f>
        <v>4</v>
      </c>
      <c r="M253" s="29">
        <f t="shared" si="27"/>
        <v>3.6</v>
      </c>
      <c r="N253" s="29">
        <f>IF(Dataset!F253=1,0.75,IF(Dataset!F253=2,0.45,0.2))</f>
        <v>0.45</v>
      </c>
      <c r="O253" s="29">
        <f>IF(Dataset!F253=1,3,IF(Dataset!F253=2,2,1))</f>
        <v>2</v>
      </c>
      <c r="P253" s="29">
        <f t="shared" si="28"/>
        <v>0.9</v>
      </c>
      <c r="Q253" s="29">
        <f>IF(Dataset!K253&lt;5,0.2,IF(Dataset!K253&lt;10,0.45,IF(Dataset!K253&lt;18,0.7,0.9)))</f>
        <v>0.45</v>
      </c>
      <c r="R253" s="29">
        <f>IF(Dataset!K253&lt;5,1,IF(Dataset!K253&lt;10,2,IF(Dataset!K253&lt;18,3,4)))</f>
        <v>2</v>
      </c>
      <c r="S253" s="29">
        <f t="shared" si="29"/>
        <v>0.9</v>
      </c>
      <c r="T253" s="29">
        <f t="shared" si="30"/>
        <v>2.109</v>
      </c>
      <c r="U253" s="29" t="str">
        <f t="shared" si="31"/>
        <v>High</v>
      </c>
    </row>
    <row r="254" spans="1:21" ht="15" customHeight="1" x14ac:dyDescent="0.25">
      <c r="A254" s="29">
        <f>Dataset!A254</f>
        <v>250</v>
      </c>
      <c r="B254" s="29">
        <f>IF(Dataset!B254&lt;25,0.3,IF(Dataset!B254&lt;75,0.5,IF(Dataset!B254&lt;120,0.65,0.8)))</f>
        <v>0.5</v>
      </c>
      <c r="C254" s="29">
        <f>IF(Dataset!B254&lt;25,1,IF(Dataset!B254&lt;75,2,IF(Dataset!B254&lt;120,3,4)))</f>
        <v>2</v>
      </c>
      <c r="D254" s="29">
        <f t="shared" si="24"/>
        <v>1</v>
      </c>
      <c r="E254" s="29">
        <f>IF(Dataset!C254&lt;=1,0.3,IF(Dataset!C254=2,0.4,IF(Dataset!C254=3,0.5,IF(Dataset!C254=4,0.65,0.8))))</f>
        <v>0.5</v>
      </c>
      <c r="F254" s="29">
        <f>IF(Dataset!C254&lt;=2,1,IF(Dataset!C254=3,2,IF(Dataset!C254=4,3,4)))</f>
        <v>2</v>
      </c>
      <c r="G254" s="29">
        <f t="shared" si="25"/>
        <v>1</v>
      </c>
      <c r="H254" s="29">
        <f>IF(Dataset!G254&lt;=3,0.25,IF(Dataset!G254&lt;=6,0.45,IF(Dataset!G254&lt;=9,0.65,0.85)))</f>
        <v>0.65</v>
      </c>
      <c r="I254" s="29">
        <f>IF(Dataset!G254&lt;=3,1,IF(Dataset!G254&lt;=6,2,IF(Dataset!G254&lt;=9,3,4)))</f>
        <v>3</v>
      </c>
      <c r="J254" s="29">
        <f t="shared" si="26"/>
        <v>1.9500000000000002</v>
      </c>
      <c r="K254" s="29">
        <f>IF(Dataset!H254&lt;1,0.2,IF(Dataset!H254&lt;1.3,0.45,IF(Dataset!H254&lt;1.8,0.7,0.9)))</f>
        <v>0.2</v>
      </c>
      <c r="L254" s="29">
        <f>IF(Dataset!H254&lt;1,1,IF(Dataset!H254&lt;1.3,2,IF(Dataset!H254&lt;1.8,3,4)))</f>
        <v>1</v>
      </c>
      <c r="M254" s="29">
        <f t="shared" si="27"/>
        <v>0.2</v>
      </c>
      <c r="N254" s="29">
        <f>IF(Dataset!F254=1,0.75,IF(Dataset!F254=2,0.45,0.2))</f>
        <v>0.45</v>
      </c>
      <c r="O254" s="29">
        <f>IF(Dataset!F254=1,3,IF(Dataset!F254=2,2,1))</f>
        <v>2</v>
      </c>
      <c r="P254" s="29">
        <f t="shared" si="28"/>
        <v>0.9</v>
      </c>
      <c r="Q254" s="29">
        <f>IF(Dataset!K254&lt;5,0.2,IF(Dataset!K254&lt;10,0.45,IF(Dataset!K254&lt;18,0.7,0.9)))</f>
        <v>0.2</v>
      </c>
      <c r="R254" s="29">
        <f>IF(Dataset!K254&lt;5,1,IF(Dataset!K254&lt;10,2,IF(Dataset!K254&lt;18,3,4)))</f>
        <v>1</v>
      </c>
      <c r="S254" s="29">
        <f t="shared" si="29"/>
        <v>0.2</v>
      </c>
      <c r="T254" s="29">
        <f t="shared" si="30"/>
        <v>0.87600000000000011</v>
      </c>
      <c r="U254" s="29" t="str">
        <f t="shared" si="31"/>
        <v>Low</v>
      </c>
    </row>
    <row r="255" spans="1:21" ht="15" customHeight="1" x14ac:dyDescent="0.25">
      <c r="A255" s="29">
        <f>Dataset!A255</f>
        <v>251</v>
      </c>
      <c r="B255" s="29">
        <f>IF(Dataset!B255&lt;25,0.3,IF(Dataset!B255&lt;75,0.5,IF(Dataset!B255&lt;120,0.65,0.8)))</f>
        <v>0.5</v>
      </c>
      <c r="C255" s="29">
        <f>IF(Dataset!B255&lt;25,1,IF(Dataset!B255&lt;75,2,IF(Dataset!B255&lt;120,3,4)))</f>
        <v>2</v>
      </c>
      <c r="D255" s="29">
        <f t="shared" si="24"/>
        <v>1</v>
      </c>
      <c r="E255" s="29">
        <f>IF(Dataset!C255&lt;=1,0.3,IF(Dataset!C255=2,0.4,IF(Dataset!C255=3,0.5,IF(Dataset!C255=4,0.65,0.8))))</f>
        <v>0.5</v>
      </c>
      <c r="F255" s="29">
        <f>IF(Dataset!C255&lt;=2,1,IF(Dataset!C255=3,2,IF(Dataset!C255=4,3,4)))</f>
        <v>2</v>
      </c>
      <c r="G255" s="29">
        <f t="shared" si="25"/>
        <v>1</v>
      </c>
      <c r="H255" s="29">
        <f>IF(Dataset!G255&lt;=3,0.25,IF(Dataset!G255&lt;=6,0.45,IF(Dataset!G255&lt;=9,0.65,0.85)))</f>
        <v>0.45</v>
      </c>
      <c r="I255" s="29">
        <f>IF(Dataset!G255&lt;=3,1,IF(Dataset!G255&lt;=6,2,IF(Dataset!G255&lt;=9,3,4)))</f>
        <v>2</v>
      </c>
      <c r="J255" s="29">
        <f t="shared" si="26"/>
        <v>0.9</v>
      </c>
      <c r="K255" s="29">
        <f>IF(Dataset!H255&lt;1,0.2,IF(Dataset!H255&lt;1.3,0.45,IF(Dataset!H255&lt;1.8,0.7,0.9)))</f>
        <v>0.9</v>
      </c>
      <c r="L255" s="29">
        <f>IF(Dataset!H255&lt;1,1,IF(Dataset!H255&lt;1.3,2,IF(Dataset!H255&lt;1.8,3,4)))</f>
        <v>4</v>
      </c>
      <c r="M255" s="29">
        <f t="shared" si="27"/>
        <v>3.6</v>
      </c>
      <c r="N255" s="29">
        <f>IF(Dataset!F255=1,0.75,IF(Dataset!F255=2,0.45,0.2))</f>
        <v>0.75</v>
      </c>
      <c r="O255" s="29">
        <f>IF(Dataset!F255=1,3,IF(Dataset!F255=2,2,1))</f>
        <v>3</v>
      </c>
      <c r="P255" s="29">
        <f t="shared" si="28"/>
        <v>2.25</v>
      </c>
      <c r="Q255" s="29">
        <f>IF(Dataset!K255&lt;5,0.2,IF(Dataset!K255&lt;10,0.45,IF(Dataset!K255&lt;18,0.7,0.9)))</f>
        <v>0.45</v>
      </c>
      <c r="R255" s="29">
        <f>IF(Dataset!K255&lt;5,1,IF(Dataset!K255&lt;10,2,IF(Dataset!K255&lt;18,3,4)))</f>
        <v>2</v>
      </c>
      <c r="S255" s="29">
        <f t="shared" si="29"/>
        <v>0.9</v>
      </c>
      <c r="T255" s="29">
        <f t="shared" si="30"/>
        <v>1.7150000000000001</v>
      </c>
      <c r="U255" s="29" t="str">
        <f t="shared" si="31"/>
        <v>Medium</v>
      </c>
    </row>
    <row r="256" spans="1:21" ht="15" customHeight="1" x14ac:dyDescent="0.25">
      <c r="A256" s="29">
        <f>Dataset!A256</f>
        <v>252</v>
      </c>
      <c r="B256" s="29">
        <f>IF(Dataset!B256&lt;25,0.3,IF(Dataset!B256&lt;75,0.5,IF(Dataset!B256&lt;120,0.65,0.8)))</f>
        <v>0.3</v>
      </c>
      <c r="C256" s="29">
        <f>IF(Dataset!B256&lt;25,1,IF(Dataset!B256&lt;75,2,IF(Dataset!B256&lt;120,3,4)))</f>
        <v>1</v>
      </c>
      <c r="D256" s="29">
        <f t="shared" si="24"/>
        <v>0.3</v>
      </c>
      <c r="E256" s="29">
        <f>IF(Dataset!C256&lt;=1,0.3,IF(Dataset!C256=2,0.4,IF(Dataset!C256=3,0.5,IF(Dataset!C256=4,0.65,0.8))))</f>
        <v>0.65</v>
      </c>
      <c r="F256" s="29">
        <f>IF(Dataset!C256&lt;=2,1,IF(Dataset!C256=3,2,IF(Dataset!C256=4,3,4)))</f>
        <v>3</v>
      </c>
      <c r="G256" s="29">
        <f t="shared" si="25"/>
        <v>1.9500000000000002</v>
      </c>
      <c r="H256" s="29">
        <f>IF(Dataset!G256&lt;=3,0.25,IF(Dataset!G256&lt;=6,0.45,IF(Dataset!G256&lt;=9,0.65,0.85)))</f>
        <v>0.45</v>
      </c>
      <c r="I256" s="29">
        <f>IF(Dataset!G256&lt;=3,1,IF(Dataset!G256&lt;=6,2,IF(Dataset!G256&lt;=9,3,4)))</f>
        <v>2</v>
      </c>
      <c r="J256" s="29">
        <f t="shared" si="26"/>
        <v>0.9</v>
      </c>
      <c r="K256" s="29">
        <f>IF(Dataset!H256&lt;1,0.2,IF(Dataset!H256&lt;1.3,0.45,IF(Dataset!H256&lt;1.8,0.7,0.9)))</f>
        <v>0.7</v>
      </c>
      <c r="L256" s="29">
        <f>IF(Dataset!H256&lt;1,1,IF(Dataset!H256&lt;1.3,2,IF(Dataset!H256&lt;1.8,3,4)))</f>
        <v>3</v>
      </c>
      <c r="M256" s="29">
        <f t="shared" si="27"/>
        <v>2.0999999999999996</v>
      </c>
      <c r="N256" s="29">
        <f>IF(Dataset!F256=1,0.75,IF(Dataset!F256=2,0.45,0.2))</f>
        <v>0.45</v>
      </c>
      <c r="O256" s="29">
        <f>IF(Dataset!F256=1,3,IF(Dataset!F256=2,2,1))</f>
        <v>2</v>
      </c>
      <c r="P256" s="29">
        <f t="shared" si="28"/>
        <v>0.9</v>
      </c>
      <c r="Q256" s="29">
        <f>IF(Dataset!K256&lt;5,0.2,IF(Dataset!K256&lt;10,0.45,IF(Dataset!K256&lt;18,0.7,0.9)))</f>
        <v>0.45</v>
      </c>
      <c r="R256" s="29">
        <f>IF(Dataset!K256&lt;5,1,IF(Dataset!K256&lt;10,2,IF(Dataset!K256&lt;18,3,4)))</f>
        <v>2</v>
      </c>
      <c r="S256" s="29">
        <f t="shared" si="29"/>
        <v>0.9</v>
      </c>
      <c r="T256" s="29">
        <f t="shared" si="30"/>
        <v>1.2270000000000003</v>
      </c>
      <c r="U256" s="29" t="str">
        <f t="shared" si="31"/>
        <v>Low</v>
      </c>
    </row>
    <row r="257" spans="1:21" ht="15" customHeight="1" x14ac:dyDescent="0.25">
      <c r="A257" s="29">
        <f>Dataset!A257</f>
        <v>253</v>
      </c>
      <c r="B257" s="29">
        <f>IF(Dataset!B257&lt;25,0.3,IF(Dataset!B257&lt;75,0.5,IF(Dataset!B257&lt;120,0.65,0.8)))</f>
        <v>0.8</v>
      </c>
      <c r="C257" s="29">
        <f>IF(Dataset!B257&lt;25,1,IF(Dataset!B257&lt;75,2,IF(Dataset!B257&lt;120,3,4)))</f>
        <v>4</v>
      </c>
      <c r="D257" s="29">
        <f t="shared" si="24"/>
        <v>3.2</v>
      </c>
      <c r="E257" s="29">
        <f>IF(Dataset!C257&lt;=1,0.3,IF(Dataset!C257=2,0.4,IF(Dataset!C257=3,0.5,IF(Dataset!C257=4,0.65,0.8))))</f>
        <v>0.65</v>
      </c>
      <c r="F257" s="29">
        <f>IF(Dataset!C257&lt;=2,1,IF(Dataset!C257=3,2,IF(Dataset!C257=4,3,4)))</f>
        <v>3</v>
      </c>
      <c r="G257" s="29">
        <f t="shared" si="25"/>
        <v>1.9500000000000002</v>
      </c>
      <c r="H257" s="29">
        <f>IF(Dataset!G257&lt;=3,0.25,IF(Dataset!G257&lt;=6,0.45,IF(Dataset!G257&lt;=9,0.65,0.85)))</f>
        <v>0.45</v>
      </c>
      <c r="I257" s="29">
        <f>IF(Dataset!G257&lt;=3,1,IF(Dataset!G257&lt;=6,2,IF(Dataset!G257&lt;=9,3,4)))</f>
        <v>2</v>
      </c>
      <c r="J257" s="29">
        <f t="shared" si="26"/>
        <v>0.9</v>
      </c>
      <c r="K257" s="29">
        <f>IF(Dataset!H257&lt;1,0.2,IF(Dataset!H257&lt;1.3,0.45,IF(Dataset!H257&lt;1.8,0.7,0.9)))</f>
        <v>0.2</v>
      </c>
      <c r="L257" s="29">
        <f>IF(Dataset!H257&lt;1,1,IF(Dataset!H257&lt;1.3,2,IF(Dataset!H257&lt;1.8,3,4)))</f>
        <v>1</v>
      </c>
      <c r="M257" s="29">
        <f t="shared" si="27"/>
        <v>0.2</v>
      </c>
      <c r="N257" s="29">
        <f>IF(Dataset!F257=1,0.75,IF(Dataset!F257=2,0.45,0.2))</f>
        <v>0.2</v>
      </c>
      <c r="O257" s="29">
        <f>IF(Dataset!F257=1,3,IF(Dataset!F257=2,2,1))</f>
        <v>1</v>
      </c>
      <c r="P257" s="29">
        <f t="shared" si="28"/>
        <v>0.2</v>
      </c>
      <c r="Q257" s="29">
        <f>IF(Dataset!K257&lt;5,0.2,IF(Dataset!K257&lt;10,0.45,IF(Dataset!K257&lt;18,0.7,0.9)))</f>
        <v>0.7</v>
      </c>
      <c r="R257" s="29">
        <f>IF(Dataset!K257&lt;5,1,IF(Dataset!K257&lt;10,2,IF(Dataset!K257&lt;18,3,4)))</f>
        <v>3</v>
      </c>
      <c r="S257" s="29">
        <f t="shared" si="29"/>
        <v>2.0999999999999996</v>
      </c>
      <c r="T257" s="29">
        <f t="shared" si="30"/>
        <v>1.391</v>
      </c>
      <c r="U257" s="29" t="str">
        <f t="shared" si="31"/>
        <v>Medium</v>
      </c>
    </row>
    <row r="258" spans="1:21" ht="15" customHeight="1" x14ac:dyDescent="0.25">
      <c r="A258" s="29">
        <f>Dataset!A258</f>
        <v>254</v>
      </c>
      <c r="B258" s="29">
        <f>IF(Dataset!B258&lt;25,0.3,IF(Dataset!B258&lt;75,0.5,IF(Dataset!B258&lt;120,0.65,0.8)))</f>
        <v>0.5</v>
      </c>
      <c r="C258" s="29">
        <f>IF(Dataset!B258&lt;25,1,IF(Dataset!B258&lt;75,2,IF(Dataset!B258&lt;120,3,4)))</f>
        <v>2</v>
      </c>
      <c r="D258" s="29">
        <f t="shared" si="24"/>
        <v>1</v>
      </c>
      <c r="E258" s="29">
        <f>IF(Dataset!C258&lt;=1,0.3,IF(Dataset!C258=2,0.4,IF(Dataset!C258=3,0.5,IF(Dataset!C258=4,0.65,0.8))))</f>
        <v>0.4</v>
      </c>
      <c r="F258" s="29">
        <f>IF(Dataset!C258&lt;=2,1,IF(Dataset!C258=3,2,IF(Dataset!C258=4,3,4)))</f>
        <v>1</v>
      </c>
      <c r="G258" s="29">
        <f t="shared" si="25"/>
        <v>0.4</v>
      </c>
      <c r="H258" s="29">
        <f>IF(Dataset!G258&lt;=3,0.25,IF(Dataset!G258&lt;=6,0.45,IF(Dataset!G258&lt;=9,0.65,0.85)))</f>
        <v>0.65</v>
      </c>
      <c r="I258" s="29">
        <f>IF(Dataset!G258&lt;=3,1,IF(Dataset!G258&lt;=6,2,IF(Dataset!G258&lt;=9,3,4)))</f>
        <v>3</v>
      </c>
      <c r="J258" s="29">
        <f t="shared" si="26"/>
        <v>1.9500000000000002</v>
      </c>
      <c r="K258" s="29">
        <f>IF(Dataset!H258&lt;1,0.2,IF(Dataset!H258&lt;1.3,0.45,IF(Dataset!H258&lt;1.8,0.7,0.9)))</f>
        <v>0.45</v>
      </c>
      <c r="L258" s="29">
        <f>IF(Dataset!H258&lt;1,1,IF(Dataset!H258&lt;1.3,2,IF(Dataset!H258&lt;1.8,3,4)))</f>
        <v>2</v>
      </c>
      <c r="M258" s="29">
        <f t="shared" si="27"/>
        <v>0.9</v>
      </c>
      <c r="N258" s="29">
        <f>IF(Dataset!F258=1,0.75,IF(Dataset!F258=2,0.45,0.2))</f>
        <v>0.45</v>
      </c>
      <c r="O258" s="29">
        <f>IF(Dataset!F258=1,3,IF(Dataset!F258=2,2,1))</f>
        <v>2</v>
      </c>
      <c r="P258" s="29">
        <f t="shared" si="28"/>
        <v>0.9</v>
      </c>
      <c r="Q258" s="29">
        <f>IF(Dataset!K258&lt;5,0.2,IF(Dataset!K258&lt;10,0.45,IF(Dataset!K258&lt;18,0.7,0.9)))</f>
        <v>0.2</v>
      </c>
      <c r="R258" s="29">
        <f>IF(Dataset!K258&lt;5,1,IF(Dataset!K258&lt;10,2,IF(Dataset!K258&lt;18,3,4)))</f>
        <v>1</v>
      </c>
      <c r="S258" s="29">
        <f t="shared" si="29"/>
        <v>0.2</v>
      </c>
      <c r="T258" s="29">
        <f t="shared" si="30"/>
        <v>0.96000000000000008</v>
      </c>
      <c r="U258" s="29" t="str">
        <f t="shared" si="31"/>
        <v>Low</v>
      </c>
    </row>
    <row r="259" spans="1:21" ht="15" customHeight="1" x14ac:dyDescent="0.25">
      <c r="A259" s="29">
        <f>Dataset!A259</f>
        <v>255</v>
      </c>
      <c r="B259" s="29">
        <f>IF(Dataset!B259&lt;25,0.3,IF(Dataset!B259&lt;75,0.5,IF(Dataset!B259&lt;120,0.65,0.8)))</f>
        <v>0.8</v>
      </c>
      <c r="C259" s="29">
        <f>IF(Dataset!B259&lt;25,1,IF(Dataset!B259&lt;75,2,IF(Dataset!B259&lt;120,3,4)))</f>
        <v>4</v>
      </c>
      <c r="D259" s="29">
        <f t="shared" si="24"/>
        <v>3.2</v>
      </c>
      <c r="E259" s="29">
        <f>IF(Dataset!C259&lt;=1,0.3,IF(Dataset!C259=2,0.4,IF(Dataset!C259=3,0.5,IF(Dataset!C259=4,0.65,0.8))))</f>
        <v>0.5</v>
      </c>
      <c r="F259" s="29">
        <f>IF(Dataset!C259&lt;=2,1,IF(Dataset!C259=3,2,IF(Dataset!C259=4,3,4)))</f>
        <v>2</v>
      </c>
      <c r="G259" s="29">
        <f t="shared" si="25"/>
        <v>1</v>
      </c>
      <c r="H259" s="29">
        <f>IF(Dataset!G259&lt;=3,0.25,IF(Dataset!G259&lt;=6,0.45,IF(Dataset!G259&lt;=9,0.65,0.85)))</f>
        <v>0.45</v>
      </c>
      <c r="I259" s="29">
        <f>IF(Dataset!G259&lt;=3,1,IF(Dataset!G259&lt;=6,2,IF(Dataset!G259&lt;=9,3,4)))</f>
        <v>2</v>
      </c>
      <c r="J259" s="29">
        <f t="shared" si="26"/>
        <v>0.9</v>
      </c>
      <c r="K259" s="29">
        <f>IF(Dataset!H259&lt;1,0.2,IF(Dataset!H259&lt;1.3,0.45,IF(Dataset!H259&lt;1.8,0.7,0.9)))</f>
        <v>0.9</v>
      </c>
      <c r="L259" s="29">
        <f>IF(Dataset!H259&lt;1,1,IF(Dataset!H259&lt;1.3,2,IF(Dataset!H259&lt;1.8,3,4)))</f>
        <v>4</v>
      </c>
      <c r="M259" s="29">
        <f t="shared" si="27"/>
        <v>3.6</v>
      </c>
      <c r="N259" s="29">
        <f>IF(Dataset!F259=1,0.75,IF(Dataset!F259=2,0.45,0.2))</f>
        <v>0.75</v>
      </c>
      <c r="O259" s="29">
        <f>IF(Dataset!F259=1,3,IF(Dataset!F259=2,2,1))</f>
        <v>3</v>
      </c>
      <c r="P259" s="29">
        <f t="shared" si="28"/>
        <v>2.25</v>
      </c>
      <c r="Q259" s="29">
        <f>IF(Dataset!K259&lt;5,0.2,IF(Dataset!K259&lt;10,0.45,IF(Dataset!K259&lt;18,0.7,0.9)))</f>
        <v>0.45</v>
      </c>
      <c r="R259" s="29">
        <f>IF(Dataset!K259&lt;5,1,IF(Dataset!K259&lt;10,2,IF(Dataset!K259&lt;18,3,4)))</f>
        <v>2</v>
      </c>
      <c r="S259" s="29">
        <f t="shared" si="29"/>
        <v>0.9</v>
      </c>
      <c r="T259" s="29">
        <f t="shared" si="30"/>
        <v>2.1110000000000002</v>
      </c>
      <c r="U259" s="29" t="str">
        <f t="shared" si="31"/>
        <v>High</v>
      </c>
    </row>
    <row r="260" spans="1:21" ht="15" customHeight="1" x14ac:dyDescent="0.25">
      <c r="A260" s="29">
        <f>Dataset!A260</f>
        <v>256</v>
      </c>
      <c r="B260" s="29">
        <f>IF(Dataset!B260&lt;25,0.3,IF(Dataset!B260&lt;75,0.5,IF(Dataset!B260&lt;120,0.65,0.8)))</f>
        <v>0.5</v>
      </c>
      <c r="C260" s="29">
        <f>IF(Dataset!B260&lt;25,1,IF(Dataset!B260&lt;75,2,IF(Dataset!B260&lt;120,3,4)))</f>
        <v>2</v>
      </c>
      <c r="D260" s="29">
        <f t="shared" si="24"/>
        <v>1</v>
      </c>
      <c r="E260" s="29">
        <f>IF(Dataset!C260&lt;=1,0.3,IF(Dataset!C260=2,0.4,IF(Dataset!C260=3,0.5,IF(Dataset!C260=4,0.65,0.8))))</f>
        <v>0.8</v>
      </c>
      <c r="F260" s="29">
        <f>IF(Dataset!C260&lt;=2,1,IF(Dataset!C260=3,2,IF(Dataset!C260=4,3,4)))</f>
        <v>4</v>
      </c>
      <c r="G260" s="29">
        <f t="shared" si="25"/>
        <v>3.2</v>
      </c>
      <c r="H260" s="29">
        <f>IF(Dataset!G260&lt;=3,0.25,IF(Dataset!G260&lt;=6,0.45,IF(Dataset!G260&lt;=9,0.65,0.85)))</f>
        <v>0.25</v>
      </c>
      <c r="I260" s="29">
        <f>IF(Dataset!G260&lt;=3,1,IF(Dataset!G260&lt;=6,2,IF(Dataset!G260&lt;=9,3,4)))</f>
        <v>1</v>
      </c>
      <c r="J260" s="29">
        <f t="shared" si="26"/>
        <v>0.25</v>
      </c>
      <c r="K260" s="29">
        <f>IF(Dataset!H260&lt;1,0.2,IF(Dataset!H260&lt;1.3,0.45,IF(Dataset!H260&lt;1.8,0.7,0.9)))</f>
        <v>0.9</v>
      </c>
      <c r="L260" s="29">
        <f>IF(Dataset!H260&lt;1,1,IF(Dataset!H260&lt;1.3,2,IF(Dataset!H260&lt;1.8,3,4)))</f>
        <v>4</v>
      </c>
      <c r="M260" s="29">
        <f t="shared" si="27"/>
        <v>3.6</v>
      </c>
      <c r="N260" s="29">
        <f>IF(Dataset!F260=1,0.75,IF(Dataset!F260=2,0.45,0.2))</f>
        <v>0.45</v>
      </c>
      <c r="O260" s="29">
        <f>IF(Dataset!F260=1,3,IF(Dataset!F260=2,2,1))</f>
        <v>2</v>
      </c>
      <c r="P260" s="29">
        <f t="shared" si="28"/>
        <v>0.9</v>
      </c>
      <c r="Q260" s="29">
        <f>IF(Dataset!K260&lt;5,0.2,IF(Dataset!K260&lt;10,0.45,IF(Dataset!K260&lt;18,0.7,0.9)))</f>
        <v>0.7</v>
      </c>
      <c r="R260" s="29">
        <f>IF(Dataset!K260&lt;5,1,IF(Dataset!K260&lt;10,2,IF(Dataset!K260&lt;18,3,4)))</f>
        <v>3</v>
      </c>
      <c r="S260" s="29">
        <f t="shared" si="29"/>
        <v>2.0999999999999996</v>
      </c>
      <c r="T260" s="29">
        <f t="shared" si="30"/>
        <v>1.9260000000000004</v>
      </c>
      <c r="U260" s="29" t="str">
        <f t="shared" si="31"/>
        <v>High</v>
      </c>
    </row>
    <row r="261" spans="1:21" ht="15" customHeight="1" x14ac:dyDescent="0.25">
      <c r="A261" s="29">
        <f>Dataset!A261</f>
        <v>257</v>
      </c>
      <c r="B261" s="29">
        <f>IF(Dataset!B261&lt;25,0.3,IF(Dataset!B261&lt;75,0.5,IF(Dataset!B261&lt;120,0.65,0.8)))</f>
        <v>0.3</v>
      </c>
      <c r="C261" s="29">
        <f>IF(Dataset!B261&lt;25,1,IF(Dataset!B261&lt;75,2,IF(Dataset!B261&lt;120,3,4)))</f>
        <v>1</v>
      </c>
      <c r="D261" s="29">
        <f t="shared" ref="D261:D324" si="32">B261*C261</f>
        <v>0.3</v>
      </c>
      <c r="E261" s="29">
        <f>IF(Dataset!C261&lt;=1,0.3,IF(Dataset!C261=2,0.4,IF(Dataset!C261=3,0.5,IF(Dataset!C261=4,0.65,0.8))))</f>
        <v>0.3</v>
      </c>
      <c r="F261" s="29">
        <f>IF(Dataset!C261&lt;=2,1,IF(Dataset!C261=3,2,IF(Dataset!C261=4,3,4)))</f>
        <v>1</v>
      </c>
      <c r="G261" s="29">
        <f t="shared" ref="G261:G324" si="33">E261*F261</f>
        <v>0.3</v>
      </c>
      <c r="H261" s="29">
        <f>IF(Dataset!G261&lt;=3,0.25,IF(Dataset!G261&lt;=6,0.45,IF(Dataset!G261&lt;=9,0.65,0.85)))</f>
        <v>0.25</v>
      </c>
      <c r="I261" s="29">
        <f>IF(Dataset!G261&lt;=3,1,IF(Dataset!G261&lt;=6,2,IF(Dataset!G261&lt;=9,3,4)))</f>
        <v>1</v>
      </c>
      <c r="J261" s="29">
        <f t="shared" ref="J261:J324" si="34">H261*I261</f>
        <v>0.25</v>
      </c>
      <c r="K261" s="29">
        <f>IF(Dataset!H261&lt;1,0.2,IF(Dataset!H261&lt;1.3,0.45,IF(Dataset!H261&lt;1.8,0.7,0.9)))</f>
        <v>0.7</v>
      </c>
      <c r="L261" s="29">
        <f>IF(Dataset!H261&lt;1,1,IF(Dataset!H261&lt;1.3,2,IF(Dataset!H261&lt;1.8,3,4)))</f>
        <v>3</v>
      </c>
      <c r="M261" s="29">
        <f t="shared" ref="M261:M324" si="35">K261*L261</f>
        <v>2.0999999999999996</v>
      </c>
      <c r="N261" s="29">
        <f>IF(Dataset!F261=1,0.75,IF(Dataset!F261=2,0.45,0.2))</f>
        <v>0.45</v>
      </c>
      <c r="O261" s="29">
        <f>IF(Dataset!F261=1,3,IF(Dataset!F261=2,2,1))</f>
        <v>2</v>
      </c>
      <c r="P261" s="29">
        <f t="shared" ref="P261:P324" si="36">N261*O261</f>
        <v>0.9</v>
      </c>
      <c r="Q261" s="29">
        <f>IF(Dataset!K261&lt;5,0.2,IF(Dataset!K261&lt;10,0.45,IF(Dataset!K261&lt;18,0.7,0.9)))</f>
        <v>0.2</v>
      </c>
      <c r="R261" s="29">
        <f>IF(Dataset!K261&lt;5,1,IF(Dataset!K261&lt;10,2,IF(Dataset!K261&lt;18,3,4)))</f>
        <v>1</v>
      </c>
      <c r="S261" s="29">
        <f t="shared" ref="S261:S324" si="37">Q261*R261</f>
        <v>0.2</v>
      </c>
      <c r="T261" s="29">
        <f t="shared" ref="T261:T324" si="38">$Y$6*D261+$Y$7*G261+$Y$8*J261+$Y$9*M261+$Y$10*P261+$Y$11*S261</f>
        <v>0.7679999999999999</v>
      </c>
      <c r="U261" s="29" t="str">
        <f t="shared" ref="U261:U324" si="39">IF(T261&lt;=$Y$15,"Low",IF(T261&lt;=$Y$16,"Medium","High"))</f>
        <v>Low</v>
      </c>
    </row>
    <row r="262" spans="1:21" ht="15" customHeight="1" x14ac:dyDescent="0.25">
      <c r="A262" s="29">
        <f>Dataset!A262</f>
        <v>258</v>
      </c>
      <c r="B262" s="29">
        <f>IF(Dataset!B262&lt;25,0.3,IF(Dataset!B262&lt;75,0.5,IF(Dataset!B262&lt;120,0.65,0.8)))</f>
        <v>0.5</v>
      </c>
      <c r="C262" s="29">
        <f>IF(Dataset!B262&lt;25,1,IF(Dataset!B262&lt;75,2,IF(Dataset!B262&lt;120,3,4)))</f>
        <v>2</v>
      </c>
      <c r="D262" s="29">
        <f t="shared" si="32"/>
        <v>1</v>
      </c>
      <c r="E262" s="29">
        <f>IF(Dataset!C262&lt;=1,0.3,IF(Dataset!C262=2,0.4,IF(Dataset!C262=3,0.5,IF(Dataset!C262=4,0.65,0.8))))</f>
        <v>0.8</v>
      </c>
      <c r="F262" s="29">
        <f>IF(Dataset!C262&lt;=2,1,IF(Dataset!C262=3,2,IF(Dataset!C262=4,3,4)))</f>
        <v>4</v>
      </c>
      <c r="G262" s="29">
        <f t="shared" si="33"/>
        <v>3.2</v>
      </c>
      <c r="H262" s="29">
        <f>IF(Dataset!G262&lt;=3,0.25,IF(Dataset!G262&lt;=6,0.45,IF(Dataset!G262&lt;=9,0.65,0.85)))</f>
        <v>0.25</v>
      </c>
      <c r="I262" s="29">
        <f>IF(Dataset!G262&lt;=3,1,IF(Dataset!G262&lt;=6,2,IF(Dataset!G262&lt;=9,3,4)))</f>
        <v>1</v>
      </c>
      <c r="J262" s="29">
        <f t="shared" si="34"/>
        <v>0.25</v>
      </c>
      <c r="K262" s="29">
        <f>IF(Dataset!H262&lt;1,0.2,IF(Dataset!H262&lt;1.3,0.45,IF(Dataset!H262&lt;1.8,0.7,0.9)))</f>
        <v>0.45</v>
      </c>
      <c r="L262" s="29">
        <f>IF(Dataset!H262&lt;1,1,IF(Dataset!H262&lt;1.3,2,IF(Dataset!H262&lt;1.8,3,4)))</f>
        <v>2</v>
      </c>
      <c r="M262" s="29">
        <f t="shared" si="35"/>
        <v>0.9</v>
      </c>
      <c r="N262" s="29">
        <f>IF(Dataset!F262=1,0.75,IF(Dataset!F262=2,0.45,0.2))</f>
        <v>0.45</v>
      </c>
      <c r="O262" s="29">
        <f>IF(Dataset!F262=1,3,IF(Dataset!F262=2,2,1))</f>
        <v>2</v>
      </c>
      <c r="P262" s="29">
        <f t="shared" si="36"/>
        <v>0.9</v>
      </c>
      <c r="Q262" s="29">
        <f>IF(Dataset!K262&lt;5,0.2,IF(Dataset!K262&lt;10,0.45,IF(Dataset!K262&lt;18,0.7,0.9)))</f>
        <v>0.9</v>
      </c>
      <c r="R262" s="29">
        <f>IF(Dataset!K262&lt;5,1,IF(Dataset!K262&lt;10,2,IF(Dataset!K262&lt;18,3,4)))</f>
        <v>4</v>
      </c>
      <c r="S262" s="29">
        <f t="shared" si="37"/>
        <v>3.6</v>
      </c>
      <c r="T262" s="29">
        <f t="shared" si="38"/>
        <v>1.4880000000000002</v>
      </c>
      <c r="U262" s="29" t="str">
        <f t="shared" si="39"/>
        <v>Medium</v>
      </c>
    </row>
    <row r="263" spans="1:21" ht="15" customHeight="1" x14ac:dyDescent="0.25">
      <c r="A263" s="29">
        <f>Dataset!A263</f>
        <v>259</v>
      </c>
      <c r="B263" s="29">
        <f>IF(Dataset!B263&lt;25,0.3,IF(Dataset!B263&lt;75,0.5,IF(Dataset!B263&lt;120,0.65,0.8)))</f>
        <v>0.65</v>
      </c>
      <c r="C263" s="29">
        <f>IF(Dataset!B263&lt;25,1,IF(Dataset!B263&lt;75,2,IF(Dataset!B263&lt;120,3,4)))</f>
        <v>3</v>
      </c>
      <c r="D263" s="29">
        <f t="shared" si="32"/>
        <v>1.9500000000000002</v>
      </c>
      <c r="E263" s="29">
        <f>IF(Dataset!C263&lt;=1,0.3,IF(Dataset!C263=2,0.4,IF(Dataset!C263=3,0.5,IF(Dataset!C263=4,0.65,0.8))))</f>
        <v>0.4</v>
      </c>
      <c r="F263" s="29">
        <f>IF(Dataset!C263&lt;=2,1,IF(Dataset!C263=3,2,IF(Dataset!C263=4,3,4)))</f>
        <v>1</v>
      </c>
      <c r="G263" s="29">
        <f t="shared" si="33"/>
        <v>0.4</v>
      </c>
      <c r="H263" s="29">
        <f>IF(Dataset!G263&lt;=3,0.25,IF(Dataset!G263&lt;=6,0.45,IF(Dataset!G263&lt;=9,0.65,0.85)))</f>
        <v>0.45</v>
      </c>
      <c r="I263" s="29">
        <f>IF(Dataset!G263&lt;=3,1,IF(Dataset!G263&lt;=6,2,IF(Dataset!G263&lt;=9,3,4)))</f>
        <v>2</v>
      </c>
      <c r="J263" s="29">
        <f t="shared" si="34"/>
        <v>0.9</v>
      </c>
      <c r="K263" s="29">
        <f>IF(Dataset!H263&lt;1,0.2,IF(Dataset!H263&lt;1.3,0.45,IF(Dataset!H263&lt;1.8,0.7,0.9)))</f>
        <v>0.9</v>
      </c>
      <c r="L263" s="29">
        <f>IF(Dataset!H263&lt;1,1,IF(Dataset!H263&lt;1.3,2,IF(Dataset!H263&lt;1.8,3,4)))</f>
        <v>4</v>
      </c>
      <c r="M263" s="29">
        <f t="shared" si="35"/>
        <v>3.6</v>
      </c>
      <c r="N263" s="29">
        <f>IF(Dataset!F263=1,0.75,IF(Dataset!F263=2,0.45,0.2))</f>
        <v>0.45</v>
      </c>
      <c r="O263" s="29">
        <f>IF(Dataset!F263=1,3,IF(Dataset!F263=2,2,1))</f>
        <v>2</v>
      </c>
      <c r="P263" s="29">
        <f t="shared" si="36"/>
        <v>0.9</v>
      </c>
      <c r="Q263" s="29">
        <f>IF(Dataset!K263&lt;5,0.2,IF(Dataset!K263&lt;10,0.45,IF(Dataset!K263&lt;18,0.7,0.9)))</f>
        <v>0.45</v>
      </c>
      <c r="R263" s="29">
        <f>IF(Dataset!K263&lt;5,1,IF(Dataset!K263&lt;10,2,IF(Dataset!K263&lt;18,3,4)))</f>
        <v>2</v>
      </c>
      <c r="S263" s="29">
        <f t="shared" si="37"/>
        <v>0.9</v>
      </c>
      <c r="T263" s="29">
        <f t="shared" si="38"/>
        <v>1.6670000000000003</v>
      </c>
      <c r="U263" s="29" t="str">
        <f t="shared" si="39"/>
        <v>Medium</v>
      </c>
    </row>
    <row r="264" spans="1:21" ht="15" customHeight="1" x14ac:dyDescent="0.25">
      <c r="A264" s="29">
        <f>Dataset!A264</f>
        <v>260</v>
      </c>
      <c r="B264" s="29">
        <f>IF(Dataset!B264&lt;25,0.3,IF(Dataset!B264&lt;75,0.5,IF(Dataset!B264&lt;120,0.65,0.8)))</f>
        <v>0.65</v>
      </c>
      <c r="C264" s="29">
        <f>IF(Dataset!B264&lt;25,1,IF(Dataset!B264&lt;75,2,IF(Dataset!B264&lt;120,3,4)))</f>
        <v>3</v>
      </c>
      <c r="D264" s="29">
        <f t="shared" si="32"/>
        <v>1.9500000000000002</v>
      </c>
      <c r="E264" s="29">
        <f>IF(Dataset!C264&lt;=1,0.3,IF(Dataset!C264=2,0.4,IF(Dataset!C264=3,0.5,IF(Dataset!C264=4,0.65,0.8))))</f>
        <v>0.5</v>
      </c>
      <c r="F264" s="29">
        <f>IF(Dataset!C264&lt;=2,1,IF(Dataset!C264=3,2,IF(Dataset!C264=4,3,4)))</f>
        <v>2</v>
      </c>
      <c r="G264" s="29">
        <f t="shared" si="33"/>
        <v>1</v>
      </c>
      <c r="H264" s="29">
        <f>IF(Dataset!G264&lt;=3,0.25,IF(Dataset!G264&lt;=6,0.45,IF(Dataset!G264&lt;=9,0.65,0.85)))</f>
        <v>0.25</v>
      </c>
      <c r="I264" s="29">
        <f>IF(Dataset!G264&lt;=3,1,IF(Dataset!G264&lt;=6,2,IF(Dataset!G264&lt;=9,3,4)))</f>
        <v>1</v>
      </c>
      <c r="J264" s="29">
        <f t="shared" si="34"/>
        <v>0.25</v>
      </c>
      <c r="K264" s="29">
        <f>IF(Dataset!H264&lt;1,0.2,IF(Dataset!H264&lt;1.3,0.45,IF(Dataset!H264&lt;1.8,0.7,0.9)))</f>
        <v>0.45</v>
      </c>
      <c r="L264" s="29">
        <f>IF(Dataset!H264&lt;1,1,IF(Dataset!H264&lt;1.3,2,IF(Dataset!H264&lt;1.8,3,4)))</f>
        <v>2</v>
      </c>
      <c r="M264" s="29">
        <f t="shared" si="35"/>
        <v>0.9</v>
      </c>
      <c r="N264" s="29">
        <f>IF(Dataset!F264=1,0.75,IF(Dataset!F264=2,0.45,0.2))</f>
        <v>0.75</v>
      </c>
      <c r="O264" s="29">
        <f>IF(Dataset!F264=1,3,IF(Dataset!F264=2,2,1))</f>
        <v>3</v>
      </c>
      <c r="P264" s="29">
        <f t="shared" si="36"/>
        <v>2.25</v>
      </c>
      <c r="Q264" s="29">
        <f>IF(Dataset!K264&lt;5,0.2,IF(Dataset!K264&lt;10,0.45,IF(Dataset!K264&lt;18,0.7,0.9)))</f>
        <v>0.45</v>
      </c>
      <c r="R264" s="29">
        <f>IF(Dataset!K264&lt;5,1,IF(Dataset!K264&lt;10,2,IF(Dataset!K264&lt;18,3,4)))</f>
        <v>2</v>
      </c>
      <c r="S264" s="29">
        <f t="shared" si="37"/>
        <v>0.9</v>
      </c>
      <c r="T264" s="29">
        <f t="shared" si="38"/>
        <v>1.1080000000000001</v>
      </c>
      <c r="U264" s="29" t="str">
        <f t="shared" si="39"/>
        <v>Low</v>
      </c>
    </row>
    <row r="265" spans="1:21" ht="15" customHeight="1" x14ac:dyDescent="0.25">
      <c r="A265" s="29">
        <f>Dataset!A265</f>
        <v>261</v>
      </c>
      <c r="B265" s="29">
        <f>IF(Dataset!B265&lt;25,0.3,IF(Dataset!B265&lt;75,0.5,IF(Dataset!B265&lt;120,0.65,0.8)))</f>
        <v>0.65</v>
      </c>
      <c r="C265" s="29">
        <f>IF(Dataset!B265&lt;25,1,IF(Dataset!B265&lt;75,2,IF(Dataset!B265&lt;120,3,4)))</f>
        <v>3</v>
      </c>
      <c r="D265" s="29">
        <f t="shared" si="32"/>
        <v>1.9500000000000002</v>
      </c>
      <c r="E265" s="29">
        <f>IF(Dataset!C265&lt;=1,0.3,IF(Dataset!C265=2,0.4,IF(Dataset!C265=3,0.5,IF(Dataset!C265=4,0.65,0.8))))</f>
        <v>0.5</v>
      </c>
      <c r="F265" s="29">
        <f>IF(Dataset!C265&lt;=2,1,IF(Dataset!C265=3,2,IF(Dataset!C265=4,3,4)))</f>
        <v>2</v>
      </c>
      <c r="G265" s="29">
        <f t="shared" si="33"/>
        <v>1</v>
      </c>
      <c r="H265" s="29">
        <f>IF(Dataset!G265&lt;=3,0.25,IF(Dataset!G265&lt;=6,0.45,IF(Dataset!G265&lt;=9,0.65,0.85)))</f>
        <v>0.45</v>
      </c>
      <c r="I265" s="29">
        <f>IF(Dataset!G265&lt;=3,1,IF(Dataset!G265&lt;=6,2,IF(Dataset!G265&lt;=9,3,4)))</f>
        <v>2</v>
      </c>
      <c r="J265" s="29">
        <f t="shared" si="34"/>
        <v>0.9</v>
      </c>
      <c r="K265" s="29">
        <f>IF(Dataset!H265&lt;1,0.2,IF(Dataset!H265&lt;1.3,0.45,IF(Dataset!H265&lt;1.8,0.7,0.9)))</f>
        <v>0.7</v>
      </c>
      <c r="L265" s="29">
        <f>IF(Dataset!H265&lt;1,1,IF(Dataset!H265&lt;1.3,2,IF(Dataset!H265&lt;1.8,3,4)))</f>
        <v>3</v>
      </c>
      <c r="M265" s="29">
        <f t="shared" si="35"/>
        <v>2.0999999999999996</v>
      </c>
      <c r="N265" s="29">
        <f>IF(Dataset!F265=1,0.75,IF(Dataset!F265=2,0.45,0.2))</f>
        <v>0.45</v>
      </c>
      <c r="O265" s="29">
        <f>IF(Dataset!F265=1,3,IF(Dataset!F265=2,2,1))</f>
        <v>2</v>
      </c>
      <c r="P265" s="29">
        <f t="shared" si="36"/>
        <v>0.9</v>
      </c>
      <c r="Q265" s="29">
        <f>IF(Dataset!K265&lt;5,0.2,IF(Dataset!K265&lt;10,0.45,IF(Dataset!K265&lt;18,0.7,0.9)))</f>
        <v>0.2</v>
      </c>
      <c r="R265" s="29">
        <f>IF(Dataset!K265&lt;5,1,IF(Dataset!K265&lt;10,2,IF(Dataset!K265&lt;18,3,4)))</f>
        <v>1</v>
      </c>
      <c r="S265" s="29">
        <f t="shared" si="37"/>
        <v>0.2</v>
      </c>
      <c r="T265" s="29">
        <f t="shared" si="38"/>
        <v>1.2929999999999999</v>
      </c>
      <c r="U265" s="29" t="str">
        <f t="shared" si="39"/>
        <v>Low</v>
      </c>
    </row>
    <row r="266" spans="1:21" ht="15" customHeight="1" x14ac:dyDescent="0.25">
      <c r="A266" s="29">
        <f>Dataset!A266</f>
        <v>262</v>
      </c>
      <c r="B266" s="29">
        <f>IF(Dataset!B266&lt;25,0.3,IF(Dataset!B266&lt;75,0.5,IF(Dataset!B266&lt;120,0.65,0.8)))</f>
        <v>0.3</v>
      </c>
      <c r="C266" s="29">
        <f>IF(Dataset!B266&lt;25,1,IF(Dataset!B266&lt;75,2,IF(Dataset!B266&lt;120,3,4)))</f>
        <v>1</v>
      </c>
      <c r="D266" s="29">
        <f t="shared" si="32"/>
        <v>0.3</v>
      </c>
      <c r="E266" s="29">
        <f>IF(Dataset!C266&lt;=1,0.3,IF(Dataset!C266=2,0.4,IF(Dataset!C266=3,0.5,IF(Dataset!C266=4,0.65,0.8))))</f>
        <v>0.3</v>
      </c>
      <c r="F266" s="29">
        <f>IF(Dataset!C266&lt;=2,1,IF(Dataset!C266=3,2,IF(Dataset!C266=4,3,4)))</f>
        <v>1</v>
      </c>
      <c r="G266" s="29">
        <f t="shared" si="33"/>
        <v>0.3</v>
      </c>
      <c r="H266" s="29">
        <f>IF(Dataset!G266&lt;=3,0.25,IF(Dataset!G266&lt;=6,0.45,IF(Dataset!G266&lt;=9,0.65,0.85)))</f>
        <v>0.25</v>
      </c>
      <c r="I266" s="29">
        <f>IF(Dataset!G266&lt;=3,1,IF(Dataset!G266&lt;=6,2,IF(Dataset!G266&lt;=9,3,4)))</f>
        <v>1</v>
      </c>
      <c r="J266" s="29">
        <f t="shared" si="34"/>
        <v>0.25</v>
      </c>
      <c r="K266" s="29">
        <f>IF(Dataset!H266&lt;1,0.2,IF(Dataset!H266&lt;1.3,0.45,IF(Dataset!H266&lt;1.8,0.7,0.9)))</f>
        <v>0.7</v>
      </c>
      <c r="L266" s="29">
        <f>IF(Dataset!H266&lt;1,1,IF(Dataset!H266&lt;1.3,2,IF(Dataset!H266&lt;1.8,3,4)))</f>
        <v>3</v>
      </c>
      <c r="M266" s="29">
        <f t="shared" si="35"/>
        <v>2.0999999999999996</v>
      </c>
      <c r="N266" s="29">
        <f>IF(Dataset!F266=1,0.75,IF(Dataset!F266=2,0.45,0.2))</f>
        <v>0.45</v>
      </c>
      <c r="O266" s="29">
        <f>IF(Dataset!F266=1,3,IF(Dataset!F266=2,2,1))</f>
        <v>2</v>
      </c>
      <c r="P266" s="29">
        <f t="shared" si="36"/>
        <v>0.9</v>
      </c>
      <c r="Q266" s="29">
        <f>IF(Dataset!K266&lt;5,0.2,IF(Dataset!K266&lt;10,0.45,IF(Dataset!K266&lt;18,0.7,0.9)))</f>
        <v>0.2</v>
      </c>
      <c r="R266" s="29">
        <f>IF(Dataset!K266&lt;5,1,IF(Dataset!K266&lt;10,2,IF(Dataset!K266&lt;18,3,4)))</f>
        <v>1</v>
      </c>
      <c r="S266" s="29">
        <f t="shared" si="37"/>
        <v>0.2</v>
      </c>
      <c r="T266" s="29">
        <f t="shared" si="38"/>
        <v>0.7679999999999999</v>
      </c>
      <c r="U266" s="29" t="str">
        <f t="shared" si="39"/>
        <v>Low</v>
      </c>
    </row>
    <row r="267" spans="1:21" ht="15" customHeight="1" x14ac:dyDescent="0.25">
      <c r="A267" s="29">
        <f>Dataset!A267</f>
        <v>263</v>
      </c>
      <c r="B267" s="29">
        <f>IF(Dataset!B267&lt;25,0.3,IF(Dataset!B267&lt;75,0.5,IF(Dataset!B267&lt;120,0.65,0.8)))</f>
        <v>0.8</v>
      </c>
      <c r="C267" s="29">
        <f>IF(Dataset!B267&lt;25,1,IF(Dataset!B267&lt;75,2,IF(Dataset!B267&lt;120,3,4)))</f>
        <v>4</v>
      </c>
      <c r="D267" s="29">
        <f t="shared" si="32"/>
        <v>3.2</v>
      </c>
      <c r="E267" s="29">
        <f>IF(Dataset!C267&lt;=1,0.3,IF(Dataset!C267=2,0.4,IF(Dataset!C267=3,0.5,IF(Dataset!C267=4,0.65,0.8))))</f>
        <v>0.8</v>
      </c>
      <c r="F267" s="29">
        <f>IF(Dataset!C267&lt;=2,1,IF(Dataset!C267=3,2,IF(Dataset!C267=4,3,4)))</f>
        <v>4</v>
      </c>
      <c r="G267" s="29">
        <f t="shared" si="33"/>
        <v>3.2</v>
      </c>
      <c r="H267" s="29">
        <f>IF(Dataset!G267&lt;=3,0.25,IF(Dataset!G267&lt;=6,0.45,IF(Dataset!G267&lt;=9,0.65,0.85)))</f>
        <v>0.45</v>
      </c>
      <c r="I267" s="29">
        <f>IF(Dataset!G267&lt;=3,1,IF(Dataset!G267&lt;=6,2,IF(Dataset!G267&lt;=9,3,4)))</f>
        <v>2</v>
      </c>
      <c r="J267" s="29">
        <f t="shared" si="34"/>
        <v>0.9</v>
      </c>
      <c r="K267" s="29">
        <f>IF(Dataset!H267&lt;1,0.2,IF(Dataset!H267&lt;1.3,0.45,IF(Dataset!H267&lt;1.8,0.7,0.9)))</f>
        <v>0.7</v>
      </c>
      <c r="L267" s="29">
        <f>IF(Dataset!H267&lt;1,1,IF(Dataset!H267&lt;1.3,2,IF(Dataset!H267&lt;1.8,3,4)))</f>
        <v>3</v>
      </c>
      <c r="M267" s="29">
        <f t="shared" si="35"/>
        <v>2.0999999999999996</v>
      </c>
      <c r="N267" s="29">
        <f>IF(Dataset!F267=1,0.75,IF(Dataset!F267=2,0.45,0.2))</f>
        <v>0.2</v>
      </c>
      <c r="O267" s="29">
        <f>IF(Dataset!F267=1,3,IF(Dataset!F267=2,2,1))</f>
        <v>1</v>
      </c>
      <c r="P267" s="29">
        <f t="shared" si="36"/>
        <v>0.2</v>
      </c>
      <c r="Q267" s="29">
        <f>IF(Dataset!K267&lt;5,0.2,IF(Dataset!K267&lt;10,0.45,IF(Dataset!K267&lt;18,0.7,0.9)))</f>
        <v>0.9</v>
      </c>
      <c r="R267" s="29">
        <f>IF(Dataset!K267&lt;5,1,IF(Dataset!K267&lt;10,2,IF(Dataset!K267&lt;18,3,4)))</f>
        <v>4</v>
      </c>
      <c r="S267" s="29">
        <f t="shared" si="37"/>
        <v>3.6</v>
      </c>
      <c r="T267" s="29">
        <f t="shared" si="38"/>
        <v>2.2319999999999998</v>
      </c>
      <c r="U267" s="29" t="str">
        <f t="shared" si="39"/>
        <v>High</v>
      </c>
    </row>
    <row r="268" spans="1:21" ht="15" customHeight="1" x14ac:dyDescent="0.25">
      <c r="A268" s="29">
        <f>Dataset!A268</f>
        <v>264</v>
      </c>
      <c r="B268" s="29">
        <f>IF(Dataset!B268&lt;25,0.3,IF(Dataset!B268&lt;75,0.5,IF(Dataset!B268&lt;120,0.65,0.8)))</f>
        <v>0.8</v>
      </c>
      <c r="C268" s="29">
        <f>IF(Dataset!B268&lt;25,1,IF(Dataset!B268&lt;75,2,IF(Dataset!B268&lt;120,3,4)))</f>
        <v>4</v>
      </c>
      <c r="D268" s="29">
        <f t="shared" si="32"/>
        <v>3.2</v>
      </c>
      <c r="E268" s="29">
        <f>IF(Dataset!C268&lt;=1,0.3,IF(Dataset!C268=2,0.4,IF(Dataset!C268=3,0.5,IF(Dataset!C268=4,0.65,0.8))))</f>
        <v>0.5</v>
      </c>
      <c r="F268" s="29">
        <f>IF(Dataset!C268&lt;=2,1,IF(Dataset!C268=3,2,IF(Dataset!C268=4,3,4)))</f>
        <v>2</v>
      </c>
      <c r="G268" s="29">
        <f t="shared" si="33"/>
        <v>1</v>
      </c>
      <c r="H268" s="29">
        <f>IF(Dataset!G268&lt;=3,0.25,IF(Dataset!G268&lt;=6,0.45,IF(Dataset!G268&lt;=9,0.65,0.85)))</f>
        <v>0.45</v>
      </c>
      <c r="I268" s="29">
        <f>IF(Dataset!G268&lt;=3,1,IF(Dataset!G268&lt;=6,2,IF(Dataset!G268&lt;=9,3,4)))</f>
        <v>2</v>
      </c>
      <c r="J268" s="29">
        <f t="shared" si="34"/>
        <v>0.9</v>
      </c>
      <c r="K268" s="29">
        <f>IF(Dataset!H268&lt;1,0.2,IF(Dataset!H268&lt;1.3,0.45,IF(Dataset!H268&lt;1.8,0.7,0.9)))</f>
        <v>0.9</v>
      </c>
      <c r="L268" s="29">
        <f>IF(Dataset!H268&lt;1,1,IF(Dataset!H268&lt;1.3,2,IF(Dataset!H268&lt;1.8,3,4)))</f>
        <v>4</v>
      </c>
      <c r="M268" s="29">
        <f t="shared" si="35"/>
        <v>3.6</v>
      </c>
      <c r="N268" s="29">
        <f>IF(Dataset!F268=1,0.75,IF(Dataset!F268=2,0.45,0.2))</f>
        <v>0.75</v>
      </c>
      <c r="O268" s="29">
        <f>IF(Dataset!F268=1,3,IF(Dataset!F268=2,2,1))</f>
        <v>3</v>
      </c>
      <c r="P268" s="29">
        <f t="shared" si="36"/>
        <v>2.25</v>
      </c>
      <c r="Q268" s="29">
        <f>IF(Dataset!K268&lt;5,0.2,IF(Dataset!K268&lt;10,0.45,IF(Dataset!K268&lt;18,0.7,0.9)))</f>
        <v>0.45</v>
      </c>
      <c r="R268" s="29">
        <f>IF(Dataset!K268&lt;5,1,IF(Dataset!K268&lt;10,2,IF(Dataset!K268&lt;18,3,4)))</f>
        <v>2</v>
      </c>
      <c r="S268" s="29">
        <f t="shared" si="37"/>
        <v>0.9</v>
      </c>
      <c r="T268" s="29">
        <f t="shared" si="38"/>
        <v>2.1110000000000002</v>
      </c>
      <c r="U268" s="29" t="str">
        <f t="shared" si="39"/>
        <v>High</v>
      </c>
    </row>
    <row r="269" spans="1:21" ht="15" customHeight="1" x14ac:dyDescent="0.25">
      <c r="A269" s="29">
        <f>Dataset!A269</f>
        <v>265</v>
      </c>
      <c r="B269" s="29">
        <f>IF(Dataset!B269&lt;25,0.3,IF(Dataset!B269&lt;75,0.5,IF(Dataset!B269&lt;120,0.65,0.8)))</f>
        <v>0.8</v>
      </c>
      <c r="C269" s="29">
        <f>IF(Dataset!B269&lt;25,1,IF(Dataset!B269&lt;75,2,IF(Dataset!B269&lt;120,3,4)))</f>
        <v>4</v>
      </c>
      <c r="D269" s="29">
        <f t="shared" si="32"/>
        <v>3.2</v>
      </c>
      <c r="E269" s="29">
        <f>IF(Dataset!C269&lt;=1,0.3,IF(Dataset!C269=2,0.4,IF(Dataset!C269=3,0.5,IF(Dataset!C269=4,0.65,0.8))))</f>
        <v>0.8</v>
      </c>
      <c r="F269" s="29">
        <f>IF(Dataset!C269&lt;=2,1,IF(Dataset!C269=3,2,IF(Dataset!C269=4,3,4)))</f>
        <v>4</v>
      </c>
      <c r="G269" s="29">
        <f t="shared" si="33"/>
        <v>3.2</v>
      </c>
      <c r="H269" s="29">
        <f>IF(Dataset!G269&lt;=3,0.25,IF(Dataset!G269&lt;=6,0.45,IF(Dataset!G269&lt;=9,0.65,0.85)))</f>
        <v>0.65</v>
      </c>
      <c r="I269" s="29">
        <f>IF(Dataset!G269&lt;=3,1,IF(Dataset!G269&lt;=6,2,IF(Dataset!G269&lt;=9,3,4)))</f>
        <v>3</v>
      </c>
      <c r="J269" s="29">
        <f t="shared" si="34"/>
        <v>1.9500000000000002</v>
      </c>
      <c r="K269" s="29">
        <f>IF(Dataset!H269&lt;1,0.2,IF(Dataset!H269&lt;1.3,0.45,IF(Dataset!H269&lt;1.8,0.7,0.9)))</f>
        <v>0.9</v>
      </c>
      <c r="L269" s="29">
        <f>IF(Dataset!H269&lt;1,1,IF(Dataset!H269&lt;1.3,2,IF(Dataset!H269&lt;1.8,3,4)))</f>
        <v>4</v>
      </c>
      <c r="M269" s="29">
        <f t="shared" si="35"/>
        <v>3.6</v>
      </c>
      <c r="N269" s="29">
        <f>IF(Dataset!F269=1,0.75,IF(Dataset!F269=2,0.45,0.2))</f>
        <v>0.45</v>
      </c>
      <c r="O269" s="29">
        <f>IF(Dataset!F269=1,3,IF(Dataset!F269=2,2,1))</f>
        <v>2</v>
      </c>
      <c r="P269" s="29">
        <f t="shared" si="36"/>
        <v>0.9</v>
      </c>
      <c r="Q269" s="29">
        <f>IF(Dataset!K269&lt;5,0.2,IF(Dataset!K269&lt;10,0.45,IF(Dataset!K269&lt;18,0.7,0.9)))</f>
        <v>0.7</v>
      </c>
      <c r="R269" s="29">
        <f>IF(Dataset!K269&lt;5,1,IF(Dataset!K269&lt;10,2,IF(Dataset!K269&lt;18,3,4)))</f>
        <v>3</v>
      </c>
      <c r="S269" s="29">
        <f t="shared" si="37"/>
        <v>2.0999999999999996</v>
      </c>
      <c r="T269" s="29">
        <f t="shared" si="38"/>
        <v>2.6619999999999999</v>
      </c>
      <c r="U269" s="29" t="str">
        <f t="shared" si="39"/>
        <v>High</v>
      </c>
    </row>
    <row r="270" spans="1:21" ht="15" customHeight="1" x14ac:dyDescent="0.25">
      <c r="A270" s="29">
        <f>Dataset!A270</f>
        <v>266</v>
      </c>
      <c r="B270" s="29">
        <f>IF(Dataset!B270&lt;25,0.3,IF(Dataset!B270&lt;75,0.5,IF(Dataset!B270&lt;120,0.65,0.8)))</f>
        <v>0.65</v>
      </c>
      <c r="C270" s="29">
        <f>IF(Dataset!B270&lt;25,1,IF(Dataset!B270&lt;75,2,IF(Dataset!B270&lt;120,3,4)))</f>
        <v>3</v>
      </c>
      <c r="D270" s="29">
        <f t="shared" si="32"/>
        <v>1.9500000000000002</v>
      </c>
      <c r="E270" s="29">
        <f>IF(Dataset!C270&lt;=1,0.3,IF(Dataset!C270=2,0.4,IF(Dataset!C270=3,0.5,IF(Dataset!C270=4,0.65,0.8))))</f>
        <v>0.5</v>
      </c>
      <c r="F270" s="29">
        <f>IF(Dataset!C270&lt;=2,1,IF(Dataset!C270=3,2,IF(Dataset!C270=4,3,4)))</f>
        <v>2</v>
      </c>
      <c r="G270" s="29">
        <f t="shared" si="33"/>
        <v>1</v>
      </c>
      <c r="H270" s="29">
        <f>IF(Dataset!G270&lt;=3,0.25,IF(Dataset!G270&lt;=6,0.45,IF(Dataset!G270&lt;=9,0.65,0.85)))</f>
        <v>0.85</v>
      </c>
      <c r="I270" s="29">
        <f>IF(Dataset!G270&lt;=3,1,IF(Dataset!G270&lt;=6,2,IF(Dataset!G270&lt;=9,3,4)))</f>
        <v>4</v>
      </c>
      <c r="J270" s="29">
        <f t="shared" si="34"/>
        <v>3.4</v>
      </c>
      <c r="K270" s="29">
        <f>IF(Dataset!H270&lt;1,0.2,IF(Dataset!H270&lt;1.3,0.45,IF(Dataset!H270&lt;1.8,0.7,0.9)))</f>
        <v>0.9</v>
      </c>
      <c r="L270" s="29">
        <f>IF(Dataset!H270&lt;1,1,IF(Dataset!H270&lt;1.3,2,IF(Dataset!H270&lt;1.8,3,4)))</f>
        <v>4</v>
      </c>
      <c r="M270" s="29">
        <f t="shared" si="35"/>
        <v>3.6</v>
      </c>
      <c r="N270" s="29">
        <f>IF(Dataset!F270=1,0.75,IF(Dataset!F270=2,0.45,0.2))</f>
        <v>0.45</v>
      </c>
      <c r="O270" s="29">
        <f>IF(Dataset!F270=1,3,IF(Dataset!F270=2,2,1))</f>
        <v>2</v>
      </c>
      <c r="P270" s="29">
        <f t="shared" si="36"/>
        <v>0.9</v>
      </c>
      <c r="Q270" s="29">
        <f>IF(Dataset!K270&lt;5,0.2,IF(Dataset!K270&lt;10,0.45,IF(Dataset!K270&lt;18,0.7,0.9)))</f>
        <v>0.45</v>
      </c>
      <c r="R270" s="29">
        <f>IF(Dataset!K270&lt;5,1,IF(Dataset!K270&lt;10,2,IF(Dataset!K270&lt;18,3,4)))</f>
        <v>2</v>
      </c>
      <c r="S270" s="29">
        <f t="shared" si="37"/>
        <v>0.9</v>
      </c>
      <c r="T270" s="29">
        <f t="shared" si="38"/>
        <v>2.2509999999999999</v>
      </c>
      <c r="U270" s="29" t="str">
        <f t="shared" si="39"/>
        <v>High</v>
      </c>
    </row>
    <row r="271" spans="1:21" ht="15" customHeight="1" x14ac:dyDescent="0.25">
      <c r="A271" s="29">
        <f>Dataset!A271</f>
        <v>267</v>
      </c>
      <c r="B271" s="29">
        <f>IF(Dataset!B271&lt;25,0.3,IF(Dataset!B271&lt;75,0.5,IF(Dataset!B271&lt;120,0.65,0.8)))</f>
        <v>0.5</v>
      </c>
      <c r="C271" s="29">
        <f>IF(Dataset!B271&lt;25,1,IF(Dataset!B271&lt;75,2,IF(Dataset!B271&lt;120,3,4)))</f>
        <v>2</v>
      </c>
      <c r="D271" s="29">
        <f t="shared" si="32"/>
        <v>1</v>
      </c>
      <c r="E271" s="29">
        <f>IF(Dataset!C271&lt;=1,0.3,IF(Dataset!C271=2,0.4,IF(Dataset!C271=3,0.5,IF(Dataset!C271=4,0.65,0.8))))</f>
        <v>0.8</v>
      </c>
      <c r="F271" s="29">
        <f>IF(Dataset!C271&lt;=2,1,IF(Dataset!C271=3,2,IF(Dataset!C271=4,3,4)))</f>
        <v>4</v>
      </c>
      <c r="G271" s="29">
        <f t="shared" si="33"/>
        <v>3.2</v>
      </c>
      <c r="H271" s="29">
        <f>IF(Dataset!G271&lt;=3,0.25,IF(Dataset!G271&lt;=6,0.45,IF(Dataset!G271&lt;=9,0.65,0.85)))</f>
        <v>0.45</v>
      </c>
      <c r="I271" s="29">
        <f>IF(Dataset!G271&lt;=3,1,IF(Dataset!G271&lt;=6,2,IF(Dataset!G271&lt;=9,3,4)))</f>
        <v>2</v>
      </c>
      <c r="J271" s="29">
        <f t="shared" si="34"/>
        <v>0.9</v>
      </c>
      <c r="K271" s="29">
        <f>IF(Dataset!H271&lt;1,0.2,IF(Dataset!H271&lt;1.3,0.45,IF(Dataset!H271&lt;1.8,0.7,0.9)))</f>
        <v>0.7</v>
      </c>
      <c r="L271" s="29">
        <f>IF(Dataset!H271&lt;1,1,IF(Dataset!H271&lt;1.3,2,IF(Dataset!H271&lt;1.8,3,4)))</f>
        <v>3</v>
      </c>
      <c r="M271" s="29">
        <f t="shared" si="35"/>
        <v>2.0999999999999996</v>
      </c>
      <c r="N271" s="29">
        <f>IF(Dataset!F271=1,0.75,IF(Dataset!F271=2,0.45,0.2))</f>
        <v>0.75</v>
      </c>
      <c r="O271" s="29">
        <f>IF(Dataset!F271=1,3,IF(Dataset!F271=2,2,1))</f>
        <v>3</v>
      </c>
      <c r="P271" s="29">
        <f t="shared" si="36"/>
        <v>2.25</v>
      </c>
      <c r="Q271" s="29">
        <f>IF(Dataset!K271&lt;5,0.2,IF(Dataset!K271&lt;10,0.45,IF(Dataset!K271&lt;18,0.7,0.9)))</f>
        <v>0.7</v>
      </c>
      <c r="R271" s="29">
        <f>IF(Dataset!K271&lt;5,1,IF(Dataset!K271&lt;10,2,IF(Dataset!K271&lt;18,3,4)))</f>
        <v>3</v>
      </c>
      <c r="S271" s="29">
        <f t="shared" si="37"/>
        <v>2.0999999999999996</v>
      </c>
      <c r="T271" s="29">
        <f t="shared" si="38"/>
        <v>1.8310000000000002</v>
      </c>
      <c r="U271" s="29" t="str">
        <f t="shared" si="39"/>
        <v>High</v>
      </c>
    </row>
    <row r="272" spans="1:21" ht="15" customHeight="1" x14ac:dyDescent="0.25">
      <c r="A272" s="29">
        <f>Dataset!A272</f>
        <v>268</v>
      </c>
      <c r="B272" s="29">
        <f>IF(Dataset!B272&lt;25,0.3,IF(Dataset!B272&lt;75,0.5,IF(Dataset!B272&lt;120,0.65,0.8)))</f>
        <v>0.5</v>
      </c>
      <c r="C272" s="29">
        <f>IF(Dataset!B272&lt;25,1,IF(Dataset!B272&lt;75,2,IF(Dataset!B272&lt;120,3,4)))</f>
        <v>2</v>
      </c>
      <c r="D272" s="29">
        <f t="shared" si="32"/>
        <v>1</v>
      </c>
      <c r="E272" s="29">
        <f>IF(Dataset!C272&lt;=1,0.3,IF(Dataset!C272=2,0.4,IF(Dataset!C272=3,0.5,IF(Dataset!C272=4,0.65,0.8))))</f>
        <v>0.8</v>
      </c>
      <c r="F272" s="29">
        <f>IF(Dataset!C272&lt;=2,1,IF(Dataset!C272=3,2,IF(Dataset!C272=4,3,4)))</f>
        <v>4</v>
      </c>
      <c r="G272" s="29">
        <f t="shared" si="33"/>
        <v>3.2</v>
      </c>
      <c r="H272" s="29">
        <f>IF(Dataset!G272&lt;=3,0.25,IF(Dataset!G272&lt;=6,0.45,IF(Dataset!G272&lt;=9,0.65,0.85)))</f>
        <v>0.45</v>
      </c>
      <c r="I272" s="29">
        <f>IF(Dataset!G272&lt;=3,1,IF(Dataset!G272&lt;=6,2,IF(Dataset!G272&lt;=9,3,4)))</f>
        <v>2</v>
      </c>
      <c r="J272" s="29">
        <f t="shared" si="34"/>
        <v>0.9</v>
      </c>
      <c r="K272" s="29">
        <f>IF(Dataset!H272&lt;1,0.2,IF(Dataset!H272&lt;1.3,0.45,IF(Dataset!H272&lt;1.8,0.7,0.9)))</f>
        <v>0.7</v>
      </c>
      <c r="L272" s="29">
        <f>IF(Dataset!H272&lt;1,1,IF(Dataset!H272&lt;1.3,2,IF(Dataset!H272&lt;1.8,3,4)))</f>
        <v>3</v>
      </c>
      <c r="M272" s="29">
        <f t="shared" si="35"/>
        <v>2.0999999999999996</v>
      </c>
      <c r="N272" s="29">
        <f>IF(Dataset!F272=1,0.75,IF(Dataset!F272=2,0.45,0.2))</f>
        <v>0.45</v>
      </c>
      <c r="O272" s="29">
        <f>IF(Dataset!F272=1,3,IF(Dataset!F272=2,2,1))</f>
        <v>2</v>
      </c>
      <c r="P272" s="29">
        <f t="shared" si="36"/>
        <v>0.9</v>
      </c>
      <c r="Q272" s="29">
        <f>IF(Dataset!K272&lt;5,0.2,IF(Dataset!K272&lt;10,0.45,IF(Dataset!K272&lt;18,0.7,0.9)))</f>
        <v>0.9</v>
      </c>
      <c r="R272" s="29">
        <f>IF(Dataset!K272&lt;5,1,IF(Dataset!K272&lt;10,2,IF(Dataset!K272&lt;18,3,4)))</f>
        <v>4</v>
      </c>
      <c r="S272" s="29">
        <f t="shared" si="37"/>
        <v>3.6</v>
      </c>
      <c r="T272" s="29">
        <f t="shared" si="38"/>
        <v>1.9060000000000001</v>
      </c>
      <c r="U272" s="29" t="str">
        <f t="shared" si="39"/>
        <v>High</v>
      </c>
    </row>
    <row r="273" spans="1:21" ht="15" customHeight="1" x14ac:dyDescent="0.25">
      <c r="A273" s="29">
        <f>Dataset!A273</f>
        <v>269</v>
      </c>
      <c r="B273" s="29">
        <f>IF(Dataset!B273&lt;25,0.3,IF(Dataset!B273&lt;75,0.5,IF(Dataset!B273&lt;120,0.65,0.8)))</f>
        <v>0.3</v>
      </c>
      <c r="C273" s="29">
        <f>IF(Dataset!B273&lt;25,1,IF(Dataset!B273&lt;75,2,IF(Dataset!B273&lt;120,3,4)))</f>
        <v>1</v>
      </c>
      <c r="D273" s="29">
        <f t="shared" si="32"/>
        <v>0.3</v>
      </c>
      <c r="E273" s="29">
        <f>IF(Dataset!C273&lt;=1,0.3,IF(Dataset!C273=2,0.4,IF(Dataset!C273=3,0.5,IF(Dataset!C273=4,0.65,0.8))))</f>
        <v>0.65</v>
      </c>
      <c r="F273" s="29">
        <f>IF(Dataset!C273&lt;=2,1,IF(Dataset!C273=3,2,IF(Dataset!C273=4,3,4)))</f>
        <v>3</v>
      </c>
      <c r="G273" s="29">
        <f t="shared" si="33"/>
        <v>1.9500000000000002</v>
      </c>
      <c r="H273" s="29">
        <f>IF(Dataset!G273&lt;=3,0.25,IF(Dataset!G273&lt;=6,0.45,IF(Dataset!G273&lt;=9,0.65,0.85)))</f>
        <v>0.65</v>
      </c>
      <c r="I273" s="29">
        <f>IF(Dataset!G273&lt;=3,1,IF(Dataset!G273&lt;=6,2,IF(Dataset!G273&lt;=9,3,4)))</f>
        <v>3</v>
      </c>
      <c r="J273" s="29">
        <f t="shared" si="34"/>
        <v>1.9500000000000002</v>
      </c>
      <c r="K273" s="29">
        <f>IF(Dataset!H273&lt;1,0.2,IF(Dataset!H273&lt;1.3,0.45,IF(Dataset!H273&lt;1.8,0.7,0.9)))</f>
        <v>0.9</v>
      </c>
      <c r="L273" s="29">
        <f>IF(Dataset!H273&lt;1,1,IF(Dataset!H273&lt;1.3,2,IF(Dataset!H273&lt;1.8,3,4)))</f>
        <v>4</v>
      </c>
      <c r="M273" s="29">
        <f t="shared" si="35"/>
        <v>3.6</v>
      </c>
      <c r="N273" s="29">
        <f>IF(Dataset!F273=1,0.75,IF(Dataset!F273=2,0.45,0.2))</f>
        <v>0.75</v>
      </c>
      <c r="O273" s="29">
        <f>IF(Dataset!F273=1,3,IF(Dataset!F273=2,2,1))</f>
        <v>3</v>
      </c>
      <c r="P273" s="29">
        <f t="shared" si="36"/>
        <v>2.25</v>
      </c>
      <c r="Q273" s="29">
        <f>IF(Dataset!K273&lt;5,0.2,IF(Dataset!K273&lt;10,0.45,IF(Dataset!K273&lt;18,0.7,0.9)))</f>
        <v>0.45</v>
      </c>
      <c r="R273" s="29">
        <f>IF(Dataset!K273&lt;5,1,IF(Dataset!K273&lt;10,2,IF(Dataset!K273&lt;18,3,4)))</f>
        <v>2</v>
      </c>
      <c r="S273" s="29">
        <f t="shared" si="37"/>
        <v>0.9</v>
      </c>
      <c r="T273" s="29">
        <f t="shared" si="38"/>
        <v>1.9320000000000002</v>
      </c>
      <c r="U273" s="29" t="str">
        <f t="shared" si="39"/>
        <v>High</v>
      </c>
    </row>
    <row r="274" spans="1:21" ht="15" customHeight="1" x14ac:dyDescent="0.25">
      <c r="A274" s="29">
        <f>Dataset!A274</f>
        <v>270</v>
      </c>
      <c r="B274" s="29">
        <f>IF(Dataset!B274&lt;25,0.3,IF(Dataset!B274&lt;75,0.5,IF(Dataset!B274&lt;120,0.65,0.8)))</f>
        <v>0.5</v>
      </c>
      <c r="C274" s="29">
        <f>IF(Dataset!B274&lt;25,1,IF(Dataset!B274&lt;75,2,IF(Dataset!B274&lt;120,3,4)))</f>
        <v>2</v>
      </c>
      <c r="D274" s="29">
        <f t="shared" si="32"/>
        <v>1</v>
      </c>
      <c r="E274" s="29">
        <f>IF(Dataset!C274&lt;=1,0.3,IF(Dataset!C274=2,0.4,IF(Dataset!C274=3,0.5,IF(Dataset!C274=4,0.65,0.8))))</f>
        <v>0.4</v>
      </c>
      <c r="F274" s="29">
        <f>IF(Dataset!C274&lt;=2,1,IF(Dataset!C274=3,2,IF(Dataset!C274=4,3,4)))</f>
        <v>1</v>
      </c>
      <c r="G274" s="29">
        <f t="shared" si="33"/>
        <v>0.4</v>
      </c>
      <c r="H274" s="29">
        <f>IF(Dataset!G274&lt;=3,0.25,IF(Dataset!G274&lt;=6,0.45,IF(Dataset!G274&lt;=9,0.65,0.85)))</f>
        <v>0.85</v>
      </c>
      <c r="I274" s="29">
        <f>IF(Dataset!G274&lt;=3,1,IF(Dataset!G274&lt;=6,2,IF(Dataset!G274&lt;=9,3,4)))</f>
        <v>4</v>
      </c>
      <c r="J274" s="29">
        <f t="shared" si="34"/>
        <v>3.4</v>
      </c>
      <c r="K274" s="29">
        <f>IF(Dataset!H274&lt;1,0.2,IF(Dataset!H274&lt;1.3,0.45,IF(Dataset!H274&lt;1.8,0.7,0.9)))</f>
        <v>0.9</v>
      </c>
      <c r="L274" s="29">
        <f>IF(Dataset!H274&lt;1,1,IF(Dataset!H274&lt;1.3,2,IF(Dataset!H274&lt;1.8,3,4)))</f>
        <v>4</v>
      </c>
      <c r="M274" s="29">
        <f t="shared" si="35"/>
        <v>3.6</v>
      </c>
      <c r="N274" s="29">
        <f>IF(Dataset!F274=1,0.75,IF(Dataset!F274=2,0.45,0.2))</f>
        <v>0.75</v>
      </c>
      <c r="O274" s="29">
        <f>IF(Dataset!F274=1,3,IF(Dataset!F274=2,2,1))</f>
        <v>3</v>
      </c>
      <c r="P274" s="29">
        <f t="shared" si="36"/>
        <v>2.25</v>
      </c>
      <c r="Q274" s="29">
        <f>IF(Dataset!K274&lt;5,0.2,IF(Dataset!K274&lt;10,0.45,IF(Dataset!K274&lt;18,0.7,0.9)))</f>
        <v>0.2</v>
      </c>
      <c r="R274" s="29">
        <f>IF(Dataset!K274&lt;5,1,IF(Dataset!K274&lt;10,2,IF(Dataset!K274&lt;18,3,4)))</f>
        <v>1</v>
      </c>
      <c r="S274" s="29">
        <f t="shared" si="37"/>
        <v>0.2</v>
      </c>
      <c r="T274" s="29">
        <f t="shared" si="38"/>
        <v>2.0329999999999999</v>
      </c>
      <c r="U274" s="29" t="str">
        <f t="shared" si="39"/>
        <v>High</v>
      </c>
    </row>
    <row r="275" spans="1:21" ht="15" customHeight="1" x14ac:dyDescent="0.25">
      <c r="A275" s="29">
        <f>Dataset!A275</f>
        <v>271</v>
      </c>
      <c r="B275" s="29">
        <f>IF(Dataset!B275&lt;25,0.3,IF(Dataset!B275&lt;75,0.5,IF(Dataset!B275&lt;120,0.65,0.8)))</f>
        <v>0.3</v>
      </c>
      <c r="C275" s="29">
        <f>IF(Dataset!B275&lt;25,1,IF(Dataset!B275&lt;75,2,IF(Dataset!B275&lt;120,3,4)))</f>
        <v>1</v>
      </c>
      <c r="D275" s="29">
        <f t="shared" si="32"/>
        <v>0.3</v>
      </c>
      <c r="E275" s="29">
        <f>IF(Dataset!C275&lt;=1,0.3,IF(Dataset!C275=2,0.4,IF(Dataset!C275=3,0.5,IF(Dataset!C275=4,0.65,0.8))))</f>
        <v>0.65</v>
      </c>
      <c r="F275" s="29">
        <f>IF(Dataset!C275&lt;=2,1,IF(Dataset!C275=3,2,IF(Dataset!C275=4,3,4)))</f>
        <v>3</v>
      </c>
      <c r="G275" s="29">
        <f t="shared" si="33"/>
        <v>1.9500000000000002</v>
      </c>
      <c r="H275" s="29">
        <f>IF(Dataset!G275&lt;=3,0.25,IF(Dataset!G275&lt;=6,0.45,IF(Dataset!G275&lt;=9,0.65,0.85)))</f>
        <v>0.85</v>
      </c>
      <c r="I275" s="29">
        <f>IF(Dataset!G275&lt;=3,1,IF(Dataset!G275&lt;=6,2,IF(Dataset!G275&lt;=9,3,4)))</f>
        <v>4</v>
      </c>
      <c r="J275" s="29">
        <f t="shared" si="34"/>
        <v>3.4</v>
      </c>
      <c r="K275" s="29">
        <f>IF(Dataset!H275&lt;1,0.2,IF(Dataset!H275&lt;1.3,0.45,IF(Dataset!H275&lt;1.8,0.7,0.9)))</f>
        <v>0.45</v>
      </c>
      <c r="L275" s="29">
        <f>IF(Dataset!H275&lt;1,1,IF(Dataset!H275&lt;1.3,2,IF(Dataset!H275&lt;1.8,3,4)))</f>
        <v>2</v>
      </c>
      <c r="M275" s="29">
        <f t="shared" si="35"/>
        <v>0.9</v>
      </c>
      <c r="N275" s="29">
        <f>IF(Dataset!F275=1,0.75,IF(Dataset!F275=2,0.45,0.2))</f>
        <v>0.45</v>
      </c>
      <c r="O275" s="29">
        <f>IF(Dataset!F275=1,3,IF(Dataset!F275=2,2,1))</f>
        <v>2</v>
      </c>
      <c r="P275" s="29">
        <f t="shared" si="36"/>
        <v>0.9</v>
      </c>
      <c r="Q275" s="29">
        <f>IF(Dataset!K275&lt;5,0.2,IF(Dataset!K275&lt;10,0.45,IF(Dataset!K275&lt;18,0.7,0.9)))</f>
        <v>0.7</v>
      </c>
      <c r="R275" s="29">
        <f>IF(Dataset!K275&lt;5,1,IF(Dataset!K275&lt;10,2,IF(Dataset!K275&lt;18,3,4)))</f>
        <v>3</v>
      </c>
      <c r="S275" s="29">
        <f t="shared" si="37"/>
        <v>2.0999999999999996</v>
      </c>
      <c r="T275" s="29">
        <f t="shared" si="38"/>
        <v>1.6070000000000002</v>
      </c>
      <c r="U275" s="29" t="str">
        <f t="shared" si="39"/>
        <v>Medium</v>
      </c>
    </row>
    <row r="276" spans="1:21" ht="15" customHeight="1" x14ac:dyDescent="0.25">
      <c r="A276" s="29">
        <f>Dataset!A276</f>
        <v>272</v>
      </c>
      <c r="B276" s="29">
        <f>IF(Dataset!B276&lt;25,0.3,IF(Dataset!B276&lt;75,0.5,IF(Dataset!B276&lt;120,0.65,0.8)))</f>
        <v>0.3</v>
      </c>
      <c r="C276" s="29">
        <f>IF(Dataset!B276&lt;25,1,IF(Dataset!B276&lt;75,2,IF(Dataset!B276&lt;120,3,4)))</f>
        <v>1</v>
      </c>
      <c r="D276" s="29">
        <f t="shared" si="32"/>
        <v>0.3</v>
      </c>
      <c r="E276" s="29">
        <f>IF(Dataset!C276&lt;=1,0.3,IF(Dataset!C276=2,0.4,IF(Dataset!C276=3,0.5,IF(Dataset!C276=4,0.65,0.8))))</f>
        <v>0.5</v>
      </c>
      <c r="F276" s="29">
        <f>IF(Dataset!C276&lt;=2,1,IF(Dataset!C276=3,2,IF(Dataset!C276=4,3,4)))</f>
        <v>2</v>
      </c>
      <c r="G276" s="29">
        <f t="shared" si="33"/>
        <v>1</v>
      </c>
      <c r="H276" s="29">
        <f>IF(Dataset!G276&lt;=3,0.25,IF(Dataset!G276&lt;=6,0.45,IF(Dataset!G276&lt;=9,0.65,0.85)))</f>
        <v>0.65</v>
      </c>
      <c r="I276" s="29">
        <f>IF(Dataset!G276&lt;=3,1,IF(Dataset!G276&lt;=6,2,IF(Dataset!G276&lt;=9,3,4)))</f>
        <v>3</v>
      </c>
      <c r="J276" s="29">
        <f t="shared" si="34"/>
        <v>1.9500000000000002</v>
      </c>
      <c r="K276" s="29">
        <f>IF(Dataset!H276&lt;1,0.2,IF(Dataset!H276&lt;1.3,0.45,IF(Dataset!H276&lt;1.8,0.7,0.9)))</f>
        <v>0.9</v>
      </c>
      <c r="L276" s="29">
        <f>IF(Dataset!H276&lt;1,1,IF(Dataset!H276&lt;1.3,2,IF(Dataset!H276&lt;1.8,3,4)))</f>
        <v>4</v>
      </c>
      <c r="M276" s="29">
        <f t="shared" si="35"/>
        <v>3.6</v>
      </c>
      <c r="N276" s="29">
        <f>IF(Dataset!F276=1,0.75,IF(Dataset!F276=2,0.45,0.2))</f>
        <v>0.75</v>
      </c>
      <c r="O276" s="29">
        <f>IF(Dataset!F276=1,3,IF(Dataset!F276=2,2,1))</f>
        <v>3</v>
      </c>
      <c r="P276" s="29">
        <f t="shared" si="36"/>
        <v>2.25</v>
      </c>
      <c r="Q276" s="29">
        <f>IF(Dataset!K276&lt;5,0.2,IF(Dataset!K276&lt;10,0.45,IF(Dataset!K276&lt;18,0.7,0.9)))</f>
        <v>0.45</v>
      </c>
      <c r="R276" s="29">
        <f>IF(Dataset!K276&lt;5,1,IF(Dataset!K276&lt;10,2,IF(Dataset!K276&lt;18,3,4)))</f>
        <v>2</v>
      </c>
      <c r="S276" s="29">
        <f t="shared" si="37"/>
        <v>0.9</v>
      </c>
      <c r="T276" s="29">
        <f t="shared" si="38"/>
        <v>1.7990000000000002</v>
      </c>
      <c r="U276" s="29" t="str">
        <f t="shared" si="39"/>
        <v>High</v>
      </c>
    </row>
    <row r="277" spans="1:21" ht="15" customHeight="1" x14ac:dyDescent="0.25">
      <c r="A277" s="29">
        <f>Dataset!A277</f>
        <v>273</v>
      </c>
      <c r="B277" s="29">
        <f>IF(Dataset!B277&lt;25,0.3,IF(Dataset!B277&lt;75,0.5,IF(Dataset!B277&lt;120,0.65,0.8)))</f>
        <v>0.65</v>
      </c>
      <c r="C277" s="29">
        <f>IF(Dataset!B277&lt;25,1,IF(Dataset!B277&lt;75,2,IF(Dataset!B277&lt;120,3,4)))</f>
        <v>3</v>
      </c>
      <c r="D277" s="29">
        <f t="shared" si="32"/>
        <v>1.9500000000000002</v>
      </c>
      <c r="E277" s="29">
        <f>IF(Dataset!C277&lt;=1,0.3,IF(Dataset!C277=2,0.4,IF(Dataset!C277=3,0.5,IF(Dataset!C277=4,0.65,0.8))))</f>
        <v>0.8</v>
      </c>
      <c r="F277" s="29">
        <f>IF(Dataset!C277&lt;=2,1,IF(Dataset!C277=3,2,IF(Dataset!C277=4,3,4)))</f>
        <v>4</v>
      </c>
      <c r="G277" s="29">
        <f t="shared" si="33"/>
        <v>3.2</v>
      </c>
      <c r="H277" s="29">
        <f>IF(Dataset!G277&lt;=3,0.25,IF(Dataset!G277&lt;=6,0.45,IF(Dataset!G277&lt;=9,0.65,0.85)))</f>
        <v>0.45</v>
      </c>
      <c r="I277" s="29">
        <f>IF(Dataset!G277&lt;=3,1,IF(Dataset!G277&lt;=6,2,IF(Dataset!G277&lt;=9,3,4)))</f>
        <v>2</v>
      </c>
      <c r="J277" s="29">
        <f t="shared" si="34"/>
        <v>0.9</v>
      </c>
      <c r="K277" s="29">
        <f>IF(Dataset!H277&lt;1,0.2,IF(Dataset!H277&lt;1.3,0.45,IF(Dataset!H277&lt;1.8,0.7,0.9)))</f>
        <v>0.9</v>
      </c>
      <c r="L277" s="29">
        <f>IF(Dataset!H277&lt;1,1,IF(Dataset!H277&lt;1.3,2,IF(Dataset!H277&lt;1.8,3,4)))</f>
        <v>4</v>
      </c>
      <c r="M277" s="29">
        <f t="shared" si="35"/>
        <v>3.6</v>
      </c>
      <c r="N277" s="29">
        <f>IF(Dataset!F277=1,0.75,IF(Dataset!F277=2,0.45,0.2))</f>
        <v>0.45</v>
      </c>
      <c r="O277" s="29">
        <f>IF(Dataset!F277=1,3,IF(Dataset!F277=2,2,1))</f>
        <v>2</v>
      </c>
      <c r="P277" s="29">
        <f t="shared" si="36"/>
        <v>0.9</v>
      </c>
      <c r="Q277" s="29">
        <f>IF(Dataset!K277&lt;5,0.2,IF(Dataset!K277&lt;10,0.45,IF(Dataset!K277&lt;18,0.7,0.9)))</f>
        <v>0.7</v>
      </c>
      <c r="R277" s="29">
        <f>IF(Dataset!K277&lt;5,1,IF(Dataset!K277&lt;10,2,IF(Dataset!K277&lt;18,3,4)))</f>
        <v>3</v>
      </c>
      <c r="S277" s="29">
        <f t="shared" si="37"/>
        <v>2.0999999999999996</v>
      </c>
      <c r="T277" s="29">
        <f t="shared" si="38"/>
        <v>2.2270000000000003</v>
      </c>
      <c r="U277" s="29" t="str">
        <f t="shared" si="39"/>
        <v>High</v>
      </c>
    </row>
    <row r="278" spans="1:21" ht="15" customHeight="1" x14ac:dyDescent="0.25">
      <c r="A278" s="29">
        <f>Dataset!A278</f>
        <v>274</v>
      </c>
      <c r="B278" s="29">
        <f>IF(Dataset!B278&lt;25,0.3,IF(Dataset!B278&lt;75,0.5,IF(Dataset!B278&lt;120,0.65,0.8)))</f>
        <v>0.5</v>
      </c>
      <c r="C278" s="29">
        <f>IF(Dataset!B278&lt;25,1,IF(Dataset!B278&lt;75,2,IF(Dataset!B278&lt;120,3,4)))</f>
        <v>2</v>
      </c>
      <c r="D278" s="29">
        <f t="shared" si="32"/>
        <v>1</v>
      </c>
      <c r="E278" s="29">
        <f>IF(Dataset!C278&lt;=1,0.3,IF(Dataset!C278=2,0.4,IF(Dataset!C278=3,0.5,IF(Dataset!C278=4,0.65,0.8))))</f>
        <v>0.5</v>
      </c>
      <c r="F278" s="29">
        <f>IF(Dataset!C278&lt;=2,1,IF(Dataset!C278=3,2,IF(Dataset!C278=4,3,4)))</f>
        <v>2</v>
      </c>
      <c r="G278" s="29">
        <f t="shared" si="33"/>
        <v>1</v>
      </c>
      <c r="H278" s="29">
        <f>IF(Dataset!G278&lt;=3,0.25,IF(Dataset!G278&lt;=6,0.45,IF(Dataset!G278&lt;=9,0.65,0.85)))</f>
        <v>0.85</v>
      </c>
      <c r="I278" s="29">
        <f>IF(Dataset!G278&lt;=3,1,IF(Dataset!G278&lt;=6,2,IF(Dataset!G278&lt;=9,3,4)))</f>
        <v>4</v>
      </c>
      <c r="J278" s="29">
        <f t="shared" si="34"/>
        <v>3.4</v>
      </c>
      <c r="K278" s="29">
        <f>IF(Dataset!H278&lt;1,0.2,IF(Dataset!H278&lt;1.3,0.45,IF(Dataset!H278&lt;1.8,0.7,0.9)))</f>
        <v>0.45</v>
      </c>
      <c r="L278" s="29">
        <f>IF(Dataset!H278&lt;1,1,IF(Dataset!H278&lt;1.3,2,IF(Dataset!H278&lt;1.8,3,4)))</f>
        <v>2</v>
      </c>
      <c r="M278" s="29">
        <f t="shared" si="35"/>
        <v>0.9</v>
      </c>
      <c r="N278" s="29">
        <f>IF(Dataset!F278=1,0.75,IF(Dataset!F278=2,0.45,0.2))</f>
        <v>0.75</v>
      </c>
      <c r="O278" s="29">
        <f>IF(Dataset!F278=1,3,IF(Dataset!F278=2,2,1))</f>
        <v>3</v>
      </c>
      <c r="P278" s="29">
        <f t="shared" si="36"/>
        <v>2.25</v>
      </c>
      <c r="Q278" s="29">
        <f>IF(Dataset!K278&lt;5,0.2,IF(Dataset!K278&lt;10,0.45,IF(Dataset!K278&lt;18,0.7,0.9)))</f>
        <v>0.45</v>
      </c>
      <c r="R278" s="29">
        <f>IF(Dataset!K278&lt;5,1,IF(Dataset!K278&lt;10,2,IF(Dataset!K278&lt;18,3,4)))</f>
        <v>2</v>
      </c>
      <c r="S278" s="29">
        <f t="shared" si="37"/>
        <v>0.9</v>
      </c>
      <c r="T278" s="29">
        <f t="shared" si="38"/>
        <v>1.5670000000000002</v>
      </c>
      <c r="U278" s="29" t="str">
        <f t="shared" si="39"/>
        <v>Medium</v>
      </c>
    </row>
    <row r="279" spans="1:21" ht="15" customHeight="1" x14ac:dyDescent="0.25">
      <c r="A279" s="29">
        <f>Dataset!A279</f>
        <v>275</v>
      </c>
      <c r="B279" s="29">
        <f>IF(Dataset!B279&lt;25,0.3,IF(Dataset!B279&lt;75,0.5,IF(Dataset!B279&lt;120,0.65,0.8)))</f>
        <v>0.5</v>
      </c>
      <c r="C279" s="29">
        <f>IF(Dataset!B279&lt;25,1,IF(Dataset!B279&lt;75,2,IF(Dataset!B279&lt;120,3,4)))</f>
        <v>2</v>
      </c>
      <c r="D279" s="29">
        <f t="shared" si="32"/>
        <v>1</v>
      </c>
      <c r="E279" s="29">
        <f>IF(Dataset!C279&lt;=1,0.3,IF(Dataset!C279=2,0.4,IF(Dataset!C279=3,0.5,IF(Dataset!C279=4,0.65,0.8))))</f>
        <v>0.5</v>
      </c>
      <c r="F279" s="29">
        <f>IF(Dataset!C279&lt;=2,1,IF(Dataset!C279=3,2,IF(Dataset!C279=4,3,4)))</f>
        <v>2</v>
      </c>
      <c r="G279" s="29">
        <f t="shared" si="33"/>
        <v>1</v>
      </c>
      <c r="H279" s="29">
        <f>IF(Dataset!G279&lt;=3,0.25,IF(Dataset!G279&lt;=6,0.45,IF(Dataset!G279&lt;=9,0.65,0.85)))</f>
        <v>0.45</v>
      </c>
      <c r="I279" s="29">
        <f>IF(Dataset!G279&lt;=3,1,IF(Dataset!G279&lt;=6,2,IF(Dataset!G279&lt;=9,3,4)))</f>
        <v>2</v>
      </c>
      <c r="J279" s="29">
        <f t="shared" si="34"/>
        <v>0.9</v>
      </c>
      <c r="K279" s="29">
        <f>IF(Dataset!H279&lt;1,0.2,IF(Dataset!H279&lt;1.3,0.45,IF(Dataset!H279&lt;1.8,0.7,0.9)))</f>
        <v>0.7</v>
      </c>
      <c r="L279" s="29">
        <f>IF(Dataset!H279&lt;1,1,IF(Dataset!H279&lt;1.3,2,IF(Dataset!H279&lt;1.8,3,4)))</f>
        <v>3</v>
      </c>
      <c r="M279" s="29">
        <f t="shared" si="35"/>
        <v>2.0999999999999996</v>
      </c>
      <c r="N279" s="29">
        <f>IF(Dataset!F279=1,0.75,IF(Dataset!F279=2,0.45,0.2))</f>
        <v>0.45</v>
      </c>
      <c r="O279" s="29">
        <f>IF(Dataset!F279=1,3,IF(Dataset!F279=2,2,1))</f>
        <v>2</v>
      </c>
      <c r="P279" s="29">
        <f t="shared" si="36"/>
        <v>0.9</v>
      </c>
      <c r="Q279" s="29">
        <f>IF(Dataset!K279&lt;5,0.2,IF(Dataset!K279&lt;10,0.45,IF(Dataset!K279&lt;18,0.7,0.9)))</f>
        <v>0.45</v>
      </c>
      <c r="R279" s="29">
        <f>IF(Dataset!K279&lt;5,1,IF(Dataset!K279&lt;10,2,IF(Dataset!K279&lt;18,3,4)))</f>
        <v>2</v>
      </c>
      <c r="S279" s="29">
        <f t="shared" si="37"/>
        <v>0.9</v>
      </c>
      <c r="T279" s="29">
        <f t="shared" si="38"/>
        <v>1.2200000000000002</v>
      </c>
      <c r="U279" s="29" t="str">
        <f t="shared" si="39"/>
        <v>Low</v>
      </c>
    </row>
    <row r="280" spans="1:21" ht="15" customHeight="1" x14ac:dyDescent="0.25">
      <c r="A280" s="29">
        <f>Dataset!A280</f>
        <v>276</v>
      </c>
      <c r="B280" s="29">
        <f>IF(Dataset!B280&lt;25,0.3,IF(Dataset!B280&lt;75,0.5,IF(Dataset!B280&lt;120,0.65,0.8)))</f>
        <v>0.65</v>
      </c>
      <c r="C280" s="29">
        <f>IF(Dataset!B280&lt;25,1,IF(Dataset!B280&lt;75,2,IF(Dataset!B280&lt;120,3,4)))</f>
        <v>3</v>
      </c>
      <c r="D280" s="29">
        <f t="shared" si="32"/>
        <v>1.9500000000000002</v>
      </c>
      <c r="E280" s="29">
        <f>IF(Dataset!C280&lt;=1,0.3,IF(Dataset!C280=2,0.4,IF(Dataset!C280=3,0.5,IF(Dataset!C280=4,0.65,0.8))))</f>
        <v>0.4</v>
      </c>
      <c r="F280" s="29">
        <f>IF(Dataset!C280&lt;=2,1,IF(Dataset!C280=3,2,IF(Dataset!C280=4,3,4)))</f>
        <v>1</v>
      </c>
      <c r="G280" s="29">
        <f t="shared" si="33"/>
        <v>0.4</v>
      </c>
      <c r="H280" s="29">
        <f>IF(Dataset!G280&lt;=3,0.25,IF(Dataset!G280&lt;=6,0.45,IF(Dataset!G280&lt;=9,0.65,0.85)))</f>
        <v>0.45</v>
      </c>
      <c r="I280" s="29">
        <f>IF(Dataset!G280&lt;=3,1,IF(Dataset!G280&lt;=6,2,IF(Dataset!G280&lt;=9,3,4)))</f>
        <v>2</v>
      </c>
      <c r="J280" s="29">
        <f t="shared" si="34"/>
        <v>0.9</v>
      </c>
      <c r="K280" s="29">
        <f>IF(Dataset!H280&lt;1,0.2,IF(Dataset!H280&lt;1.3,0.45,IF(Dataset!H280&lt;1.8,0.7,0.9)))</f>
        <v>0.9</v>
      </c>
      <c r="L280" s="29">
        <f>IF(Dataset!H280&lt;1,1,IF(Dataset!H280&lt;1.3,2,IF(Dataset!H280&lt;1.8,3,4)))</f>
        <v>4</v>
      </c>
      <c r="M280" s="29">
        <f t="shared" si="35"/>
        <v>3.6</v>
      </c>
      <c r="N280" s="29">
        <f>IF(Dataset!F280=1,0.75,IF(Dataset!F280=2,0.45,0.2))</f>
        <v>0.45</v>
      </c>
      <c r="O280" s="29">
        <f>IF(Dataset!F280=1,3,IF(Dataset!F280=2,2,1))</f>
        <v>2</v>
      </c>
      <c r="P280" s="29">
        <f t="shared" si="36"/>
        <v>0.9</v>
      </c>
      <c r="Q280" s="29">
        <f>IF(Dataset!K280&lt;5,0.2,IF(Dataset!K280&lt;10,0.45,IF(Dataset!K280&lt;18,0.7,0.9)))</f>
        <v>0.2</v>
      </c>
      <c r="R280" s="29">
        <f>IF(Dataset!K280&lt;5,1,IF(Dataset!K280&lt;10,2,IF(Dataset!K280&lt;18,3,4)))</f>
        <v>1</v>
      </c>
      <c r="S280" s="29">
        <f t="shared" si="37"/>
        <v>0.2</v>
      </c>
      <c r="T280" s="29">
        <f t="shared" si="38"/>
        <v>1.5690000000000002</v>
      </c>
      <c r="U280" s="29" t="str">
        <f t="shared" si="39"/>
        <v>Medium</v>
      </c>
    </row>
    <row r="281" spans="1:21" ht="15" customHeight="1" x14ac:dyDescent="0.25">
      <c r="A281" s="29">
        <f>Dataset!A281</f>
        <v>277</v>
      </c>
      <c r="B281" s="29">
        <f>IF(Dataset!B281&lt;25,0.3,IF(Dataset!B281&lt;75,0.5,IF(Dataset!B281&lt;120,0.65,0.8)))</f>
        <v>0.65</v>
      </c>
      <c r="C281" s="29">
        <f>IF(Dataset!B281&lt;25,1,IF(Dataset!B281&lt;75,2,IF(Dataset!B281&lt;120,3,4)))</f>
        <v>3</v>
      </c>
      <c r="D281" s="29">
        <f t="shared" si="32"/>
        <v>1.9500000000000002</v>
      </c>
      <c r="E281" s="29">
        <f>IF(Dataset!C281&lt;=1,0.3,IF(Dataset!C281=2,0.4,IF(Dataset!C281=3,0.5,IF(Dataset!C281=4,0.65,0.8))))</f>
        <v>0.65</v>
      </c>
      <c r="F281" s="29">
        <f>IF(Dataset!C281&lt;=2,1,IF(Dataset!C281=3,2,IF(Dataset!C281=4,3,4)))</f>
        <v>3</v>
      </c>
      <c r="G281" s="29">
        <f t="shared" si="33"/>
        <v>1.9500000000000002</v>
      </c>
      <c r="H281" s="29">
        <f>IF(Dataset!G281&lt;=3,0.25,IF(Dataset!G281&lt;=6,0.45,IF(Dataset!G281&lt;=9,0.65,0.85)))</f>
        <v>0.45</v>
      </c>
      <c r="I281" s="29">
        <f>IF(Dataset!G281&lt;=3,1,IF(Dataset!G281&lt;=6,2,IF(Dataset!G281&lt;=9,3,4)))</f>
        <v>2</v>
      </c>
      <c r="J281" s="29">
        <f t="shared" si="34"/>
        <v>0.9</v>
      </c>
      <c r="K281" s="29">
        <f>IF(Dataset!H281&lt;1,0.2,IF(Dataset!H281&lt;1.3,0.45,IF(Dataset!H281&lt;1.8,0.7,0.9)))</f>
        <v>0.9</v>
      </c>
      <c r="L281" s="29">
        <f>IF(Dataset!H281&lt;1,1,IF(Dataset!H281&lt;1.3,2,IF(Dataset!H281&lt;1.8,3,4)))</f>
        <v>4</v>
      </c>
      <c r="M281" s="29">
        <f t="shared" si="35"/>
        <v>3.6</v>
      </c>
      <c r="N281" s="29">
        <f>IF(Dataset!F281=1,0.75,IF(Dataset!F281=2,0.45,0.2))</f>
        <v>0.2</v>
      </c>
      <c r="O281" s="29">
        <f>IF(Dataset!F281=1,3,IF(Dataset!F281=2,2,1))</f>
        <v>1</v>
      </c>
      <c r="P281" s="29">
        <f t="shared" si="36"/>
        <v>0.2</v>
      </c>
      <c r="Q281" s="29">
        <f>IF(Dataset!K281&lt;5,0.2,IF(Dataset!K281&lt;10,0.45,IF(Dataset!K281&lt;18,0.7,0.9)))</f>
        <v>0.45</v>
      </c>
      <c r="R281" s="29">
        <f>IF(Dataset!K281&lt;5,1,IF(Dataset!K281&lt;10,2,IF(Dataset!K281&lt;18,3,4)))</f>
        <v>2</v>
      </c>
      <c r="S281" s="29">
        <f t="shared" si="37"/>
        <v>0.9</v>
      </c>
      <c r="T281" s="29">
        <f t="shared" si="38"/>
        <v>1.8140000000000003</v>
      </c>
      <c r="U281" s="29" t="str">
        <f t="shared" si="39"/>
        <v>High</v>
      </c>
    </row>
    <row r="282" spans="1:21" ht="15" customHeight="1" x14ac:dyDescent="0.25">
      <c r="A282" s="29">
        <f>Dataset!A282</f>
        <v>278</v>
      </c>
      <c r="B282" s="29">
        <f>IF(Dataset!B282&lt;25,0.3,IF(Dataset!B282&lt;75,0.5,IF(Dataset!B282&lt;120,0.65,0.8)))</f>
        <v>0.65</v>
      </c>
      <c r="C282" s="29">
        <f>IF(Dataset!B282&lt;25,1,IF(Dataset!B282&lt;75,2,IF(Dataset!B282&lt;120,3,4)))</f>
        <v>3</v>
      </c>
      <c r="D282" s="29">
        <f t="shared" si="32"/>
        <v>1.9500000000000002</v>
      </c>
      <c r="E282" s="29">
        <f>IF(Dataset!C282&lt;=1,0.3,IF(Dataset!C282=2,0.4,IF(Dataset!C282=3,0.5,IF(Dataset!C282=4,0.65,0.8))))</f>
        <v>0.8</v>
      </c>
      <c r="F282" s="29">
        <f>IF(Dataset!C282&lt;=2,1,IF(Dataset!C282=3,2,IF(Dataset!C282=4,3,4)))</f>
        <v>4</v>
      </c>
      <c r="G282" s="29">
        <f t="shared" si="33"/>
        <v>3.2</v>
      </c>
      <c r="H282" s="29">
        <f>IF(Dataset!G282&lt;=3,0.25,IF(Dataset!G282&lt;=6,0.45,IF(Dataset!G282&lt;=9,0.65,0.85)))</f>
        <v>0.65</v>
      </c>
      <c r="I282" s="29">
        <f>IF(Dataset!G282&lt;=3,1,IF(Dataset!G282&lt;=6,2,IF(Dataset!G282&lt;=9,3,4)))</f>
        <v>3</v>
      </c>
      <c r="J282" s="29">
        <f t="shared" si="34"/>
        <v>1.9500000000000002</v>
      </c>
      <c r="K282" s="29">
        <f>IF(Dataset!H282&lt;1,0.2,IF(Dataset!H282&lt;1.3,0.45,IF(Dataset!H282&lt;1.8,0.7,0.9)))</f>
        <v>0.45</v>
      </c>
      <c r="L282" s="29">
        <f>IF(Dataset!H282&lt;1,1,IF(Dataset!H282&lt;1.3,2,IF(Dataset!H282&lt;1.8,3,4)))</f>
        <v>2</v>
      </c>
      <c r="M282" s="29">
        <f t="shared" si="35"/>
        <v>0.9</v>
      </c>
      <c r="N282" s="29">
        <f>IF(Dataset!F282=1,0.75,IF(Dataset!F282=2,0.45,0.2))</f>
        <v>0.2</v>
      </c>
      <c r="O282" s="29">
        <f>IF(Dataset!F282=1,3,IF(Dataset!F282=2,2,1))</f>
        <v>1</v>
      </c>
      <c r="P282" s="29">
        <f t="shared" si="36"/>
        <v>0.2</v>
      </c>
      <c r="Q282" s="29">
        <f>IF(Dataset!K282&lt;5,0.2,IF(Dataset!K282&lt;10,0.45,IF(Dataset!K282&lt;18,0.7,0.9)))</f>
        <v>0.7</v>
      </c>
      <c r="R282" s="29">
        <f>IF(Dataset!K282&lt;5,1,IF(Dataset!K282&lt;10,2,IF(Dataset!K282&lt;18,3,4)))</f>
        <v>3</v>
      </c>
      <c r="S282" s="29">
        <f t="shared" si="37"/>
        <v>2.0999999999999996</v>
      </c>
      <c r="T282" s="29">
        <f t="shared" si="38"/>
        <v>1.7190000000000003</v>
      </c>
      <c r="U282" s="29" t="str">
        <f t="shared" si="39"/>
        <v>Medium</v>
      </c>
    </row>
    <row r="283" spans="1:21" ht="15" customHeight="1" x14ac:dyDescent="0.25">
      <c r="A283" s="29">
        <f>Dataset!A283</f>
        <v>279</v>
      </c>
      <c r="B283" s="29">
        <f>IF(Dataset!B283&lt;25,0.3,IF(Dataset!B283&lt;75,0.5,IF(Dataset!B283&lt;120,0.65,0.8)))</f>
        <v>0.5</v>
      </c>
      <c r="C283" s="29">
        <f>IF(Dataset!B283&lt;25,1,IF(Dataset!B283&lt;75,2,IF(Dataset!B283&lt;120,3,4)))</f>
        <v>2</v>
      </c>
      <c r="D283" s="29">
        <f t="shared" si="32"/>
        <v>1</v>
      </c>
      <c r="E283" s="29">
        <f>IF(Dataset!C283&lt;=1,0.3,IF(Dataset!C283=2,0.4,IF(Dataset!C283=3,0.5,IF(Dataset!C283=4,0.65,0.8))))</f>
        <v>0.3</v>
      </c>
      <c r="F283" s="29">
        <f>IF(Dataset!C283&lt;=2,1,IF(Dataset!C283=3,2,IF(Dataset!C283=4,3,4)))</f>
        <v>1</v>
      </c>
      <c r="G283" s="29">
        <f t="shared" si="33"/>
        <v>0.3</v>
      </c>
      <c r="H283" s="29">
        <f>IF(Dataset!G283&lt;=3,0.25,IF(Dataset!G283&lt;=6,0.45,IF(Dataset!G283&lt;=9,0.65,0.85)))</f>
        <v>0.65</v>
      </c>
      <c r="I283" s="29">
        <f>IF(Dataset!G283&lt;=3,1,IF(Dataset!G283&lt;=6,2,IF(Dataset!G283&lt;=9,3,4)))</f>
        <v>3</v>
      </c>
      <c r="J283" s="29">
        <f t="shared" si="34"/>
        <v>1.9500000000000002</v>
      </c>
      <c r="K283" s="29">
        <f>IF(Dataset!H283&lt;1,0.2,IF(Dataset!H283&lt;1.3,0.45,IF(Dataset!H283&lt;1.8,0.7,0.9)))</f>
        <v>0.7</v>
      </c>
      <c r="L283" s="29">
        <f>IF(Dataset!H283&lt;1,1,IF(Dataset!H283&lt;1.3,2,IF(Dataset!H283&lt;1.8,3,4)))</f>
        <v>3</v>
      </c>
      <c r="M283" s="29">
        <f t="shared" si="35"/>
        <v>2.0999999999999996</v>
      </c>
      <c r="N283" s="29">
        <f>IF(Dataset!F283=1,0.75,IF(Dataset!F283=2,0.45,0.2))</f>
        <v>0.45</v>
      </c>
      <c r="O283" s="29">
        <f>IF(Dataset!F283=1,3,IF(Dataset!F283=2,2,1))</f>
        <v>2</v>
      </c>
      <c r="P283" s="29">
        <f t="shared" si="36"/>
        <v>0.9</v>
      </c>
      <c r="Q283" s="29">
        <f>IF(Dataset!K283&lt;5,0.2,IF(Dataset!K283&lt;10,0.45,IF(Dataset!K283&lt;18,0.7,0.9)))</f>
        <v>0.2</v>
      </c>
      <c r="R283" s="29">
        <f>IF(Dataset!K283&lt;5,1,IF(Dataset!K283&lt;10,2,IF(Dataset!K283&lt;18,3,4)))</f>
        <v>1</v>
      </c>
      <c r="S283" s="29">
        <f t="shared" si="37"/>
        <v>0.2</v>
      </c>
      <c r="T283" s="29">
        <f t="shared" si="38"/>
        <v>1.2340000000000002</v>
      </c>
      <c r="U283" s="29" t="str">
        <f t="shared" si="39"/>
        <v>Low</v>
      </c>
    </row>
    <row r="284" spans="1:21" ht="15" customHeight="1" x14ac:dyDescent="0.25">
      <c r="A284" s="29">
        <f>Dataset!A284</f>
        <v>280</v>
      </c>
      <c r="B284" s="29">
        <f>IF(Dataset!B284&lt;25,0.3,IF(Dataset!B284&lt;75,0.5,IF(Dataset!B284&lt;120,0.65,0.8)))</f>
        <v>0.5</v>
      </c>
      <c r="C284" s="29">
        <f>IF(Dataset!B284&lt;25,1,IF(Dataset!B284&lt;75,2,IF(Dataset!B284&lt;120,3,4)))</f>
        <v>2</v>
      </c>
      <c r="D284" s="29">
        <f t="shared" si="32"/>
        <v>1</v>
      </c>
      <c r="E284" s="29">
        <f>IF(Dataset!C284&lt;=1,0.3,IF(Dataset!C284=2,0.4,IF(Dataset!C284=3,0.5,IF(Dataset!C284=4,0.65,0.8))))</f>
        <v>0.65</v>
      </c>
      <c r="F284" s="29">
        <f>IF(Dataset!C284&lt;=2,1,IF(Dataset!C284=3,2,IF(Dataset!C284=4,3,4)))</f>
        <v>3</v>
      </c>
      <c r="G284" s="29">
        <f t="shared" si="33"/>
        <v>1.9500000000000002</v>
      </c>
      <c r="H284" s="29">
        <f>IF(Dataset!G284&lt;=3,0.25,IF(Dataset!G284&lt;=6,0.45,IF(Dataset!G284&lt;=9,0.65,0.85)))</f>
        <v>0.45</v>
      </c>
      <c r="I284" s="29">
        <f>IF(Dataset!G284&lt;=3,1,IF(Dataset!G284&lt;=6,2,IF(Dataset!G284&lt;=9,3,4)))</f>
        <v>2</v>
      </c>
      <c r="J284" s="29">
        <f t="shared" si="34"/>
        <v>0.9</v>
      </c>
      <c r="K284" s="29">
        <f>IF(Dataset!H284&lt;1,0.2,IF(Dataset!H284&lt;1.3,0.45,IF(Dataset!H284&lt;1.8,0.7,0.9)))</f>
        <v>0.7</v>
      </c>
      <c r="L284" s="29">
        <f>IF(Dataset!H284&lt;1,1,IF(Dataset!H284&lt;1.3,2,IF(Dataset!H284&lt;1.8,3,4)))</f>
        <v>3</v>
      </c>
      <c r="M284" s="29">
        <f t="shared" si="35"/>
        <v>2.0999999999999996</v>
      </c>
      <c r="N284" s="29">
        <f>IF(Dataset!F284=1,0.75,IF(Dataset!F284=2,0.45,0.2))</f>
        <v>0.45</v>
      </c>
      <c r="O284" s="29">
        <f>IF(Dataset!F284=1,3,IF(Dataset!F284=2,2,1))</f>
        <v>2</v>
      </c>
      <c r="P284" s="29">
        <f t="shared" si="36"/>
        <v>0.9</v>
      </c>
      <c r="Q284" s="29">
        <f>IF(Dataset!K284&lt;5,0.2,IF(Dataset!K284&lt;10,0.45,IF(Dataset!K284&lt;18,0.7,0.9)))</f>
        <v>0.7</v>
      </c>
      <c r="R284" s="29">
        <f>IF(Dataset!K284&lt;5,1,IF(Dataset!K284&lt;10,2,IF(Dataset!K284&lt;18,3,4)))</f>
        <v>3</v>
      </c>
      <c r="S284" s="29">
        <f t="shared" si="37"/>
        <v>2.0999999999999996</v>
      </c>
      <c r="T284" s="29">
        <f t="shared" si="38"/>
        <v>1.5210000000000001</v>
      </c>
      <c r="U284" s="29" t="str">
        <f t="shared" si="39"/>
        <v>Medium</v>
      </c>
    </row>
    <row r="285" spans="1:21" ht="15" customHeight="1" x14ac:dyDescent="0.25">
      <c r="A285" s="29">
        <f>Dataset!A285</f>
        <v>281</v>
      </c>
      <c r="B285" s="29">
        <f>IF(Dataset!B285&lt;25,0.3,IF(Dataset!B285&lt;75,0.5,IF(Dataset!B285&lt;120,0.65,0.8)))</f>
        <v>0.3</v>
      </c>
      <c r="C285" s="29">
        <f>IF(Dataset!B285&lt;25,1,IF(Dataset!B285&lt;75,2,IF(Dataset!B285&lt;120,3,4)))</f>
        <v>1</v>
      </c>
      <c r="D285" s="29">
        <f t="shared" si="32"/>
        <v>0.3</v>
      </c>
      <c r="E285" s="29">
        <f>IF(Dataset!C285&lt;=1,0.3,IF(Dataset!C285=2,0.4,IF(Dataset!C285=3,0.5,IF(Dataset!C285=4,0.65,0.8))))</f>
        <v>0.8</v>
      </c>
      <c r="F285" s="29">
        <f>IF(Dataset!C285&lt;=2,1,IF(Dataset!C285=3,2,IF(Dataset!C285=4,3,4)))</f>
        <v>4</v>
      </c>
      <c r="G285" s="29">
        <f t="shared" si="33"/>
        <v>3.2</v>
      </c>
      <c r="H285" s="29">
        <f>IF(Dataset!G285&lt;=3,0.25,IF(Dataset!G285&lt;=6,0.45,IF(Dataset!G285&lt;=9,0.65,0.85)))</f>
        <v>0.45</v>
      </c>
      <c r="I285" s="29">
        <f>IF(Dataset!G285&lt;=3,1,IF(Dataset!G285&lt;=6,2,IF(Dataset!G285&lt;=9,3,4)))</f>
        <v>2</v>
      </c>
      <c r="J285" s="29">
        <f t="shared" si="34"/>
        <v>0.9</v>
      </c>
      <c r="K285" s="29">
        <f>IF(Dataset!H285&lt;1,0.2,IF(Dataset!H285&lt;1.3,0.45,IF(Dataset!H285&lt;1.8,0.7,0.9)))</f>
        <v>0.9</v>
      </c>
      <c r="L285" s="29">
        <f>IF(Dataset!H285&lt;1,1,IF(Dataset!H285&lt;1.3,2,IF(Dataset!H285&lt;1.8,3,4)))</f>
        <v>4</v>
      </c>
      <c r="M285" s="29">
        <f t="shared" si="35"/>
        <v>3.6</v>
      </c>
      <c r="N285" s="29">
        <f>IF(Dataset!F285=1,0.75,IF(Dataset!F285=2,0.45,0.2))</f>
        <v>0.75</v>
      </c>
      <c r="O285" s="29">
        <f>IF(Dataset!F285=1,3,IF(Dataset!F285=2,2,1))</f>
        <v>3</v>
      </c>
      <c r="P285" s="29">
        <f t="shared" si="36"/>
        <v>2.25</v>
      </c>
      <c r="Q285" s="29">
        <f>IF(Dataset!K285&lt;5,0.2,IF(Dataset!K285&lt;10,0.45,IF(Dataset!K285&lt;18,0.7,0.9)))</f>
        <v>0.7</v>
      </c>
      <c r="R285" s="29">
        <f>IF(Dataset!K285&lt;5,1,IF(Dataset!K285&lt;10,2,IF(Dataset!K285&lt;18,3,4)))</f>
        <v>3</v>
      </c>
      <c r="S285" s="29">
        <f t="shared" si="37"/>
        <v>2.0999999999999996</v>
      </c>
      <c r="T285" s="29">
        <f t="shared" si="38"/>
        <v>2.0650000000000004</v>
      </c>
      <c r="U285" s="29" t="str">
        <f t="shared" si="39"/>
        <v>High</v>
      </c>
    </row>
    <row r="286" spans="1:21" ht="15" customHeight="1" x14ac:dyDescent="0.25">
      <c r="A286" s="29">
        <f>Dataset!A286</f>
        <v>282</v>
      </c>
      <c r="B286" s="29">
        <f>IF(Dataset!B286&lt;25,0.3,IF(Dataset!B286&lt;75,0.5,IF(Dataset!B286&lt;120,0.65,0.8)))</f>
        <v>0.5</v>
      </c>
      <c r="C286" s="29">
        <f>IF(Dataset!B286&lt;25,1,IF(Dataset!B286&lt;75,2,IF(Dataset!B286&lt;120,3,4)))</f>
        <v>2</v>
      </c>
      <c r="D286" s="29">
        <f t="shared" si="32"/>
        <v>1</v>
      </c>
      <c r="E286" s="29">
        <f>IF(Dataset!C286&lt;=1,0.3,IF(Dataset!C286=2,0.4,IF(Dataset!C286=3,0.5,IF(Dataset!C286=4,0.65,0.8))))</f>
        <v>0.3</v>
      </c>
      <c r="F286" s="29">
        <f>IF(Dataset!C286&lt;=2,1,IF(Dataset!C286=3,2,IF(Dataset!C286=4,3,4)))</f>
        <v>1</v>
      </c>
      <c r="G286" s="29">
        <f t="shared" si="33"/>
        <v>0.3</v>
      </c>
      <c r="H286" s="29">
        <f>IF(Dataset!G286&lt;=3,0.25,IF(Dataset!G286&lt;=6,0.45,IF(Dataset!G286&lt;=9,0.65,0.85)))</f>
        <v>0.45</v>
      </c>
      <c r="I286" s="29">
        <f>IF(Dataset!G286&lt;=3,1,IF(Dataset!G286&lt;=6,2,IF(Dataset!G286&lt;=9,3,4)))</f>
        <v>2</v>
      </c>
      <c r="J286" s="29">
        <f t="shared" si="34"/>
        <v>0.9</v>
      </c>
      <c r="K286" s="29">
        <f>IF(Dataset!H286&lt;1,0.2,IF(Dataset!H286&lt;1.3,0.45,IF(Dataset!H286&lt;1.8,0.7,0.9)))</f>
        <v>0.9</v>
      </c>
      <c r="L286" s="29">
        <f>IF(Dataset!H286&lt;1,1,IF(Dataset!H286&lt;1.3,2,IF(Dataset!H286&lt;1.8,3,4)))</f>
        <v>4</v>
      </c>
      <c r="M286" s="29">
        <f t="shared" si="35"/>
        <v>3.6</v>
      </c>
      <c r="N286" s="29">
        <f>IF(Dataset!F286=1,0.75,IF(Dataset!F286=2,0.45,0.2))</f>
        <v>0.45</v>
      </c>
      <c r="O286" s="29">
        <f>IF(Dataset!F286=1,3,IF(Dataset!F286=2,2,1))</f>
        <v>2</v>
      </c>
      <c r="P286" s="29">
        <f t="shared" si="36"/>
        <v>0.9</v>
      </c>
      <c r="Q286" s="29">
        <f>IF(Dataset!K286&lt;5,0.2,IF(Dataset!K286&lt;10,0.45,IF(Dataset!K286&lt;18,0.7,0.9)))</f>
        <v>0.2</v>
      </c>
      <c r="R286" s="29">
        <f>IF(Dataset!K286&lt;5,1,IF(Dataset!K286&lt;10,2,IF(Dataset!K286&lt;18,3,4)))</f>
        <v>1</v>
      </c>
      <c r="S286" s="29">
        <f t="shared" si="37"/>
        <v>0.2</v>
      </c>
      <c r="T286" s="29">
        <f t="shared" si="38"/>
        <v>1.3840000000000001</v>
      </c>
      <c r="U286" s="29" t="str">
        <f t="shared" si="39"/>
        <v>Medium</v>
      </c>
    </row>
    <row r="287" spans="1:21" ht="15" customHeight="1" x14ac:dyDescent="0.25">
      <c r="A287" s="29">
        <f>Dataset!A287</f>
        <v>283</v>
      </c>
      <c r="B287" s="29">
        <f>IF(Dataset!B287&lt;25,0.3,IF(Dataset!B287&lt;75,0.5,IF(Dataset!B287&lt;120,0.65,0.8)))</f>
        <v>0.5</v>
      </c>
      <c r="C287" s="29">
        <f>IF(Dataset!B287&lt;25,1,IF(Dataset!B287&lt;75,2,IF(Dataset!B287&lt;120,3,4)))</f>
        <v>2</v>
      </c>
      <c r="D287" s="29">
        <f t="shared" si="32"/>
        <v>1</v>
      </c>
      <c r="E287" s="29">
        <f>IF(Dataset!C287&lt;=1,0.3,IF(Dataset!C287=2,0.4,IF(Dataset!C287=3,0.5,IF(Dataset!C287=4,0.65,0.8))))</f>
        <v>0.4</v>
      </c>
      <c r="F287" s="29">
        <f>IF(Dataset!C287&lt;=2,1,IF(Dataset!C287=3,2,IF(Dataset!C287=4,3,4)))</f>
        <v>1</v>
      </c>
      <c r="G287" s="29">
        <f t="shared" si="33"/>
        <v>0.4</v>
      </c>
      <c r="H287" s="29">
        <f>IF(Dataset!G287&lt;=3,0.25,IF(Dataset!G287&lt;=6,0.45,IF(Dataset!G287&lt;=9,0.65,0.85)))</f>
        <v>0.45</v>
      </c>
      <c r="I287" s="29">
        <f>IF(Dataset!G287&lt;=3,1,IF(Dataset!G287&lt;=6,2,IF(Dataset!G287&lt;=9,3,4)))</f>
        <v>2</v>
      </c>
      <c r="J287" s="29">
        <f t="shared" si="34"/>
        <v>0.9</v>
      </c>
      <c r="K287" s="29">
        <f>IF(Dataset!H287&lt;1,0.2,IF(Dataset!H287&lt;1.3,0.45,IF(Dataset!H287&lt;1.8,0.7,0.9)))</f>
        <v>0.2</v>
      </c>
      <c r="L287" s="29">
        <f>IF(Dataset!H287&lt;1,1,IF(Dataset!H287&lt;1.3,2,IF(Dataset!H287&lt;1.8,3,4)))</f>
        <v>1</v>
      </c>
      <c r="M287" s="29">
        <f t="shared" si="35"/>
        <v>0.2</v>
      </c>
      <c r="N287" s="29">
        <f>IF(Dataset!F287=1,0.75,IF(Dataset!F287=2,0.45,0.2))</f>
        <v>0.75</v>
      </c>
      <c r="O287" s="29">
        <f>IF(Dataset!F287=1,3,IF(Dataset!F287=2,2,1))</f>
        <v>3</v>
      </c>
      <c r="P287" s="29">
        <f t="shared" si="36"/>
        <v>2.25</v>
      </c>
      <c r="Q287" s="29">
        <f>IF(Dataset!K287&lt;5,0.2,IF(Dataset!K287&lt;10,0.45,IF(Dataset!K287&lt;18,0.7,0.9)))</f>
        <v>0.2</v>
      </c>
      <c r="R287" s="29">
        <f>IF(Dataset!K287&lt;5,1,IF(Dataset!K287&lt;10,2,IF(Dataset!K287&lt;18,3,4)))</f>
        <v>1</v>
      </c>
      <c r="S287" s="29">
        <f t="shared" si="37"/>
        <v>0.2</v>
      </c>
      <c r="T287" s="29">
        <f t="shared" si="38"/>
        <v>0.71700000000000008</v>
      </c>
      <c r="U287" s="29" t="str">
        <f t="shared" si="39"/>
        <v>Low</v>
      </c>
    </row>
    <row r="288" spans="1:21" ht="15" customHeight="1" x14ac:dyDescent="0.25">
      <c r="A288" s="29">
        <f>Dataset!A288</f>
        <v>284</v>
      </c>
      <c r="B288" s="29">
        <f>IF(Dataset!B288&lt;25,0.3,IF(Dataset!B288&lt;75,0.5,IF(Dataset!B288&lt;120,0.65,0.8)))</f>
        <v>0.5</v>
      </c>
      <c r="C288" s="29">
        <f>IF(Dataset!B288&lt;25,1,IF(Dataset!B288&lt;75,2,IF(Dataset!B288&lt;120,3,4)))</f>
        <v>2</v>
      </c>
      <c r="D288" s="29">
        <f t="shared" si="32"/>
        <v>1</v>
      </c>
      <c r="E288" s="29">
        <f>IF(Dataset!C288&lt;=1,0.3,IF(Dataset!C288=2,0.4,IF(Dataset!C288=3,0.5,IF(Dataset!C288=4,0.65,0.8))))</f>
        <v>0.65</v>
      </c>
      <c r="F288" s="29">
        <f>IF(Dataset!C288&lt;=2,1,IF(Dataset!C288=3,2,IF(Dataset!C288=4,3,4)))</f>
        <v>3</v>
      </c>
      <c r="G288" s="29">
        <f t="shared" si="33"/>
        <v>1.9500000000000002</v>
      </c>
      <c r="H288" s="29">
        <f>IF(Dataset!G288&lt;=3,0.25,IF(Dataset!G288&lt;=6,0.45,IF(Dataset!G288&lt;=9,0.65,0.85)))</f>
        <v>0.25</v>
      </c>
      <c r="I288" s="29">
        <f>IF(Dataset!G288&lt;=3,1,IF(Dataset!G288&lt;=6,2,IF(Dataset!G288&lt;=9,3,4)))</f>
        <v>1</v>
      </c>
      <c r="J288" s="29">
        <f t="shared" si="34"/>
        <v>0.25</v>
      </c>
      <c r="K288" s="29">
        <f>IF(Dataset!H288&lt;1,0.2,IF(Dataset!H288&lt;1.3,0.45,IF(Dataset!H288&lt;1.8,0.7,0.9)))</f>
        <v>0.7</v>
      </c>
      <c r="L288" s="29">
        <f>IF(Dataset!H288&lt;1,1,IF(Dataset!H288&lt;1.3,2,IF(Dataset!H288&lt;1.8,3,4)))</f>
        <v>3</v>
      </c>
      <c r="M288" s="29">
        <f t="shared" si="35"/>
        <v>2.0999999999999996</v>
      </c>
      <c r="N288" s="29">
        <f>IF(Dataset!F288=1,0.75,IF(Dataset!F288=2,0.45,0.2))</f>
        <v>0.45</v>
      </c>
      <c r="O288" s="29">
        <f>IF(Dataset!F288=1,3,IF(Dataset!F288=2,2,1))</f>
        <v>2</v>
      </c>
      <c r="P288" s="29">
        <f t="shared" si="36"/>
        <v>0.9</v>
      </c>
      <c r="Q288" s="29">
        <f>IF(Dataset!K288&lt;5,0.2,IF(Dataset!K288&lt;10,0.45,IF(Dataset!K288&lt;18,0.7,0.9)))</f>
        <v>0.45</v>
      </c>
      <c r="R288" s="29">
        <f>IF(Dataset!K288&lt;5,1,IF(Dataset!K288&lt;10,2,IF(Dataset!K288&lt;18,3,4)))</f>
        <v>2</v>
      </c>
      <c r="S288" s="29">
        <f t="shared" si="37"/>
        <v>0.9</v>
      </c>
      <c r="T288" s="29">
        <f t="shared" si="38"/>
        <v>1.2230000000000003</v>
      </c>
      <c r="U288" s="29" t="str">
        <f t="shared" si="39"/>
        <v>Low</v>
      </c>
    </row>
    <row r="289" spans="1:21" ht="15" customHeight="1" x14ac:dyDescent="0.25">
      <c r="A289" s="29">
        <f>Dataset!A289</f>
        <v>285</v>
      </c>
      <c r="B289" s="29">
        <f>IF(Dataset!B289&lt;25,0.3,IF(Dataset!B289&lt;75,0.5,IF(Dataset!B289&lt;120,0.65,0.8)))</f>
        <v>0.65</v>
      </c>
      <c r="C289" s="29">
        <f>IF(Dataset!B289&lt;25,1,IF(Dataset!B289&lt;75,2,IF(Dataset!B289&lt;120,3,4)))</f>
        <v>3</v>
      </c>
      <c r="D289" s="29">
        <f t="shared" si="32"/>
        <v>1.9500000000000002</v>
      </c>
      <c r="E289" s="29">
        <f>IF(Dataset!C289&lt;=1,0.3,IF(Dataset!C289=2,0.4,IF(Dataset!C289=3,0.5,IF(Dataset!C289=4,0.65,0.8))))</f>
        <v>0.65</v>
      </c>
      <c r="F289" s="29">
        <f>IF(Dataset!C289&lt;=2,1,IF(Dataset!C289=3,2,IF(Dataset!C289=4,3,4)))</f>
        <v>3</v>
      </c>
      <c r="G289" s="29">
        <f t="shared" si="33"/>
        <v>1.9500000000000002</v>
      </c>
      <c r="H289" s="29">
        <f>IF(Dataset!G289&lt;=3,0.25,IF(Dataset!G289&lt;=6,0.45,IF(Dataset!G289&lt;=9,0.65,0.85)))</f>
        <v>0.45</v>
      </c>
      <c r="I289" s="29">
        <f>IF(Dataset!G289&lt;=3,1,IF(Dataset!G289&lt;=6,2,IF(Dataset!G289&lt;=9,3,4)))</f>
        <v>2</v>
      </c>
      <c r="J289" s="29">
        <f t="shared" si="34"/>
        <v>0.9</v>
      </c>
      <c r="K289" s="29">
        <f>IF(Dataset!H289&lt;1,0.2,IF(Dataset!H289&lt;1.3,0.45,IF(Dataset!H289&lt;1.8,0.7,0.9)))</f>
        <v>0.45</v>
      </c>
      <c r="L289" s="29">
        <f>IF(Dataset!H289&lt;1,1,IF(Dataset!H289&lt;1.3,2,IF(Dataset!H289&lt;1.8,3,4)))</f>
        <v>2</v>
      </c>
      <c r="M289" s="29">
        <f t="shared" si="35"/>
        <v>0.9</v>
      </c>
      <c r="N289" s="29">
        <f>IF(Dataset!F289=1,0.75,IF(Dataset!F289=2,0.45,0.2))</f>
        <v>0.75</v>
      </c>
      <c r="O289" s="29">
        <f>IF(Dataset!F289=1,3,IF(Dataset!F289=2,2,1))</f>
        <v>3</v>
      </c>
      <c r="P289" s="29">
        <f t="shared" si="36"/>
        <v>2.25</v>
      </c>
      <c r="Q289" s="29">
        <f>IF(Dataset!K289&lt;5,0.2,IF(Dataset!K289&lt;10,0.45,IF(Dataset!K289&lt;18,0.7,0.9)))</f>
        <v>0.45</v>
      </c>
      <c r="R289" s="29">
        <f>IF(Dataset!K289&lt;5,1,IF(Dataset!K289&lt;10,2,IF(Dataset!K289&lt;18,3,4)))</f>
        <v>2</v>
      </c>
      <c r="S289" s="29">
        <f t="shared" si="37"/>
        <v>0.9</v>
      </c>
      <c r="T289" s="29">
        <f t="shared" si="38"/>
        <v>1.3710000000000004</v>
      </c>
      <c r="U289" s="29" t="str">
        <f t="shared" si="39"/>
        <v>Medium</v>
      </c>
    </row>
    <row r="290" spans="1:21" ht="15" customHeight="1" x14ac:dyDescent="0.25">
      <c r="A290" s="29">
        <f>Dataset!A290</f>
        <v>286</v>
      </c>
      <c r="B290" s="29">
        <f>IF(Dataset!B290&lt;25,0.3,IF(Dataset!B290&lt;75,0.5,IF(Dataset!B290&lt;120,0.65,0.8)))</f>
        <v>0.5</v>
      </c>
      <c r="C290" s="29">
        <f>IF(Dataset!B290&lt;25,1,IF(Dataset!B290&lt;75,2,IF(Dataset!B290&lt;120,3,4)))</f>
        <v>2</v>
      </c>
      <c r="D290" s="29">
        <f t="shared" si="32"/>
        <v>1</v>
      </c>
      <c r="E290" s="29">
        <f>IF(Dataset!C290&lt;=1,0.3,IF(Dataset!C290=2,0.4,IF(Dataset!C290=3,0.5,IF(Dataset!C290=4,0.65,0.8))))</f>
        <v>0.3</v>
      </c>
      <c r="F290" s="29">
        <f>IF(Dataset!C290&lt;=2,1,IF(Dataset!C290=3,2,IF(Dataset!C290=4,3,4)))</f>
        <v>1</v>
      </c>
      <c r="G290" s="29">
        <f t="shared" si="33"/>
        <v>0.3</v>
      </c>
      <c r="H290" s="29">
        <f>IF(Dataset!G290&lt;=3,0.25,IF(Dataset!G290&lt;=6,0.45,IF(Dataset!G290&lt;=9,0.65,0.85)))</f>
        <v>0.45</v>
      </c>
      <c r="I290" s="29">
        <f>IF(Dataset!G290&lt;=3,1,IF(Dataset!G290&lt;=6,2,IF(Dataset!G290&lt;=9,3,4)))</f>
        <v>2</v>
      </c>
      <c r="J290" s="29">
        <f t="shared" si="34"/>
        <v>0.9</v>
      </c>
      <c r="K290" s="29">
        <f>IF(Dataset!H290&lt;1,0.2,IF(Dataset!H290&lt;1.3,0.45,IF(Dataset!H290&lt;1.8,0.7,0.9)))</f>
        <v>0.9</v>
      </c>
      <c r="L290" s="29">
        <f>IF(Dataset!H290&lt;1,1,IF(Dataset!H290&lt;1.3,2,IF(Dataset!H290&lt;1.8,3,4)))</f>
        <v>4</v>
      </c>
      <c r="M290" s="29">
        <f t="shared" si="35"/>
        <v>3.6</v>
      </c>
      <c r="N290" s="29">
        <f>IF(Dataset!F290=1,0.75,IF(Dataset!F290=2,0.45,0.2))</f>
        <v>0.2</v>
      </c>
      <c r="O290" s="29">
        <f>IF(Dataset!F290=1,3,IF(Dataset!F290=2,2,1))</f>
        <v>1</v>
      </c>
      <c r="P290" s="29">
        <f t="shared" si="36"/>
        <v>0.2</v>
      </c>
      <c r="Q290" s="29">
        <f>IF(Dataset!K290&lt;5,0.2,IF(Dataset!K290&lt;10,0.45,IF(Dataset!K290&lt;18,0.7,0.9)))</f>
        <v>0.2</v>
      </c>
      <c r="R290" s="29">
        <f>IF(Dataset!K290&lt;5,1,IF(Dataset!K290&lt;10,2,IF(Dataset!K290&lt;18,3,4)))</f>
        <v>1</v>
      </c>
      <c r="S290" s="29">
        <f t="shared" si="37"/>
        <v>0.2</v>
      </c>
      <c r="T290" s="29">
        <f t="shared" si="38"/>
        <v>1.3140000000000001</v>
      </c>
      <c r="U290" s="29" t="str">
        <f t="shared" si="39"/>
        <v>Low</v>
      </c>
    </row>
    <row r="291" spans="1:21" ht="15" customHeight="1" x14ac:dyDescent="0.25">
      <c r="A291" s="29">
        <f>Dataset!A291</f>
        <v>287</v>
      </c>
      <c r="B291" s="29">
        <f>IF(Dataset!B291&lt;25,0.3,IF(Dataset!B291&lt;75,0.5,IF(Dataset!B291&lt;120,0.65,0.8)))</f>
        <v>0.65</v>
      </c>
      <c r="C291" s="29">
        <f>IF(Dataset!B291&lt;25,1,IF(Dataset!B291&lt;75,2,IF(Dataset!B291&lt;120,3,4)))</f>
        <v>3</v>
      </c>
      <c r="D291" s="29">
        <f t="shared" si="32"/>
        <v>1.9500000000000002</v>
      </c>
      <c r="E291" s="29">
        <f>IF(Dataset!C291&lt;=1,0.3,IF(Dataset!C291=2,0.4,IF(Dataset!C291=3,0.5,IF(Dataset!C291=4,0.65,0.8))))</f>
        <v>0.65</v>
      </c>
      <c r="F291" s="29">
        <f>IF(Dataset!C291&lt;=2,1,IF(Dataset!C291=3,2,IF(Dataset!C291=4,3,4)))</f>
        <v>3</v>
      </c>
      <c r="G291" s="29">
        <f t="shared" si="33"/>
        <v>1.9500000000000002</v>
      </c>
      <c r="H291" s="29">
        <f>IF(Dataset!G291&lt;=3,0.25,IF(Dataset!G291&lt;=6,0.45,IF(Dataset!G291&lt;=9,0.65,0.85)))</f>
        <v>0.65</v>
      </c>
      <c r="I291" s="29">
        <f>IF(Dataset!G291&lt;=3,1,IF(Dataset!G291&lt;=6,2,IF(Dataset!G291&lt;=9,3,4)))</f>
        <v>3</v>
      </c>
      <c r="J291" s="29">
        <f t="shared" si="34"/>
        <v>1.9500000000000002</v>
      </c>
      <c r="K291" s="29">
        <f>IF(Dataset!H291&lt;1,0.2,IF(Dataset!H291&lt;1.3,0.45,IF(Dataset!H291&lt;1.8,0.7,0.9)))</f>
        <v>0.9</v>
      </c>
      <c r="L291" s="29">
        <f>IF(Dataset!H291&lt;1,1,IF(Dataset!H291&lt;1.3,2,IF(Dataset!H291&lt;1.8,3,4)))</f>
        <v>4</v>
      </c>
      <c r="M291" s="29">
        <f t="shared" si="35"/>
        <v>3.6</v>
      </c>
      <c r="N291" s="29">
        <f>IF(Dataset!F291=1,0.75,IF(Dataset!F291=2,0.45,0.2))</f>
        <v>0.45</v>
      </c>
      <c r="O291" s="29">
        <f>IF(Dataset!F291=1,3,IF(Dataset!F291=2,2,1))</f>
        <v>2</v>
      </c>
      <c r="P291" s="29">
        <f t="shared" si="36"/>
        <v>0.9</v>
      </c>
      <c r="Q291" s="29">
        <f>IF(Dataset!K291&lt;5,0.2,IF(Dataset!K291&lt;10,0.45,IF(Dataset!K291&lt;18,0.7,0.9)))</f>
        <v>0.7</v>
      </c>
      <c r="R291" s="29">
        <f>IF(Dataset!K291&lt;5,1,IF(Dataset!K291&lt;10,2,IF(Dataset!K291&lt;18,3,4)))</f>
        <v>3</v>
      </c>
      <c r="S291" s="29">
        <f t="shared" si="37"/>
        <v>2.0999999999999996</v>
      </c>
      <c r="T291" s="29">
        <f t="shared" si="38"/>
        <v>2.262</v>
      </c>
      <c r="U291" s="29" t="str">
        <f t="shared" si="39"/>
        <v>High</v>
      </c>
    </row>
    <row r="292" spans="1:21" ht="15" customHeight="1" x14ac:dyDescent="0.25">
      <c r="A292" s="29">
        <f>Dataset!A292</f>
        <v>288</v>
      </c>
      <c r="B292" s="29">
        <f>IF(Dataset!B292&lt;25,0.3,IF(Dataset!B292&lt;75,0.5,IF(Dataset!B292&lt;120,0.65,0.8)))</f>
        <v>0.3</v>
      </c>
      <c r="C292" s="29">
        <f>IF(Dataset!B292&lt;25,1,IF(Dataset!B292&lt;75,2,IF(Dataset!B292&lt;120,3,4)))</f>
        <v>1</v>
      </c>
      <c r="D292" s="29">
        <f t="shared" si="32"/>
        <v>0.3</v>
      </c>
      <c r="E292" s="29">
        <f>IF(Dataset!C292&lt;=1,0.3,IF(Dataset!C292=2,0.4,IF(Dataset!C292=3,0.5,IF(Dataset!C292=4,0.65,0.8))))</f>
        <v>0.5</v>
      </c>
      <c r="F292" s="29">
        <f>IF(Dataset!C292&lt;=2,1,IF(Dataset!C292=3,2,IF(Dataset!C292=4,3,4)))</f>
        <v>2</v>
      </c>
      <c r="G292" s="29">
        <f t="shared" si="33"/>
        <v>1</v>
      </c>
      <c r="H292" s="29">
        <f>IF(Dataset!G292&lt;=3,0.25,IF(Dataset!G292&lt;=6,0.45,IF(Dataset!G292&lt;=9,0.65,0.85)))</f>
        <v>0.45</v>
      </c>
      <c r="I292" s="29">
        <f>IF(Dataset!G292&lt;=3,1,IF(Dataset!G292&lt;=6,2,IF(Dataset!G292&lt;=9,3,4)))</f>
        <v>2</v>
      </c>
      <c r="J292" s="29">
        <f t="shared" si="34"/>
        <v>0.9</v>
      </c>
      <c r="K292" s="29">
        <f>IF(Dataset!H292&lt;1,0.2,IF(Dataset!H292&lt;1.3,0.45,IF(Dataset!H292&lt;1.8,0.7,0.9)))</f>
        <v>0.9</v>
      </c>
      <c r="L292" s="29">
        <f>IF(Dataset!H292&lt;1,1,IF(Dataset!H292&lt;1.3,2,IF(Dataset!H292&lt;1.8,3,4)))</f>
        <v>4</v>
      </c>
      <c r="M292" s="29">
        <f t="shared" si="35"/>
        <v>3.6</v>
      </c>
      <c r="N292" s="29">
        <f>IF(Dataset!F292=1,0.75,IF(Dataset!F292=2,0.45,0.2))</f>
        <v>0.45</v>
      </c>
      <c r="O292" s="29">
        <f>IF(Dataset!F292=1,3,IF(Dataset!F292=2,2,1))</f>
        <v>2</v>
      </c>
      <c r="P292" s="29">
        <f t="shared" si="36"/>
        <v>0.9</v>
      </c>
      <c r="Q292" s="29">
        <f>IF(Dataset!K292&lt;5,0.2,IF(Dataset!K292&lt;10,0.45,IF(Dataset!K292&lt;18,0.7,0.9)))</f>
        <v>0.45</v>
      </c>
      <c r="R292" s="29">
        <f>IF(Dataset!K292&lt;5,1,IF(Dataset!K292&lt;10,2,IF(Dataset!K292&lt;18,3,4)))</f>
        <v>2</v>
      </c>
      <c r="S292" s="29">
        <f t="shared" si="37"/>
        <v>0.9</v>
      </c>
      <c r="T292" s="29">
        <f t="shared" si="38"/>
        <v>1.4540000000000002</v>
      </c>
      <c r="U292" s="29" t="str">
        <f t="shared" si="39"/>
        <v>Medium</v>
      </c>
    </row>
    <row r="293" spans="1:21" ht="15" customHeight="1" x14ac:dyDescent="0.25">
      <c r="A293" s="29">
        <f>Dataset!A293</f>
        <v>289</v>
      </c>
      <c r="B293" s="29">
        <f>IF(Dataset!B293&lt;25,0.3,IF(Dataset!B293&lt;75,0.5,IF(Dataset!B293&lt;120,0.65,0.8)))</f>
        <v>0.65</v>
      </c>
      <c r="C293" s="29">
        <f>IF(Dataset!B293&lt;25,1,IF(Dataset!B293&lt;75,2,IF(Dataset!B293&lt;120,3,4)))</f>
        <v>3</v>
      </c>
      <c r="D293" s="29">
        <f t="shared" si="32"/>
        <v>1.9500000000000002</v>
      </c>
      <c r="E293" s="29">
        <f>IF(Dataset!C293&lt;=1,0.3,IF(Dataset!C293=2,0.4,IF(Dataset!C293=3,0.5,IF(Dataset!C293=4,0.65,0.8))))</f>
        <v>0.8</v>
      </c>
      <c r="F293" s="29">
        <f>IF(Dataset!C293&lt;=2,1,IF(Dataset!C293=3,2,IF(Dataset!C293=4,3,4)))</f>
        <v>4</v>
      </c>
      <c r="G293" s="29">
        <f t="shared" si="33"/>
        <v>3.2</v>
      </c>
      <c r="H293" s="29">
        <f>IF(Dataset!G293&lt;=3,0.25,IF(Dataset!G293&lt;=6,0.45,IF(Dataset!G293&lt;=9,0.65,0.85)))</f>
        <v>0.45</v>
      </c>
      <c r="I293" s="29">
        <f>IF(Dataset!G293&lt;=3,1,IF(Dataset!G293&lt;=6,2,IF(Dataset!G293&lt;=9,3,4)))</f>
        <v>2</v>
      </c>
      <c r="J293" s="29">
        <f t="shared" si="34"/>
        <v>0.9</v>
      </c>
      <c r="K293" s="29">
        <f>IF(Dataset!H293&lt;1,0.2,IF(Dataset!H293&lt;1.3,0.45,IF(Dataset!H293&lt;1.8,0.7,0.9)))</f>
        <v>0.9</v>
      </c>
      <c r="L293" s="29">
        <f>IF(Dataset!H293&lt;1,1,IF(Dataset!H293&lt;1.3,2,IF(Dataset!H293&lt;1.8,3,4)))</f>
        <v>4</v>
      </c>
      <c r="M293" s="29">
        <f t="shared" si="35"/>
        <v>3.6</v>
      </c>
      <c r="N293" s="29">
        <f>IF(Dataset!F293=1,0.75,IF(Dataset!F293=2,0.45,0.2))</f>
        <v>0.45</v>
      </c>
      <c r="O293" s="29">
        <f>IF(Dataset!F293=1,3,IF(Dataset!F293=2,2,1))</f>
        <v>2</v>
      </c>
      <c r="P293" s="29">
        <f t="shared" si="36"/>
        <v>0.9</v>
      </c>
      <c r="Q293" s="29">
        <f>IF(Dataset!K293&lt;5,0.2,IF(Dataset!K293&lt;10,0.45,IF(Dataset!K293&lt;18,0.7,0.9)))</f>
        <v>0.7</v>
      </c>
      <c r="R293" s="29">
        <f>IF(Dataset!K293&lt;5,1,IF(Dataset!K293&lt;10,2,IF(Dataset!K293&lt;18,3,4)))</f>
        <v>3</v>
      </c>
      <c r="S293" s="29">
        <f t="shared" si="37"/>
        <v>2.0999999999999996</v>
      </c>
      <c r="T293" s="29">
        <f t="shared" si="38"/>
        <v>2.2270000000000003</v>
      </c>
      <c r="U293" s="29" t="str">
        <f t="shared" si="39"/>
        <v>High</v>
      </c>
    </row>
    <row r="294" spans="1:21" ht="15" customHeight="1" x14ac:dyDescent="0.25">
      <c r="A294" s="29">
        <f>Dataset!A294</f>
        <v>290</v>
      </c>
      <c r="B294" s="29">
        <f>IF(Dataset!B294&lt;25,0.3,IF(Dataset!B294&lt;75,0.5,IF(Dataset!B294&lt;120,0.65,0.8)))</f>
        <v>0.5</v>
      </c>
      <c r="C294" s="29">
        <f>IF(Dataset!B294&lt;25,1,IF(Dataset!B294&lt;75,2,IF(Dataset!B294&lt;120,3,4)))</f>
        <v>2</v>
      </c>
      <c r="D294" s="29">
        <f t="shared" si="32"/>
        <v>1</v>
      </c>
      <c r="E294" s="29">
        <f>IF(Dataset!C294&lt;=1,0.3,IF(Dataset!C294=2,0.4,IF(Dataset!C294=3,0.5,IF(Dataset!C294=4,0.65,0.8))))</f>
        <v>0.8</v>
      </c>
      <c r="F294" s="29">
        <f>IF(Dataset!C294&lt;=2,1,IF(Dataset!C294=3,2,IF(Dataset!C294=4,3,4)))</f>
        <v>4</v>
      </c>
      <c r="G294" s="29">
        <f t="shared" si="33"/>
        <v>3.2</v>
      </c>
      <c r="H294" s="29">
        <f>IF(Dataset!G294&lt;=3,0.25,IF(Dataset!G294&lt;=6,0.45,IF(Dataset!G294&lt;=9,0.65,0.85)))</f>
        <v>0.65</v>
      </c>
      <c r="I294" s="29">
        <f>IF(Dataset!G294&lt;=3,1,IF(Dataset!G294&lt;=6,2,IF(Dataset!G294&lt;=9,3,4)))</f>
        <v>3</v>
      </c>
      <c r="J294" s="29">
        <f t="shared" si="34"/>
        <v>1.9500000000000002</v>
      </c>
      <c r="K294" s="29">
        <f>IF(Dataset!H294&lt;1,0.2,IF(Dataset!H294&lt;1.3,0.45,IF(Dataset!H294&lt;1.8,0.7,0.9)))</f>
        <v>0.9</v>
      </c>
      <c r="L294" s="29">
        <f>IF(Dataset!H294&lt;1,1,IF(Dataset!H294&lt;1.3,2,IF(Dataset!H294&lt;1.8,3,4)))</f>
        <v>4</v>
      </c>
      <c r="M294" s="29">
        <f t="shared" si="35"/>
        <v>3.6</v>
      </c>
      <c r="N294" s="29">
        <f>IF(Dataset!F294=1,0.75,IF(Dataset!F294=2,0.45,0.2))</f>
        <v>0.75</v>
      </c>
      <c r="O294" s="29">
        <f>IF(Dataset!F294=1,3,IF(Dataset!F294=2,2,1))</f>
        <v>3</v>
      </c>
      <c r="P294" s="29">
        <f t="shared" si="36"/>
        <v>2.25</v>
      </c>
      <c r="Q294" s="29">
        <f>IF(Dataset!K294&lt;5,0.2,IF(Dataset!K294&lt;10,0.45,IF(Dataset!K294&lt;18,0.7,0.9)))</f>
        <v>0.9</v>
      </c>
      <c r="R294" s="29">
        <f>IF(Dataset!K294&lt;5,1,IF(Dataset!K294&lt;10,2,IF(Dataset!K294&lt;18,3,4)))</f>
        <v>4</v>
      </c>
      <c r="S294" s="29">
        <f t="shared" si="37"/>
        <v>3.6</v>
      </c>
      <c r="T294" s="29">
        <f t="shared" si="38"/>
        <v>2.6110000000000002</v>
      </c>
      <c r="U294" s="29" t="str">
        <f t="shared" si="39"/>
        <v>High</v>
      </c>
    </row>
    <row r="295" spans="1:21" ht="15" customHeight="1" x14ac:dyDescent="0.25">
      <c r="A295" s="29">
        <f>Dataset!A295</f>
        <v>291</v>
      </c>
      <c r="B295" s="29">
        <f>IF(Dataset!B295&lt;25,0.3,IF(Dataset!B295&lt;75,0.5,IF(Dataset!B295&lt;120,0.65,0.8)))</f>
        <v>0.8</v>
      </c>
      <c r="C295" s="29">
        <f>IF(Dataset!B295&lt;25,1,IF(Dataset!B295&lt;75,2,IF(Dataset!B295&lt;120,3,4)))</f>
        <v>4</v>
      </c>
      <c r="D295" s="29">
        <f t="shared" si="32"/>
        <v>3.2</v>
      </c>
      <c r="E295" s="29">
        <f>IF(Dataset!C295&lt;=1,0.3,IF(Dataset!C295=2,0.4,IF(Dataset!C295=3,0.5,IF(Dataset!C295=4,0.65,0.8))))</f>
        <v>0.65</v>
      </c>
      <c r="F295" s="29">
        <f>IF(Dataset!C295&lt;=2,1,IF(Dataset!C295=3,2,IF(Dataset!C295=4,3,4)))</f>
        <v>3</v>
      </c>
      <c r="G295" s="29">
        <f t="shared" si="33"/>
        <v>1.9500000000000002</v>
      </c>
      <c r="H295" s="29">
        <f>IF(Dataset!G295&lt;=3,0.25,IF(Dataset!G295&lt;=6,0.45,IF(Dataset!G295&lt;=9,0.65,0.85)))</f>
        <v>0.45</v>
      </c>
      <c r="I295" s="29">
        <f>IF(Dataset!G295&lt;=3,1,IF(Dataset!G295&lt;=6,2,IF(Dataset!G295&lt;=9,3,4)))</f>
        <v>2</v>
      </c>
      <c r="J295" s="29">
        <f t="shared" si="34"/>
        <v>0.9</v>
      </c>
      <c r="K295" s="29">
        <f>IF(Dataset!H295&lt;1,0.2,IF(Dataset!H295&lt;1.3,0.45,IF(Dataset!H295&lt;1.8,0.7,0.9)))</f>
        <v>0.9</v>
      </c>
      <c r="L295" s="29">
        <f>IF(Dataset!H295&lt;1,1,IF(Dataset!H295&lt;1.3,2,IF(Dataset!H295&lt;1.8,3,4)))</f>
        <v>4</v>
      </c>
      <c r="M295" s="29">
        <f t="shared" si="35"/>
        <v>3.6</v>
      </c>
      <c r="N295" s="29">
        <f>IF(Dataset!F295=1,0.75,IF(Dataset!F295=2,0.45,0.2))</f>
        <v>0.75</v>
      </c>
      <c r="O295" s="29">
        <f>IF(Dataset!F295=1,3,IF(Dataset!F295=2,2,1))</f>
        <v>3</v>
      </c>
      <c r="P295" s="29">
        <f t="shared" si="36"/>
        <v>2.25</v>
      </c>
      <c r="Q295" s="29">
        <f>IF(Dataset!K295&lt;5,0.2,IF(Dataset!K295&lt;10,0.45,IF(Dataset!K295&lt;18,0.7,0.9)))</f>
        <v>0.7</v>
      </c>
      <c r="R295" s="29">
        <f>IF(Dataset!K295&lt;5,1,IF(Dataset!K295&lt;10,2,IF(Dataset!K295&lt;18,3,4)))</f>
        <v>3</v>
      </c>
      <c r="S295" s="29">
        <f t="shared" si="37"/>
        <v>2.0999999999999996</v>
      </c>
      <c r="T295" s="29">
        <f t="shared" si="38"/>
        <v>2.4119999999999999</v>
      </c>
      <c r="U295" s="29" t="str">
        <f t="shared" si="39"/>
        <v>High</v>
      </c>
    </row>
    <row r="296" spans="1:21" ht="15" customHeight="1" x14ac:dyDescent="0.25">
      <c r="A296" s="29">
        <f>Dataset!A296</f>
        <v>292</v>
      </c>
      <c r="B296" s="29">
        <f>IF(Dataset!B296&lt;25,0.3,IF(Dataset!B296&lt;75,0.5,IF(Dataset!B296&lt;120,0.65,0.8)))</f>
        <v>0.5</v>
      </c>
      <c r="C296" s="29">
        <f>IF(Dataset!B296&lt;25,1,IF(Dataset!B296&lt;75,2,IF(Dataset!B296&lt;120,3,4)))</f>
        <v>2</v>
      </c>
      <c r="D296" s="29">
        <f t="shared" si="32"/>
        <v>1</v>
      </c>
      <c r="E296" s="29">
        <f>IF(Dataset!C296&lt;=1,0.3,IF(Dataset!C296=2,0.4,IF(Dataset!C296=3,0.5,IF(Dataset!C296=4,0.65,0.8))))</f>
        <v>0.5</v>
      </c>
      <c r="F296" s="29">
        <f>IF(Dataset!C296&lt;=2,1,IF(Dataset!C296=3,2,IF(Dataset!C296=4,3,4)))</f>
        <v>2</v>
      </c>
      <c r="G296" s="29">
        <f t="shared" si="33"/>
        <v>1</v>
      </c>
      <c r="H296" s="29">
        <f>IF(Dataset!G296&lt;=3,0.25,IF(Dataset!G296&lt;=6,0.45,IF(Dataset!G296&lt;=9,0.65,0.85)))</f>
        <v>0.45</v>
      </c>
      <c r="I296" s="29">
        <f>IF(Dataset!G296&lt;=3,1,IF(Dataset!G296&lt;=6,2,IF(Dataset!G296&lt;=9,3,4)))</f>
        <v>2</v>
      </c>
      <c r="J296" s="29">
        <f t="shared" si="34"/>
        <v>0.9</v>
      </c>
      <c r="K296" s="29">
        <f>IF(Dataset!H296&lt;1,0.2,IF(Dataset!H296&lt;1.3,0.45,IF(Dataset!H296&lt;1.8,0.7,0.9)))</f>
        <v>0.9</v>
      </c>
      <c r="L296" s="29">
        <f>IF(Dataset!H296&lt;1,1,IF(Dataset!H296&lt;1.3,2,IF(Dataset!H296&lt;1.8,3,4)))</f>
        <v>4</v>
      </c>
      <c r="M296" s="29">
        <f t="shared" si="35"/>
        <v>3.6</v>
      </c>
      <c r="N296" s="29">
        <f>IF(Dataset!F296=1,0.75,IF(Dataset!F296=2,0.45,0.2))</f>
        <v>0.2</v>
      </c>
      <c r="O296" s="29">
        <f>IF(Dataset!F296=1,3,IF(Dataset!F296=2,2,1))</f>
        <v>1</v>
      </c>
      <c r="P296" s="29">
        <f t="shared" si="36"/>
        <v>0.2</v>
      </c>
      <c r="Q296" s="29">
        <f>IF(Dataset!K296&lt;5,0.2,IF(Dataset!K296&lt;10,0.45,IF(Dataset!K296&lt;18,0.7,0.9)))</f>
        <v>0.45</v>
      </c>
      <c r="R296" s="29">
        <f>IF(Dataset!K296&lt;5,1,IF(Dataset!K296&lt;10,2,IF(Dataset!K296&lt;18,3,4)))</f>
        <v>2</v>
      </c>
      <c r="S296" s="29">
        <f t="shared" si="37"/>
        <v>0.9</v>
      </c>
      <c r="T296" s="29">
        <f t="shared" si="38"/>
        <v>1.51</v>
      </c>
      <c r="U296" s="29" t="str">
        <f t="shared" si="39"/>
        <v>Medium</v>
      </c>
    </row>
    <row r="297" spans="1:21" ht="15" customHeight="1" x14ac:dyDescent="0.25">
      <c r="A297" s="29">
        <f>Dataset!A297</f>
        <v>293</v>
      </c>
      <c r="B297" s="29">
        <f>IF(Dataset!B297&lt;25,0.3,IF(Dataset!B297&lt;75,0.5,IF(Dataset!B297&lt;120,0.65,0.8)))</f>
        <v>0.5</v>
      </c>
      <c r="C297" s="29">
        <f>IF(Dataset!B297&lt;25,1,IF(Dataset!B297&lt;75,2,IF(Dataset!B297&lt;120,3,4)))</f>
        <v>2</v>
      </c>
      <c r="D297" s="29">
        <f t="shared" si="32"/>
        <v>1</v>
      </c>
      <c r="E297" s="29">
        <f>IF(Dataset!C297&lt;=1,0.3,IF(Dataset!C297=2,0.4,IF(Dataset!C297=3,0.5,IF(Dataset!C297=4,0.65,0.8))))</f>
        <v>0.5</v>
      </c>
      <c r="F297" s="29">
        <f>IF(Dataset!C297&lt;=2,1,IF(Dataset!C297=3,2,IF(Dataset!C297=4,3,4)))</f>
        <v>2</v>
      </c>
      <c r="G297" s="29">
        <f t="shared" si="33"/>
        <v>1</v>
      </c>
      <c r="H297" s="29">
        <f>IF(Dataset!G297&lt;=3,0.25,IF(Dataset!G297&lt;=6,0.45,IF(Dataset!G297&lt;=9,0.65,0.85)))</f>
        <v>0.45</v>
      </c>
      <c r="I297" s="29">
        <f>IF(Dataset!G297&lt;=3,1,IF(Dataset!G297&lt;=6,2,IF(Dataset!G297&lt;=9,3,4)))</f>
        <v>2</v>
      </c>
      <c r="J297" s="29">
        <f t="shared" si="34"/>
        <v>0.9</v>
      </c>
      <c r="K297" s="29">
        <f>IF(Dataset!H297&lt;1,0.2,IF(Dataset!H297&lt;1.3,0.45,IF(Dataset!H297&lt;1.8,0.7,0.9)))</f>
        <v>0.45</v>
      </c>
      <c r="L297" s="29">
        <f>IF(Dataset!H297&lt;1,1,IF(Dataset!H297&lt;1.3,2,IF(Dataset!H297&lt;1.8,3,4)))</f>
        <v>2</v>
      </c>
      <c r="M297" s="29">
        <f t="shared" si="35"/>
        <v>0.9</v>
      </c>
      <c r="N297" s="29">
        <f>IF(Dataset!F297=1,0.75,IF(Dataset!F297=2,0.45,0.2))</f>
        <v>0.2</v>
      </c>
      <c r="O297" s="29">
        <f>IF(Dataset!F297=1,3,IF(Dataset!F297=2,2,1))</f>
        <v>1</v>
      </c>
      <c r="P297" s="29">
        <f t="shared" si="36"/>
        <v>0.2</v>
      </c>
      <c r="Q297" s="29">
        <f>IF(Dataset!K297&lt;5,0.2,IF(Dataset!K297&lt;10,0.45,IF(Dataset!K297&lt;18,0.7,0.9)))</f>
        <v>0.45</v>
      </c>
      <c r="R297" s="29">
        <f>IF(Dataset!K297&lt;5,1,IF(Dataset!K297&lt;10,2,IF(Dataset!K297&lt;18,3,4)))</f>
        <v>2</v>
      </c>
      <c r="S297" s="29">
        <f t="shared" si="37"/>
        <v>0.9</v>
      </c>
      <c r="T297" s="29">
        <f t="shared" si="38"/>
        <v>0.86199999999999999</v>
      </c>
      <c r="U297" s="29" t="str">
        <f t="shared" si="39"/>
        <v>Low</v>
      </c>
    </row>
    <row r="298" spans="1:21" ht="15" customHeight="1" x14ac:dyDescent="0.25">
      <c r="A298" s="29">
        <f>Dataset!A298</f>
        <v>294</v>
      </c>
      <c r="B298" s="29">
        <f>IF(Dataset!B298&lt;25,0.3,IF(Dataset!B298&lt;75,0.5,IF(Dataset!B298&lt;120,0.65,0.8)))</f>
        <v>0.65</v>
      </c>
      <c r="C298" s="29">
        <f>IF(Dataset!B298&lt;25,1,IF(Dataset!B298&lt;75,2,IF(Dataset!B298&lt;120,3,4)))</f>
        <v>3</v>
      </c>
      <c r="D298" s="29">
        <f t="shared" si="32"/>
        <v>1.9500000000000002</v>
      </c>
      <c r="E298" s="29">
        <f>IF(Dataset!C298&lt;=1,0.3,IF(Dataset!C298=2,0.4,IF(Dataset!C298=3,0.5,IF(Dataset!C298=4,0.65,0.8))))</f>
        <v>0.5</v>
      </c>
      <c r="F298" s="29">
        <f>IF(Dataset!C298&lt;=2,1,IF(Dataset!C298=3,2,IF(Dataset!C298=4,3,4)))</f>
        <v>2</v>
      </c>
      <c r="G298" s="29">
        <f t="shared" si="33"/>
        <v>1</v>
      </c>
      <c r="H298" s="29">
        <f>IF(Dataset!G298&lt;=3,0.25,IF(Dataset!G298&lt;=6,0.45,IF(Dataset!G298&lt;=9,0.65,0.85)))</f>
        <v>0.65</v>
      </c>
      <c r="I298" s="29">
        <f>IF(Dataset!G298&lt;=3,1,IF(Dataset!G298&lt;=6,2,IF(Dataset!G298&lt;=9,3,4)))</f>
        <v>3</v>
      </c>
      <c r="J298" s="29">
        <f t="shared" si="34"/>
        <v>1.9500000000000002</v>
      </c>
      <c r="K298" s="29">
        <f>IF(Dataset!H298&lt;1,0.2,IF(Dataset!H298&lt;1.3,0.45,IF(Dataset!H298&lt;1.8,0.7,0.9)))</f>
        <v>0.9</v>
      </c>
      <c r="L298" s="29">
        <f>IF(Dataset!H298&lt;1,1,IF(Dataset!H298&lt;1.3,2,IF(Dataset!H298&lt;1.8,3,4)))</f>
        <v>4</v>
      </c>
      <c r="M298" s="29">
        <f t="shared" si="35"/>
        <v>3.6</v>
      </c>
      <c r="N298" s="29">
        <f>IF(Dataset!F298=1,0.75,IF(Dataset!F298=2,0.45,0.2))</f>
        <v>0.75</v>
      </c>
      <c r="O298" s="29">
        <f>IF(Dataset!F298=1,3,IF(Dataset!F298=2,2,1))</f>
        <v>3</v>
      </c>
      <c r="P298" s="29">
        <f t="shared" si="36"/>
        <v>2.25</v>
      </c>
      <c r="Q298" s="29">
        <f>IF(Dataset!K298&lt;5,0.2,IF(Dataset!K298&lt;10,0.45,IF(Dataset!K298&lt;18,0.7,0.9)))</f>
        <v>0.2</v>
      </c>
      <c r="R298" s="29">
        <f>IF(Dataset!K298&lt;5,1,IF(Dataset!K298&lt;10,2,IF(Dataset!K298&lt;18,3,4)))</f>
        <v>1</v>
      </c>
      <c r="S298" s="29">
        <f t="shared" si="37"/>
        <v>0.2</v>
      </c>
      <c r="T298" s="29">
        <f t="shared" si="38"/>
        <v>1.9980000000000002</v>
      </c>
      <c r="U298" s="29" t="str">
        <f t="shared" si="39"/>
        <v>High</v>
      </c>
    </row>
    <row r="299" spans="1:21" ht="15" customHeight="1" x14ac:dyDescent="0.25">
      <c r="A299" s="29">
        <f>Dataset!A299</f>
        <v>295</v>
      </c>
      <c r="B299" s="29">
        <f>IF(Dataset!B299&lt;25,0.3,IF(Dataset!B299&lt;75,0.5,IF(Dataset!B299&lt;120,0.65,0.8)))</f>
        <v>0.3</v>
      </c>
      <c r="C299" s="29">
        <f>IF(Dataset!B299&lt;25,1,IF(Dataset!B299&lt;75,2,IF(Dataset!B299&lt;120,3,4)))</f>
        <v>1</v>
      </c>
      <c r="D299" s="29">
        <f t="shared" si="32"/>
        <v>0.3</v>
      </c>
      <c r="E299" s="29">
        <f>IF(Dataset!C299&lt;=1,0.3,IF(Dataset!C299=2,0.4,IF(Dataset!C299=3,0.5,IF(Dataset!C299=4,0.65,0.8))))</f>
        <v>0.4</v>
      </c>
      <c r="F299" s="29">
        <f>IF(Dataset!C299&lt;=2,1,IF(Dataset!C299=3,2,IF(Dataset!C299=4,3,4)))</f>
        <v>1</v>
      </c>
      <c r="G299" s="29">
        <f t="shared" si="33"/>
        <v>0.4</v>
      </c>
      <c r="H299" s="29">
        <f>IF(Dataset!G299&lt;=3,0.25,IF(Dataset!G299&lt;=6,0.45,IF(Dataset!G299&lt;=9,0.65,0.85)))</f>
        <v>0.45</v>
      </c>
      <c r="I299" s="29">
        <f>IF(Dataset!G299&lt;=3,1,IF(Dataset!G299&lt;=6,2,IF(Dataset!G299&lt;=9,3,4)))</f>
        <v>2</v>
      </c>
      <c r="J299" s="29">
        <f t="shared" si="34"/>
        <v>0.9</v>
      </c>
      <c r="K299" s="29">
        <f>IF(Dataset!H299&lt;1,0.2,IF(Dataset!H299&lt;1.3,0.45,IF(Dataset!H299&lt;1.8,0.7,0.9)))</f>
        <v>0.7</v>
      </c>
      <c r="L299" s="29">
        <f>IF(Dataset!H299&lt;1,1,IF(Dataset!H299&lt;1.3,2,IF(Dataset!H299&lt;1.8,3,4)))</f>
        <v>3</v>
      </c>
      <c r="M299" s="29">
        <f t="shared" si="35"/>
        <v>2.0999999999999996</v>
      </c>
      <c r="N299" s="29">
        <f>IF(Dataset!F299=1,0.75,IF(Dataset!F299=2,0.45,0.2))</f>
        <v>0.45</v>
      </c>
      <c r="O299" s="29">
        <f>IF(Dataset!F299=1,3,IF(Dataset!F299=2,2,1))</f>
        <v>2</v>
      </c>
      <c r="P299" s="29">
        <f t="shared" si="36"/>
        <v>0.9</v>
      </c>
      <c r="Q299" s="29">
        <f>IF(Dataset!K299&lt;5,0.2,IF(Dataset!K299&lt;10,0.45,IF(Dataset!K299&lt;18,0.7,0.9)))</f>
        <v>0.45</v>
      </c>
      <c r="R299" s="29">
        <f>IF(Dataset!K299&lt;5,1,IF(Dataset!K299&lt;10,2,IF(Dataset!K299&lt;18,3,4)))</f>
        <v>2</v>
      </c>
      <c r="S299" s="29">
        <f t="shared" si="37"/>
        <v>0.9</v>
      </c>
      <c r="T299" s="29">
        <f t="shared" si="38"/>
        <v>1.01</v>
      </c>
      <c r="U299" s="29" t="str">
        <f t="shared" si="39"/>
        <v>Low</v>
      </c>
    </row>
    <row r="300" spans="1:21" ht="15" customHeight="1" x14ac:dyDescent="0.25">
      <c r="A300" s="29">
        <f>Dataset!A300</f>
        <v>296</v>
      </c>
      <c r="B300" s="29">
        <f>IF(Dataset!B300&lt;25,0.3,IF(Dataset!B300&lt;75,0.5,IF(Dataset!B300&lt;120,0.65,0.8)))</f>
        <v>0.5</v>
      </c>
      <c r="C300" s="29">
        <f>IF(Dataset!B300&lt;25,1,IF(Dataset!B300&lt;75,2,IF(Dataset!B300&lt;120,3,4)))</f>
        <v>2</v>
      </c>
      <c r="D300" s="29">
        <f t="shared" si="32"/>
        <v>1</v>
      </c>
      <c r="E300" s="29">
        <f>IF(Dataset!C300&lt;=1,0.3,IF(Dataset!C300=2,0.4,IF(Dataset!C300=3,0.5,IF(Dataset!C300=4,0.65,0.8))))</f>
        <v>0.65</v>
      </c>
      <c r="F300" s="29">
        <f>IF(Dataset!C300&lt;=2,1,IF(Dataset!C300=3,2,IF(Dataset!C300=4,3,4)))</f>
        <v>3</v>
      </c>
      <c r="G300" s="29">
        <f t="shared" si="33"/>
        <v>1.9500000000000002</v>
      </c>
      <c r="H300" s="29">
        <f>IF(Dataset!G300&lt;=3,0.25,IF(Dataset!G300&lt;=6,0.45,IF(Dataset!G300&lt;=9,0.65,0.85)))</f>
        <v>0.65</v>
      </c>
      <c r="I300" s="29">
        <f>IF(Dataset!G300&lt;=3,1,IF(Dataset!G300&lt;=6,2,IF(Dataset!G300&lt;=9,3,4)))</f>
        <v>3</v>
      </c>
      <c r="J300" s="29">
        <f t="shared" si="34"/>
        <v>1.9500000000000002</v>
      </c>
      <c r="K300" s="29">
        <f>IF(Dataset!H300&lt;1,0.2,IF(Dataset!H300&lt;1.3,0.45,IF(Dataset!H300&lt;1.8,0.7,0.9)))</f>
        <v>0.9</v>
      </c>
      <c r="L300" s="29">
        <f>IF(Dataset!H300&lt;1,1,IF(Dataset!H300&lt;1.3,2,IF(Dataset!H300&lt;1.8,3,4)))</f>
        <v>4</v>
      </c>
      <c r="M300" s="29">
        <f t="shared" si="35"/>
        <v>3.6</v>
      </c>
      <c r="N300" s="29">
        <f>IF(Dataset!F300=1,0.75,IF(Dataset!F300=2,0.45,0.2))</f>
        <v>0.45</v>
      </c>
      <c r="O300" s="29">
        <f>IF(Dataset!F300=1,3,IF(Dataset!F300=2,2,1))</f>
        <v>2</v>
      </c>
      <c r="P300" s="29">
        <f t="shared" si="36"/>
        <v>0.9</v>
      </c>
      <c r="Q300" s="29">
        <f>IF(Dataset!K300&lt;5,0.2,IF(Dataset!K300&lt;10,0.45,IF(Dataset!K300&lt;18,0.7,0.9)))</f>
        <v>0.45</v>
      </c>
      <c r="R300" s="29">
        <f>IF(Dataset!K300&lt;5,1,IF(Dataset!K300&lt;10,2,IF(Dataset!K300&lt;18,3,4)))</f>
        <v>2</v>
      </c>
      <c r="S300" s="29">
        <f t="shared" si="37"/>
        <v>0.9</v>
      </c>
      <c r="T300" s="29">
        <f t="shared" si="38"/>
        <v>1.9230000000000005</v>
      </c>
      <c r="U300" s="29" t="str">
        <f t="shared" si="39"/>
        <v>High</v>
      </c>
    </row>
    <row r="301" spans="1:21" ht="15" customHeight="1" x14ac:dyDescent="0.25">
      <c r="A301" s="29">
        <f>Dataset!A301</f>
        <v>297</v>
      </c>
      <c r="B301" s="29">
        <f>IF(Dataset!B301&lt;25,0.3,IF(Dataset!B301&lt;75,0.5,IF(Dataset!B301&lt;120,0.65,0.8)))</f>
        <v>0.3</v>
      </c>
      <c r="C301" s="29">
        <f>IF(Dataset!B301&lt;25,1,IF(Dataset!B301&lt;75,2,IF(Dataset!B301&lt;120,3,4)))</f>
        <v>1</v>
      </c>
      <c r="D301" s="29">
        <f t="shared" si="32"/>
        <v>0.3</v>
      </c>
      <c r="E301" s="29">
        <f>IF(Dataset!C301&lt;=1,0.3,IF(Dataset!C301=2,0.4,IF(Dataset!C301=3,0.5,IF(Dataset!C301=4,0.65,0.8))))</f>
        <v>0.4</v>
      </c>
      <c r="F301" s="29">
        <f>IF(Dataset!C301&lt;=2,1,IF(Dataset!C301=3,2,IF(Dataset!C301=4,3,4)))</f>
        <v>1</v>
      </c>
      <c r="G301" s="29">
        <f t="shared" si="33"/>
        <v>0.4</v>
      </c>
      <c r="H301" s="29">
        <f>IF(Dataset!G301&lt;=3,0.25,IF(Dataset!G301&lt;=6,0.45,IF(Dataset!G301&lt;=9,0.65,0.85)))</f>
        <v>0.25</v>
      </c>
      <c r="I301" s="29">
        <f>IF(Dataset!G301&lt;=3,1,IF(Dataset!G301&lt;=6,2,IF(Dataset!G301&lt;=9,3,4)))</f>
        <v>1</v>
      </c>
      <c r="J301" s="29">
        <f t="shared" si="34"/>
        <v>0.25</v>
      </c>
      <c r="K301" s="29">
        <f>IF(Dataset!H301&lt;1,0.2,IF(Dataset!H301&lt;1.3,0.45,IF(Dataset!H301&lt;1.8,0.7,0.9)))</f>
        <v>0.9</v>
      </c>
      <c r="L301" s="29">
        <f>IF(Dataset!H301&lt;1,1,IF(Dataset!H301&lt;1.3,2,IF(Dataset!H301&lt;1.8,3,4)))</f>
        <v>4</v>
      </c>
      <c r="M301" s="29">
        <f t="shared" si="35"/>
        <v>3.6</v>
      </c>
      <c r="N301" s="29">
        <f>IF(Dataset!F301=1,0.75,IF(Dataset!F301=2,0.45,0.2))</f>
        <v>0.75</v>
      </c>
      <c r="O301" s="29">
        <f>IF(Dataset!F301=1,3,IF(Dataset!F301=2,2,1))</f>
        <v>3</v>
      </c>
      <c r="P301" s="29">
        <f t="shared" si="36"/>
        <v>2.25</v>
      </c>
      <c r="Q301" s="29">
        <f>IF(Dataset!K301&lt;5,0.2,IF(Dataset!K301&lt;10,0.45,IF(Dataset!K301&lt;18,0.7,0.9)))</f>
        <v>0.45</v>
      </c>
      <c r="R301" s="29">
        <f>IF(Dataset!K301&lt;5,1,IF(Dataset!K301&lt;10,2,IF(Dataset!K301&lt;18,3,4)))</f>
        <v>2</v>
      </c>
      <c r="S301" s="29">
        <f t="shared" si="37"/>
        <v>0.9</v>
      </c>
      <c r="T301" s="29">
        <f t="shared" si="38"/>
        <v>1.3750000000000002</v>
      </c>
      <c r="U301" s="29" t="str">
        <f t="shared" si="39"/>
        <v>Medium</v>
      </c>
    </row>
    <row r="302" spans="1:21" ht="15" customHeight="1" x14ac:dyDescent="0.25">
      <c r="A302" s="29">
        <f>Dataset!A302</f>
        <v>298</v>
      </c>
      <c r="B302" s="29">
        <f>IF(Dataset!B302&lt;25,0.3,IF(Dataset!B302&lt;75,0.5,IF(Dataset!B302&lt;120,0.65,0.8)))</f>
        <v>0.8</v>
      </c>
      <c r="C302" s="29">
        <f>IF(Dataset!B302&lt;25,1,IF(Dataset!B302&lt;75,2,IF(Dataset!B302&lt;120,3,4)))</f>
        <v>4</v>
      </c>
      <c r="D302" s="29">
        <f t="shared" si="32"/>
        <v>3.2</v>
      </c>
      <c r="E302" s="29">
        <f>IF(Dataset!C302&lt;=1,0.3,IF(Dataset!C302=2,0.4,IF(Dataset!C302=3,0.5,IF(Dataset!C302=4,0.65,0.8))))</f>
        <v>0.5</v>
      </c>
      <c r="F302" s="29">
        <f>IF(Dataset!C302&lt;=2,1,IF(Dataset!C302=3,2,IF(Dataset!C302=4,3,4)))</f>
        <v>2</v>
      </c>
      <c r="G302" s="29">
        <f t="shared" si="33"/>
        <v>1</v>
      </c>
      <c r="H302" s="29">
        <f>IF(Dataset!G302&lt;=3,0.25,IF(Dataset!G302&lt;=6,0.45,IF(Dataset!G302&lt;=9,0.65,0.85)))</f>
        <v>0.85</v>
      </c>
      <c r="I302" s="29">
        <f>IF(Dataset!G302&lt;=3,1,IF(Dataset!G302&lt;=6,2,IF(Dataset!G302&lt;=9,3,4)))</f>
        <v>4</v>
      </c>
      <c r="J302" s="29">
        <f t="shared" si="34"/>
        <v>3.4</v>
      </c>
      <c r="K302" s="29">
        <f>IF(Dataset!H302&lt;1,0.2,IF(Dataset!H302&lt;1.3,0.45,IF(Dataset!H302&lt;1.8,0.7,0.9)))</f>
        <v>0.9</v>
      </c>
      <c r="L302" s="29">
        <f>IF(Dataset!H302&lt;1,1,IF(Dataset!H302&lt;1.3,2,IF(Dataset!H302&lt;1.8,3,4)))</f>
        <v>4</v>
      </c>
      <c r="M302" s="29">
        <f t="shared" si="35"/>
        <v>3.6</v>
      </c>
      <c r="N302" s="29">
        <f>IF(Dataset!F302=1,0.75,IF(Dataset!F302=2,0.45,0.2))</f>
        <v>0.45</v>
      </c>
      <c r="O302" s="29">
        <f>IF(Dataset!F302=1,3,IF(Dataset!F302=2,2,1))</f>
        <v>2</v>
      </c>
      <c r="P302" s="29">
        <f t="shared" si="36"/>
        <v>0.9</v>
      </c>
      <c r="Q302" s="29">
        <f>IF(Dataset!K302&lt;5,0.2,IF(Dataset!K302&lt;10,0.45,IF(Dataset!K302&lt;18,0.7,0.9)))</f>
        <v>0.45</v>
      </c>
      <c r="R302" s="29">
        <f>IF(Dataset!K302&lt;5,1,IF(Dataset!K302&lt;10,2,IF(Dataset!K302&lt;18,3,4)))</f>
        <v>2</v>
      </c>
      <c r="S302" s="29">
        <f t="shared" si="37"/>
        <v>0.9</v>
      </c>
      <c r="T302" s="29">
        <f t="shared" si="38"/>
        <v>2.4759999999999995</v>
      </c>
      <c r="U302" s="29" t="str">
        <f t="shared" si="39"/>
        <v>High</v>
      </c>
    </row>
    <row r="303" spans="1:21" ht="15" customHeight="1" x14ac:dyDescent="0.25">
      <c r="A303" s="29">
        <f>Dataset!A303</f>
        <v>299</v>
      </c>
      <c r="B303" s="29">
        <f>IF(Dataset!B303&lt;25,0.3,IF(Dataset!B303&lt;75,0.5,IF(Dataset!B303&lt;120,0.65,0.8)))</f>
        <v>0.5</v>
      </c>
      <c r="C303" s="29">
        <f>IF(Dataset!B303&lt;25,1,IF(Dataset!B303&lt;75,2,IF(Dataset!B303&lt;120,3,4)))</f>
        <v>2</v>
      </c>
      <c r="D303" s="29">
        <f t="shared" si="32"/>
        <v>1</v>
      </c>
      <c r="E303" s="29">
        <f>IF(Dataset!C303&lt;=1,0.3,IF(Dataset!C303=2,0.4,IF(Dataset!C303=3,0.5,IF(Dataset!C303=4,0.65,0.8))))</f>
        <v>0.3</v>
      </c>
      <c r="F303" s="29">
        <f>IF(Dataset!C303&lt;=2,1,IF(Dataset!C303=3,2,IF(Dataset!C303=4,3,4)))</f>
        <v>1</v>
      </c>
      <c r="G303" s="29">
        <f t="shared" si="33"/>
        <v>0.3</v>
      </c>
      <c r="H303" s="29">
        <f>IF(Dataset!G303&lt;=3,0.25,IF(Dataset!G303&lt;=6,0.45,IF(Dataset!G303&lt;=9,0.65,0.85)))</f>
        <v>0.45</v>
      </c>
      <c r="I303" s="29">
        <f>IF(Dataset!G303&lt;=3,1,IF(Dataset!G303&lt;=6,2,IF(Dataset!G303&lt;=9,3,4)))</f>
        <v>2</v>
      </c>
      <c r="J303" s="29">
        <f t="shared" si="34"/>
        <v>0.9</v>
      </c>
      <c r="K303" s="29">
        <f>IF(Dataset!H303&lt;1,0.2,IF(Dataset!H303&lt;1.3,0.45,IF(Dataset!H303&lt;1.8,0.7,0.9)))</f>
        <v>0.7</v>
      </c>
      <c r="L303" s="29">
        <f>IF(Dataset!H303&lt;1,1,IF(Dataset!H303&lt;1.3,2,IF(Dataset!H303&lt;1.8,3,4)))</f>
        <v>3</v>
      </c>
      <c r="M303" s="29">
        <f t="shared" si="35"/>
        <v>2.0999999999999996</v>
      </c>
      <c r="N303" s="29">
        <f>IF(Dataset!F303=1,0.75,IF(Dataset!F303=2,0.45,0.2))</f>
        <v>0.75</v>
      </c>
      <c r="O303" s="29">
        <f>IF(Dataset!F303=1,3,IF(Dataset!F303=2,2,1))</f>
        <v>3</v>
      </c>
      <c r="P303" s="29">
        <f t="shared" si="36"/>
        <v>2.25</v>
      </c>
      <c r="Q303" s="29">
        <f>IF(Dataset!K303&lt;5,0.2,IF(Dataset!K303&lt;10,0.45,IF(Dataset!K303&lt;18,0.7,0.9)))</f>
        <v>0.2</v>
      </c>
      <c r="R303" s="29">
        <f>IF(Dataset!K303&lt;5,1,IF(Dataset!K303&lt;10,2,IF(Dataset!K303&lt;18,3,4)))</f>
        <v>1</v>
      </c>
      <c r="S303" s="29">
        <f t="shared" si="37"/>
        <v>0.2</v>
      </c>
      <c r="T303" s="29">
        <f t="shared" si="38"/>
        <v>1.159</v>
      </c>
      <c r="U303" s="29" t="str">
        <f t="shared" si="39"/>
        <v>Low</v>
      </c>
    </row>
    <row r="304" spans="1:21" ht="15" customHeight="1" x14ac:dyDescent="0.25">
      <c r="A304" s="29">
        <f>Dataset!A304</f>
        <v>300</v>
      </c>
      <c r="B304" s="29">
        <f>IF(Dataset!B304&lt;25,0.3,IF(Dataset!B304&lt;75,0.5,IF(Dataset!B304&lt;120,0.65,0.8)))</f>
        <v>0.3</v>
      </c>
      <c r="C304" s="29">
        <f>IF(Dataset!B304&lt;25,1,IF(Dataset!B304&lt;75,2,IF(Dataset!B304&lt;120,3,4)))</f>
        <v>1</v>
      </c>
      <c r="D304" s="29">
        <f t="shared" si="32"/>
        <v>0.3</v>
      </c>
      <c r="E304" s="29">
        <f>IF(Dataset!C304&lt;=1,0.3,IF(Dataset!C304=2,0.4,IF(Dataset!C304=3,0.5,IF(Dataset!C304=4,0.65,0.8))))</f>
        <v>0.5</v>
      </c>
      <c r="F304" s="29">
        <f>IF(Dataset!C304&lt;=2,1,IF(Dataset!C304=3,2,IF(Dataset!C304=4,3,4)))</f>
        <v>2</v>
      </c>
      <c r="G304" s="29">
        <f t="shared" si="33"/>
        <v>1</v>
      </c>
      <c r="H304" s="29">
        <f>IF(Dataset!G304&lt;=3,0.25,IF(Dataset!G304&lt;=6,0.45,IF(Dataset!G304&lt;=9,0.65,0.85)))</f>
        <v>0.65</v>
      </c>
      <c r="I304" s="29">
        <f>IF(Dataset!G304&lt;=3,1,IF(Dataset!G304&lt;=6,2,IF(Dataset!G304&lt;=9,3,4)))</f>
        <v>3</v>
      </c>
      <c r="J304" s="29">
        <f t="shared" si="34"/>
        <v>1.9500000000000002</v>
      </c>
      <c r="K304" s="29">
        <f>IF(Dataset!H304&lt;1,0.2,IF(Dataset!H304&lt;1.3,0.45,IF(Dataset!H304&lt;1.8,0.7,0.9)))</f>
        <v>0.9</v>
      </c>
      <c r="L304" s="29">
        <f>IF(Dataset!H304&lt;1,1,IF(Dataset!H304&lt;1.3,2,IF(Dataset!H304&lt;1.8,3,4)))</f>
        <v>4</v>
      </c>
      <c r="M304" s="29">
        <f t="shared" si="35"/>
        <v>3.6</v>
      </c>
      <c r="N304" s="29">
        <f>IF(Dataset!F304=1,0.75,IF(Dataset!F304=2,0.45,0.2))</f>
        <v>0.75</v>
      </c>
      <c r="O304" s="29">
        <f>IF(Dataset!F304=1,3,IF(Dataset!F304=2,2,1))</f>
        <v>3</v>
      </c>
      <c r="P304" s="29">
        <f t="shared" si="36"/>
        <v>2.25</v>
      </c>
      <c r="Q304" s="29">
        <f>IF(Dataset!K304&lt;5,0.2,IF(Dataset!K304&lt;10,0.45,IF(Dataset!K304&lt;18,0.7,0.9)))</f>
        <v>0.45</v>
      </c>
      <c r="R304" s="29">
        <f>IF(Dataset!K304&lt;5,1,IF(Dataset!K304&lt;10,2,IF(Dataset!K304&lt;18,3,4)))</f>
        <v>2</v>
      </c>
      <c r="S304" s="29">
        <f t="shared" si="37"/>
        <v>0.9</v>
      </c>
      <c r="T304" s="29">
        <f t="shared" si="38"/>
        <v>1.7990000000000002</v>
      </c>
      <c r="U304" s="29" t="str">
        <f t="shared" si="39"/>
        <v>High</v>
      </c>
    </row>
    <row r="305" spans="1:21" ht="15" customHeight="1" x14ac:dyDescent="0.25">
      <c r="A305" s="29">
        <f>Dataset!A305</f>
        <v>301</v>
      </c>
      <c r="B305" s="29">
        <f>IF(Dataset!B305&lt;25,0.3,IF(Dataset!B305&lt;75,0.5,IF(Dataset!B305&lt;120,0.65,0.8)))</f>
        <v>0.5</v>
      </c>
      <c r="C305" s="29">
        <f>IF(Dataset!B305&lt;25,1,IF(Dataset!B305&lt;75,2,IF(Dataset!B305&lt;120,3,4)))</f>
        <v>2</v>
      </c>
      <c r="D305" s="29">
        <f t="shared" si="32"/>
        <v>1</v>
      </c>
      <c r="E305" s="29">
        <f>IF(Dataset!C305&lt;=1,0.3,IF(Dataset!C305=2,0.4,IF(Dataset!C305=3,0.5,IF(Dataset!C305=4,0.65,0.8))))</f>
        <v>0.5</v>
      </c>
      <c r="F305" s="29">
        <f>IF(Dataset!C305&lt;=2,1,IF(Dataset!C305=3,2,IF(Dataset!C305=4,3,4)))</f>
        <v>2</v>
      </c>
      <c r="G305" s="29">
        <f t="shared" si="33"/>
        <v>1</v>
      </c>
      <c r="H305" s="29">
        <f>IF(Dataset!G305&lt;=3,0.25,IF(Dataset!G305&lt;=6,0.45,IF(Dataset!G305&lt;=9,0.65,0.85)))</f>
        <v>0.25</v>
      </c>
      <c r="I305" s="29">
        <f>IF(Dataset!G305&lt;=3,1,IF(Dataset!G305&lt;=6,2,IF(Dataset!G305&lt;=9,3,4)))</f>
        <v>1</v>
      </c>
      <c r="J305" s="29">
        <f t="shared" si="34"/>
        <v>0.25</v>
      </c>
      <c r="K305" s="29">
        <f>IF(Dataset!H305&lt;1,0.2,IF(Dataset!H305&lt;1.3,0.45,IF(Dataset!H305&lt;1.8,0.7,0.9)))</f>
        <v>0.7</v>
      </c>
      <c r="L305" s="29">
        <f>IF(Dataset!H305&lt;1,1,IF(Dataset!H305&lt;1.3,2,IF(Dataset!H305&lt;1.8,3,4)))</f>
        <v>3</v>
      </c>
      <c r="M305" s="29">
        <f t="shared" si="35"/>
        <v>2.0999999999999996</v>
      </c>
      <c r="N305" s="29">
        <f>IF(Dataset!F305=1,0.75,IF(Dataset!F305=2,0.45,0.2))</f>
        <v>0.45</v>
      </c>
      <c r="O305" s="29">
        <f>IF(Dataset!F305=1,3,IF(Dataset!F305=2,2,1))</f>
        <v>2</v>
      </c>
      <c r="P305" s="29">
        <f t="shared" si="36"/>
        <v>0.9</v>
      </c>
      <c r="Q305" s="29">
        <f>IF(Dataset!K305&lt;5,0.2,IF(Dataset!K305&lt;10,0.45,IF(Dataset!K305&lt;18,0.7,0.9)))</f>
        <v>0.2</v>
      </c>
      <c r="R305" s="29">
        <f>IF(Dataset!K305&lt;5,1,IF(Dataset!K305&lt;10,2,IF(Dataset!K305&lt;18,3,4)))</f>
        <v>1</v>
      </c>
      <c r="S305" s="29">
        <f t="shared" si="37"/>
        <v>0.2</v>
      </c>
      <c r="T305" s="29">
        <f t="shared" si="38"/>
        <v>0.99199999999999988</v>
      </c>
      <c r="U305" s="29" t="str">
        <f t="shared" si="39"/>
        <v>Low</v>
      </c>
    </row>
    <row r="306" spans="1:21" ht="15" customHeight="1" x14ac:dyDescent="0.25">
      <c r="A306" s="29">
        <f>Dataset!A306</f>
        <v>302</v>
      </c>
      <c r="B306" s="29">
        <f>IF(Dataset!B306&lt;25,0.3,IF(Dataset!B306&lt;75,0.5,IF(Dataset!B306&lt;120,0.65,0.8)))</f>
        <v>0.5</v>
      </c>
      <c r="C306" s="29">
        <f>IF(Dataset!B306&lt;25,1,IF(Dataset!B306&lt;75,2,IF(Dataset!B306&lt;120,3,4)))</f>
        <v>2</v>
      </c>
      <c r="D306" s="29">
        <f t="shared" si="32"/>
        <v>1</v>
      </c>
      <c r="E306" s="29">
        <f>IF(Dataset!C306&lt;=1,0.3,IF(Dataset!C306=2,0.4,IF(Dataset!C306=3,0.5,IF(Dataset!C306=4,0.65,0.8))))</f>
        <v>0.65</v>
      </c>
      <c r="F306" s="29">
        <f>IF(Dataset!C306&lt;=2,1,IF(Dataset!C306=3,2,IF(Dataset!C306=4,3,4)))</f>
        <v>3</v>
      </c>
      <c r="G306" s="29">
        <f t="shared" si="33"/>
        <v>1.9500000000000002</v>
      </c>
      <c r="H306" s="29">
        <f>IF(Dataset!G306&lt;=3,0.25,IF(Dataset!G306&lt;=6,0.45,IF(Dataset!G306&lt;=9,0.65,0.85)))</f>
        <v>0.45</v>
      </c>
      <c r="I306" s="29">
        <f>IF(Dataset!G306&lt;=3,1,IF(Dataset!G306&lt;=6,2,IF(Dataset!G306&lt;=9,3,4)))</f>
        <v>2</v>
      </c>
      <c r="J306" s="29">
        <f t="shared" si="34"/>
        <v>0.9</v>
      </c>
      <c r="K306" s="29">
        <f>IF(Dataset!H306&lt;1,0.2,IF(Dataset!H306&lt;1.3,0.45,IF(Dataset!H306&lt;1.8,0.7,0.9)))</f>
        <v>0.9</v>
      </c>
      <c r="L306" s="29">
        <f>IF(Dataset!H306&lt;1,1,IF(Dataset!H306&lt;1.3,2,IF(Dataset!H306&lt;1.8,3,4)))</f>
        <v>4</v>
      </c>
      <c r="M306" s="29">
        <f t="shared" si="35"/>
        <v>3.6</v>
      </c>
      <c r="N306" s="29">
        <f>IF(Dataset!F306=1,0.75,IF(Dataset!F306=2,0.45,0.2))</f>
        <v>0.75</v>
      </c>
      <c r="O306" s="29">
        <f>IF(Dataset!F306=1,3,IF(Dataset!F306=2,2,1))</f>
        <v>3</v>
      </c>
      <c r="P306" s="29">
        <f t="shared" si="36"/>
        <v>2.25</v>
      </c>
      <c r="Q306" s="29">
        <f>IF(Dataset!K306&lt;5,0.2,IF(Dataset!K306&lt;10,0.45,IF(Dataset!K306&lt;18,0.7,0.9)))</f>
        <v>0.7</v>
      </c>
      <c r="R306" s="29">
        <f>IF(Dataset!K306&lt;5,1,IF(Dataset!K306&lt;10,2,IF(Dataset!K306&lt;18,3,4)))</f>
        <v>3</v>
      </c>
      <c r="S306" s="29">
        <f t="shared" si="37"/>
        <v>2.0999999999999996</v>
      </c>
      <c r="T306" s="29">
        <f t="shared" si="38"/>
        <v>2.016</v>
      </c>
      <c r="U306" s="29" t="str">
        <f t="shared" si="39"/>
        <v>High</v>
      </c>
    </row>
    <row r="307" spans="1:21" ht="15" customHeight="1" x14ac:dyDescent="0.25">
      <c r="A307" s="29">
        <f>Dataset!A307</f>
        <v>303</v>
      </c>
      <c r="B307" s="29">
        <f>IF(Dataset!B307&lt;25,0.3,IF(Dataset!B307&lt;75,0.5,IF(Dataset!B307&lt;120,0.65,0.8)))</f>
        <v>0.65</v>
      </c>
      <c r="C307" s="29">
        <f>IF(Dataset!B307&lt;25,1,IF(Dataset!B307&lt;75,2,IF(Dataset!B307&lt;120,3,4)))</f>
        <v>3</v>
      </c>
      <c r="D307" s="29">
        <f t="shared" si="32"/>
        <v>1.9500000000000002</v>
      </c>
      <c r="E307" s="29">
        <f>IF(Dataset!C307&lt;=1,0.3,IF(Dataset!C307=2,0.4,IF(Dataset!C307=3,0.5,IF(Dataset!C307=4,0.65,0.8))))</f>
        <v>0.65</v>
      </c>
      <c r="F307" s="29">
        <f>IF(Dataset!C307&lt;=2,1,IF(Dataset!C307=3,2,IF(Dataset!C307=4,3,4)))</f>
        <v>3</v>
      </c>
      <c r="G307" s="29">
        <f t="shared" si="33"/>
        <v>1.9500000000000002</v>
      </c>
      <c r="H307" s="29">
        <f>IF(Dataset!G307&lt;=3,0.25,IF(Dataset!G307&lt;=6,0.45,IF(Dataset!G307&lt;=9,0.65,0.85)))</f>
        <v>0.85</v>
      </c>
      <c r="I307" s="29">
        <f>IF(Dataset!G307&lt;=3,1,IF(Dataset!G307&lt;=6,2,IF(Dataset!G307&lt;=9,3,4)))</f>
        <v>4</v>
      </c>
      <c r="J307" s="29">
        <f t="shared" si="34"/>
        <v>3.4</v>
      </c>
      <c r="K307" s="29">
        <f>IF(Dataset!H307&lt;1,0.2,IF(Dataset!H307&lt;1.3,0.45,IF(Dataset!H307&lt;1.8,0.7,0.9)))</f>
        <v>0.2</v>
      </c>
      <c r="L307" s="29">
        <f>IF(Dataset!H307&lt;1,1,IF(Dataset!H307&lt;1.3,2,IF(Dataset!H307&lt;1.8,3,4)))</f>
        <v>1</v>
      </c>
      <c r="M307" s="29">
        <f t="shared" si="35"/>
        <v>0.2</v>
      </c>
      <c r="N307" s="29">
        <f>IF(Dataset!F307=1,0.75,IF(Dataset!F307=2,0.45,0.2))</f>
        <v>0.2</v>
      </c>
      <c r="O307" s="29">
        <f>IF(Dataset!F307=1,3,IF(Dataset!F307=2,2,1))</f>
        <v>1</v>
      </c>
      <c r="P307" s="29">
        <f t="shared" si="36"/>
        <v>0.2</v>
      </c>
      <c r="Q307" s="29">
        <f>IF(Dataset!K307&lt;5,0.2,IF(Dataset!K307&lt;10,0.45,IF(Dataset!K307&lt;18,0.7,0.9)))</f>
        <v>0.45</v>
      </c>
      <c r="R307" s="29">
        <f>IF(Dataset!K307&lt;5,1,IF(Dataset!K307&lt;10,2,IF(Dataset!K307&lt;18,3,4)))</f>
        <v>2</v>
      </c>
      <c r="S307" s="29">
        <f t="shared" si="37"/>
        <v>0.9</v>
      </c>
      <c r="T307" s="29">
        <f t="shared" si="38"/>
        <v>1.4980000000000004</v>
      </c>
      <c r="U307" s="29" t="str">
        <f t="shared" si="39"/>
        <v>Medium</v>
      </c>
    </row>
    <row r="308" spans="1:21" ht="15" customHeight="1" x14ac:dyDescent="0.25">
      <c r="A308" s="29">
        <f>Dataset!A308</f>
        <v>304</v>
      </c>
      <c r="B308" s="29">
        <f>IF(Dataset!B308&lt;25,0.3,IF(Dataset!B308&lt;75,0.5,IF(Dataset!B308&lt;120,0.65,0.8)))</f>
        <v>0.8</v>
      </c>
      <c r="C308" s="29">
        <f>IF(Dataset!B308&lt;25,1,IF(Dataset!B308&lt;75,2,IF(Dataset!B308&lt;120,3,4)))</f>
        <v>4</v>
      </c>
      <c r="D308" s="29">
        <f t="shared" si="32"/>
        <v>3.2</v>
      </c>
      <c r="E308" s="29">
        <f>IF(Dataset!C308&lt;=1,0.3,IF(Dataset!C308=2,0.4,IF(Dataset!C308=3,0.5,IF(Dataset!C308=4,0.65,0.8))))</f>
        <v>0.3</v>
      </c>
      <c r="F308" s="29">
        <f>IF(Dataset!C308&lt;=2,1,IF(Dataset!C308=3,2,IF(Dataset!C308=4,3,4)))</f>
        <v>1</v>
      </c>
      <c r="G308" s="29">
        <f t="shared" si="33"/>
        <v>0.3</v>
      </c>
      <c r="H308" s="29">
        <f>IF(Dataset!G308&lt;=3,0.25,IF(Dataset!G308&lt;=6,0.45,IF(Dataset!G308&lt;=9,0.65,0.85)))</f>
        <v>0.45</v>
      </c>
      <c r="I308" s="29">
        <f>IF(Dataset!G308&lt;=3,1,IF(Dataset!G308&lt;=6,2,IF(Dataset!G308&lt;=9,3,4)))</f>
        <v>2</v>
      </c>
      <c r="J308" s="29">
        <f t="shared" si="34"/>
        <v>0.9</v>
      </c>
      <c r="K308" s="29">
        <f>IF(Dataset!H308&lt;1,0.2,IF(Dataset!H308&lt;1.3,0.45,IF(Dataset!H308&lt;1.8,0.7,0.9)))</f>
        <v>0.7</v>
      </c>
      <c r="L308" s="29">
        <f>IF(Dataset!H308&lt;1,1,IF(Dataset!H308&lt;1.3,2,IF(Dataset!H308&lt;1.8,3,4)))</f>
        <v>3</v>
      </c>
      <c r="M308" s="29">
        <f t="shared" si="35"/>
        <v>2.0999999999999996</v>
      </c>
      <c r="N308" s="29">
        <f>IF(Dataset!F308=1,0.75,IF(Dataset!F308=2,0.45,0.2))</f>
        <v>0.45</v>
      </c>
      <c r="O308" s="29">
        <f>IF(Dataset!F308=1,3,IF(Dataset!F308=2,2,1))</f>
        <v>2</v>
      </c>
      <c r="P308" s="29">
        <f t="shared" si="36"/>
        <v>0.9</v>
      </c>
      <c r="Q308" s="29">
        <f>IF(Dataset!K308&lt;5,0.2,IF(Dataset!K308&lt;10,0.45,IF(Dataset!K308&lt;18,0.7,0.9)))</f>
        <v>0.2</v>
      </c>
      <c r="R308" s="29">
        <f>IF(Dataset!K308&lt;5,1,IF(Dataset!K308&lt;10,2,IF(Dataset!K308&lt;18,3,4)))</f>
        <v>1</v>
      </c>
      <c r="S308" s="29">
        <f t="shared" si="37"/>
        <v>0.2</v>
      </c>
      <c r="T308" s="29">
        <f t="shared" si="38"/>
        <v>1.4200000000000002</v>
      </c>
      <c r="U308" s="29" t="str">
        <f t="shared" si="39"/>
        <v>Medium</v>
      </c>
    </row>
    <row r="309" spans="1:21" ht="15" customHeight="1" x14ac:dyDescent="0.25">
      <c r="A309" s="29">
        <f>Dataset!A309</f>
        <v>305</v>
      </c>
      <c r="B309" s="29">
        <f>IF(Dataset!B309&lt;25,0.3,IF(Dataset!B309&lt;75,0.5,IF(Dataset!B309&lt;120,0.65,0.8)))</f>
        <v>0.5</v>
      </c>
      <c r="C309" s="29">
        <f>IF(Dataset!B309&lt;25,1,IF(Dataset!B309&lt;75,2,IF(Dataset!B309&lt;120,3,4)))</f>
        <v>2</v>
      </c>
      <c r="D309" s="29">
        <f t="shared" si="32"/>
        <v>1</v>
      </c>
      <c r="E309" s="29">
        <f>IF(Dataset!C309&lt;=1,0.3,IF(Dataset!C309=2,0.4,IF(Dataset!C309=3,0.5,IF(Dataset!C309=4,0.65,0.8))))</f>
        <v>0.8</v>
      </c>
      <c r="F309" s="29">
        <f>IF(Dataset!C309&lt;=2,1,IF(Dataset!C309=3,2,IF(Dataset!C309=4,3,4)))</f>
        <v>4</v>
      </c>
      <c r="G309" s="29">
        <f t="shared" si="33"/>
        <v>3.2</v>
      </c>
      <c r="H309" s="29">
        <f>IF(Dataset!G309&lt;=3,0.25,IF(Dataset!G309&lt;=6,0.45,IF(Dataset!G309&lt;=9,0.65,0.85)))</f>
        <v>0.45</v>
      </c>
      <c r="I309" s="29">
        <f>IF(Dataset!G309&lt;=3,1,IF(Dataset!G309&lt;=6,2,IF(Dataset!G309&lt;=9,3,4)))</f>
        <v>2</v>
      </c>
      <c r="J309" s="29">
        <f t="shared" si="34"/>
        <v>0.9</v>
      </c>
      <c r="K309" s="29">
        <f>IF(Dataset!H309&lt;1,0.2,IF(Dataset!H309&lt;1.3,0.45,IF(Dataset!H309&lt;1.8,0.7,0.9)))</f>
        <v>0.7</v>
      </c>
      <c r="L309" s="29">
        <f>IF(Dataset!H309&lt;1,1,IF(Dataset!H309&lt;1.3,2,IF(Dataset!H309&lt;1.8,3,4)))</f>
        <v>3</v>
      </c>
      <c r="M309" s="29">
        <f t="shared" si="35"/>
        <v>2.0999999999999996</v>
      </c>
      <c r="N309" s="29">
        <f>IF(Dataset!F309=1,0.75,IF(Dataset!F309=2,0.45,0.2))</f>
        <v>0.2</v>
      </c>
      <c r="O309" s="29">
        <f>IF(Dataset!F309=1,3,IF(Dataset!F309=2,2,1))</f>
        <v>1</v>
      </c>
      <c r="P309" s="29">
        <f t="shared" si="36"/>
        <v>0.2</v>
      </c>
      <c r="Q309" s="29">
        <f>IF(Dataset!K309&lt;5,0.2,IF(Dataset!K309&lt;10,0.45,IF(Dataset!K309&lt;18,0.7,0.9)))</f>
        <v>0.7</v>
      </c>
      <c r="R309" s="29">
        <f>IF(Dataset!K309&lt;5,1,IF(Dataset!K309&lt;10,2,IF(Dataset!K309&lt;18,3,4)))</f>
        <v>3</v>
      </c>
      <c r="S309" s="29">
        <f t="shared" si="37"/>
        <v>2.0999999999999996</v>
      </c>
      <c r="T309" s="29">
        <f t="shared" si="38"/>
        <v>1.6260000000000001</v>
      </c>
      <c r="U309" s="29" t="str">
        <f t="shared" si="39"/>
        <v>Medium</v>
      </c>
    </row>
    <row r="310" spans="1:21" ht="15" customHeight="1" x14ac:dyDescent="0.25">
      <c r="A310" s="29">
        <f>Dataset!A310</f>
        <v>306</v>
      </c>
      <c r="B310" s="29">
        <f>IF(Dataset!B310&lt;25,0.3,IF(Dataset!B310&lt;75,0.5,IF(Dataset!B310&lt;120,0.65,0.8)))</f>
        <v>0.65</v>
      </c>
      <c r="C310" s="29">
        <f>IF(Dataset!B310&lt;25,1,IF(Dataset!B310&lt;75,2,IF(Dataset!B310&lt;120,3,4)))</f>
        <v>3</v>
      </c>
      <c r="D310" s="29">
        <f t="shared" si="32"/>
        <v>1.9500000000000002</v>
      </c>
      <c r="E310" s="29">
        <f>IF(Dataset!C310&lt;=1,0.3,IF(Dataset!C310=2,0.4,IF(Dataset!C310=3,0.5,IF(Dataset!C310=4,0.65,0.8))))</f>
        <v>0.8</v>
      </c>
      <c r="F310" s="29">
        <f>IF(Dataset!C310&lt;=2,1,IF(Dataset!C310=3,2,IF(Dataset!C310=4,3,4)))</f>
        <v>4</v>
      </c>
      <c r="G310" s="29">
        <f t="shared" si="33"/>
        <v>3.2</v>
      </c>
      <c r="H310" s="29">
        <f>IF(Dataset!G310&lt;=3,0.25,IF(Dataset!G310&lt;=6,0.45,IF(Dataset!G310&lt;=9,0.65,0.85)))</f>
        <v>0.45</v>
      </c>
      <c r="I310" s="29">
        <f>IF(Dataset!G310&lt;=3,1,IF(Dataset!G310&lt;=6,2,IF(Dataset!G310&lt;=9,3,4)))</f>
        <v>2</v>
      </c>
      <c r="J310" s="29">
        <f t="shared" si="34"/>
        <v>0.9</v>
      </c>
      <c r="K310" s="29">
        <f>IF(Dataset!H310&lt;1,0.2,IF(Dataset!H310&lt;1.3,0.45,IF(Dataset!H310&lt;1.8,0.7,0.9)))</f>
        <v>0.9</v>
      </c>
      <c r="L310" s="29">
        <f>IF(Dataset!H310&lt;1,1,IF(Dataset!H310&lt;1.3,2,IF(Dataset!H310&lt;1.8,3,4)))</f>
        <v>4</v>
      </c>
      <c r="M310" s="29">
        <f t="shared" si="35"/>
        <v>3.6</v>
      </c>
      <c r="N310" s="29">
        <f>IF(Dataset!F310=1,0.75,IF(Dataset!F310=2,0.45,0.2))</f>
        <v>0.45</v>
      </c>
      <c r="O310" s="29">
        <f>IF(Dataset!F310=1,3,IF(Dataset!F310=2,2,1))</f>
        <v>2</v>
      </c>
      <c r="P310" s="29">
        <f t="shared" si="36"/>
        <v>0.9</v>
      </c>
      <c r="Q310" s="29">
        <f>IF(Dataset!K310&lt;5,0.2,IF(Dataset!K310&lt;10,0.45,IF(Dataset!K310&lt;18,0.7,0.9)))</f>
        <v>0.9</v>
      </c>
      <c r="R310" s="29">
        <f>IF(Dataset!K310&lt;5,1,IF(Dataset!K310&lt;10,2,IF(Dataset!K310&lt;18,3,4)))</f>
        <v>4</v>
      </c>
      <c r="S310" s="29">
        <f t="shared" si="37"/>
        <v>3.6</v>
      </c>
      <c r="T310" s="29">
        <f t="shared" si="38"/>
        <v>2.4370000000000003</v>
      </c>
      <c r="U310" s="29" t="str">
        <f t="shared" si="39"/>
        <v>High</v>
      </c>
    </row>
    <row r="311" spans="1:21" ht="15" customHeight="1" x14ac:dyDescent="0.25">
      <c r="A311" s="29">
        <f>Dataset!A311</f>
        <v>307</v>
      </c>
      <c r="B311" s="29">
        <f>IF(Dataset!B311&lt;25,0.3,IF(Dataset!B311&lt;75,0.5,IF(Dataset!B311&lt;120,0.65,0.8)))</f>
        <v>0.3</v>
      </c>
      <c r="C311" s="29">
        <f>IF(Dataset!B311&lt;25,1,IF(Dataset!B311&lt;75,2,IF(Dataset!B311&lt;120,3,4)))</f>
        <v>1</v>
      </c>
      <c r="D311" s="29">
        <f t="shared" si="32"/>
        <v>0.3</v>
      </c>
      <c r="E311" s="29">
        <f>IF(Dataset!C311&lt;=1,0.3,IF(Dataset!C311=2,0.4,IF(Dataset!C311=3,0.5,IF(Dataset!C311=4,0.65,0.8))))</f>
        <v>0.5</v>
      </c>
      <c r="F311" s="29">
        <f>IF(Dataset!C311&lt;=2,1,IF(Dataset!C311=3,2,IF(Dataset!C311=4,3,4)))</f>
        <v>2</v>
      </c>
      <c r="G311" s="29">
        <f t="shared" si="33"/>
        <v>1</v>
      </c>
      <c r="H311" s="29">
        <f>IF(Dataset!G311&lt;=3,0.25,IF(Dataset!G311&lt;=6,0.45,IF(Dataset!G311&lt;=9,0.65,0.85)))</f>
        <v>0.45</v>
      </c>
      <c r="I311" s="29">
        <f>IF(Dataset!G311&lt;=3,1,IF(Dataset!G311&lt;=6,2,IF(Dataset!G311&lt;=9,3,4)))</f>
        <v>2</v>
      </c>
      <c r="J311" s="29">
        <f t="shared" si="34"/>
        <v>0.9</v>
      </c>
      <c r="K311" s="29">
        <f>IF(Dataset!H311&lt;1,0.2,IF(Dataset!H311&lt;1.3,0.45,IF(Dataset!H311&lt;1.8,0.7,0.9)))</f>
        <v>0.9</v>
      </c>
      <c r="L311" s="29">
        <f>IF(Dataset!H311&lt;1,1,IF(Dataset!H311&lt;1.3,2,IF(Dataset!H311&lt;1.8,3,4)))</f>
        <v>4</v>
      </c>
      <c r="M311" s="29">
        <f t="shared" si="35"/>
        <v>3.6</v>
      </c>
      <c r="N311" s="29">
        <f>IF(Dataset!F311=1,0.75,IF(Dataset!F311=2,0.45,0.2))</f>
        <v>0.2</v>
      </c>
      <c r="O311" s="29">
        <f>IF(Dataset!F311=1,3,IF(Dataset!F311=2,2,1))</f>
        <v>1</v>
      </c>
      <c r="P311" s="29">
        <f t="shared" si="36"/>
        <v>0.2</v>
      </c>
      <c r="Q311" s="29">
        <f>IF(Dataset!K311&lt;5,0.2,IF(Dataset!K311&lt;10,0.45,IF(Dataset!K311&lt;18,0.7,0.9)))</f>
        <v>0.45</v>
      </c>
      <c r="R311" s="29">
        <f>IF(Dataset!K311&lt;5,1,IF(Dataset!K311&lt;10,2,IF(Dataset!K311&lt;18,3,4)))</f>
        <v>2</v>
      </c>
      <c r="S311" s="29">
        <f t="shared" si="37"/>
        <v>0.9</v>
      </c>
      <c r="T311" s="29">
        <f t="shared" si="38"/>
        <v>1.3840000000000001</v>
      </c>
      <c r="U311" s="29" t="str">
        <f t="shared" si="39"/>
        <v>Medium</v>
      </c>
    </row>
    <row r="312" spans="1:21" ht="15" customHeight="1" x14ac:dyDescent="0.25">
      <c r="A312" s="29">
        <f>Dataset!A312</f>
        <v>308</v>
      </c>
      <c r="B312" s="29">
        <f>IF(Dataset!B312&lt;25,0.3,IF(Dataset!B312&lt;75,0.5,IF(Dataset!B312&lt;120,0.65,0.8)))</f>
        <v>0.3</v>
      </c>
      <c r="C312" s="29">
        <f>IF(Dataset!B312&lt;25,1,IF(Dataset!B312&lt;75,2,IF(Dataset!B312&lt;120,3,4)))</f>
        <v>1</v>
      </c>
      <c r="D312" s="29">
        <f t="shared" si="32"/>
        <v>0.3</v>
      </c>
      <c r="E312" s="29">
        <f>IF(Dataset!C312&lt;=1,0.3,IF(Dataset!C312=2,0.4,IF(Dataset!C312=3,0.5,IF(Dataset!C312=4,0.65,0.8))))</f>
        <v>0.65</v>
      </c>
      <c r="F312" s="29">
        <f>IF(Dataset!C312&lt;=2,1,IF(Dataset!C312=3,2,IF(Dataset!C312=4,3,4)))</f>
        <v>3</v>
      </c>
      <c r="G312" s="29">
        <f t="shared" si="33"/>
        <v>1.9500000000000002</v>
      </c>
      <c r="H312" s="29">
        <f>IF(Dataset!G312&lt;=3,0.25,IF(Dataset!G312&lt;=6,0.45,IF(Dataset!G312&lt;=9,0.65,0.85)))</f>
        <v>0.85</v>
      </c>
      <c r="I312" s="29">
        <f>IF(Dataset!G312&lt;=3,1,IF(Dataset!G312&lt;=6,2,IF(Dataset!G312&lt;=9,3,4)))</f>
        <v>4</v>
      </c>
      <c r="J312" s="29">
        <f t="shared" si="34"/>
        <v>3.4</v>
      </c>
      <c r="K312" s="29">
        <f>IF(Dataset!H312&lt;1,0.2,IF(Dataset!H312&lt;1.3,0.45,IF(Dataset!H312&lt;1.8,0.7,0.9)))</f>
        <v>0.9</v>
      </c>
      <c r="L312" s="29">
        <f>IF(Dataset!H312&lt;1,1,IF(Dataset!H312&lt;1.3,2,IF(Dataset!H312&lt;1.8,3,4)))</f>
        <v>4</v>
      </c>
      <c r="M312" s="29">
        <f t="shared" si="35"/>
        <v>3.6</v>
      </c>
      <c r="N312" s="29">
        <f>IF(Dataset!F312=1,0.75,IF(Dataset!F312=2,0.45,0.2))</f>
        <v>0.45</v>
      </c>
      <c r="O312" s="29">
        <f>IF(Dataset!F312=1,3,IF(Dataset!F312=2,2,1))</f>
        <v>2</v>
      </c>
      <c r="P312" s="29">
        <f t="shared" si="36"/>
        <v>0.9</v>
      </c>
      <c r="Q312" s="29">
        <f>IF(Dataset!K312&lt;5,0.2,IF(Dataset!K312&lt;10,0.45,IF(Dataset!K312&lt;18,0.7,0.9)))</f>
        <v>0.45</v>
      </c>
      <c r="R312" s="29">
        <f>IF(Dataset!K312&lt;5,1,IF(Dataset!K312&lt;10,2,IF(Dataset!K312&lt;18,3,4)))</f>
        <v>2</v>
      </c>
      <c r="S312" s="29">
        <f t="shared" si="37"/>
        <v>0.9</v>
      </c>
      <c r="T312" s="29">
        <f t="shared" si="38"/>
        <v>2.0870000000000002</v>
      </c>
      <c r="U312" s="29" t="str">
        <f t="shared" si="39"/>
        <v>High</v>
      </c>
    </row>
    <row r="313" spans="1:21" ht="15" customHeight="1" x14ac:dyDescent="0.25">
      <c r="A313" s="29">
        <f>Dataset!A313</f>
        <v>309</v>
      </c>
      <c r="B313" s="29">
        <f>IF(Dataset!B313&lt;25,0.3,IF(Dataset!B313&lt;75,0.5,IF(Dataset!B313&lt;120,0.65,0.8)))</f>
        <v>0.3</v>
      </c>
      <c r="C313" s="29">
        <f>IF(Dataset!B313&lt;25,1,IF(Dataset!B313&lt;75,2,IF(Dataset!B313&lt;120,3,4)))</f>
        <v>1</v>
      </c>
      <c r="D313" s="29">
        <f t="shared" si="32"/>
        <v>0.3</v>
      </c>
      <c r="E313" s="29">
        <f>IF(Dataset!C313&lt;=1,0.3,IF(Dataset!C313=2,0.4,IF(Dataset!C313=3,0.5,IF(Dataset!C313=4,0.65,0.8))))</f>
        <v>0.5</v>
      </c>
      <c r="F313" s="29">
        <f>IF(Dataset!C313&lt;=2,1,IF(Dataset!C313=3,2,IF(Dataset!C313=4,3,4)))</f>
        <v>2</v>
      </c>
      <c r="G313" s="29">
        <f t="shared" si="33"/>
        <v>1</v>
      </c>
      <c r="H313" s="29">
        <f>IF(Dataset!G313&lt;=3,0.25,IF(Dataset!G313&lt;=6,0.45,IF(Dataset!G313&lt;=9,0.65,0.85)))</f>
        <v>0.45</v>
      </c>
      <c r="I313" s="29">
        <f>IF(Dataset!G313&lt;=3,1,IF(Dataset!G313&lt;=6,2,IF(Dataset!G313&lt;=9,3,4)))</f>
        <v>2</v>
      </c>
      <c r="J313" s="29">
        <f t="shared" si="34"/>
        <v>0.9</v>
      </c>
      <c r="K313" s="29">
        <f>IF(Dataset!H313&lt;1,0.2,IF(Dataset!H313&lt;1.3,0.45,IF(Dataset!H313&lt;1.8,0.7,0.9)))</f>
        <v>0.7</v>
      </c>
      <c r="L313" s="29">
        <f>IF(Dataset!H313&lt;1,1,IF(Dataset!H313&lt;1.3,2,IF(Dataset!H313&lt;1.8,3,4)))</f>
        <v>3</v>
      </c>
      <c r="M313" s="29">
        <f t="shared" si="35"/>
        <v>2.0999999999999996</v>
      </c>
      <c r="N313" s="29">
        <f>IF(Dataset!F313=1,0.75,IF(Dataset!F313=2,0.45,0.2))</f>
        <v>0.45</v>
      </c>
      <c r="O313" s="29">
        <f>IF(Dataset!F313=1,3,IF(Dataset!F313=2,2,1))</f>
        <v>2</v>
      </c>
      <c r="P313" s="29">
        <f t="shared" si="36"/>
        <v>0.9</v>
      </c>
      <c r="Q313" s="29">
        <f>IF(Dataset!K313&lt;5,0.2,IF(Dataset!K313&lt;10,0.45,IF(Dataset!K313&lt;18,0.7,0.9)))</f>
        <v>0.45</v>
      </c>
      <c r="R313" s="29">
        <f>IF(Dataset!K313&lt;5,1,IF(Dataset!K313&lt;10,2,IF(Dataset!K313&lt;18,3,4)))</f>
        <v>2</v>
      </c>
      <c r="S313" s="29">
        <f t="shared" si="37"/>
        <v>0.9</v>
      </c>
      <c r="T313" s="29">
        <f t="shared" si="38"/>
        <v>1.0939999999999999</v>
      </c>
      <c r="U313" s="29" t="str">
        <f t="shared" si="39"/>
        <v>Low</v>
      </c>
    </row>
    <row r="314" spans="1:21" ht="15" customHeight="1" x14ac:dyDescent="0.25">
      <c r="A314" s="29">
        <f>Dataset!A314</f>
        <v>310</v>
      </c>
      <c r="B314" s="29">
        <f>IF(Dataset!B314&lt;25,0.3,IF(Dataset!B314&lt;75,0.5,IF(Dataset!B314&lt;120,0.65,0.8)))</f>
        <v>0.5</v>
      </c>
      <c r="C314" s="29">
        <f>IF(Dataset!B314&lt;25,1,IF(Dataset!B314&lt;75,2,IF(Dataset!B314&lt;120,3,4)))</f>
        <v>2</v>
      </c>
      <c r="D314" s="29">
        <f t="shared" si="32"/>
        <v>1</v>
      </c>
      <c r="E314" s="29">
        <f>IF(Dataset!C314&lt;=1,0.3,IF(Dataset!C314=2,0.4,IF(Dataset!C314=3,0.5,IF(Dataset!C314=4,0.65,0.8))))</f>
        <v>0.4</v>
      </c>
      <c r="F314" s="29">
        <f>IF(Dataset!C314&lt;=2,1,IF(Dataset!C314=3,2,IF(Dataset!C314=4,3,4)))</f>
        <v>1</v>
      </c>
      <c r="G314" s="29">
        <f t="shared" si="33"/>
        <v>0.4</v>
      </c>
      <c r="H314" s="29">
        <f>IF(Dataset!G314&lt;=3,0.25,IF(Dataset!G314&lt;=6,0.45,IF(Dataset!G314&lt;=9,0.65,0.85)))</f>
        <v>0.45</v>
      </c>
      <c r="I314" s="29">
        <f>IF(Dataset!G314&lt;=3,1,IF(Dataset!G314&lt;=6,2,IF(Dataset!G314&lt;=9,3,4)))</f>
        <v>2</v>
      </c>
      <c r="J314" s="29">
        <f t="shared" si="34"/>
        <v>0.9</v>
      </c>
      <c r="K314" s="29">
        <f>IF(Dataset!H314&lt;1,0.2,IF(Dataset!H314&lt;1.3,0.45,IF(Dataset!H314&lt;1.8,0.7,0.9)))</f>
        <v>0.7</v>
      </c>
      <c r="L314" s="29">
        <f>IF(Dataset!H314&lt;1,1,IF(Dataset!H314&lt;1.3,2,IF(Dataset!H314&lt;1.8,3,4)))</f>
        <v>3</v>
      </c>
      <c r="M314" s="29">
        <f t="shared" si="35"/>
        <v>2.0999999999999996</v>
      </c>
      <c r="N314" s="29">
        <f>IF(Dataset!F314=1,0.75,IF(Dataset!F314=2,0.45,0.2))</f>
        <v>0.45</v>
      </c>
      <c r="O314" s="29">
        <f>IF(Dataset!F314=1,3,IF(Dataset!F314=2,2,1))</f>
        <v>2</v>
      </c>
      <c r="P314" s="29">
        <f t="shared" si="36"/>
        <v>0.9</v>
      </c>
      <c r="Q314" s="29">
        <f>IF(Dataset!K314&lt;5,0.2,IF(Dataset!K314&lt;10,0.45,IF(Dataset!K314&lt;18,0.7,0.9)))</f>
        <v>0.2</v>
      </c>
      <c r="R314" s="29">
        <f>IF(Dataset!K314&lt;5,1,IF(Dataset!K314&lt;10,2,IF(Dataset!K314&lt;18,3,4)))</f>
        <v>1</v>
      </c>
      <c r="S314" s="29">
        <f t="shared" si="37"/>
        <v>0.2</v>
      </c>
      <c r="T314" s="29">
        <f t="shared" si="38"/>
        <v>1.038</v>
      </c>
      <c r="U314" s="29" t="str">
        <f t="shared" si="39"/>
        <v>Low</v>
      </c>
    </row>
    <row r="315" spans="1:21" ht="15" customHeight="1" x14ac:dyDescent="0.25">
      <c r="A315" s="29">
        <f>Dataset!A315</f>
        <v>311</v>
      </c>
      <c r="B315" s="29">
        <f>IF(Dataset!B315&lt;25,0.3,IF(Dataset!B315&lt;75,0.5,IF(Dataset!B315&lt;120,0.65,0.8)))</f>
        <v>0.65</v>
      </c>
      <c r="C315" s="29">
        <f>IF(Dataset!B315&lt;25,1,IF(Dataset!B315&lt;75,2,IF(Dataset!B315&lt;120,3,4)))</f>
        <v>3</v>
      </c>
      <c r="D315" s="29">
        <f t="shared" si="32"/>
        <v>1.9500000000000002</v>
      </c>
      <c r="E315" s="29">
        <f>IF(Dataset!C315&lt;=1,0.3,IF(Dataset!C315=2,0.4,IF(Dataset!C315=3,0.5,IF(Dataset!C315=4,0.65,0.8))))</f>
        <v>0.5</v>
      </c>
      <c r="F315" s="29">
        <f>IF(Dataset!C315&lt;=2,1,IF(Dataset!C315=3,2,IF(Dataset!C315=4,3,4)))</f>
        <v>2</v>
      </c>
      <c r="G315" s="29">
        <f t="shared" si="33"/>
        <v>1</v>
      </c>
      <c r="H315" s="29">
        <f>IF(Dataset!G315&lt;=3,0.25,IF(Dataset!G315&lt;=6,0.45,IF(Dataset!G315&lt;=9,0.65,0.85)))</f>
        <v>0.45</v>
      </c>
      <c r="I315" s="29">
        <f>IF(Dataset!G315&lt;=3,1,IF(Dataset!G315&lt;=6,2,IF(Dataset!G315&lt;=9,3,4)))</f>
        <v>2</v>
      </c>
      <c r="J315" s="29">
        <f t="shared" si="34"/>
        <v>0.9</v>
      </c>
      <c r="K315" s="29">
        <f>IF(Dataset!H315&lt;1,0.2,IF(Dataset!H315&lt;1.3,0.45,IF(Dataset!H315&lt;1.8,0.7,0.9)))</f>
        <v>0.7</v>
      </c>
      <c r="L315" s="29">
        <f>IF(Dataset!H315&lt;1,1,IF(Dataset!H315&lt;1.3,2,IF(Dataset!H315&lt;1.8,3,4)))</f>
        <v>3</v>
      </c>
      <c r="M315" s="29">
        <f t="shared" si="35"/>
        <v>2.0999999999999996</v>
      </c>
      <c r="N315" s="29">
        <f>IF(Dataset!F315=1,0.75,IF(Dataset!F315=2,0.45,0.2))</f>
        <v>0.2</v>
      </c>
      <c r="O315" s="29">
        <f>IF(Dataset!F315=1,3,IF(Dataset!F315=2,2,1))</f>
        <v>1</v>
      </c>
      <c r="P315" s="29">
        <f t="shared" si="36"/>
        <v>0.2</v>
      </c>
      <c r="Q315" s="29">
        <f>IF(Dataset!K315&lt;5,0.2,IF(Dataset!K315&lt;10,0.45,IF(Dataset!K315&lt;18,0.7,0.9)))</f>
        <v>0.45</v>
      </c>
      <c r="R315" s="29">
        <f>IF(Dataset!K315&lt;5,1,IF(Dataset!K315&lt;10,2,IF(Dataset!K315&lt;18,3,4)))</f>
        <v>2</v>
      </c>
      <c r="S315" s="29">
        <f t="shared" si="37"/>
        <v>0.9</v>
      </c>
      <c r="T315" s="29">
        <f t="shared" si="38"/>
        <v>1.321</v>
      </c>
      <c r="U315" s="29" t="str">
        <f t="shared" si="39"/>
        <v>Low</v>
      </c>
    </row>
    <row r="316" spans="1:21" ht="15" customHeight="1" x14ac:dyDescent="0.25">
      <c r="A316" s="29">
        <f>Dataset!A316</f>
        <v>312</v>
      </c>
      <c r="B316" s="29">
        <f>IF(Dataset!B316&lt;25,0.3,IF(Dataset!B316&lt;75,0.5,IF(Dataset!B316&lt;120,0.65,0.8)))</f>
        <v>0.5</v>
      </c>
      <c r="C316" s="29">
        <f>IF(Dataset!B316&lt;25,1,IF(Dataset!B316&lt;75,2,IF(Dataset!B316&lt;120,3,4)))</f>
        <v>2</v>
      </c>
      <c r="D316" s="29">
        <f t="shared" si="32"/>
        <v>1</v>
      </c>
      <c r="E316" s="29">
        <f>IF(Dataset!C316&lt;=1,0.3,IF(Dataset!C316=2,0.4,IF(Dataset!C316=3,0.5,IF(Dataset!C316=4,0.65,0.8))))</f>
        <v>0.4</v>
      </c>
      <c r="F316" s="29">
        <f>IF(Dataset!C316&lt;=2,1,IF(Dataset!C316=3,2,IF(Dataset!C316=4,3,4)))</f>
        <v>1</v>
      </c>
      <c r="G316" s="29">
        <f t="shared" si="33"/>
        <v>0.4</v>
      </c>
      <c r="H316" s="29">
        <f>IF(Dataset!G316&lt;=3,0.25,IF(Dataset!G316&lt;=6,0.45,IF(Dataset!G316&lt;=9,0.65,0.85)))</f>
        <v>0.25</v>
      </c>
      <c r="I316" s="29">
        <f>IF(Dataset!G316&lt;=3,1,IF(Dataset!G316&lt;=6,2,IF(Dataset!G316&lt;=9,3,4)))</f>
        <v>1</v>
      </c>
      <c r="J316" s="29">
        <f t="shared" si="34"/>
        <v>0.25</v>
      </c>
      <c r="K316" s="29">
        <f>IF(Dataset!H316&lt;1,0.2,IF(Dataset!H316&lt;1.3,0.45,IF(Dataset!H316&lt;1.8,0.7,0.9)))</f>
        <v>0.7</v>
      </c>
      <c r="L316" s="29">
        <f>IF(Dataset!H316&lt;1,1,IF(Dataset!H316&lt;1.3,2,IF(Dataset!H316&lt;1.8,3,4)))</f>
        <v>3</v>
      </c>
      <c r="M316" s="29">
        <f t="shared" si="35"/>
        <v>2.0999999999999996</v>
      </c>
      <c r="N316" s="29">
        <f>IF(Dataset!F316=1,0.75,IF(Dataset!F316=2,0.45,0.2))</f>
        <v>0.75</v>
      </c>
      <c r="O316" s="29">
        <f>IF(Dataset!F316=1,3,IF(Dataset!F316=2,2,1))</f>
        <v>3</v>
      </c>
      <c r="P316" s="29">
        <f t="shared" si="36"/>
        <v>2.25</v>
      </c>
      <c r="Q316" s="29">
        <f>IF(Dataset!K316&lt;5,0.2,IF(Dataset!K316&lt;10,0.45,IF(Dataset!K316&lt;18,0.7,0.9)))</f>
        <v>0.2</v>
      </c>
      <c r="R316" s="29">
        <f>IF(Dataset!K316&lt;5,1,IF(Dataset!K316&lt;10,2,IF(Dataset!K316&lt;18,3,4)))</f>
        <v>1</v>
      </c>
      <c r="S316" s="29">
        <f t="shared" si="37"/>
        <v>0.2</v>
      </c>
      <c r="T316" s="29">
        <f t="shared" si="38"/>
        <v>1.0429999999999999</v>
      </c>
      <c r="U316" s="29" t="str">
        <f t="shared" si="39"/>
        <v>Low</v>
      </c>
    </row>
    <row r="317" spans="1:21" ht="15" customHeight="1" x14ac:dyDescent="0.25">
      <c r="A317" s="29">
        <f>Dataset!A317</f>
        <v>313</v>
      </c>
      <c r="B317" s="29">
        <f>IF(Dataset!B317&lt;25,0.3,IF(Dataset!B317&lt;75,0.5,IF(Dataset!B317&lt;120,0.65,0.8)))</f>
        <v>0.5</v>
      </c>
      <c r="C317" s="29">
        <f>IF(Dataset!B317&lt;25,1,IF(Dataset!B317&lt;75,2,IF(Dataset!B317&lt;120,3,4)))</f>
        <v>2</v>
      </c>
      <c r="D317" s="29">
        <f t="shared" si="32"/>
        <v>1</v>
      </c>
      <c r="E317" s="29">
        <f>IF(Dataset!C317&lt;=1,0.3,IF(Dataset!C317=2,0.4,IF(Dataset!C317=3,0.5,IF(Dataset!C317=4,0.65,0.8))))</f>
        <v>0.8</v>
      </c>
      <c r="F317" s="29">
        <f>IF(Dataset!C317&lt;=2,1,IF(Dataset!C317=3,2,IF(Dataset!C317=4,3,4)))</f>
        <v>4</v>
      </c>
      <c r="G317" s="29">
        <f t="shared" si="33"/>
        <v>3.2</v>
      </c>
      <c r="H317" s="29">
        <f>IF(Dataset!G317&lt;=3,0.25,IF(Dataset!G317&lt;=6,0.45,IF(Dataset!G317&lt;=9,0.65,0.85)))</f>
        <v>0.45</v>
      </c>
      <c r="I317" s="29">
        <f>IF(Dataset!G317&lt;=3,1,IF(Dataset!G317&lt;=6,2,IF(Dataset!G317&lt;=9,3,4)))</f>
        <v>2</v>
      </c>
      <c r="J317" s="29">
        <f t="shared" si="34"/>
        <v>0.9</v>
      </c>
      <c r="K317" s="29">
        <f>IF(Dataset!H317&lt;1,0.2,IF(Dataset!H317&lt;1.3,0.45,IF(Dataset!H317&lt;1.8,0.7,0.9)))</f>
        <v>0.45</v>
      </c>
      <c r="L317" s="29">
        <f>IF(Dataset!H317&lt;1,1,IF(Dataset!H317&lt;1.3,2,IF(Dataset!H317&lt;1.8,3,4)))</f>
        <v>2</v>
      </c>
      <c r="M317" s="29">
        <f t="shared" si="35"/>
        <v>0.9</v>
      </c>
      <c r="N317" s="29">
        <f>IF(Dataset!F317=1,0.75,IF(Dataset!F317=2,0.45,0.2))</f>
        <v>0.45</v>
      </c>
      <c r="O317" s="29">
        <f>IF(Dataset!F317=1,3,IF(Dataset!F317=2,2,1))</f>
        <v>2</v>
      </c>
      <c r="P317" s="29">
        <f t="shared" si="36"/>
        <v>0.9</v>
      </c>
      <c r="Q317" s="29">
        <f>IF(Dataset!K317&lt;5,0.2,IF(Dataset!K317&lt;10,0.45,IF(Dataset!K317&lt;18,0.7,0.9)))</f>
        <v>0.7</v>
      </c>
      <c r="R317" s="29">
        <f>IF(Dataset!K317&lt;5,1,IF(Dataset!K317&lt;10,2,IF(Dataset!K317&lt;18,3,4)))</f>
        <v>3</v>
      </c>
      <c r="S317" s="29">
        <f t="shared" si="37"/>
        <v>2.0999999999999996</v>
      </c>
      <c r="T317" s="29">
        <f t="shared" si="38"/>
        <v>1.4080000000000004</v>
      </c>
      <c r="U317" s="29" t="str">
        <f t="shared" si="39"/>
        <v>Medium</v>
      </c>
    </row>
    <row r="318" spans="1:21" ht="15" customHeight="1" x14ac:dyDescent="0.25">
      <c r="A318" s="29">
        <f>Dataset!A318</f>
        <v>314</v>
      </c>
      <c r="B318" s="29">
        <f>IF(Dataset!B318&lt;25,0.3,IF(Dataset!B318&lt;75,0.5,IF(Dataset!B318&lt;120,0.65,0.8)))</f>
        <v>0.65</v>
      </c>
      <c r="C318" s="29">
        <f>IF(Dataset!B318&lt;25,1,IF(Dataset!B318&lt;75,2,IF(Dataset!B318&lt;120,3,4)))</f>
        <v>3</v>
      </c>
      <c r="D318" s="29">
        <f t="shared" si="32"/>
        <v>1.9500000000000002</v>
      </c>
      <c r="E318" s="29">
        <f>IF(Dataset!C318&lt;=1,0.3,IF(Dataset!C318=2,0.4,IF(Dataset!C318=3,0.5,IF(Dataset!C318=4,0.65,0.8))))</f>
        <v>0.8</v>
      </c>
      <c r="F318" s="29">
        <f>IF(Dataset!C318&lt;=2,1,IF(Dataset!C318=3,2,IF(Dataset!C318=4,3,4)))</f>
        <v>4</v>
      </c>
      <c r="G318" s="29">
        <f t="shared" si="33"/>
        <v>3.2</v>
      </c>
      <c r="H318" s="29">
        <f>IF(Dataset!G318&lt;=3,0.25,IF(Dataset!G318&lt;=6,0.45,IF(Dataset!G318&lt;=9,0.65,0.85)))</f>
        <v>0.65</v>
      </c>
      <c r="I318" s="29">
        <f>IF(Dataset!G318&lt;=3,1,IF(Dataset!G318&lt;=6,2,IF(Dataset!G318&lt;=9,3,4)))</f>
        <v>3</v>
      </c>
      <c r="J318" s="29">
        <f t="shared" si="34"/>
        <v>1.9500000000000002</v>
      </c>
      <c r="K318" s="29">
        <f>IF(Dataset!H318&lt;1,0.2,IF(Dataset!H318&lt;1.3,0.45,IF(Dataset!H318&lt;1.8,0.7,0.9)))</f>
        <v>0.7</v>
      </c>
      <c r="L318" s="29">
        <f>IF(Dataset!H318&lt;1,1,IF(Dataset!H318&lt;1.3,2,IF(Dataset!H318&lt;1.8,3,4)))</f>
        <v>3</v>
      </c>
      <c r="M318" s="29">
        <f t="shared" si="35"/>
        <v>2.0999999999999996</v>
      </c>
      <c r="N318" s="29">
        <f>IF(Dataset!F318=1,0.75,IF(Dataset!F318=2,0.45,0.2))</f>
        <v>0.2</v>
      </c>
      <c r="O318" s="29">
        <f>IF(Dataset!F318=1,3,IF(Dataset!F318=2,2,1))</f>
        <v>1</v>
      </c>
      <c r="P318" s="29">
        <f t="shared" si="36"/>
        <v>0.2</v>
      </c>
      <c r="Q318" s="29">
        <f>IF(Dataset!K318&lt;5,0.2,IF(Dataset!K318&lt;10,0.45,IF(Dataset!K318&lt;18,0.7,0.9)))</f>
        <v>0.9</v>
      </c>
      <c r="R318" s="29">
        <f>IF(Dataset!K318&lt;5,1,IF(Dataset!K318&lt;10,2,IF(Dataset!K318&lt;18,3,4)))</f>
        <v>4</v>
      </c>
      <c r="S318" s="29">
        <f t="shared" si="37"/>
        <v>3.6</v>
      </c>
      <c r="T318" s="29">
        <f t="shared" si="38"/>
        <v>2.2170000000000001</v>
      </c>
      <c r="U318" s="29" t="str">
        <f t="shared" si="39"/>
        <v>High</v>
      </c>
    </row>
    <row r="319" spans="1:21" ht="15" customHeight="1" x14ac:dyDescent="0.25">
      <c r="A319" s="29">
        <f>Dataset!A319</f>
        <v>315</v>
      </c>
      <c r="B319" s="29">
        <f>IF(Dataset!B319&lt;25,0.3,IF(Dataset!B319&lt;75,0.5,IF(Dataset!B319&lt;120,0.65,0.8)))</f>
        <v>0.65</v>
      </c>
      <c r="C319" s="29">
        <f>IF(Dataset!B319&lt;25,1,IF(Dataset!B319&lt;75,2,IF(Dataset!B319&lt;120,3,4)))</f>
        <v>3</v>
      </c>
      <c r="D319" s="29">
        <f t="shared" si="32"/>
        <v>1.9500000000000002</v>
      </c>
      <c r="E319" s="29">
        <f>IF(Dataset!C319&lt;=1,0.3,IF(Dataset!C319=2,0.4,IF(Dataset!C319=3,0.5,IF(Dataset!C319=4,0.65,0.8))))</f>
        <v>0.65</v>
      </c>
      <c r="F319" s="29">
        <f>IF(Dataset!C319&lt;=2,1,IF(Dataset!C319=3,2,IF(Dataset!C319=4,3,4)))</f>
        <v>3</v>
      </c>
      <c r="G319" s="29">
        <f t="shared" si="33"/>
        <v>1.9500000000000002</v>
      </c>
      <c r="H319" s="29">
        <f>IF(Dataset!G319&lt;=3,0.25,IF(Dataset!G319&lt;=6,0.45,IF(Dataset!G319&lt;=9,0.65,0.85)))</f>
        <v>0.85</v>
      </c>
      <c r="I319" s="29">
        <f>IF(Dataset!G319&lt;=3,1,IF(Dataset!G319&lt;=6,2,IF(Dataset!G319&lt;=9,3,4)))</f>
        <v>4</v>
      </c>
      <c r="J319" s="29">
        <f t="shared" si="34"/>
        <v>3.4</v>
      </c>
      <c r="K319" s="29">
        <f>IF(Dataset!H319&lt;1,0.2,IF(Dataset!H319&lt;1.3,0.45,IF(Dataset!H319&lt;1.8,0.7,0.9)))</f>
        <v>0.9</v>
      </c>
      <c r="L319" s="29">
        <f>IF(Dataset!H319&lt;1,1,IF(Dataset!H319&lt;1.3,2,IF(Dataset!H319&lt;1.8,3,4)))</f>
        <v>4</v>
      </c>
      <c r="M319" s="29">
        <f t="shared" si="35"/>
        <v>3.6</v>
      </c>
      <c r="N319" s="29">
        <f>IF(Dataset!F319=1,0.75,IF(Dataset!F319=2,0.45,0.2))</f>
        <v>0.45</v>
      </c>
      <c r="O319" s="29">
        <f>IF(Dataset!F319=1,3,IF(Dataset!F319=2,2,1))</f>
        <v>2</v>
      </c>
      <c r="P319" s="29">
        <f t="shared" si="36"/>
        <v>0.9</v>
      </c>
      <c r="Q319" s="29">
        <f>IF(Dataset!K319&lt;5,0.2,IF(Dataset!K319&lt;10,0.45,IF(Dataset!K319&lt;18,0.7,0.9)))</f>
        <v>0.7</v>
      </c>
      <c r="R319" s="29">
        <f>IF(Dataset!K319&lt;5,1,IF(Dataset!K319&lt;10,2,IF(Dataset!K319&lt;18,3,4)))</f>
        <v>3</v>
      </c>
      <c r="S319" s="29">
        <f t="shared" si="37"/>
        <v>2.0999999999999996</v>
      </c>
      <c r="T319" s="29">
        <f t="shared" si="38"/>
        <v>2.552</v>
      </c>
      <c r="U319" s="29" t="str">
        <f t="shared" si="39"/>
        <v>High</v>
      </c>
    </row>
    <row r="320" spans="1:21" ht="15" customHeight="1" x14ac:dyDescent="0.25">
      <c r="A320" s="29">
        <f>Dataset!A320</f>
        <v>316</v>
      </c>
      <c r="B320" s="29">
        <f>IF(Dataset!B320&lt;25,0.3,IF(Dataset!B320&lt;75,0.5,IF(Dataset!B320&lt;120,0.65,0.8)))</f>
        <v>0.5</v>
      </c>
      <c r="C320" s="29">
        <f>IF(Dataset!B320&lt;25,1,IF(Dataset!B320&lt;75,2,IF(Dataset!B320&lt;120,3,4)))</f>
        <v>2</v>
      </c>
      <c r="D320" s="29">
        <f t="shared" si="32"/>
        <v>1</v>
      </c>
      <c r="E320" s="29">
        <f>IF(Dataset!C320&lt;=1,0.3,IF(Dataset!C320=2,0.4,IF(Dataset!C320=3,0.5,IF(Dataset!C320=4,0.65,0.8))))</f>
        <v>0.65</v>
      </c>
      <c r="F320" s="29">
        <f>IF(Dataset!C320&lt;=2,1,IF(Dataset!C320=3,2,IF(Dataset!C320=4,3,4)))</f>
        <v>3</v>
      </c>
      <c r="G320" s="29">
        <f t="shared" si="33"/>
        <v>1.9500000000000002</v>
      </c>
      <c r="H320" s="29">
        <f>IF(Dataset!G320&lt;=3,0.25,IF(Dataset!G320&lt;=6,0.45,IF(Dataset!G320&lt;=9,0.65,0.85)))</f>
        <v>0.65</v>
      </c>
      <c r="I320" s="29">
        <f>IF(Dataset!G320&lt;=3,1,IF(Dataset!G320&lt;=6,2,IF(Dataset!G320&lt;=9,3,4)))</f>
        <v>3</v>
      </c>
      <c r="J320" s="29">
        <f t="shared" si="34"/>
        <v>1.9500000000000002</v>
      </c>
      <c r="K320" s="29">
        <f>IF(Dataset!H320&lt;1,0.2,IF(Dataset!H320&lt;1.3,0.45,IF(Dataset!H320&lt;1.8,0.7,0.9)))</f>
        <v>0.9</v>
      </c>
      <c r="L320" s="29">
        <f>IF(Dataset!H320&lt;1,1,IF(Dataset!H320&lt;1.3,2,IF(Dataset!H320&lt;1.8,3,4)))</f>
        <v>4</v>
      </c>
      <c r="M320" s="29">
        <f t="shared" si="35"/>
        <v>3.6</v>
      </c>
      <c r="N320" s="29">
        <f>IF(Dataset!F320=1,0.75,IF(Dataset!F320=2,0.45,0.2))</f>
        <v>0.2</v>
      </c>
      <c r="O320" s="29">
        <f>IF(Dataset!F320=1,3,IF(Dataset!F320=2,2,1))</f>
        <v>1</v>
      </c>
      <c r="P320" s="29">
        <f t="shared" si="36"/>
        <v>0.2</v>
      </c>
      <c r="Q320" s="29">
        <f>IF(Dataset!K320&lt;5,0.2,IF(Dataset!K320&lt;10,0.45,IF(Dataset!K320&lt;18,0.7,0.9)))</f>
        <v>0.7</v>
      </c>
      <c r="R320" s="29">
        <f>IF(Dataset!K320&lt;5,1,IF(Dataset!K320&lt;10,2,IF(Dataset!K320&lt;18,3,4)))</f>
        <v>3</v>
      </c>
      <c r="S320" s="29">
        <f t="shared" si="37"/>
        <v>2.0999999999999996</v>
      </c>
      <c r="T320" s="29">
        <f t="shared" si="38"/>
        <v>2.0210000000000004</v>
      </c>
      <c r="U320" s="29" t="str">
        <f t="shared" si="39"/>
        <v>High</v>
      </c>
    </row>
    <row r="321" spans="1:21" ht="15" customHeight="1" x14ac:dyDescent="0.25">
      <c r="A321" s="29">
        <f>Dataset!A321</f>
        <v>317</v>
      </c>
      <c r="B321" s="29">
        <f>IF(Dataset!B321&lt;25,0.3,IF(Dataset!B321&lt;75,0.5,IF(Dataset!B321&lt;120,0.65,0.8)))</f>
        <v>0.3</v>
      </c>
      <c r="C321" s="29">
        <f>IF(Dataset!B321&lt;25,1,IF(Dataset!B321&lt;75,2,IF(Dataset!B321&lt;120,3,4)))</f>
        <v>1</v>
      </c>
      <c r="D321" s="29">
        <f t="shared" si="32"/>
        <v>0.3</v>
      </c>
      <c r="E321" s="29">
        <f>IF(Dataset!C321&lt;=1,0.3,IF(Dataset!C321=2,0.4,IF(Dataset!C321=3,0.5,IF(Dataset!C321=4,0.65,0.8))))</f>
        <v>0.65</v>
      </c>
      <c r="F321" s="29">
        <f>IF(Dataset!C321&lt;=2,1,IF(Dataset!C321=3,2,IF(Dataset!C321=4,3,4)))</f>
        <v>3</v>
      </c>
      <c r="G321" s="29">
        <f t="shared" si="33"/>
        <v>1.9500000000000002</v>
      </c>
      <c r="H321" s="29">
        <f>IF(Dataset!G321&lt;=3,0.25,IF(Dataset!G321&lt;=6,0.45,IF(Dataset!G321&lt;=9,0.65,0.85)))</f>
        <v>0.65</v>
      </c>
      <c r="I321" s="29">
        <f>IF(Dataset!G321&lt;=3,1,IF(Dataset!G321&lt;=6,2,IF(Dataset!G321&lt;=9,3,4)))</f>
        <v>3</v>
      </c>
      <c r="J321" s="29">
        <f t="shared" si="34"/>
        <v>1.9500000000000002</v>
      </c>
      <c r="K321" s="29">
        <f>IF(Dataset!H321&lt;1,0.2,IF(Dataset!H321&lt;1.3,0.45,IF(Dataset!H321&lt;1.8,0.7,0.9)))</f>
        <v>0.7</v>
      </c>
      <c r="L321" s="29">
        <f>IF(Dataset!H321&lt;1,1,IF(Dataset!H321&lt;1.3,2,IF(Dataset!H321&lt;1.8,3,4)))</f>
        <v>3</v>
      </c>
      <c r="M321" s="29">
        <f t="shared" si="35"/>
        <v>2.0999999999999996</v>
      </c>
      <c r="N321" s="29">
        <f>IF(Dataset!F321=1,0.75,IF(Dataset!F321=2,0.45,0.2))</f>
        <v>0.45</v>
      </c>
      <c r="O321" s="29">
        <f>IF(Dataset!F321=1,3,IF(Dataset!F321=2,2,1))</f>
        <v>2</v>
      </c>
      <c r="P321" s="29">
        <f t="shared" si="36"/>
        <v>0.9</v>
      </c>
      <c r="Q321" s="29">
        <f>IF(Dataset!K321&lt;5,0.2,IF(Dataset!K321&lt;10,0.45,IF(Dataset!K321&lt;18,0.7,0.9)))</f>
        <v>0.45</v>
      </c>
      <c r="R321" s="29">
        <f>IF(Dataset!K321&lt;5,1,IF(Dataset!K321&lt;10,2,IF(Dataset!K321&lt;18,3,4)))</f>
        <v>2</v>
      </c>
      <c r="S321" s="29">
        <f t="shared" si="37"/>
        <v>0.9</v>
      </c>
      <c r="T321" s="29">
        <f t="shared" si="38"/>
        <v>1.4370000000000003</v>
      </c>
      <c r="U321" s="29" t="str">
        <f t="shared" si="39"/>
        <v>Medium</v>
      </c>
    </row>
    <row r="322" spans="1:21" ht="15" customHeight="1" x14ac:dyDescent="0.25">
      <c r="A322" s="29">
        <f>Dataset!A322</f>
        <v>318</v>
      </c>
      <c r="B322" s="29">
        <f>IF(Dataset!B322&lt;25,0.3,IF(Dataset!B322&lt;75,0.5,IF(Dataset!B322&lt;120,0.65,0.8)))</f>
        <v>0.8</v>
      </c>
      <c r="C322" s="29">
        <f>IF(Dataset!B322&lt;25,1,IF(Dataset!B322&lt;75,2,IF(Dataset!B322&lt;120,3,4)))</f>
        <v>4</v>
      </c>
      <c r="D322" s="29">
        <f t="shared" si="32"/>
        <v>3.2</v>
      </c>
      <c r="E322" s="29">
        <f>IF(Dataset!C322&lt;=1,0.3,IF(Dataset!C322=2,0.4,IF(Dataset!C322=3,0.5,IF(Dataset!C322=4,0.65,0.8))))</f>
        <v>0.8</v>
      </c>
      <c r="F322" s="29">
        <f>IF(Dataset!C322&lt;=2,1,IF(Dataset!C322=3,2,IF(Dataset!C322=4,3,4)))</f>
        <v>4</v>
      </c>
      <c r="G322" s="29">
        <f t="shared" si="33"/>
        <v>3.2</v>
      </c>
      <c r="H322" s="29">
        <f>IF(Dataset!G322&lt;=3,0.25,IF(Dataset!G322&lt;=6,0.45,IF(Dataset!G322&lt;=9,0.65,0.85)))</f>
        <v>0.45</v>
      </c>
      <c r="I322" s="29">
        <f>IF(Dataset!G322&lt;=3,1,IF(Dataset!G322&lt;=6,2,IF(Dataset!G322&lt;=9,3,4)))</f>
        <v>2</v>
      </c>
      <c r="J322" s="29">
        <f t="shared" si="34"/>
        <v>0.9</v>
      </c>
      <c r="K322" s="29">
        <f>IF(Dataset!H322&lt;1,0.2,IF(Dataset!H322&lt;1.3,0.45,IF(Dataset!H322&lt;1.8,0.7,0.9)))</f>
        <v>0.7</v>
      </c>
      <c r="L322" s="29">
        <f>IF(Dataset!H322&lt;1,1,IF(Dataset!H322&lt;1.3,2,IF(Dataset!H322&lt;1.8,3,4)))</f>
        <v>3</v>
      </c>
      <c r="M322" s="29">
        <f t="shared" si="35"/>
        <v>2.0999999999999996</v>
      </c>
      <c r="N322" s="29">
        <f>IF(Dataset!F322=1,0.75,IF(Dataset!F322=2,0.45,0.2))</f>
        <v>0.75</v>
      </c>
      <c r="O322" s="29">
        <f>IF(Dataset!F322=1,3,IF(Dataset!F322=2,2,1))</f>
        <v>3</v>
      </c>
      <c r="P322" s="29">
        <f t="shared" si="36"/>
        <v>2.25</v>
      </c>
      <c r="Q322" s="29">
        <f>IF(Dataset!K322&lt;5,0.2,IF(Dataset!K322&lt;10,0.45,IF(Dataset!K322&lt;18,0.7,0.9)))</f>
        <v>0.9</v>
      </c>
      <c r="R322" s="29">
        <f>IF(Dataset!K322&lt;5,1,IF(Dataset!K322&lt;10,2,IF(Dataset!K322&lt;18,3,4)))</f>
        <v>4</v>
      </c>
      <c r="S322" s="29">
        <f t="shared" si="37"/>
        <v>3.6</v>
      </c>
      <c r="T322" s="29">
        <f t="shared" si="38"/>
        <v>2.4369999999999998</v>
      </c>
      <c r="U322" s="29" t="str">
        <f t="shared" si="39"/>
        <v>High</v>
      </c>
    </row>
    <row r="323" spans="1:21" ht="15" customHeight="1" x14ac:dyDescent="0.25">
      <c r="A323" s="29">
        <f>Dataset!A323</f>
        <v>319</v>
      </c>
      <c r="B323" s="29">
        <f>IF(Dataset!B323&lt;25,0.3,IF(Dataset!B323&lt;75,0.5,IF(Dataset!B323&lt;120,0.65,0.8)))</f>
        <v>0.5</v>
      </c>
      <c r="C323" s="29">
        <f>IF(Dataset!B323&lt;25,1,IF(Dataset!B323&lt;75,2,IF(Dataset!B323&lt;120,3,4)))</f>
        <v>2</v>
      </c>
      <c r="D323" s="29">
        <f t="shared" si="32"/>
        <v>1</v>
      </c>
      <c r="E323" s="29">
        <f>IF(Dataset!C323&lt;=1,0.3,IF(Dataset!C323=2,0.4,IF(Dataset!C323=3,0.5,IF(Dataset!C323=4,0.65,0.8))))</f>
        <v>0.5</v>
      </c>
      <c r="F323" s="29">
        <f>IF(Dataset!C323&lt;=2,1,IF(Dataset!C323=3,2,IF(Dataset!C323=4,3,4)))</f>
        <v>2</v>
      </c>
      <c r="G323" s="29">
        <f t="shared" si="33"/>
        <v>1</v>
      </c>
      <c r="H323" s="29">
        <f>IF(Dataset!G323&lt;=3,0.25,IF(Dataset!G323&lt;=6,0.45,IF(Dataset!G323&lt;=9,0.65,0.85)))</f>
        <v>0.45</v>
      </c>
      <c r="I323" s="29">
        <f>IF(Dataset!G323&lt;=3,1,IF(Dataset!G323&lt;=6,2,IF(Dataset!G323&lt;=9,3,4)))</f>
        <v>2</v>
      </c>
      <c r="J323" s="29">
        <f t="shared" si="34"/>
        <v>0.9</v>
      </c>
      <c r="K323" s="29">
        <f>IF(Dataset!H323&lt;1,0.2,IF(Dataset!H323&lt;1.3,0.45,IF(Dataset!H323&lt;1.8,0.7,0.9)))</f>
        <v>0.7</v>
      </c>
      <c r="L323" s="29">
        <f>IF(Dataset!H323&lt;1,1,IF(Dataset!H323&lt;1.3,2,IF(Dataset!H323&lt;1.8,3,4)))</f>
        <v>3</v>
      </c>
      <c r="M323" s="29">
        <f t="shared" si="35"/>
        <v>2.0999999999999996</v>
      </c>
      <c r="N323" s="29">
        <f>IF(Dataset!F323=1,0.75,IF(Dataset!F323=2,0.45,0.2))</f>
        <v>0.45</v>
      </c>
      <c r="O323" s="29">
        <f>IF(Dataset!F323=1,3,IF(Dataset!F323=2,2,1))</f>
        <v>2</v>
      </c>
      <c r="P323" s="29">
        <f t="shared" si="36"/>
        <v>0.9</v>
      </c>
      <c r="Q323" s="29">
        <f>IF(Dataset!K323&lt;5,0.2,IF(Dataset!K323&lt;10,0.45,IF(Dataset!K323&lt;18,0.7,0.9)))</f>
        <v>0.45</v>
      </c>
      <c r="R323" s="29">
        <f>IF(Dataset!K323&lt;5,1,IF(Dataset!K323&lt;10,2,IF(Dataset!K323&lt;18,3,4)))</f>
        <v>2</v>
      </c>
      <c r="S323" s="29">
        <f t="shared" si="37"/>
        <v>0.9</v>
      </c>
      <c r="T323" s="29">
        <f t="shared" si="38"/>
        <v>1.2200000000000002</v>
      </c>
      <c r="U323" s="29" t="str">
        <f t="shared" si="39"/>
        <v>Low</v>
      </c>
    </row>
    <row r="324" spans="1:21" ht="15" customHeight="1" x14ac:dyDescent="0.25">
      <c r="A324" s="29">
        <f>Dataset!A324</f>
        <v>320</v>
      </c>
      <c r="B324" s="29">
        <f>IF(Dataset!B324&lt;25,0.3,IF(Dataset!B324&lt;75,0.5,IF(Dataset!B324&lt;120,0.65,0.8)))</f>
        <v>0.5</v>
      </c>
      <c r="C324" s="29">
        <f>IF(Dataset!B324&lt;25,1,IF(Dataset!B324&lt;75,2,IF(Dataset!B324&lt;120,3,4)))</f>
        <v>2</v>
      </c>
      <c r="D324" s="29">
        <f t="shared" si="32"/>
        <v>1</v>
      </c>
      <c r="E324" s="29">
        <f>IF(Dataset!C324&lt;=1,0.3,IF(Dataset!C324=2,0.4,IF(Dataset!C324=3,0.5,IF(Dataset!C324=4,0.65,0.8))))</f>
        <v>0.3</v>
      </c>
      <c r="F324" s="29">
        <f>IF(Dataset!C324&lt;=2,1,IF(Dataset!C324=3,2,IF(Dataset!C324=4,3,4)))</f>
        <v>1</v>
      </c>
      <c r="G324" s="29">
        <f t="shared" si="33"/>
        <v>0.3</v>
      </c>
      <c r="H324" s="29">
        <f>IF(Dataset!G324&lt;=3,0.25,IF(Dataset!G324&lt;=6,0.45,IF(Dataset!G324&lt;=9,0.65,0.85)))</f>
        <v>0.45</v>
      </c>
      <c r="I324" s="29">
        <f>IF(Dataset!G324&lt;=3,1,IF(Dataset!G324&lt;=6,2,IF(Dataset!G324&lt;=9,3,4)))</f>
        <v>2</v>
      </c>
      <c r="J324" s="29">
        <f t="shared" si="34"/>
        <v>0.9</v>
      </c>
      <c r="K324" s="29">
        <f>IF(Dataset!H324&lt;1,0.2,IF(Dataset!H324&lt;1.3,0.45,IF(Dataset!H324&lt;1.8,0.7,0.9)))</f>
        <v>0.9</v>
      </c>
      <c r="L324" s="29">
        <f>IF(Dataset!H324&lt;1,1,IF(Dataset!H324&lt;1.3,2,IF(Dataset!H324&lt;1.8,3,4)))</f>
        <v>4</v>
      </c>
      <c r="M324" s="29">
        <f t="shared" si="35"/>
        <v>3.6</v>
      </c>
      <c r="N324" s="29">
        <f>IF(Dataset!F324=1,0.75,IF(Dataset!F324=2,0.45,0.2))</f>
        <v>0.45</v>
      </c>
      <c r="O324" s="29">
        <f>IF(Dataset!F324=1,3,IF(Dataset!F324=2,2,1))</f>
        <v>2</v>
      </c>
      <c r="P324" s="29">
        <f t="shared" si="36"/>
        <v>0.9</v>
      </c>
      <c r="Q324" s="29">
        <f>IF(Dataset!K324&lt;5,0.2,IF(Dataset!K324&lt;10,0.45,IF(Dataset!K324&lt;18,0.7,0.9)))</f>
        <v>0.2</v>
      </c>
      <c r="R324" s="29">
        <f>IF(Dataset!K324&lt;5,1,IF(Dataset!K324&lt;10,2,IF(Dataset!K324&lt;18,3,4)))</f>
        <v>1</v>
      </c>
      <c r="S324" s="29">
        <f t="shared" si="37"/>
        <v>0.2</v>
      </c>
      <c r="T324" s="29">
        <f t="shared" si="38"/>
        <v>1.3840000000000001</v>
      </c>
      <c r="U324" s="29" t="str">
        <f t="shared" si="39"/>
        <v>Medium</v>
      </c>
    </row>
    <row r="325" spans="1:21" ht="15" customHeight="1" x14ac:dyDescent="0.25">
      <c r="A325" s="29">
        <f>Dataset!A325</f>
        <v>321</v>
      </c>
      <c r="B325" s="29">
        <f>IF(Dataset!B325&lt;25,0.3,IF(Dataset!B325&lt;75,0.5,IF(Dataset!B325&lt;120,0.65,0.8)))</f>
        <v>0.5</v>
      </c>
      <c r="C325" s="29">
        <f>IF(Dataset!B325&lt;25,1,IF(Dataset!B325&lt;75,2,IF(Dataset!B325&lt;120,3,4)))</f>
        <v>2</v>
      </c>
      <c r="D325" s="29">
        <f t="shared" ref="D325:D388" si="40">B325*C325</f>
        <v>1</v>
      </c>
      <c r="E325" s="29">
        <f>IF(Dataset!C325&lt;=1,0.3,IF(Dataset!C325=2,0.4,IF(Dataset!C325=3,0.5,IF(Dataset!C325=4,0.65,0.8))))</f>
        <v>0.65</v>
      </c>
      <c r="F325" s="29">
        <f>IF(Dataset!C325&lt;=2,1,IF(Dataset!C325=3,2,IF(Dataset!C325=4,3,4)))</f>
        <v>3</v>
      </c>
      <c r="G325" s="29">
        <f t="shared" ref="G325:G388" si="41">E325*F325</f>
        <v>1.9500000000000002</v>
      </c>
      <c r="H325" s="29">
        <f>IF(Dataset!G325&lt;=3,0.25,IF(Dataset!G325&lt;=6,0.45,IF(Dataset!G325&lt;=9,0.65,0.85)))</f>
        <v>0.65</v>
      </c>
      <c r="I325" s="29">
        <f>IF(Dataset!G325&lt;=3,1,IF(Dataset!G325&lt;=6,2,IF(Dataset!G325&lt;=9,3,4)))</f>
        <v>3</v>
      </c>
      <c r="J325" s="29">
        <f t="shared" ref="J325:J388" si="42">H325*I325</f>
        <v>1.9500000000000002</v>
      </c>
      <c r="K325" s="29">
        <f>IF(Dataset!H325&lt;1,0.2,IF(Dataset!H325&lt;1.3,0.45,IF(Dataset!H325&lt;1.8,0.7,0.9)))</f>
        <v>0.9</v>
      </c>
      <c r="L325" s="29">
        <f>IF(Dataset!H325&lt;1,1,IF(Dataset!H325&lt;1.3,2,IF(Dataset!H325&lt;1.8,3,4)))</f>
        <v>4</v>
      </c>
      <c r="M325" s="29">
        <f t="shared" ref="M325:M388" si="43">K325*L325</f>
        <v>3.6</v>
      </c>
      <c r="N325" s="29">
        <f>IF(Dataset!F325=1,0.75,IF(Dataset!F325=2,0.45,0.2))</f>
        <v>0.75</v>
      </c>
      <c r="O325" s="29">
        <f>IF(Dataset!F325=1,3,IF(Dataset!F325=2,2,1))</f>
        <v>3</v>
      </c>
      <c r="P325" s="29">
        <f t="shared" ref="P325:P388" si="44">N325*O325</f>
        <v>2.25</v>
      </c>
      <c r="Q325" s="29">
        <f>IF(Dataset!K325&lt;5,0.2,IF(Dataset!K325&lt;10,0.45,IF(Dataset!K325&lt;18,0.7,0.9)))</f>
        <v>0.7</v>
      </c>
      <c r="R325" s="29">
        <f>IF(Dataset!K325&lt;5,1,IF(Dataset!K325&lt;10,2,IF(Dataset!K325&lt;18,3,4)))</f>
        <v>3</v>
      </c>
      <c r="S325" s="29">
        <f t="shared" ref="S325:S388" si="45">Q325*R325</f>
        <v>2.0999999999999996</v>
      </c>
      <c r="T325" s="29">
        <f t="shared" ref="T325:T388" si="46">$Y$6*D325+$Y$7*G325+$Y$8*J325+$Y$9*M325+$Y$10*P325+$Y$11*S325</f>
        <v>2.2260000000000004</v>
      </c>
      <c r="U325" s="29" t="str">
        <f t="shared" ref="U325:U388" si="47">IF(T325&lt;=$Y$15,"Low",IF(T325&lt;=$Y$16,"Medium","High"))</f>
        <v>High</v>
      </c>
    </row>
    <row r="326" spans="1:21" ht="15" customHeight="1" x14ac:dyDescent="0.25">
      <c r="A326" s="29">
        <f>Dataset!A326</f>
        <v>322</v>
      </c>
      <c r="B326" s="29">
        <f>IF(Dataset!B326&lt;25,0.3,IF(Dataset!B326&lt;75,0.5,IF(Dataset!B326&lt;120,0.65,0.8)))</f>
        <v>0.65</v>
      </c>
      <c r="C326" s="29">
        <f>IF(Dataset!B326&lt;25,1,IF(Dataset!B326&lt;75,2,IF(Dataset!B326&lt;120,3,4)))</f>
        <v>3</v>
      </c>
      <c r="D326" s="29">
        <f t="shared" si="40"/>
        <v>1.9500000000000002</v>
      </c>
      <c r="E326" s="29">
        <f>IF(Dataset!C326&lt;=1,0.3,IF(Dataset!C326=2,0.4,IF(Dataset!C326=3,0.5,IF(Dataset!C326=4,0.65,0.8))))</f>
        <v>0.5</v>
      </c>
      <c r="F326" s="29">
        <f>IF(Dataset!C326&lt;=2,1,IF(Dataset!C326=3,2,IF(Dataset!C326=4,3,4)))</f>
        <v>2</v>
      </c>
      <c r="G326" s="29">
        <f t="shared" si="41"/>
        <v>1</v>
      </c>
      <c r="H326" s="29">
        <f>IF(Dataset!G326&lt;=3,0.25,IF(Dataset!G326&lt;=6,0.45,IF(Dataset!G326&lt;=9,0.65,0.85)))</f>
        <v>0.45</v>
      </c>
      <c r="I326" s="29">
        <f>IF(Dataset!G326&lt;=3,1,IF(Dataset!G326&lt;=6,2,IF(Dataset!G326&lt;=9,3,4)))</f>
        <v>2</v>
      </c>
      <c r="J326" s="29">
        <f t="shared" si="42"/>
        <v>0.9</v>
      </c>
      <c r="K326" s="29">
        <f>IF(Dataset!H326&lt;1,0.2,IF(Dataset!H326&lt;1.3,0.45,IF(Dataset!H326&lt;1.8,0.7,0.9)))</f>
        <v>0.9</v>
      </c>
      <c r="L326" s="29">
        <f>IF(Dataset!H326&lt;1,1,IF(Dataset!H326&lt;1.3,2,IF(Dataset!H326&lt;1.8,3,4)))</f>
        <v>4</v>
      </c>
      <c r="M326" s="29">
        <f t="shared" si="43"/>
        <v>3.6</v>
      </c>
      <c r="N326" s="29">
        <f>IF(Dataset!F326=1,0.75,IF(Dataset!F326=2,0.45,0.2))</f>
        <v>0.75</v>
      </c>
      <c r="O326" s="29">
        <f>IF(Dataset!F326=1,3,IF(Dataset!F326=2,2,1))</f>
        <v>3</v>
      </c>
      <c r="P326" s="29">
        <f t="shared" si="44"/>
        <v>2.25</v>
      </c>
      <c r="Q326" s="29">
        <f>IF(Dataset!K326&lt;5,0.2,IF(Dataset!K326&lt;10,0.45,IF(Dataset!K326&lt;18,0.7,0.9)))</f>
        <v>0.2</v>
      </c>
      <c r="R326" s="29">
        <f>IF(Dataset!K326&lt;5,1,IF(Dataset!K326&lt;10,2,IF(Dataset!K326&lt;18,3,4)))</f>
        <v>1</v>
      </c>
      <c r="S326" s="29">
        <f t="shared" si="45"/>
        <v>0.2</v>
      </c>
      <c r="T326" s="29">
        <f t="shared" si="46"/>
        <v>1.7880000000000003</v>
      </c>
      <c r="U326" s="29" t="str">
        <f t="shared" si="47"/>
        <v>High</v>
      </c>
    </row>
    <row r="327" spans="1:21" ht="15" customHeight="1" x14ac:dyDescent="0.25">
      <c r="A327" s="29">
        <f>Dataset!A327</f>
        <v>323</v>
      </c>
      <c r="B327" s="29">
        <f>IF(Dataset!B327&lt;25,0.3,IF(Dataset!B327&lt;75,0.5,IF(Dataset!B327&lt;120,0.65,0.8)))</f>
        <v>0.3</v>
      </c>
      <c r="C327" s="29">
        <f>IF(Dataset!B327&lt;25,1,IF(Dataset!B327&lt;75,2,IF(Dataset!B327&lt;120,3,4)))</f>
        <v>1</v>
      </c>
      <c r="D327" s="29">
        <f t="shared" si="40"/>
        <v>0.3</v>
      </c>
      <c r="E327" s="29">
        <f>IF(Dataset!C327&lt;=1,0.3,IF(Dataset!C327=2,0.4,IF(Dataset!C327=3,0.5,IF(Dataset!C327=4,0.65,0.8))))</f>
        <v>0.5</v>
      </c>
      <c r="F327" s="29">
        <f>IF(Dataset!C327&lt;=2,1,IF(Dataset!C327=3,2,IF(Dataset!C327=4,3,4)))</f>
        <v>2</v>
      </c>
      <c r="G327" s="29">
        <f t="shared" si="41"/>
        <v>1</v>
      </c>
      <c r="H327" s="29">
        <f>IF(Dataset!G327&lt;=3,0.25,IF(Dataset!G327&lt;=6,0.45,IF(Dataset!G327&lt;=9,0.65,0.85)))</f>
        <v>0.45</v>
      </c>
      <c r="I327" s="29">
        <f>IF(Dataset!G327&lt;=3,1,IF(Dataset!G327&lt;=6,2,IF(Dataset!G327&lt;=9,3,4)))</f>
        <v>2</v>
      </c>
      <c r="J327" s="29">
        <f t="shared" si="42"/>
        <v>0.9</v>
      </c>
      <c r="K327" s="29">
        <f>IF(Dataset!H327&lt;1,0.2,IF(Dataset!H327&lt;1.3,0.45,IF(Dataset!H327&lt;1.8,0.7,0.9)))</f>
        <v>0.7</v>
      </c>
      <c r="L327" s="29">
        <f>IF(Dataset!H327&lt;1,1,IF(Dataset!H327&lt;1.3,2,IF(Dataset!H327&lt;1.8,3,4)))</f>
        <v>3</v>
      </c>
      <c r="M327" s="29">
        <f t="shared" si="43"/>
        <v>2.0999999999999996</v>
      </c>
      <c r="N327" s="29">
        <f>IF(Dataset!F327=1,0.75,IF(Dataset!F327=2,0.45,0.2))</f>
        <v>0.75</v>
      </c>
      <c r="O327" s="29">
        <f>IF(Dataset!F327=1,3,IF(Dataset!F327=2,2,1))</f>
        <v>3</v>
      </c>
      <c r="P327" s="29">
        <f t="shared" si="44"/>
        <v>2.25</v>
      </c>
      <c r="Q327" s="29">
        <f>IF(Dataset!K327&lt;5,0.2,IF(Dataset!K327&lt;10,0.45,IF(Dataset!K327&lt;18,0.7,0.9)))</f>
        <v>0.45</v>
      </c>
      <c r="R327" s="29">
        <f>IF(Dataset!K327&lt;5,1,IF(Dataset!K327&lt;10,2,IF(Dataset!K327&lt;18,3,4)))</f>
        <v>2</v>
      </c>
      <c r="S327" s="29">
        <f t="shared" si="45"/>
        <v>0.9</v>
      </c>
      <c r="T327" s="29">
        <f t="shared" si="46"/>
        <v>1.2290000000000001</v>
      </c>
      <c r="U327" s="29" t="str">
        <f t="shared" si="47"/>
        <v>Low</v>
      </c>
    </row>
    <row r="328" spans="1:21" ht="15" customHeight="1" x14ac:dyDescent="0.25">
      <c r="A328" s="29">
        <f>Dataset!A328</f>
        <v>324</v>
      </c>
      <c r="B328" s="29">
        <f>IF(Dataset!B328&lt;25,0.3,IF(Dataset!B328&lt;75,0.5,IF(Dataset!B328&lt;120,0.65,0.8)))</f>
        <v>0.8</v>
      </c>
      <c r="C328" s="29">
        <f>IF(Dataset!B328&lt;25,1,IF(Dataset!B328&lt;75,2,IF(Dataset!B328&lt;120,3,4)))</f>
        <v>4</v>
      </c>
      <c r="D328" s="29">
        <f t="shared" si="40"/>
        <v>3.2</v>
      </c>
      <c r="E328" s="29">
        <f>IF(Dataset!C328&lt;=1,0.3,IF(Dataset!C328=2,0.4,IF(Dataset!C328=3,0.5,IF(Dataset!C328=4,0.65,0.8))))</f>
        <v>0.3</v>
      </c>
      <c r="F328" s="29">
        <f>IF(Dataset!C328&lt;=2,1,IF(Dataset!C328=3,2,IF(Dataset!C328=4,3,4)))</f>
        <v>1</v>
      </c>
      <c r="G328" s="29">
        <f t="shared" si="41"/>
        <v>0.3</v>
      </c>
      <c r="H328" s="29">
        <f>IF(Dataset!G328&lt;=3,0.25,IF(Dataset!G328&lt;=6,0.45,IF(Dataset!G328&lt;=9,0.65,0.85)))</f>
        <v>0.25</v>
      </c>
      <c r="I328" s="29">
        <f>IF(Dataset!G328&lt;=3,1,IF(Dataset!G328&lt;=6,2,IF(Dataset!G328&lt;=9,3,4)))</f>
        <v>1</v>
      </c>
      <c r="J328" s="29">
        <f t="shared" si="42"/>
        <v>0.25</v>
      </c>
      <c r="K328" s="29">
        <f>IF(Dataset!H328&lt;1,0.2,IF(Dataset!H328&lt;1.3,0.45,IF(Dataset!H328&lt;1.8,0.7,0.9)))</f>
        <v>0.7</v>
      </c>
      <c r="L328" s="29">
        <f>IF(Dataset!H328&lt;1,1,IF(Dataset!H328&lt;1.3,2,IF(Dataset!H328&lt;1.8,3,4)))</f>
        <v>3</v>
      </c>
      <c r="M328" s="29">
        <f t="shared" si="43"/>
        <v>2.0999999999999996</v>
      </c>
      <c r="N328" s="29">
        <f>IF(Dataset!F328=1,0.75,IF(Dataset!F328=2,0.45,0.2))</f>
        <v>0.2</v>
      </c>
      <c r="O328" s="29">
        <f>IF(Dataset!F328=1,3,IF(Dataset!F328=2,2,1))</f>
        <v>1</v>
      </c>
      <c r="P328" s="29">
        <f t="shared" si="44"/>
        <v>0.2</v>
      </c>
      <c r="Q328" s="29">
        <f>IF(Dataset!K328&lt;5,0.2,IF(Dataset!K328&lt;10,0.45,IF(Dataset!K328&lt;18,0.7,0.9)))</f>
        <v>0.2</v>
      </c>
      <c r="R328" s="29">
        <f>IF(Dataset!K328&lt;5,1,IF(Dataset!K328&lt;10,2,IF(Dataset!K328&lt;18,3,4)))</f>
        <v>1</v>
      </c>
      <c r="S328" s="29">
        <f t="shared" si="45"/>
        <v>0.2</v>
      </c>
      <c r="T328" s="29">
        <f t="shared" si="46"/>
        <v>1.22</v>
      </c>
      <c r="U328" s="29" t="str">
        <f t="shared" si="47"/>
        <v>Low</v>
      </c>
    </row>
    <row r="329" spans="1:21" ht="15" customHeight="1" x14ac:dyDescent="0.25">
      <c r="A329" s="29">
        <f>Dataset!A329</f>
        <v>325</v>
      </c>
      <c r="B329" s="29">
        <f>IF(Dataset!B329&lt;25,0.3,IF(Dataset!B329&lt;75,0.5,IF(Dataset!B329&lt;120,0.65,0.8)))</f>
        <v>0.5</v>
      </c>
      <c r="C329" s="29">
        <f>IF(Dataset!B329&lt;25,1,IF(Dataset!B329&lt;75,2,IF(Dataset!B329&lt;120,3,4)))</f>
        <v>2</v>
      </c>
      <c r="D329" s="29">
        <f t="shared" si="40"/>
        <v>1</v>
      </c>
      <c r="E329" s="29">
        <f>IF(Dataset!C329&lt;=1,0.3,IF(Dataset!C329=2,0.4,IF(Dataset!C329=3,0.5,IF(Dataset!C329=4,0.65,0.8))))</f>
        <v>0.65</v>
      </c>
      <c r="F329" s="29">
        <f>IF(Dataset!C329&lt;=2,1,IF(Dataset!C329=3,2,IF(Dataset!C329=4,3,4)))</f>
        <v>3</v>
      </c>
      <c r="G329" s="29">
        <f t="shared" si="41"/>
        <v>1.9500000000000002</v>
      </c>
      <c r="H329" s="29">
        <f>IF(Dataset!G329&lt;=3,0.25,IF(Dataset!G329&lt;=6,0.45,IF(Dataset!G329&lt;=9,0.65,0.85)))</f>
        <v>0.45</v>
      </c>
      <c r="I329" s="29">
        <f>IF(Dataset!G329&lt;=3,1,IF(Dataset!G329&lt;=6,2,IF(Dataset!G329&lt;=9,3,4)))</f>
        <v>2</v>
      </c>
      <c r="J329" s="29">
        <f t="shared" si="42"/>
        <v>0.9</v>
      </c>
      <c r="K329" s="29">
        <f>IF(Dataset!H329&lt;1,0.2,IF(Dataset!H329&lt;1.3,0.45,IF(Dataset!H329&lt;1.8,0.7,0.9)))</f>
        <v>0.9</v>
      </c>
      <c r="L329" s="29">
        <f>IF(Dataset!H329&lt;1,1,IF(Dataset!H329&lt;1.3,2,IF(Dataset!H329&lt;1.8,3,4)))</f>
        <v>4</v>
      </c>
      <c r="M329" s="29">
        <f t="shared" si="43"/>
        <v>3.6</v>
      </c>
      <c r="N329" s="29">
        <f>IF(Dataset!F329=1,0.75,IF(Dataset!F329=2,0.45,0.2))</f>
        <v>0.2</v>
      </c>
      <c r="O329" s="29">
        <f>IF(Dataset!F329=1,3,IF(Dataset!F329=2,2,1))</f>
        <v>1</v>
      </c>
      <c r="P329" s="29">
        <f t="shared" si="44"/>
        <v>0.2</v>
      </c>
      <c r="Q329" s="29">
        <f>IF(Dataset!K329&lt;5,0.2,IF(Dataset!K329&lt;10,0.45,IF(Dataset!K329&lt;18,0.7,0.9)))</f>
        <v>0.7</v>
      </c>
      <c r="R329" s="29">
        <f>IF(Dataset!K329&lt;5,1,IF(Dataset!K329&lt;10,2,IF(Dataset!K329&lt;18,3,4)))</f>
        <v>3</v>
      </c>
      <c r="S329" s="29">
        <f t="shared" si="45"/>
        <v>2.0999999999999996</v>
      </c>
      <c r="T329" s="29">
        <f t="shared" si="46"/>
        <v>1.8110000000000002</v>
      </c>
      <c r="U329" s="29" t="str">
        <f t="shared" si="47"/>
        <v>High</v>
      </c>
    </row>
    <row r="330" spans="1:21" ht="15" customHeight="1" x14ac:dyDescent="0.25">
      <c r="A330" s="29">
        <f>Dataset!A330</f>
        <v>326</v>
      </c>
      <c r="B330" s="29">
        <f>IF(Dataset!B330&lt;25,0.3,IF(Dataset!B330&lt;75,0.5,IF(Dataset!B330&lt;120,0.65,0.8)))</f>
        <v>0.65</v>
      </c>
      <c r="C330" s="29">
        <f>IF(Dataset!B330&lt;25,1,IF(Dataset!B330&lt;75,2,IF(Dataset!B330&lt;120,3,4)))</f>
        <v>3</v>
      </c>
      <c r="D330" s="29">
        <f t="shared" si="40"/>
        <v>1.9500000000000002</v>
      </c>
      <c r="E330" s="29">
        <f>IF(Dataset!C330&lt;=1,0.3,IF(Dataset!C330=2,0.4,IF(Dataset!C330=3,0.5,IF(Dataset!C330=4,0.65,0.8))))</f>
        <v>0.5</v>
      </c>
      <c r="F330" s="29">
        <f>IF(Dataset!C330&lt;=2,1,IF(Dataset!C330=3,2,IF(Dataset!C330=4,3,4)))</f>
        <v>2</v>
      </c>
      <c r="G330" s="29">
        <f t="shared" si="41"/>
        <v>1</v>
      </c>
      <c r="H330" s="29">
        <f>IF(Dataset!G330&lt;=3,0.25,IF(Dataset!G330&lt;=6,0.45,IF(Dataset!G330&lt;=9,0.65,0.85)))</f>
        <v>0.85</v>
      </c>
      <c r="I330" s="29">
        <f>IF(Dataset!G330&lt;=3,1,IF(Dataset!G330&lt;=6,2,IF(Dataset!G330&lt;=9,3,4)))</f>
        <v>4</v>
      </c>
      <c r="J330" s="29">
        <f t="shared" si="42"/>
        <v>3.4</v>
      </c>
      <c r="K330" s="29">
        <f>IF(Dataset!H330&lt;1,0.2,IF(Dataset!H330&lt;1.3,0.45,IF(Dataset!H330&lt;1.8,0.7,0.9)))</f>
        <v>0.7</v>
      </c>
      <c r="L330" s="29">
        <f>IF(Dataset!H330&lt;1,1,IF(Dataset!H330&lt;1.3,2,IF(Dataset!H330&lt;1.8,3,4)))</f>
        <v>3</v>
      </c>
      <c r="M330" s="29">
        <f t="shared" si="43"/>
        <v>2.0999999999999996</v>
      </c>
      <c r="N330" s="29">
        <f>IF(Dataset!F330=1,0.75,IF(Dataset!F330=2,0.45,0.2))</f>
        <v>0.45</v>
      </c>
      <c r="O330" s="29">
        <f>IF(Dataset!F330=1,3,IF(Dataset!F330=2,2,1))</f>
        <v>2</v>
      </c>
      <c r="P330" s="29">
        <f t="shared" si="44"/>
        <v>0.9</v>
      </c>
      <c r="Q330" s="29">
        <f>IF(Dataset!K330&lt;5,0.2,IF(Dataset!K330&lt;10,0.45,IF(Dataset!K330&lt;18,0.7,0.9)))</f>
        <v>0.45</v>
      </c>
      <c r="R330" s="29">
        <f>IF(Dataset!K330&lt;5,1,IF(Dataset!K330&lt;10,2,IF(Dataset!K330&lt;18,3,4)))</f>
        <v>2</v>
      </c>
      <c r="S330" s="29">
        <f t="shared" si="45"/>
        <v>0.9</v>
      </c>
      <c r="T330" s="29">
        <f t="shared" si="46"/>
        <v>1.891</v>
      </c>
      <c r="U330" s="29" t="str">
        <f t="shared" si="47"/>
        <v>High</v>
      </c>
    </row>
    <row r="331" spans="1:21" ht="15" customHeight="1" x14ac:dyDescent="0.25">
      <c r="A331" s="29">
        <f>Dataset!A331</f>
        <v>327</v>
      </c>
      <c r="B331" s="29">
        <f>IF(Dataset!B331&lt;25,0.3,IF(Dataset!B331&lt;75,0.5,IF(Dataset!B331&lt;120,0.65,0.8)))</f>
        <v>0.3</v>
      </c>
      <c r="C331" s="29">
        <f>IF(Dataset!B331&lt;25,1,IF(Dataset!B331&lt;75,2,IF(Dataset!B331&lt;120,3,4)))</f>
        <v>1</v>
      </c>
      <c r="D331" s="29">
        <f t="shared" si="40"/>
        <v>0.3</v>
      </c>
      <c r="E331" s="29">
        <f>IF(Dataset!C331&lt;=1,0.3,IF(Dataset!C331=2,0.4,IF(Dataset!C331=3,0.5,IF(Dataset!C331=4,0.65,0.8))))</f>
        <v>0.4</v>
      </c>
      <c r="F331" s="29">
        <f>IF(Dataset!C331&lt;=2,1,IF(Dataset!C331=3,2,IF(Dataset!C331=4,3,4)))</f>
        <v>1</v>
      </c>
      <c r="G331" s="29">
        <f t="shared" si="41"/>
        <v>0.4</v>
      </c>
      <c r="H331" s="29">
        <f>IF(Dataset!G331&lt;=3,0.25,IF(Dataset!G331&lt;=6,0.45,IF(Dataset!G331&lt;=9,0.65,0.85)))</f>
        <v>0.45</v>
      </c>
      <c r="I331" s="29">
        <f>IF(Dataset!G331&lt;=3,1,IF(Dataset!G331&lt;=6,2,IF(Dataset!G331&lt;=9,3,4)))</f>
        <v>2</v>
      </c>
      <c r="J331" s="29">
        <f t="shared" si="42"/>
        <v>0.9</v>
      </c>
      <c r="K331" s="29">
        <f>IF(Dataset!H331&lt;1,0.2,IF(Dataset!H331&lt;1.3,0.45,IF(Dataset!H331&lt;1.8,0.7,0.9)))</f>
        <v>0.7</v>
      </c>
      <c r="L331" s="29">
        <f>IF(Dataset!H331&lt;1,1,IF(Dataset!H331&lt;1.3,2,IF(Dataset!H331&lt;1.8,3,4)))</f>
        <v>3</v>
      </c>
      <c r="M331" s="29">
        <f t="shared" si="43"/>
        <v>2.0999999999999996</v>
      </c>
      <c r="N331" s="29">
        <f>IF(Dataset!F331=1,0.75,IF(Dataset!F331=2,0.45,0.2))</f>
        <v>0.75</v>
      </c>
      <c r="O331" s="29">
        <f>IF(Dataset!F331=1,3,IF(Dataset!F331=2,2,1))</f>
        <v>3</v>
      </c>
      <c r="P331" s="29">
        <f t="shared" si="44"/>
        <v>2.25</v>
      </c>
      <c r="Q331" s="29">
        <f>IF(Dataset!K331&lt;5,0.2,IF(Dataset!K331&lt;10,0.45,IF(Dataset!K331&lt;18,0.7,0.9)))</f>
        <v>0.2</v>
      </c>
      <c r="R331" s="29">
        <f>IF(Dataset!K331&lt;5,1,IF(Dataset!K331&lt;10,2,IF(Dataset!K331&lt;18,3,4)))</f>
        <v>1</v>
      </c>
      <c r="S331" s="29">
        <f t="shared" si="45"/>
        <v>0.2</v>
      </c>
      <c r="T331" s="29">
        <f t="shared" si="46"/>
        <v>1.0469999999999999</v>
      </c>
      <c r="U331" s="29" t="str">
        <f t="shared" si="47"/>
        <v>Low</v>
      </c>
    </row>
    <row r="332" spans="1:21" ht="15" customHeight="1" x14ac:dyDescent="0.25">
      <c r="A332" s="29">
        <f>Dataset!A332</f>
        <v>328</v>
      </c>
      <c r="B332" s="29">
        <f>IF(Dataset!B332&lt;25,0.3,IF(Dataset!B332&lt;75,0.5,IF(Dataset!B332&lt;120,0.65,0.8)))</f>
        <v>0.5</v>
      </c>
      <c r="C332" s="29">
        <f>IF(Dataset!B332&lt;25,1,IF(Dataset!B332&lt;75,2,IF(Dataset!B332&lt;120,3,4)))</f>
        <v>2</v>
      </c>
      <c r="D332" s="29">
        <f t="shared" si="40"/>
        <v>1</v>
      </c>
      <c r="E332" s="29">
        <f>IF(Dataset!C332&lt;=1,0.3,IF(Dataset!C332=2,0.4,IF(Dataset!C332=3,0.5,IF(Dataset!C332=4,0.65,0.8))))</f>
        <v>0.3</v>
      </c>
      <c r="F332" s="29">
        <f>IF(Dataset!C332&lt;=2,1,IF(Dataset!C332=3,2,IF(Dataset!C332=4,3,4)))</f>
        <v>1</v>
      </c>
      <c r="G332" s="29">
        <f t="shared" si="41"/>
        <v>0.3</v>
      </c>
      <c r="H332" s="29">
        <f>IF(Dataset!G332&lt;=3,0.25,IF(Dataset!G332&lt;=6,0.45,IF(Dataset!G332&lt;=9,0.65,0.85)))</f>
        <v>0.45</v>
      </c>
      <c r="I332" s="29">
        <f>IF(Dataset!G332&lt;=3,1,IF(Dataset!G332&lt;=6,2,IF(Dataset!G332&lt;=9,3,4)))</f>
        <v>2</v>
      </c>
      <c r="J332" s="29">
        <f t="shared" si="42"/>
        <v>0.9</v>
      </c>
      <c r="K332" s="29">
        <f>IF(Dataset!H332&lt;1,0.2,IF(Dataset!H332&lt;1.3,0.45,IF(Dataset!H332&lt;1.8,0.7,0.9)))</f>
        <v>0.9</v>
      </c>
      <c r="L332" s="29">
        <f>IF(Dataset!H332&lt;1,1,IF(Dataset!H332&lt;1.3,2,IF(Dataset!H332&lt;1.8,3,4)))</f>
        <v>4</v>
      </c>
      <c r="M332" s="29">
        <f t="shared" si="43"/>
        <v>3.6</v>
      </c>
      <c r="N332" s="29">
        <f>IF(Dataset!F332=1,0.75,IF(Dataset!F332=2,0.45,0.2))</f>
        <v>0.45</v>
      </c>
      <c r="O332" s="29">
        <f>IF(Dataset!F332=1,3,IF(Dataset!F332=2,2,1))</f>
        <v>2</v>
      </c>
      <c r="P332" s="29">
        <f t="shared" si="44"/>
        <v>0.9</v>
      </c>
      <c r="Q332" s="29">
        <f>IF(Dataset!K332&lt;5,0.2,IF(Dataset!K332&lt;10,0.45,IF(Dataset!K332&lt;18,0.7,0.9)))</f>
        <v>0.2</v>
      </c>
      <c r="R332" s="29">
        <f>IF(Dataset!K332&lt;5,1,IF(Dataset!K332&lt;10,2,IF(Dataset!K332&lt;18,3,4)))</f>
        <v>1</v>
      </c>
      <c r="S332" s="29">
        <f t="shared" si="45"/>
        <v>0.2</v>
      </c>
      <c r="T332" s="29">
        <f t="shared" si="46"/>
        <v>1.3840000000000001</v>
      </c>
      <c r="U332" s="29" t="str">
        <f t="shared" si="47"/>
        <v>Medium</v>
      </c>
    </row>
    <row r="333" spans="1:21" ht="15" customHeight="1" x14ac:dyDescent="0.25">
      <c r="A333" s="29">
        <f>Dataset!A333</f>
        <v>329</v>
      </c>
      <c r="B333" s="29">
        <f>IF(Dataset!B333&lt;25,0.3,IF(Dataset!B333&lt;75,0.5,IF(Dataset!B333&lt;120,0.65,0.8)))</f>
        <v>0.8</v>
      </c>
      <c r="C333" s="29">
        <f>IF(Dataset!B333&lt;25,1,IF(Dataset!B333&lt;75,2,IF(Dataset!B333&lt;120,3,4)))</f>
        <v>4</v>
      </c>
      <c r="D333" s="29">
        <f t="shared" si="40"/>
        <v>3.2</v>
      </c>
      <c r="E333" s="29">
        <f>IF(Dataset!C333&lt;=1,0.3,IF(Dataset!C333=2,0.4,IF(Dataset!C333=3,0.5,IF(Dataset!C333=4,0.65,0.8))))</f>
        <v>0.5</v>
      </c>
      <c r="F333" s="29">
        <f>IF(Dataset!C333&lt;=2,1,IF(Dataset!C333=3,2,IF(Dataset!C333=4,3,4)))</f>
        <v>2</v>
      </c>
      <c r="G333" s="29">
        <f t="shared" si="41"/>
        <v>1</v>
      </c>
      <c r="H333" s="29">
        <f>IF(Dataset!G333&lt;=3,0.25,IF(Dataset!G333&lt;=6,0.45,IF(Dataset!G333&lt;=9,0.65,0.85)))</f>
        <v>0.45</v>
      </c>
      <c r="I333" s="29">
        <f>IF(Dataset!G333&lt;=3,1,IF(Dataset!G333&lt;=6,2,IF(Dataset!G333&lt;=9,3,4)))</f>
        <v>2</v>
      </c>
      <c r="J333" s="29">
        <f t="shared" si="42"/>
        <v>0.9</v>
      </c>
      <c r="K333" s="29">
        <f>IF(Dataset!H333&lt;1,0.2,IF(Dataset!H333&lt;1.3,0.45,IF(Dataset!H333&lt;1.8,0.7,0.9)))</f>
        <v>0.7</v>
      </c>
      <c r="L333" s="29">
        <f>IF(Dataset!H333&lt;1,1,IF(Dataset!H333&lt;1.3,2,IF(Dataset!H333&lt;1.8,3,4)))</f>
        <v>3</v>
      </c>
      <c r="M333" s="29">
        <f t="shared" si="43"/>
        <v>2.0999999999999996</v>
      </c>
      <c r="N333" s="29">
        <f>IF(Dataset!F333=1,0.75,IF(Dataset!F333=2,0.45,0.2))</f>
        <v>0.2</v>
      </c>
      <c r="O333" s="29">
        <f>IF(Dataset!F333=1,3,IF(Dataset!F333=2,2,1))</f>
        <v>1</v>
      </c>
      <c r="P333" s="29">
        <f t="shared" si="44"/>
        <v>0.2</v>
      </c>
      <c r="Q333" s="29">
        <f>IF(Dataset!K333&lt;5,0.2,IF(Dataset!K333&lt;10,0.45,IF(Dataset!K333&lt;18,0.7,0.9)))</f>
        <v>0.45</v>
      </c>
      <c r="R333" s="29">
        <f>IF(Dataset!K333&lt;5,1,IF(Dataset!K333&lt;10,2,IF(Dataset!K333&lt;18,3,4)))</f>
        <v>2</v>
      </c>
      <c r="S333" s="29">
        <f t="shared" si="45"/>
        <v>0.9</v>
      </c>
      <c r="T333" s="29">
        <f t="shared" si="46"/>
        <v>1.546</v>
      </c>
      <c r="U333" s="29" t="str">
        <f t="shared" si="47"/>
        <v>Medium</v>
      </c>
    </row>
    <row r="334" spans="1:21" ht="15" customHeight="1" x14ac:dyDescent="0.25">
      <c r="A334" s="29">
        <f>Dataset!A334</f>
        <v>330</v>
      </c>
      <c r="B334" s="29">
        <f>IF(Dataset!B334&lt;25,0.3,IF(Dataset!B334&lt;75,0.5,IF(Dataset!B334&lt;120,0.65,0.8)))</f>
        <v>0.8</v>
      </c>
      <c r="C334" s="29">
        <f>IF(Dataset!B334&lt;25,1,IF(Dataset!B334&lt;75,2,IF(Dataset!B334&lt;120,3,4)))</f>
        <v>4</v>
      </c>
      <c r="D334" s="29">
        <f t="shared" si="40"/>
        <v>3.2</v>
      </c>
      <c r="E334" s="29">
        <f>IF(Dataset!C334&lt;=1,0.3,IF(Dataset!C334=2,0.4,IF(Dataset!C334=3,0.5,IF(Dataset!C334=4,0.65,0.8))))</f>
        <v>0.8</v>
      </c>
      <c r="F334" s="29">
        <f>IF(Dataset!C334&lt;=2,1,IF(Dataset!C334=3,2,IF(Dataset!C334=4,3,4)))</f>
        <v>4</v>
      </c>
      <c r="G334" s="29">
        <f t="shared" si="41"/>
        <v>3.2</v>
      </c>
      <c r="H334" s="29">
        <f>IF(Dataset!G334&lt;=3,0.25,IF(Dataset!G334&lt;=6,0.45,IF(Dataset!G334&lt;=9,0.65,0.85)))</f>
        <v>0.45</v>
      </c>
      <c r="I334" s="29">
        <f>IF(Dataset!G334&lt;=3,1,IF(Dataset!G334&lt;=6,2,IF(Dataset!G334&lt;=9,3,4)))</f>
        <v>2</v>
      </c>
      <c r="J334" s="29">
        <f t="shared" si="42"/>
        <v>0.9</v>
      </c>
      <c r="K334" s="29">
        <f>IF(Dataset!H334&lt;1,0.2,IF(Dataset!H334&lt;1.3,0.45,IF(Dataset!H334&lt;1.8,0.7,0.9)))</f>
        <v>0.9</v>
      </c>
      <c r="L334" s="29">
        <f>IF(Dataset!H334&lt;1,1,IF(Dataset!H334&lt;1.3,2,IF(Dataset!H334&lt;1.8,3,4)))</f>
        <v>4</v>
      </c>
      <c r="M334" s="29">
        <f t="shared" si="43"/>
        <v>3.6</v>
      </c>
      <c r="N334" s="29">
        <f>IF(Dataset!F334=1,0.75,IF(Dataset!F334=2,0.45,0.2))</f>
        <v>0.45</v>
      </c>
      <c r="O334" s="29">
        <f>IF(Dataset!F334=1,3,IF(Dataset!F334=2,2,1))</f>
        <v>2</v>
      </c>
      <c r="P334" s="29">
        <f t="shared" si="44"/>
        <v>0.9</v>
      </c>
      <c r="Q334" s="29">
        <f>IF(Dataset!K334&lt;5,0.2,IF(Dataset!K334&lt;10,0.45,IF(Dataset!K334&lt;18,0.7,0.9)))</f>
        <v>0.9</v>
      </c>
      <c r="R334" s="29">
        <f>IF(Dataset!K334&lt;5,1,IF(Dataset!K334&lt;10,2,IF(Dataset!K334&lt;18,3,4)))</f>
        <v>4</v>
      </c>
      <c r="S334" s="29">
        <f t="shared" si="45"/>
        <v>3.6</v>
      </c>
      <c r="T334" s="29">
        <f t="shared" si="46"/>
        <v>2.6619999999999999</v>
      </c>
      <c r="U334" s="29" t="str">
        <f t="shared" si="47"/>
        <v>High</v>
      </c>
    </row>
    <row r="335" spans="1:21" ht="15" customHeight="1" x14ac:dyDescent="0.25">
      <c r="A335" s="29">
        <f>Dataset!A335</f>
        <v>331</v>
      </c>
      <c r="B335" s="29">
        <f>IF(Dataset!B335&lt;25,0.3,IF(Dataset!B335&lt;75,0.5,IF(Dataset!B335&lt;120,0.65,0.8)))</f>
        <v>0.65</v>
      </c>
      <c r="C335" s="29">
        <f>IF(Dataset!B335&lt;25,1,IF(Dataset!B335&lt;75,2,IF(Dataset!B335&lt;120,3,4)))</f>
        <v>3</v>
      </c>
      <c r="D335" s="29">
        <f t="shared" si="40"/>
        <v>1.9500000000000002</v>
      </c>
      <c r="E335" s="29">
        <f>IF(Dataset!C335&lt;=1,0.3,IF(Dataset!C335=2,0.4,IF(Dataset!C335=3,0.5,IF(Dataset!C335=4,0.65,0.8))))</f>
        <v>0.5</v>
      </c>
      <c r="F335" s="29">
        <f>IF(Dataset!C335&lt;=2,1,IF(Dataset!C335=3,2,IF(Dataset!C335=4,3,4)))</f>
        <v>2</v>
      </c>
      <c r="G335" s="29">
        <f t="shared" si="41"/>
        <v>1</v>
      </c>
      <c r="H335" s="29">
        <f>IF(Dataset!G335&lt;=3,0.25,IF(Dataset!G335&lt;=6,0.45,IF(Dataset!G335&lt;=9,0.65,0.85)))</f>
        <v>0.65</v>
      </c>
      <c r="I335" s="29">
        <f>IF(Dataset!G335&lt;=3,1,IF(Dataset!G335&lt;=6,2,IF(Dataset!G335&lt;=9,3,4)))</f>
        <v>3</v>
      </c>
      <c r="J335" s="29">
        <f t="shared" si="42"/>
        <v>1.9500000000000002</v>
      </c>
      <c r="K335" s="29">
        <f>IF(Dataset!H335&lt;1,0.2,IF(Dataset!H335&lt;1.3,0.45,IF(Dataset!H335&lt;1.8,0.7,0.9)))</f>
        <v>0.2</v>
      </c>
      <c r="L335" s="29">
        <f>IF(Dataset!H335&lt;1,1,IF(Dataset!H335&lt;1.3,2,IF(Dataset!H335&lt;1.8,3,4)))</f>
        <v>1</v>
      </c>
      <c r="M335" s="29">
        <f t="shared" si="43"/>
        <v>0.2</v>
      </c>
      <c r="N335" s="29">
        <f>IF(Dataset!F335=1,0.75,IF(Dataset!F335=2,0.45,0.2))</f>
        <v>0.75</v>
      </c>
      <c r="O335" s="29">
        <f>IF(Dataset!F335=1,3,IF(Dataset!F335=2,2,1))</f>
        <v>3</v>
      </c>
      <c r="P335" s="29">
        <f t="shared" si="44"/>
        <v>2.25</v>
      </c>
      <c r="Q335" s="29">
        <f>IF(Dataset!K335&lt;5,0.2,IF(Dataset!K335&lt;10,0.45,IF(Dataset!K335&lt;18,0.7,0.9)))</f>
        <v>0.2</v>
      </c>
      <c r="R335" s="29">
        <f>IF(Dataset!K335&lt;5,1,IF(Dataset!K335&lt;10,2,IF(Dataset!K335&lt;18,3,4)))</f>
        <v>1</v>
      </c>
      <c r="S335" s="29">
        <f t="shared" si="45"/>
        <v>0.2</v>
      </c>
      <c r="T335" s="29">
        <f t="shared" si="46"/>
        <v>1.1820000000000002</v>
      </c>
      <c r="U335" s="29" t="str">
        <f t="shared" si="47"/>
        <v>Low</v>
      </c>
    </row>
    <row r="336" spans="1:21" ht="15" customHeight="1" x14ac:dyDescent="0.25">
      <c r="A336" s="29">
        <f>Dataset!A336</f>
        <v>332</v>
      </c>
      <c r="B336" s="29">
        <f>IF(Dataset!B336&lt;25,0.3,IF(Dataset!B336&lt;75,0.5,IF(Dataset!B336&lt;120,0.65,0.8)))</f>
        <v>0.5</v>
      </c>
      <c r="C336" s="29">
        <f>IF(Dataset!B336&lt;25,1,IF(Dataset!B336&lt;75,2,IF(Dataset!B336&lt;120,3,4)))</f>
        <v>2</v>
      </c>
      <c r="D336" s="29">
        <f t="shared" si="40"/>
        <v>1</v>
      </c>
      <c r="E336" s="29">
        <f>IF(Dataset!C336&lt;=1,0.3,IF(Dataset!C336=2,0.4,IF(Dataset!C336=3,0.5,IF(Dataset!C336=4,0.65,0.8))))</f>
        <v>0.65</v>
      </c>
      <c r="F336" s="29">
        <f>IF(Dataset!C336&lt;=2,1,IF(Dataset!C336=3,2,IF(Dataset!C336=4,3,4)))</f>
        <v>3</v>
      </c>
      <c r="G336" s="29">
        <f t="shared" si="41"/>
        <v>1.9500000000000002</v>
      </c>
      <c r="H336" s="29">
        <f>IF(Dataset!G336&lt;=3,0.25,IF(Dataset!G336&lt;=6,0.45,IF(Dataset!G336&lt;=9,0.65,0.85)))</f>
        <v>0.65</v>
      </c>
      <c r="I336" s="29">
        <f>IF(Dataset!G336&lt;=3,1,IF(Dataset!G336&lt;=6,2,IF(Dataset!G336&lt;=9,3,4)))</f>
        <v>3</v>
      </c>
      <c r="J336" s="29">
        <f t="shared" si="42"/>
        <v>1.9500000000000002</v>
      </c>
      <c r="K336" s="29">
        <f>IF(Dataset!H336&lt;1,0.2,IF(Dataset!H336&lt;1.3,0.45,IF(Dataset!H336&lt;1.8,0.7,0.9)))</f>
        <v>0.9</v>
      </c>
      <c r="L336" s="29">
        <f>IF(Dataset!H336&lt;1,1,IF(Dataset!H336&lt;1.3,2,IF(Dataset!H336&lt;1.8,3,4)))</f>
        <v>4</v>
      </c>
      <c r="M336" s="29">
        <f t="shared" si="43"/>
        <v>3.6</v>
      </c>
      <c r="N336" s="29">
        <f>IF(Dataset!F336=1,0.75,IF(Dataset!F336=2,0.45,0.2))</f>
        <v>0.75</v>
      </c>
      <c r="O336" s="29">
        <f>IF(Dataset!F336=1,3,IF(Dataset!F336=2,2,1))</f>
        <v>3</v>
      </c>
      <c r="P336" s="29">
        <f t="shared" si="44"/>
        <v>2.25</v>
      </c>
      <c r="Q336" s="29">
        <f>IF(Dataset!K336&lt;5,0.2,IF(Dataset!K336&lt;10,0.45,IF(Dataset!K336&lt;18,0.7,0.9)))</f>
        <v>0.7</v>
      </c>
      <c r="R336" s="29">
        <f>IF(Dataset!K336&lt;5,1,IF(Dataset!K336&lt;10,2,IF(Dataset!K336&lt;18,3,4)))</f>
        <v>3</v>
      </c>
      <c r="S336" s="29">
        <f t="shared" si="45"/>
        <v>2.0999999999999996</v>
      </c>
      <c r="T336" s="29">
        <f t="shared" si="46"/>
        <v>2.2260000000000004</v>
      </c>
      <c r="U336" s="29" t="str">
        <f t="shared" si="47"/>
        <v>High</v>
      </c>
    </row>
    <row r="337" spans="1:21" ht="15" customHeight="1" x14ac:dyDescent="0.25">
      <c r="A337" s="29">
        <f>Dataset!A337</f>
        <v>333</v>
      </c>
      <c r="B337" s="29">
        <f>IF(Dataset!B337&lt;25,0.3,IF(Dataset!B337&lt;75,0.5,IF(Dataset!B337&lt;120,0.65,0.8)))</f>
        <v>0.8</v>
      </c>
      <c r="C337" s="29">
        <f>IF(Dataset!B337&lt;25,1,IF(Dataset!B337&lt;75,2,IF(Dataset!B337&lt;120,3,4)))</f>
        <v>4</v>
      </c>
      <c r="D337" s="29">
        <f t="shared" si="40"/>
        <v>3.2</v>
      </c>
      <c r="E337" s="29">
        <f>IF(Dataset!C337&lt;=1,0.3,IF(Dataset!C337=2,0.4,IF(Dataset!C337=3,0.5,IF(Dataset!C337=4,0.65,0.8))))</f>
        <v>0.65</v>
      </c>
      <c r="F337" s="29">
        <f>IF(Dataset!C337&lt;=2,1,IF(Dataset!C337=3,2,IF(Dataset!C337=4,3,4)))</f>
        <v>3</v>
      </c>
      <c r="G337" s="29">
        <f t="shared" si="41"/>
        <v>1.9500000000000002</v>
      </c>
      <c r="H337" s="29">
        <f>IF(Dataset!G337&lt;=3,0.25,IF(Dataset!G337&lt;=6,0.45,IF(Dataset!G337&lt;=9,0.65,0.85)))</f>
        <v>0.65</v>
      </c>
      <c r="I337" s="29">
        <f>IF(Dataset!G337&lt;=3,1,IF(Dataset!G337&lt;=6,2,IF(Dataset!G337&lt;=9,3,4)))</f>
        <v>3</v>
      </c>
      <c r="J337" s="29">
        <f t="shared" si="42"/>
        <v>1.9500000000000002</v>
      </c>
      <c r="K337" s="29">
        <f>IF(Dataset!H337&lt;1,0.2,IF(Dataset!H337&lt;1.3,0.45,IF(Dataset!H337&lt;1.8,0.7,0.9)))</f>
        <v>0.45</v>
      </c>
      <c r="L337" s="29">
        <f>IF(Dataset!H337&lt;1,1,IF(Dataset!H337&lt;1.3,2,IF(Dataset!H337&lt;1.8,3,4)))</f>
        <v>2</v>
      </c>
      <c r="M337" s="29">
        <f t="shared" si="43"/>
        <v>0.9</v>
      </c>
      <c r="N337" s="29">
        <f>IF(Dataset!F337=1,0.75,IF(Dataset!F337=2,0.45,0.2))</f>
        <v>0.2</v>
      </c>
      <c r="O337" s="29">
        <f>IF(Dataset!F337=1,3,IF(Dataset!F337=2,2,1))</f>
        <v>1</v>
      </c>
      <c r="P337" s="29">
        <f t="shared" si="44"/>
        <v>0.2</v>
      </c>
      <c r="Q337" s="29">
        <f>IF(Dataset!K337&lt;5,0.2,IF(Dataset!K337&lt;10,0.45,IF(Dataset!K337&lt;18,0.7,0.9)))</f>
        <v>0.7</v>
      </c>
      <c r="R337" s="29">
        <f>IF(Dataset!K337&lt;5,1,IF(Dataset!K337&lt;10,2,IF(Dataset!K337&lt;18,3,4)))</f>
        <v>3</v>
      </c>
      <c r="S337" s="29">
        <f t="shared" si="45"/>
        <v>2.0999999999999996</v>
      </c>
      <c r="T337" s="29">
        <f t="shared" si="46"/>
        <v>1.7690000000000001</v>
      </c>
      <c r="U337" s="29" t="str">
        <f t="shared" si="47"/>
        <v>High</v>
      </c>
    </row>
    <row r="338" spans="1:21" ht="15" customHeight="1" x14ac:dyDescent="0.25">
      <c r="A338" s="29">
        <f>Dataset!A338</f>
        <v>334</v>
      </c>
      <c r="B338" s="29">
        <f>IF(Dataset!B338&lt;25,0.3,IF(Dataset!B338&lt;75,0.5,IF(Dataset!B338&lt;120,0.65,0.8)))</f>
        <v>0.3</v>
      </c>
      <c r="C338" s="29">
        <f>IF(Dataset!B338&lt;25,1,IF(Dataset!B338&lt;75,2,IF(Dataset!B338&lt;120,3,4)))</f>
        <v>1</v>
      </c>
      <c r="D338" s="29">
        <f t="shared" si="40"/>
        <v>0.3</v>
      </c>
      <c r="E338" s="29">
        <f>IF(Dataset!C338&lt;=1,0.3,IF(Dataset!C338=2,0.4,IF(Dataset!C338=3,0.5,IF(Dataset!C338=4,0.65,0.8))))</f>
        <v>0.5</v>
      </c>
      <c r="F338" s="29">
        <f>IF(Dataset!C338&lt;=2,1,IF(Dataset!C338=3,2,IF(Dataset!C338=4,3,4)))</f>
        <v>2</v>
      </c>
      <c r="G338" s="29">
        <f t="shared" si="41"/>
        <v>1</v>
      </c>
      <c r="H338" s="29">
        <f>IF(Dataset!G338&lt;=3,0.25,IF(Dataset!G338&lt;=6,0.45,IF(Dataset!G338&lt;=9,0.65,0.85)))</f>
        <v>0.65</v>
      </c>
      <c r="I338" s="29">
        <f>IF(Dataset!G338&lt;=3,1,IF(Dataset!G338&lt;=6,2,IF(Dataset!G338&lt;=9,3,4)))</f>
        <v>3</v>
      </c>
      <c r="J338" s="29">
        <f t="shared" si="42"/>
        <v>1.9500000000000002</v>
      </c>
      <c r="K338" s="29">
        <f>IF(Dataset!H338&lt;1,0.2,IF(Dataset!H338&lt;1.3,0.45,IF(Dataset!H338&lt;1.8,0.7,0.9)))</f>
        <v>0.7</v>
      </c>
      <c r="L338" s="29">
        <f>IF(Dataset!H338&lt;1,1,IF(Dataset!H338&lt;1.3,2,IF(Dataset!H338&lt;1.8,3,4)))</f>
        <v>3</v>
      </c>
      <c r="M338" s="29">
        <f t="shared" si="43"/>
        <v>2.0999999999999996</v>
      </c>
      <c r="N338" s="29">
        <f>IF(Dataset!F338=1,0.75,IF(Dataset!F338=2,0.45,0.2))</f>
        <v>0.2</v>
      </c>
      <c r="O338" s="29">
        <f>IF(Dataset!F338=1,3,IF(Dataset!F338=2,2,1))</f>
        <v>1</v>
      </c>
      <c r="P338" s="29">
        <f t="shared" si="44"/>
        <v>0.2</v>
      </c>
      <c r="Q338" s="29">
        <f>IF(Dataset!K338&lt;5,0.2,IF(Dataset!K338&lt;10,0.45,IF(Dataset!K338&lt;18,0.7,0.9)))</f>
        <v>0.2</v>
      </c>
      <c r="R338" s="29">
        <f>IF(Dataset!K338&lt;5,1,IF(Dataset!K338&lt;10,2,IF(Dataset!K338&lt;18,3,4)))</f>
        <v>1</v>
      </c>
      <c r="S338" s="29">
        <f t="shared" si="45"/>
        <v>0.2</v>
      </c>
      <c r="T338" s="29">
        <f t="shared" si="46"/>
        <v>1.1360000000000001</v>
      </c>
      <c r="U338" s="29" t="str">
        <f t="shared" si="47"/>
        <v>Low</v>
      </c>
    </row>
    <row r="339" spans="1:21" ht="15" customHeight="1" x14ac:dyDescent="0.25">
      <c r="A339" s="29">
        <f>Dataset!A339</f>
        <v>335</v>
      </c>
      <c r="B339" s="29">
        <f>IF(Dataset!B339&lt;25,0.3,IF(Dataset!B339&lt;75,0.5,IF(Dataset!B339&lt;120,0.65,0.8)))</f>
        <v>0.5</v>
      </c>
      <c r="C339" s="29">
        <f>IF(Dataset!B339&lt;25,1,IF(Dataset!B339&lt;75,2,IF(Dataset!B339&lt;120,3,4)))</f>
        <v>2</v>
      </c>
      <c r="D339" s="29">
        <f t="shared" si="40"/>
        <v>1</v>
      </c>
      <c r="E339" s="29">
        <f>IF(Dataset!C339&lt;=1,0.3,IF(Dataset!C339=2,0.4,IF(Dataset!C339=3,0.5,IF(Dataset!C339=4,0.65,0.8))))</f>
        <v>0.65</v>
      </c>
      <c r="F339" s="29">
        <f>IF(Dataset!C339&lt;=2,1,IF(Dataset!C339=3,2,IF(Dataset!C339=4,3,4)))</f>
        <v>3</v>
      </c>
      <c r="G339" s="29">
        <f t="shared" si="41"/>
        <v>1.9500000000000002</v>
      </c>
      <c r="H339" s="29">
        <f>IF(Dataset!G339&lt;=3,0.25,IF(Dataset!G339&lt;=6,0.45,IF(Dataset!G339&lt;=9,0.65,0.85)))</f>
        <v>0.85</v>
      </c>
      <c r="I339" s="29">
        <f>IF(Dataset!G339&lt;=3,1,IF(Dataset!G339&lt;=6,2,IF(Dataset!G339&lt;=9,3,4)))</f>
        <v>4</v>
      </c>
      <c r="J339" s="29">
        <f t="shared" si="42"/>
        <v>3.4</v>
      </c>
      <c r="K339" s="29">
        <f>IF(Dataset!H339&lt;1,0.2,IF(Dataset!H339&lt;1.3,0.45,IF(Dataset!H339&lt;1.8,0.7,0.9)))</f>
        <v>0.7</v>
      </c>
      <c r="L339" s="29">
        <f>IF(Dataset!H339&lt;1,1,IF(Dataset!H339&lt;1.3,2,IF(Dataset!H339&lt;1.8,3,4)))</f>
        <v>3</v>
      </c>
      <c r="M339" s="29">
        <f t="shared" si="43"/>
        <v>2.0999999999999996</v>
      </c>
      <c r="N339" s="29">
        <f>IF(Dataset!F339=1,0.75,IF(Dataset!F339=2,0.45,0.2))</f>
        <v>0.75</v>
      </c>
      <c r="O339" s="29">
        <f>IF(Dataset!F339=1,3,IF(Dataset!F339=2,2,1))</f>
        <v>3</v>
      </c>
      <c r="P339" s="29">
        <f t="shared" si="44"/>
        <v>2.25</v>
      </c>
      <c r="Q339" s="29">
        <f>IF(Dataset!K339&lt;5,0.2,IF(Dataset!K339&lt;10,0.45,IF(Dataset!K339&lt;18,0.7,0.9)))</f>
        <v>0.7</v>
      </c>
      <c r="R339" s="29">
        <f>IF(Dataset!K339&lt;5,1,IF(Dataset!K339&lt;10,2,IF(Dataset!K339&lt;18,3,4)))</f>
        <v>3</v>
      </c>
      <c r="S339" s="29">
        <f t="shared" si="45"/>
        <v>2.0999999999999996</v>
      </c>
      <c r="T339" s="29">
        <f t="shared" si="46"/>
        <v>2.1560000000000001</v>
      </c>
      <c r="U339" s="29" t="str">
        <f t="shared" si="47"/>
        <v>High</v>
      </c>
    </row>
    <row r="340" spans="1:21" ht="15" customHeight="1" x14ac:dyDescent="0.25">
      <c r="A340" s="29">
        <f>Dataset!A340</f>
        <v>336</v>
      </c>
      <c r="B340" s="29">
        <f>IF(Dataset!B340&lt;25,0.3,IF(Dataset!B340&lt;75,0.5,IF(Dataset!B340&lt;120,0.65,0.8)))</f>
        <v>0.5</v>
      </c>
      <c r="C340" s="29">
        <f>IF(Dataset!B340&lt;25,1,IF(Dataset!B340&lt;75,2,IF(Dataset!B340&lt;120,3,4)))</f>
        <v>2</v>
      </c>
      <c r="D340" s="29">
        <f t="shared" si="40"/>
        <v>1</v>
      </c>
      <c r="E340" s="29">
        <f>IF(Dataset!C340&lt;=1,0.3,IF(Dataset!C340=2,0.4,IF(Dataset!C340=3,0.5,IF(Dataset!C340=4,0.65,0.8))))</f>
        <v>0.65</v>
      </c>
      <c r="F340" s="29">
        <f>IF(Dataset!C340&lt;=2,1,IF(Dataset!C340=3,2,IF(Dataset!C340=4,3,4)))</f>
        <v>3</v>
      </c>
      <c r="G340" s="29">
        <f t="shared" si="41"/>
        <v>1.9500000000000002</v>
      </c>
      <c r="H340" s="29">
        <f>IF(Dataset!G340&lt;=3,0.25,IF(Dataset!G340&lt;=6,0.45,IF(Dataset!G340&lt;=9,0.65,0.85)))</f>
        <v>0.65</v>
      </c>
      <c r="I340" s="29">
        <f>IF(Dataset!G340&lt;=3,1,IF(Dataset!G340&lt;=6,2,IF(Dataset!G340&lt;=9,3,4)))</f>
        <v>3</v>
      </c>
      <c r="J340" s="29">
        <f t="shared" si="42"/>
        <v>1.9500000000000002</v>
      </c>
      <c r="K340" s="29">
        <f>IF(Dataset!H340&lt;1,0.2,IF(Dataset!H340&lt;1.3,0.45,IF(Dataset!H340&lt;1.8,0.7,0.9)))</f>
        <v>0.2</v>
      </c>
      <c r="L340" s="29">
        <f>IF(Dataset!H340&lt;1,1,IF(Dataset!H340&lt;1.3,2,IF(Dataset!H340&lt;1.8,3,4)))</f>
        <v>1</v>
      </c>
      <c r="M340" s="29">
        <f t="shared" si="43"/>
        <v>0.2</v>
      </c>
      <c r="N340" s="29">
        <f>IF(Dataset!F340=1,0.75,IF(Dataset!F340=2,0.45,0.2))</f>
        <v>0.2</v>
      </c>
      <c r="O340" s="29">
        <f>IF(Dataset!F340=1,3,IF(Dataset!F340=2,2,1))</f>
        <v>1</v>
      </c>
      <c r="P340" s="29">
        <f t="shared" si="44"/>
        <v>0.2</v>
      </c>
      <c r="Q340" s="29">
        <f>IF(Dataset!K340&lt;5,0.2,IF(Dataset!K340&lt;10,0.45,IF(Dataset!K340&lt;18,0.7,0.9)))</f>
        <v>0.7</v>
      </c>
      <c r="R340" s="29">
        <f>IF(Dataset!K340&lt;5,1,IF(Dataset!K340&lt;10,2,IF(Dataset!K340&lt;18,3,4)))</f>
        <v>3</v>
      </c>
      <c r="S340" s="29">
        <f t="shared" si="45"/>
        <v>2.0999999999999996</v>
      </c>
      <c r="T340" s="29">
        <f t="shared" si="46"/>
        <v>1.2050000000000003</v>
      </c>
      <c r="U340" s="29" t="str">
        <f t="shared" si="47"/>
        <v>Low</v>
      </c>
    </row>
    <row r="341" spans="1:21" ht="15" customHeight="1" x14ac:dyDescent="0.25">
      <c r="A341" s="29">
        <f>Dataset!A341</f>
        <v>337</v>
      </c>
      <c r="B341" s="29">
        <f>IF(Dataset!B341&lt;25,0.3,IF(Dataset!B341&lt;75,0.5,IF(Dataset!B341&lt;120,0.65,0.8)))</f>
        <v>0.3</v>
      </c>
      <c r="C341" s="29">
        <f>IF(Dataset!B341&lt;25,1,IF(Dataset!B341&lt;75,2,IF(Dataset!B341&lt;120,3,4)))</f>
        <v>1</v>
      </c>
      <c r="D341" s="29">
        <f t="shared" si="40"/>
        <v>0.3</v>
      </c>
      <c r="E341" s="29">
        <f>IF(Dataset!C341&lt;=1,0.3,IF(Dataset!C341=2,0.4,IF(Dataset!C341=3,0.5,IF(Dataset!C341=4,0.65,0.8))))</f>
        <v>0.65</v>
      </c>
      <c r="F341" s="29">
        <f>IF(Dataset!C341&lt;=2,1,IF(Dataset!C341=3,2,IF(Dataset!C341=4,3,4)))</f>
        <v>3</v>
      </c>
      <c r="G341" s="29">
        <f t="shared" si="41"/>
        <v>1.9500000000000002</v>
      </c>
      <c r="H341" s="29">
        <f>IF(Dataset!G341&lt;=3,0.25,IF(Dataset!G341&lt;=6,0.45,IF(Dataset!G341&lt;=9,0.65,0.85)))</f>
        <v>0.45</v>
      </c>
      <c r="I341" s="29">
        <f>IF(Dataset!G341&lt;=3,1,IF(Dataset!G341&lt;=6,2,IF(Dataset!G341&lt;=9,3,4)))</f>
        <v>2</v>
      </c>
      <c r="J341" s="29">
        <f t="shared" si="42"/>
        <v>0.9</v>
      </c>
      <c r="K341" s="29">
        <f>IF(Dataset!H341&lt;1,0.2,IF(Dataset!H341&lt;1.3,0.45,IF(Dataset!H341&lt;1.8,0.7,0.9)))</f>
        <v>0.7</v>
      </c>
      <c r="L341" s="29">
        <f>IF(Dataset!H341&lt;1,1,IF(Dataset!H341&lt;1.3,2,IF(Dataset!H341&lt;1.8,3,4)))</f>
        <v>3</v>
      </c>
      <c r="M341" s="29">
        <f t="shared" si="43"/>
        <v>2.0999999999999996</v>
      </c>
      <c r="N341" s="29">
        <f>IF(Dataset!F341=1,0.75,IF(Dataset!F341=2,0.45,0.2))</f>
        <v>0.75</v>
      </c>
      <c r="O341" s="29">
        <f>IF(Dataset!F341=1,3,IF(Dataset!F341=2,2,1))</f>
        <v>3</v>
      </c>
      <c r="P341" s="29">
        <f t="shared" si="44"/>
        <v>2.25</v>
      </c>
      <c r="Q341" s="29">
        <f>IF(Dataset!K341&lt;5,0.2,IF(Dataset!K341&lt;10,0.45,IF(Dataset!K341&lt;18,0.7,0.9)))</f>
        <v>0.7</v>
      </c>
      <c r="R341" s="29">
        <f>IF(Dataset!K341&lt;5,1,IF(Dataset!K341&lt;10,2,IF(Dataset!K341&lt;18,3,4)))</f>
        <v>3</v>
      </c>
      <c r="S341" s="29">
        <f t="shared" si="45"/>
        <v>2.0999999999999996</v>
      </c>
      <c r="T341" s="29">
        <f t="shared" si="46"/>
        <v>1.5300000000000002</v>
      </c>
      <c r="U341" s="29" t="str">
        <f t="shared" si="47"/>
        <v>Medium</v>
      </c>
    </row>
    <row r="342" spans="1:21" ht="15" customHeight="1" x14ac:dyDescent="0.25">
      <c r="A342" s="29">
        <f>Dataset!A342</f>
        <v>338</v>
      </c>
      <c r="B342" s="29">
        <f>IF(Dataset!B342&lt;25,0.3,IF(Dataset!B342&lt;75,0.5,IF(Dataset!B342&lt;120,0.65,0.8)))</f>
        <v>0.5</v>
      </c>
      <c r="C342" s="29">
        <f>IF(Dataset!B342&lt;25,1,IF(Dataset!B342&lt;75,2,IF(Dataset!B342&lt;120,3,4)))</f>
        <v>2</v>
      </c>
      <c r="D342" s="29">
        <f t="shared" si="40"/>
        <v>1</v>
      </c>
      <c r="E342" s="29">
        <f>IF(Dataset!C342&lt;=1,0.3,IF(Dataset!C342=2,0.4,IF(Dataset!C342=3,0.5,IF(Dataset!C342=4,0.65,0.8))))</f>
        <v>0.3</v>
      </c>
      <c r="F342" s="29">
        <f>IF(Dataset!C342&lt;=2,1,IF(Dataset!C342=3,2,IF(Dataset!C342=4,3,4)))</f>
        <v>1</v>
      </c>
      <c r="G342" s="29">
        <f t="shared" si="41"/>
        <v>0.3</v>
      </c>
      <c r="H342" s="29">
        <f>IF(Dataset!G342&lt;=3,0.25,IF(Dataset!G342&lt;=6,0.45,IF(Dataset!G342&lt;=9,0.65,0.85)))</f>
        <v>0.65</v>
      </c>
      <c r="I342" s="29">
        <f>IF(Dataset!G342&lt;=3,1,IF(Dataset!G342&lt;=6,2,IF(Dataset!G342&lt;=9,3,4)))</f>
        <v>3</v>
      </c>
      <c r="J342" s="29">
        <f t="shared" si="42"/>
        <v>1.9500000000000002</v>
      </c>
      <c r="K342" s="29">
        <f>IF(Dataset!H342&lt;1,0.2,IF(Dataset!H342&lt;1.3,0.45,IF(Dataset!H342&lt;1.8,0.7,0.9)))</f>
        <v>0.7</v>
      </c>
      <c r="L342" s="29">
        <f>IF(Dataset!H342&lt;1,1,IF(Dataset!H342&lt;1.3,2,IF(Dataset!H342&lt;1.8,3,4)))</f>
        <v>3</v>
      </c>
      <c r="M342" s="29">
        <f t="shared" si="43"/>
        <v>2.0999999999999996</v>
      </c>
      <c r="N342" s="29">
        <f>IF(Dataset!F342=1,0.75,IF(Dataset!F342=2,0.45,0.2))</f>
        <v>0.75</v>
      </c>
      <c r="O342" s="29">
        <f>IF(Dataset!F342=1,3,IF(Dataset!F342=2,2,1))</f>
        <v>3</v>
      </c>
      <c r="P342" s="29">
        <f t="shared" si="44"/>
        <v>2.25</v>
      </c>
      <c r="Q342" s="29">
        <f>IF(Dataset!K342&lt;5,0.2,IF(Dataset!K342&lt;10,0.45,IF(Dataset!K342&lt;18,0.7,0.9)))</f>
        <v>0.2</v>
      </c>
      <c r="R342" s="29">
        <f>IF(Dataset!K342&lt;5,1,IF(Dataset!K342&lt;10,2,IF(Dataset!K342&lt;18,3,4)))</f>
        <v>1</v>
      </c>
      <c r="S342" s="29">
        <f t="shared" si="45"/>
        <v>0.2</v>
      </c>
      <c r="T342" s="29">
        <f t="shared" si="46"/>
        <v>1.3690000000000002</v>
      </c>
      <c r="U342" s="29" t="str">
        <f t="shared" si="47"/>
        <v>Medium</v>
      </c>
    </row>
    <row r="343" spans="1:21" ht="15" customHeight="1" x14ac:dyDescent="0.25">
      <c r="A343" s="29">
        <f>Dataset!A343</f>
        <v>339</v>
      </c>
      <c r="B343" s="29">
        <f>IF(Dataset!B343&lt;25,0.3,IF(Dataset!B343&lt;75,0.5,IF(Dataset!B343&lt;120,0.65,0.8)))</f>
        <v>0.65</v>
      </c>
      <c r="C343" s="29">
        <f>IF(Dataset!B343&lt;25,1,IF(Dataset!B343&lt;75,2,IF(Dataset!B343&lt;120,3,4)))</f>
        <v>3</v>
      </c>
      <c r="D343" s="29">
        <f t="shared" si="40"/>
        <v>1.9500000000000002</v>
      </c>
      <c r="E343" s="29">
        <f>IF(Dataset!C343&lt;=1,0.3,IF(Dataset!C343=2,0.4,IF(Dataset!C343=3,0.5,IF(Dataset!C343=4,0.65,0.8))))</f>
        <v>0.3</v>
      </c>
      <c r="F343" s="29">
        <f>IF(Dataset!C343&lt;=2,1,IF(Dataset!C343=3,2,IF(Dataset!C343=4,3,4)))</f>
        <v>1</v>
      </c>
      <c r="G343" s="29">
        <f t="shared" si="41"/>
        <v>0.3</v>
      </c>
      <c r="H343" s="29">
        <f>IF(Dataset!G343&lt;=3,0.25,IF(Dataset!G343&lt;=6,0.45,IF(Dataset!G343&lt;=9,0.65,0.85)))</f>
        <v>0.65</v>
      </c>
      <c r="I343" s="29">
        <f>IF(Dataset!G343&lt;=3,1,IF(Dataset!G343&lt;=6,2,IF(Dataset!G343&lt;=9,3,4)))</f>
        <v>3</v>
      </c>
      <c r="J343" s="29">
        <f t="shared" si="42"/>
        <v>1.9500000000000002</v>
      </c>
      <c r="K343" s="29">
        <f>IF(Dataset!H343&lt;1,0.2,IF(Dataset!H343&lt;1.3,0.45,IF(Dataset!H343&lt;1.8,0.7,0.9)))</f>
        <v>0.7</v>
      </c>
      <c r="L343" s="29">
        <f>IF(Dataset!H343&lt;1,1,IF(Dataset!H343&lt;1.3,2,IF(Dataset!H343&lt;1.8,3,4)))</f>
        <v>3</v>
      </c>
      <c r="M343" s="29">
        <f t="shared" si="43"/>
        <v>2.0999999999999996</v>
      </c>
      <c r="N343" s="29">
        <f>IF(Dataset!F343=1,0.75,IF(Dataset!F343=2,0.45,0.2))</f>
        <v>0.2</v>
      </c>
      <c r="O343" s="29">
        <f>IF(Dataset!F343=1,3,IF(Dataset!F343=2,2,1))</f>
        <v>1</v>
      </c>
      <c r="P343" s="29">
        <f t="shared" si="44"/>
        <v>0.2</v>
      </c>
      <c r="Q343" s="29">
        <f>IF(Dataset!K343&lt;5,0.2,IF(Dataset!K343&lt;10,0.45,IF(Dataset!K343&lt;18,0.7,0.9)))</f>
        <v>0.2</v>
      </c>
      <c r="R343" s="29">
        <f>IF(Dataset!K343&lt;5,1,IF(Dataset!K343&lt;10,2,IF(Dataset!K343&lt;18,3,4)))</f>
        <v>1</v>
      </c>
      <c r="S343" s="29">
        <f t="shared" si="45"/>
        <v>0.2</v>
      </c>
      <c r="T343" s="29">
        <f t="shared" si="46"/>
        <v>1.335</v>
      </c>
      <c r="U343" s="29" t="str">
        <f t="shared" si="47"/>
        <v>Low</v>
      </c>
    </row>
    <row r="344" spans="1:21" ht="15" customHeight="1" x14ac:dyDescent="0.25">
      <c r="A344" s="29">
        <f>Dataset!A344</f>
        <v>340</v>
      </c>
      <c r="B344" s="29">
        <f>IF(Dataset!B344&lt;25,0.3,IF(Dataset!B344&lt;75,0.5,IF(Dataset!B344&lt;120,0.65,0.8)))</f>
        <v>0.5</v>
      </c>
      <c r="C344" s="29">
        <f>IF(Dataset!B344&lt;25,1,IF(Dataset!B344&lt;75,2,IF(Dataset!B344&lt;120,3,4)))</f>
        <v>2</v>
      </c>
      <c r="D344" s="29">
        <f t="shared" si="40"/>
        <v>1</v>
      </c>
      <c r="E344" s="29">
        <f>IF(Dataset!C344&lt;=1,0.3,IF(Dataset!C344=2,0.4,IF(Dataset!C344=3,0.5,IF(Dataset!C344=4,0.65,0.8))))</f>
        <v>0.8</v>
      </c>
      <c r="F344" s="29">
        <f>IF(Dataset!C344&lt;=2,1,IF(Dataset!C344=3,2,IF(Dataset!C344=4,3,4)))</f>
        <v>4</v>
      </c>
      <c r="G344" s="29">
        <f t="shared" si="41"/>
        <v>3.2</v>
      </c>
      <c r="H344" s="29">
        <f>IF(Dataset!G344&lt;=3,0.25,IF(Dataset!G344&lt;=6,0.45,IF(Dataset!G344&lt;=9,0.65,0.85)))</f>
        <v>0.45</v>
      </c>
      <c r="I344" s="29">
        <f>IF(Dataset!G344&lt;=3,1,IF(Dataset!G344&lt;=6,2,IF(Dataset!G344&lt;=9,3,4)))</f>
        <v>2</v>
      </c>
      <c r="J344" s="29">
        <f t="shared" si="42"/>
        <v>0.9</v>
      </c>
      <c r="K344" s="29">
        <f>IF(Dataset!H344&lt;1,0.2,IF(Dataset!H344&lt;1.3,0.45,IF(Dataset!H344&lt;1.8,0.7,0.9)))</f>
        <v>0.7</v>
      </c>
      <c r="L344" s="29">
        <f>IF(Dataset!H344&lt;1,1,IF(Dataset!H344&lt;1.3,2,IF(Dataset!H344&lt;1.8,3,4)))</f>
        <v>3</v>
      </c>
      <c r="M344" s="29">
        <f t="shared" si="43"/>
        <v>2.0999999999999996</v>
      </c>
      <c r="N344" s="29">
        <f>IF(Dataset!F344=1,0.75,IF(Dataset!F344=2,0.45,0.2))</f>
        <v>0.45</v>
      </c>
      <c r="O344" s="29">
        <f>IF(Dataset!F344=1,3,IF(Dataset!F344=2,2,1))</f>
        <v>2</v>
      </c>
      <c r="P344" s="29">
        <f t="shared" si="44"/>
        <v>0.9</v>
      </c>
      <c r="Q344" s="29">
        <f>IF(Dataset!K344&lt;5,0.2,IF(Dataset!K344&lt;10,0.45,IF(Dataset!K344&lt;18,0.7,0.9)))</f>
        <v>0.9</v>
      </c>
      <c r="R344" s="29">
        <f>IF(Dataset!K344&lt;5,1,IF(Dataset!K344&lt;10,2,IF(Dataset!K344&lt;18,3,4)))</f>
        <v>4</v>
      </c>
      <c r="S344" s="29">
        <f t="shared" si="45"/>
        <v>3.6</v>
      </c>
      <c r="T344" s="29">
        <f t="shared" si="46"/>
        <v>1.9060000000000001</v>
      </c>
      <c r="U344" s="29" t="str">
        <f t="shared" si="47"/>
        <v>High</v>
      </c>
    </row>
    <row r="345" spans="1:21" ht="15" customHeight="1" x14ac:dyDescent="0.25">
      <c r="A345" s="29">
        <f>Dataset!A345</f>
        <v>341</v>
      </c>
      <c r="B345" s="29">
        <f>IF(Dataset!B345&lt;25,0.3,IF(Dataset!B345&lt;75,0.5,IF(Dataset!B345&lt;120,0.65,0.8)))</f>
        <v>0.65</v>
      </c>
      <c r="C345" s="29">
        <f>IF(Dataset!B345&lt;25,1,IF(Dataset!B345&lt;75,2,IF(Dataset!B345&lt;120,3,4)))</f>
        <v>3</v>
      </c>
      <c r="D345" s="29">
        <f t="shared" si="40"/>
        <v>1.9500000000000002</v>
      </c>
      <c r="E345" s="29">
        <f>IF(Dataset!C345&lt;=1,0.3,IF(Dataset!C345=2,0.4,IF(Dataset!C345=3,0.5,IF(Dataset!C345=4,0.65,0.8))))</f>
        <v>0.65</v>
      </c>
      <c r="F345" s="29">
        <f>IF(Dataset!C345&lt;=2,1,IF(Dataset!C345=3,2,IF(Dataset!C345=4,3,4)))</f>
        <v>3</v>
      </c>
      <c r="G345" s="29">
        <f t="shared" si="41"/>
        <v>1.9500000000000002</v>
      </c>
      <c r="H345" s="29">
        <f>IF(Dataset!G345&lt;=3,0.25,IF(Dataset!G345&lt;=6,0.45,IF(Dataset!G345&lt;=9,0.65,0.85)))</f>
        <v>0.45</v>
      </c>
      <c r="I345" s="29">
        <f>IF(Dataset!G345&lt;=3,1,IF(Dataset!G345&lt;=6,2,IF(Dataset!G345&lt;=9,3,4)))</f>
        <v>2</v>
      </c>
      <c r="J345" s="29">
        <f t="shared" si="42"/>
        <v>0.9</v>
      </c>
      <c r="K345" s="29">
        <f>IF(Dataset!H345&lt;1,0.2,IF(Dataset!H345&lt;1.3,0.45,IF(Dataset!H345&lt;1.8,0.7,0.9)))</f>
        <v>0.7</v>
      </c>
      <c r="L345" s="29">
        <f>IF(Dataset!H345&lt;1,1,IF(Dataset!H345&lt;1.3,2,IF(Dataset!H345&lt;1.8,3,4)))</f>
        <v>3</v>
      </c>
      <c r="M345" s="29">
        <f t="shared" si="43"/>
        <v>2.0999999999999996</v>
      </c>
      <c r="N345" s="29">
        <f>IF(Dataset!F345=1,0.75,IF(Dataset!F345=2,0.45,0.2))</f>
        <v>0.45</v>
      </c>
      <c r="O345" s="29">
        <f>IF(Dataset!F345=1,3,IF(Dataset!F345=2,2,1))</f>
        <v>2</v>
      </c>
      <c r="P345" s="29">
        <f t="shared" si="44"/>
        <v>0.9</v>
      </c>
      <c r="Q345" s="29">
        <f>IF(Dataset!K345&lt;5,0.2,IF(Dataset!K345&lt;10,0.45,IF(Dataset!K345&lt;18,0.7,0.9)))</f>
        <v>0.45</v>
      </c>
      <c r="R345" s="29">
        <f>IF(Dataset!K345&lt;5,1,IF(Dataset!K345&lt;10,2,IF(Dataset!K345&lt;18,3,4)))</f>
        <v>2</v>
      </c>
      <c r="S345" s="29">
        <f t="shared" si="45"/>
        <v>0.9</v>
      </c>
      <c r="T345" s="29">
        <f t="shared" si="46"/>
        <v>1.5240000000000002</v>
      </c>
      <c r="U345" s="29" t="str">
        <f t="shared" si="47"/>
        <v>Medium</v>
      </c>
    </row>
    <row r="346" spans="1:21" ht="15" customHeight="1" x14ac:dyDescent="0.25">
      <c r="A346" s="29">
        <f>Dataset!A346</f>
        <v>342</v>
      </c>
      <c r="B346" s="29">
        <f>IF(Dataset!B346&lt;25,0.3,IF(Dataset!B346&lt;75,0.5,IF(Dataset!B346&lt;120,0.65,0.8)))</f>
        <v>0.8</v>
      </c>
      <c r="C346" s="29">
        <f>IF(Dataset!B346&lt;25,1,IF(Dataset!B346&lt;75,2,IF(Dataset!B346&lt;120,3,4)))</f>
        <v>4</v>
      </c>
      <c r="D346" s="29">
        <f t="shared" si="40"/>
        <v>3.2</v>
      </c>
      <c r="E346" s="29">
        <f>IF(Dataset!C346&lt;=1,0.3,IF(Dataset!C346=2,0.4,IF(Dataset!C346=3,0.5,IF(Dataset!C346=4,0.65,0.8))))</f>
        <v>0.8</v>
      </c>
      <c r="F346" s="29">
        <f>IF(Dataset!C346&lt;=2,1,IF(Dataset!C346=3,2,IF(Dataset!C346=4,3,4)))</f>
        <v>4</v>
      </c>
      <c r="G346" s="29">
        <f t="shared" si="41"/>
        <v>3.2</v>
      </c>
      <c r="H346" s="29">
        <f>IF(Dataset!G346&lt;=3,0.25,IF(Dataset!G346&lt;=6,0.45,IF(Dataset!G346&lt;=9,0.65,0.85)))</f>
        <v>0.65</v>
      </c>
      <c r="I346" s="29">
        <f>IF(Dataset!G346&lt;=3,1,IF(Dataset!G346&lt;=6,2,IF(Dataset!G346&lt;=9,3,4)))</f>
        <v>3</v>
      </c>
      <c r="J346" s="29">
        <f t="shared" si="42"/>
        <v>1.9500000000000002</v>
      </c>
      <c r="K346" s="29">
        <f>IF(Dataset!H346&lt;1,0.2,IF(Dataset!H346&lt;1.3,0.45,IF(Dataset!H346&lt;1.8,0.7,0.9)))</f>
        <v>0.7</v>
      </c>
      <c r="L346" s="29">
        <f>IF(Dataset!H346&lt;1,1,IF(Dataset!H346&lt;1.3,2,IF(Dataset!H346&lt;1.8,3,4)))</f>
        <v>3</v>
      </c>
      <c r="M346" s="29">
        <f t="shared" si="43"/>
        <v>2.0999999999999996</v>
      </c>
      <c r="N346" s="29">
        <f>IF(Dataset!F346=1,0.75,IF(Dataset!F346=2,0.45,0.2))</f>
        <v>0.2</v>
      </c>
      <c r="O346" s="29">
        <f>IF(Dataset!F346=1,3,IF(Dataset!F346=2,2,1))</f>
        <v>1</v>
      </c>
      <c r="P346" s="29">
        <f t="shared" si="44"/>
        <v>0.2</v>
      </c>
      <c r="Q346" s="29">
        <f>IF(Dataset!K346&lt;5,0.2,IF(Dataset!K346&lt;10,0.45,IF(Dataset!K346&lt;18,0.7,0.9)))</f>
        <v>0.7</v>
      </c>
      <c r="R346" s="29">
        <f>IF(Dataset!K346&lt;5,1,IF(Dataset!K346&lt;10,2,IF(Dataset!K346&lt;18,3,4)))</f>
        <v>3</v>
      </c>
      <c r="S346" s="29">
        <f t="shared" si="45"/>
        <v>2.0999999999999996</v>
      </c>
      <c r="T346" s="29">
        <f t="shared" si="46"/>
        <v>2.2320000000000002</v>
      </c>
      <c r="U346" s="29" t="str">
        <f t="shared" si="47"/>
        <v>High</v>
      </c>
    </row>
    <row r="347" spans="1:21" ht="15" customHeight="1" x14ac:dyDescent="0.25">
      <c r="A347" s="29">
        <f>Dataset!A347</f>
        <v>343</v>
      </c>
      <c r="B347" s="29">
        <f>IF(Dataset!B347&lt;25,0.3,IF(Dataset!B347&lt;75,0.5,IF(Dataset!B347&lt;120,0.65,0.8)))</f>
        <v>0.65</v>
      </c>
      <c r="C347" s="29">
        <f>IF(Dataset!B347&lt;25,1,IF(Dataset!B347&lt;75,2,IF(Dataset!B347&lt;120,3,4)))</f>
        <v>3</v>
      </c>
      <c r="D347" s="29">
        <f t="shared" si="40"/>
        <v>1.9500000000000002</v>
      </c>
      <c r="E347" s="29">
        <f>IF(Dataset!C347&lt;=1,0.3,IF(Dataset!C347=2,0.4,IF(Dataset!C347=3,0.5,IF(Dataset!C347=4,0.65,0.8))))</f>
        <v>0.8</v>
      </c>
      <c r="F347" s="29">
        <f>IF(Dataset!C347&lt;=2,1,IF(Dataset!C347=3,2,IF(Dataset!C347=4,3,4)))</f>
        <v>4</v>
      </c>
      <c r="G347" s="29">
        <f t="shared" si="41"/>
        <v>3.2</v>
      </c>
      <c r="H347" s="29">
        <f>IF(Dataset!G347&lt;=3,0.25,IF(Dataset!G347&lt;=6,0.45,IF(Dataset!G347&lt;=9,0.65,0.85)))</f>
        <v>0.65</v>
      </c>
      <c r="I347" s="29">
        <f>IF(Dataset!G347&lt;=3,1,IF(Dataset!G347&lt;=6,2,IF(Dataset!G347&lt;=9,3,4)))</f>
        <v>3</v>
      </c>
      <c r="J347" s="29">
        <f t="shared" si="42"/>
        <v>1.9500000000000002</v>
      </c>
      <c r="K347" s="29">
        <f>IF(Dataset!H347&lt;1,0.2,IF(Dataset!H347&lt;1.3,0.45,IF(Dataset!H347&lt;1.8,0.7,0.9)))</f>
        <v>0.7</v>
      </c>
      <c r="L347" s="29">
        <f>IF(Dataset!H347&lt;1,1,IF(Dataset!H347&lt;1.3,2,IF(Dataset!H347&lt;1.8,3,4)))</f>
        <v>3</v>
      </c>
      <c r="M347" s="29">
        <f t="shared" si="43"/>
        <v>2.0999999999999996</v>
      </c>
      <c r="N347" s="29">
        <f>IF(Dataset!F347=1,0.75,IF(Dataset!F347=2,0.45,0.2))</f>
        <v>0.2</v>
      </c>
      <c r="O347" s="29">
        <f>IF(Dataset!F347=1,3,IF(Dataset!F347=2,2,1))</f>
        <v>1</v>
      </c>
      <c r="P347" s="29">
        <f t="shared" si="44"/>
        <v>0.2</v>
      </c>
      <c r="Q347" s="29">
        <f>IF(Dataset!K347&lt;5,0.2,IF(Dataset!K347&lt;10,0.45,IF(Dataset!K347&lt;18,0.7,0.9)))</f>
        <v>0.7</v>
      </c>
      <c r="R347" s="29">
        <f>IF(Dataset!K347&lt;5,1,IF(Dataset!K347&lt;10,2,IF(Dataset!K347&lt;18,3,4)))</f>
        <v>3</v>
      </c>
      <c r="S347" s="29">
        <f t="shared" si="45"/>
        <v>2.0999999999999996</v>
      </c>
      <c r="T347" s="29">
        <f t="shared" si="46"/>
        <v>2.0070000000000001</v>
      </c>
      <c r="U347" s="29" t="str">
        <f t="shared" si="47"/>
        <v>High</v>
      </c>
    </row>
    <row r="348" spans="1:21" ht="15" customHeight="1" x14ac:dyDescent="0.25">
      <c r="A348" s="29">
        <f>Dataset!A348</f>
        <v>344</v>
      </c>
      <c r="B348" s="29">
        <f>IF(Dataset!B348&lt;25,0.3,IF(Dataset!B348&lt;75,0.5,IF(Dataset!B348&lt;120,0.65,0.8)))</f>
        <v>0.65</v>
      </c>
      <c r="C348" s="29">
        <f>IF(Dataset!B348&lt;25,1,IF(Dataset!B348&lt;75,2,IF(Dataset!B348&lt;120,3,4)))</f>
        <v>3</v>
      </c>
      <c r="D348" s="29">
        <f t="shared" si="40"/>
        <v>1.9500000000000002</v>
      </c>
      <c r="E348" s="29">
        <f>IF(Dataset!C348&lt;=1,0.3,IF(Dataset!C348=2,0.4,IF(Dataset!C348=3,0.5,IF(Dataset!C348=4,0.65,0.8))))</f>
        <v>0.3</v>
      </c>
      <c r="F348" s="29">
        <f>IF(Dataset!C348&lt;=2,1,IF(Dataset!C348=3,2,IF(Dataset!C348=4,3,4)))</f>
        <v>1</v>
      </c>
      <c r="G348" s="29">
        <f t="shared" si="41"/>
        <v>0.3</v>
      </c>
      <c r="H348" s="29">
        <f>IF(Dataset!G348&lt;=3,0.25,IF(Dataset!G348&lt;=6,0.45,IF(Dataset!G348&lt;=9,0.65,0.85)))</f>
        <v>0.45</v>
      </c>
      <c r="I348" s="29">
        <f>IF(Dataset!G348&lt;=3,1,IF(Dataset!G348&lt;=6,2,IF(Dataset!G348&lt;=9,3,4)))</f>
        <v>2</v>
      </c>
      <c r="J348" s="29">
        <f t="shared" si="42"/>
        <v>0.9</v>
      </c>
      <c r="K348" s="29">
        <f>IF(Dataset!H348&lt;1,0.2,IF(Dataset!H348&lt;1.3,0.45,IF(Dataset!H348&lt;1.8,0.7,0.9)))</f>
        <v>0.7</v>
      </c>
      <c r="L348" s="29">
        <f>IF(Dataset!H348&lt;1,1,IF(Dataset!H348&lt;1.3,2,IF(Dataset!H348&lt;1.8,3,4)))</f>
        <v>3</v>
      </c>
      <c r="M348" s="29">
        <f t="shared" si="43"/>
        <v>2.0999999999999996</v>
      </c>
      <c r="N348" s="29">
        <f>IF(Dataset!F348=1,0.75,IF(Dataset!F348=2,0.45,0.2))</f>
        <v>0.75</v>
      </c>
      <c r="O348" s="29">
        <f>IF(Dataset!F348=1,3,IF(Dataset!F348=2,2,1))</f>
        <v>3</v>
      </c>
      <c r="P348" s="29">
        <f t="shared" si="44"/>
        <v>2.25</v>
      </c>
      <c r="Q348" s="29">
        <f>IF(Dataset!K348&lt;5,0.2,IF(Dataset!K348&lt;10,0.45,IF(Dataset!K348&lt;18,0.7,0.9)))</f>
        <v>0.2</v>
      </c>
      <c r="R348" s="29">
        <f>IF(Dataset!K348&lt;5,1,IF(Dataset!K348&lt;10,2,IF(Dataset!K348&lt;18,3,4)))</f>
        <v>1</v>
      </c>
      <c r="S348" s="29">
        <f t="shared" si="45"/>
        <v>0.2</v>
      </c>
      <c r="T348" s="29">
        <f t="shared" si="46"/>
        <v>1.33</v>
      </c>
      <c r="U348" s="29" t="str">
        <f t="shared" si="47"/>
        <v>Low</v>
      </c>
    </row>
    <row r="349" spans="1:21" ht="15" customHeight="1" x14ac:dyDescent="0.25">
      <c r="A349" s="29">
        <f>Dataset!A349</f>
        <v>345</v>
      </c>
      <c r="B349" s="29">
        <f>IF(Dataset!B349&lt;25,0.3,IF(Dataset!B349&lt;75,0.5,IF(Dataset!B349&lt;120,0.65,0.8)))</f>
        <v>0.8</v>
      </c>
      <c r="C349" s="29">
        <f>IF(Dataset!B349&lt;25,1,IF(Dataset!B349&lt;75,2,IF(Dataset!B349&lt;120,3,4)))</f>
        <v>4</v>
      </c>
      <c r="D349" s="29">
        <f t="shared" si="40"/>
        <v>3.2</v>
      </c>
      <c r="E349" s="29">
        <f>IF(Dataset!C349&lt;=1,0.3,IF(Dataset!C349=2,0.4,IF(Dataset!C349=3,0.5,IF(Dataset!C349=4,0.65,0.8))))</f>
        <v>0.65</v>
      </c>
      <c r="F349" s="29">
        <f>IF(Dataset!C349&lt;=2,1,IF(Dataset!C349=3,2,IF(Dataset!C349=4,3,4)))</f>
        <v>3</v>
      </c>
      <c r="G349" s="29">
        <f t="shared" si="41"/>
        <v>1.9500000000000002</v>
      </c>
      <c r="H349" s="29">
        <f>IF(Dataset!G349&lt;=3,0.25,IF(Dataset!G349&lt;=6,0.45,IF(Dataset!G349&lt;=9,0.65,0.85)))</f>
        <v>0.25</v>
      </c>
      <c r="I349" s="29">
        <f>IF(Dataset!G349&lt;=3,1,IF(Dataset!G349&lt;=6,2,IF(Dataset!G349&lt;=9,3,4)))</f>
        <v>1</v>
      </c>
      <c r="J349" s="29">
        <f t="shared" si="42"/>
        <v>0.25</v>
      </c>
      <c r="K349" s="29">
        <f>IF(Dataset!H349&lt;1,0.2,IF(Dataset!H349&lt;1.3,0.45,IF(Dataset!H349&lt;1.8,0.7,0.9)))</f>
        <v>0.9</v>
      </c>
      <c r="L349" s="29">
        <f>IF(Dataset!H349&lt;1,1,IF(Dataset!H349&lt;1.3,2,IF(Dataset!H349&lt;1.8,3,4)))</f>
        <v>4</v>
      </c>
      <c r="M349" s="29">
        <f t="shared" si="43"/>
        <v>3.6</v>
      </c>
      <c r="N349" s="29">
        <f>IF(Dataset!F349=1,0.75,IF(Dataset!F349=2,0.45,0.2))</f>
        <v>0.45</v>
      </c>
      <c r="O349" s="29">
        <f>IF(Dataset!F349=1,3,IF(Dataset!F349=2,2,1))</f>
        <v>2</v>
      </c>
      <c r="P349" s="29">
        <f t="shared" si="44"/>
        <v>0.9</v>
      </c>
      <c r="Q349" s="29">
        <f>IF(Dataset!K349&lt;5,0.2,IF(Dataset!K349&lt;10,0.45,IF(Dataset!K349&lt;18,0.7,0.9)))</f>
        <v>0.7</v>
      </c>
      <c r="R349" s="29">
        <f>IF(Dataset!K349&lt;5,1,IF(Dataset!K349&lt;10,2,IF(Dataset!K349&lt;18,3,4)))</f>
        <v>3</v>
      </c>
      <c r="S349" s="29">
        <f t="shared" si="45"/>
        <v>2.0999999999999996</v>
      </c>
      <c r="T349" s="29">
        <f t="shared" si="46"/>
        <v>2.1469999999999998</v>
      </c>
      <c r="U349" s="29" t="str">
        <f t="shared" si="47"/>
        <v>High</v>
      </c>
    </row>
    <row r="350" spans="1:21" ht="15" customHeight="1" x14ac:dyDescent="0.25">
      <c r="A350" s="29">
        <f>Dataset!A350</f>
        <v>346</v>
      </c>
      <c r="B350" s="29">
        <f>IF(Dataset!B350&lt;25,0.3,IF(Dataset!B350&lt;75,0.5,IF(Dataset!B350&lt;120,0.65,0.8)))</f>
        <v>0.5</v>
      </c>
      <c r="C350" s="29">
        <f>IF(Dataset!B350&lt;25,1,IF(Dataset!B350&lt;75,2,IF(Dataset!B350&lt;120,3,4)))</f>
        <v>2</v>
      </c>
      <c r="D350" s="29">
        <f t="shared" si="40"/>
        <v>1</v>
      </c>
      <c r="E350" s="29">
        <f>IF(Dataset!C350&lt;=1,0.3,IF(Dataset!C350=2,0.4,IF(Dataset!C350=3,0.5,IF(Dataset!C350=4,0.65,0.8))))</f>
        <v>0.5</v>
      </c>
      <c r="F350" s="29">
        <f>IF(Dataset!C350&lt;=2,1,IF(Dataset!C350=3,2,IF(Dataset!C350=4,3,4)))</f>
        <v>2</v>
      </c>
      <c r="G350" s="29">
        <f t="shared" si="41"/>
        <v>1</v>
      </c>
      <c r="H350" s="29">
        <f>IF(Dataset!G350&lt;=3,0.25,IF(Dataset!G350&lt;=6,0.45,IF(Dataset!G350&lt;=9,0.65,0.85)))</f>
        <v>0.65</v>
      </c>
      <c r="I350" s="29">
        <f>IF(Dataset!G350&lt;=3,1,IF(Dataset!G350&lt;=6,2,IF(Dataset!G350&lt;=9,3,4)))</f>
        <v>3</v>
      </c>
      <c r="J350" s="29">
        <f t="shared" si="42"/>
        <v>1.9500000000000002</v>
      </c>
      <c r="K350" s="29">
        <f>IF(Dataset!H350&lt;1,0.2,IF(Dataset!H350&lt;1.3,0.45,IF(Dataset!H350&lt;1.8,0.7,0.9)))</f>
        <v>0.9</v>
      </c>
      <c r="L350" s="29">
        <f>IF(Dataset!H350&lt;1,1,IF(Dataset!H350&lt;1.3,2,IF(Dataset!H350&lt;1.8,3,4)))</f>
        <v>4</v>
      </c>
      <c r="M350" s="29">
        <f t="shared" si="43"/>
        <v>3.6</v>
      </c>
      <c r="N350" s="29">
        <f>IF(Dataset!F350=1,0.75,IF(Dataset!F350=2,0.45,0.2))</f>
        <v>0.2</v>
      </c>
      <c r="O350" s="29">
        <f>IF(Dataset!F350=1,3,IF(Dataset!F350=2,2,1))</f>
        <v>1</v>
      </c>
      <c r="P350" s="29">
        <f t="shared" si="44"/>
        <v>0.2</v>
      </c>
      <c r="Q350" s="29">
        <f>IF(Dataset!K350&lt;5,0.2,IF(Dataset!K350&lt;10,0.45,IF(Dataset!K350&lt;18,0.7,0.9)))</f>
        <v>0.45</v>
      </c>
      <c r="R350" s="29">
        <f>IF(Dataset!K350&lt;5,1,IF(Dataset!K350&lt;10,2,IF(Dataset!K350&lt;18,3,4)))</f>
        <v>2</v>
      </c>
      <c r="S350" s="29">
        <f t="shared" si="45"/>
        <v>0.9</v>
      </c>
      <c r="T350" s="29">
        <f t="shared" si="46"/>
        <v>1.7200000000000002</v>
      </c>
      <c r="U350" s="29" t="str">
        <f t="shared" si="47"/>
        <v>Medium</v>
      </c>
    </row>
    <row r="351" spans="1:21" ht="15" customHeight="1" x14ac:dyDescent="0.25">
      <c r="A351" s="29">
        <f>Dataset!A351</f>
        <v>347</v>
      </c>
      <c r="B351" s="29">
        <f>IF(Dataset!B351&lt;25,0.3,IF(Dataset!B351&lt;75,0.5,IF(Dataset!B351&lt;120,0.65,0.8)))</f>
        <v>0.65</v>
      </c>
      <c r="C351" s="29">
        <f>IF(Dataset!B351&lt;25,1,IF(Dataset!B351&lt;75,2,IF(Dataset!B351&lt;120,3,4)))</f>
        <v>3</v>
      </c>
      <c r="D351" s="29">
        <f t="shared" si="40"/>
        <v>1.9500000000000002</v>
      </c>
      <c r="E351" s="29">
        <f>IF(Dataset!C351&lt;=1,0.3,IF(Dataset!C351=2,0.4,IF(Dataset!C351=3,0.5,IF(Dataset!C351=4,0.65,0.8))))</f>
        <v>0.65</v>
      </c>
      <c r="F351" s="29">
        <f>IF(Dataset!C351&lt;=2,1,IF(Dataset!C351=3,2,IF(Dataset!C351=4,3,4)))</f>
        <v>3</v>
      </c>
      <c r="G351" s="29">
        <f t="shared" si="41"/>
        <v>1.9500000000000002</v>
      </c>
      <c r="H351" s="29">
        <f>IF(Dataset!G351&lt;=3,0.25,IF(Dataset!G351&lt;=6,0.45,IF(Dataset!G351&lt;=9,0.65,0.85)))</f>
        <v>0.25</v>
      </c>
      <c r="I351" s="29">
        <f>IF(Dataset!G351&lt;=3,1,IF(Dataset!G351&lt;=6,2,IF(Dataset!G351&lt;=9,3,4)))</f>
        <v>1</v>
      </c>
      <c r="J351" s="29">
        <f t="shared" si="42"/>
        <v>0.25</v>
      </c>
      <c r="K351" s="29">
        <f>IF(Dataset!H351&lt;1,0.2,IF(Dataset!H351&lt;1.3,0.45,IF(Dataset!H351&lt;1.8,0.7,0.9)))</f>
        <v>0.2</v>
      </c>
      <c r="L351" s="29">
        <f>IF(Dataset!H351&lt;1,1,IF(Dataset!H351&lt;1.3,2,IF(Dataset!H351&lt;1.8,3,4)))</f>
        <v>1</v>
      </c>
      <c r="M351" s="29">
        <f t="shared" si="43"/>
        <v>0.2</v>
      </c>
      <c r="N351" s="29">
        <f>IF(Dataset!F351=1,0.75,IF(Dataset!F351=2,0.45,0.2))</f>
        <v>0.45</v>
      </c>
      <c r="O351" s="29">
        <f>IF(Dataset!F351=1,3,IF(Dataset!F351=2,2,1))</f>
        <v>2</v>
      </c>
      <c r="P351" s="29">
        <f t="shared" si="44"/>
        <v>0.9</v>
      </c>
      <c r="Q351" s="29">
        <f>IF(Dataset!K351&lt;5,0.2,IF(Dataset!K351&lt;10,0.45,IF(Dataset!K351&lt;18,0.7,0.9)))</f>
        <v>0.45</v>
      </c>
      <c r="R351" s="29">
        <f>IF(Dataset!K351&lt;5,1,IF(Dataset!K351&lt;10,2,IF(Dataset!K351&lt;18,3,4)))</f>
        <v>2</v>
      </c>
      <c r="S351" s="29">
        <f t="shared" si="45"/>
        <v>0.9</v>
      </c>
      <c r="T351" s="29">
        <f t="shared" si="46"/>
        <v>0.93800000000000017</v>
      </c>
      <c r="U351" s="29" t="str">
        <f t="shared" si="47"/>
        <v>Low</v>
      </c>
    </row>
    <row r="352" spans="1:21" ht="15" customHeight="1" x14ac:dyDescent="0.25">
      <c r="A352" s="29">
        <f>Dataset!A352</f>
        <v>348</v>
      </c>
      <c r="B352" s="29">
        <f>IF(Dataset!B352&lt;25,0.3,IF(Dataset!B352&lt;75,0.5,IF(Dataset!B352&lt;120,0.65,0.8)))</f>
        <v>0.5</v>
      </c>
      <c r="C352" s="29">
        <f>IF(Dataset!B352&lt;25,1,IF(Dataset!B352&lt;75,2,IF(Dataset!B352&lt;120,3,4)))</f>
        <v>2</v>
      </c>
      <c r="D352" s="29">
        <f t="shared" si="40"/>
        <v>1</v>
      </c>
      <c r="E352" s="29">
        <f>IF(Dataset!C352&lt;=1,0.3,IF(Dataset!C352=2,0.4,IF(Dataset!C352=3,0.5,IF(Dataset!C352=4,0.65,0.8))))</f>
        <v>0.3</v>
      </c>
      <c r="F352" s="29">
        <f>IF(Dataset!C352&lt;=2,1,IF(Dataset!C352=3,2,IF(Dataset!C352=4,3,4)))</f>
        <v>1</v>
      </c>
      <c r="G352" s="29">
        <f t="shared" si="41"/>
        <v>0.3</v>
      </c>
      <c r="H352" s="29">
        <f>IF(Dataset!G352&lt;=3,0.25,IF(Dataset!G352&lt;=6,0.45,IF(Dataset!G352&lt;=9,0.65,0.85)))</f>
        <v>0.45</v>
      </c>
      <c r="I352" s="29">
        <f>IF(Dataset!G352&lt;=3,1,IF(Dataset!G352&lt;=6,2,IF(Dataset!G352&lt;=9,3,4)))</f>
        <v>2</v>
      </c>
      <c r="J352" s="29">
        <f t="shared" si="42"/>
        <v>0.9</v>
      </c>
      <c r="K352" s="29">
        <f>IF(Dataset!H352&lt;1,0.2,IF(Dataset!H352&lt;1.3,0.45,IF(Dataset!H352&lt;1.8,0.7,0.9)))</f>
        <v>0.9</v>
      </c>
      <c r="L352" s="29">
        <f>IF(Dataset!H352&lt;1,1,IF(Dataset!H352&lt;1.3,2,IF(Dataset!H352&lt;1.8,3,4)))</f>
        <v>4</v>
      </c>
      <c r="M352" s="29">
        <f t="shared" si="43"/>
        <v>3.6</v>
      </c>
      <c r="N352" s="29">
        <f>IF(Dataset!F352=1,0.75,IF(Dataset!F352=2,0.45,0.2))</f>
        <v>0.2</v>
      </c>
      <c r="O352" s="29">
        <f>IF(Dataset!F352=1,3,IF(Dataset!F352=2,2,1))</f>
        <v>1</v>
      </c>
      <c r="P352" s="29">
        <f t="shared" si="44"/>
        <v>0.2</v>
      </c>
      <c r="Q352" s="29">
        <f>IF(Dataset!K352&lt;5,0.2,IF(Dataset!K352&lt;10,0.45,IF(Dataset!K352&lt;18,0.7,0.9)))</f>
        <v>0.2</v>
      </c>
      <c r="R352" s="29">
        <f>IF(Dataset!K352&lt;5,1,IF(Dataset!K352&lt;10,2,IF(Dataset!K352&lt;18,3,4)))</f>
        <v>1</v>
      </c>
      <c r="S352" s="29">
        <f t="shared" si="45"/>
        <v>0.2</v>
      </c>
      <c r="T352" s="29">
        <f t="shared" si="46"/>
        <v>1.3140000000000001</v>
      </c>
      <c r="U352" s="29" t="str">
        <f t="shared" si="47"/>
        <v>Low</v>
      </c>
    </row>
    <row r="353" spans="1:21" ht="15" customHeight="1" x14ac:dyDescent="0.25">
      <c r="A353" s="29">
        <f>Dataset!A353</f>
        <v>349</v>
      </c>
      <c r="B353" s="29">
        <f>IF(Dataset!B353&lt;25,0.3,IF(Dataset!B353&lt;75,0.5,IF(Dataset!B353&lt;120,0.65,0.8)))</f>
        <v>0.65</v>
      </c>
      <c r="C353" s="29">
        <f>IF(Dataset!B353&lt;25,1,IF(Dataset!B353&lt;75,2,IF(Dataset!B353&lt;120,3,4)))</f>
        <v>3</v>
      </c>
      <c r="D353" s="29">
        <f t="shared" si="40"/>
        <v>1.9500000000000002</v>
      </c>
      <c r="E353" s="29">
        <f>IF(Dataset!C353&lt;=1,0.3,IF(Dataset!C353=2,0.4,IF(Dataset!C353=3,0.5,IF(Dataset!C353=4,0.65,0.8))))</f>
        <v>0.5</v>
      </c>
      <c r="F353" s="29">
        <f>IF(Dataset!C353&lt;=2,1,IF(Dataset!C353=3,2,IF(Dataset!C353=4,3,4)))</f>
        <v>2</v>
      </c>
      <c r="G353" s="29">
        <f t="shared" si="41"/>
        <v>1</v>
      </c>
      <c r="H353" s="29">
        <f>IF(Dataset!G353&lt;=3,0.25,IF(Dataset!G353&lt;=6,0.45,IF(Dataset!G353&lt;=9,0.65,0.85)))</f>
        <v>0.65</v>
      </c>
      <c r="I353" s="29">
        <f>IF(Dataset!G353&lt;=3,1,IF(Dataset!G353&lt;=6,2,IF(Dataset!G353&lt;=9,3,4)))</f>
        <v>3</v>
      </c>
      <c r="J353" s="29">
        <f t="shared" si="42"/>
        <v>1.9500000000000002</v>
      </c>
      <c r="K353" s="29">
        <f>IF(Dataset!H353&lt;1,0.2,IF(Dataset!H353&lt;1.3,0.45,IF(Dataset!H353&lt;1.8,0.7,0.9)))</f>
        <v>0.45</v>
      </c>
      <c r="L353" s="29">
        <f>IF(Dataset!H353&lt;1,1,IF(Dataset!H353&lt;1.3,2,IF(Dataset!H353&lt;1.8,3,4)))</f>
        <v>2</v>
      </c>
      <c r="M353" s="29">
        <f t="shared" si="43"/>
        <v>0.9</v>
      </c>
      <c r="N353" s="29">
        <f>IF(Dataset!F353=1,0.75,IF(Dataset!F353=2,0.45,0.2))</f>
        <v>0.45</v>
      </c>
      <c r="O353" s="29">
        <f>IF(Dataset!F353=1,3,IF(Dataset!F353=2,2,1))</f>
        <v>2</v>
      </c>
      <c r="P353" s="29">
        <f t="shared" si="44"/>
        <v>0.9</v>
      </c>
      <c r="Q353" s="29">
        <f>IF(Dataset!K353&lt;5,0.2,IF(Dataset!K353&lt;10,0.45,IF(Dataset!K353&lt;18,0.7,0.9)))</f>
        <v>0.2</v>
      </c>
      <c r="R353" s="29">
        <f>IF(Dataset!K353&lt;5,1,IF(Dataset!K353&lt;10,2,IF(Dataset!K353&lt;18,3,4)))</f>
        <v>1</v>
      </c>
      <c r="S353" s="29">
        <f t="shared" si="45"/>
        <v>0.2</v>
      </c>
      <c r="T353" s="29">
        <f t="shared" si="46"/>
        <v>1.2150000000000003</v>
      </c>
      <c r="U353" s="29" t="str">
        <f t="shared" si="47"/>
        <v>Low</v>
      </c>
    </row>
    <row r="354" spans="1:21" ht="15" customHeight="1" x14ac:dyDescent="0.25">
      <c r="A354" s="29">
        <f>Dataset!A354</f>
        <v>350</v>
      </c>
      <c r="B354" s="29">
        <f>IF(Dataset!B354&lt;25,0.3,IF(Dataset!B354&lt;75,0.5,IF(Dataset!B354&lt;120,0.65,0.8)))</f>
        <v>0.8</v>
      </c>
      <c r="C354" s="29">
        <f>IF(Dataset!B354&lt;25,1,IF(Dataset!B354&lt;75,2,IF(Dataset!B354&lt;120,3,4)))</f>
        <v>4</v>
      </c>
      <c r="D354" s="29">
        <f t="shared" si="40"/>
        <v>3.2</v>
      </c>
      <c r="E354" s="29">
        <f>IF(Dataset!C354&lt;=1,0.3,IF(Dataset!C354=2,0.4,IF(Dataset!C354=3,0.5,IF(Dataset!C354=4,0.65,0.8))))</f>
        <v>0.65</v>
      </c>
      <c r="F354" s="29">
        <f>IF(Dataset!C354&lt;=2,1,IF(Dataset!C354=3,2,IF(Dataset!C354=4,3,4)))</f>
        <v>3</v>
      </c>
      <c r="G354" s="29">
        <f t="shared" si="41"/>
        <v>1.9500000000000002</v>
      </c>
      <c r="H354" s="29">
        <f>IF(Dataset!G354&lt;=3,0.25,IF(Dataset!G354&lt;=6,0.45,IF(Dataset!G354&lt;=9,0.65,0.85)))</f>
        <v>0.85</v>
      </c>
      <c r="I354" s="29">
        <f>IF(Dataset!G354&lt;=3,1,IF(Dataset!G354&lt;=6,2,IF(Dataset!G354&lt;=9,3,4)))</f>
        <v>4</v>
      </c>
      <c r="J354" s="29">
        <f t="shared" si="42"/>
        <v>3.4</v>
      </c>
      <c r="K354" s="29">
        <f>IF(Dataset!H354&lt;1,0.2,IF(Dataset!H354&lt;1.3,0.45,IF(Dataset!H354&lt;1.8,0.7,0.9)))</f>
        <v>0.7</v>
      </c>
      <c r="L354" s="29">
        <f>IF(Dataset!H354&lt;1,1,IF(Dataset!H354&lt;1.3,2,IF(Dataset!H354&lt;1.8,3,4)))</f>
        <v>3</v>
      </c>
      <c r="M354" s="29">
        <f t="shared" si="43"/>
        <v>2.0999999999999996</v>
      </c>
      <c r="N354" s="29">
        <f>IF(Dataset!F354=1,0.75,IF(Dataset!F354=2,0.45,0.2))</f>
        <v>0.75</v>
      </c>
      <c r="O354" s="29">
        <f>IF(Dataset!F354=1,3,IF(Dataset!F354=2,2,1))</f>
        <v>3</v>
      </c>
      <c r="P354" s="29">
        <f t="shared" si="44"/>
        <v>2.25</v>
      </c>
      <c r="Q354" s="29">
        <f>IF(Dataset!K354&lt;5,0.2,IF(Dataset!K354&lt;10,0.45,IF(Dataset!K354&lt;18,0.7,0.9)))</f>
        <v>0.7</v>
      </c>
      <c r="R354" s="29">
        <f>IF(Dataset!K354&lt;5,1,IF(Dataset!K354&lt;10,2,IF(Dataset!K354&lt;18,3,4)))</f>
        <v>3</v>
      </c>
      <c r="S354" s="29">
        <f t="shared" si="45"/>
        <v>2.0999999999999996</v>
      </c>
      <c r="T354" s="29">
        <f t="shared" si="46"/>
        <v>2.552</v>
      </c>
      <c r="U354" s="29" t="str">
        <f t="shared" si="47"/>
        <v>High</v>
      </c>
    </row>
    <row r="355" spans="1:21" ht="15" customHeight="1" x14ac:dyDescent="0.25">
      <c r="A355" s="29">
        <f>Dataset!A355</f>
        <v>351</v>
      </c>
      <c r="B355" s="29">
        <f>IF(Dataset!B355&lt;25,0.3,IF(Dataset!B355&lt;75,0.5,IF(Dataset!B355&lt;120,0.65,0.8)))</f>
        <v>0.5</v>
      </c>
      <c r="C355" s="29">
        <f>IF(Dataset!B355&lt;25,1,IF(Dataset!B355&lt;75,2,IF(Dataset!B355&lt;120,3,4)))</f>
        <v>2</v>
      </c>
      <c r="D355" s="29">
        <f t="shared" si="40"/>
        <v>1</v>
      </c>
      <c r="E355" s="29">
        <f>IF(Dataset!C355&lt;=1,0.3,IF(Dataset!C355=2,0.4,IF(Dataset!C355=3,0.5,IF(Dataset!C355=4,0.65,0.8))))</f>
        <v>0.65</v>
      </c>
      <c r="F355" s="29">
        <f>IF(Dataset!C355&lt;=2,1,IF(Dataset!C355=3,2,IF(Dataset!C355=4,3,4)))</f>
        <v>3</v>
      </c>
      <c r="G355" s="29">
        <f t="shared" si="41"/>
        <v>1.9500000000000002</v>
      </c>
      <c r="H355" s="29">
        <f>IF(Dataset!G355&lt;=3,0.25,IF(Dataset!G355&lt;=6,0.45,IF(Dataset!G355&lt;=9,0.65,0.85)))</f>
        <v>0.45</v>
      </c>
      <c r="I355" s="29">
        <f>IF(Dataset!G355&lt;=3,1,IF(Dataset!G355&lt;=6,2,IF(Dataset!G355&lt;=9,3,4)))</f>
        <v>2</v>
      </c>
      <c r="J355" s="29">
        <f t="shared" si="42"/>
        <v>0.9</v>
      </c>
      <c r="K355" s="29">
        <f>IF(Dataset!H355&lt;1,0.2,IF(Dataset!H355&lt;1.3,0.45,IF(Dataset!H355&lt;1.8,0.7,0.9)))</f>
        <v>0.2</v>
      </c>
      <c r="L355" s="29">
        <f>IF(Dataset!H355&lt;1,1,IF(Dataset!H355&lt;1.3,2,IF(Dataset!H355&lt;1.8,3,4)))</f>
        <v>1</v>
      </c>
      <c r="M355" s="29">
        <f t="shared" si="43"/>
        <v>0.2</v>
      </c>
      <c r="N355" s="29">
        <f>IF(Dataset!F355=1,0.75,IF(Dataset!F355=2,0.45,0.2))</f>
        <v>0.75</v>
      </c>
      <c r="O355" s="29">
        <f>IF(Dataset!F355=1,3,IF(Dataset!F355=2,2,1))</f>
        <v>3</v>
      </c>
      <c r="P355" s="29">
        <f t="shared" si="44"/>
        <v>2.25</v>
      </c>
      <c r="Q355" s="29">
        <f>IF(Dataset!K355&lt;5,0.2,IF(Dataset!K355&lt;10,0.45,IF(Dataset!K355&lt;18,0.7,0.9)))</f>
        <v>0.45</v>
      </c>
      <c r="R355" s="29">
        <f>IF(Dataset!K355&lt;5,1,IF(Dataset!K355&lt;10,2,IF(Dataset!K355&lt;18,3,4)))</f>
        <v>2</v>
      </c>
      <c r="S355" s="29">
        <f t="shared" si="45"/>
        <v>0.9</v>
      </c>
      <c r="T355" s="29">
        <f t="shared" si="46"/>
        <v>1.0320000000000003</v>
      </c>
      <c r="U355" s="29" t="str">
        <f t="shared" si="47"/>
        <v>Low</v>
      </c>
    </row>
    <row r="356" spans="1:21" ht="15" customHeight="1" x14ac:dyDescent="0.25">
      <c r="A356" s="29">
        <f>Dataset!A356</f>
        <v>352</v>
      </c>
      <c r="B356" s="29">
        <f>IF(Dataset!B356&lt;25,0.3,IF(Dataset!B356&lt;75,0.5,IF(Dataset!B356&lt;120,0.65,0.8)))</f>
        <v>0.3</v>
      </c>
      <c r="C356" s="29">
        <f>IF(Dataset!B356&lt;25,1,IF(Dataset!B356&lt;75,2,IF(Dataset!B356&lt;120,3,4)))</f>
        <v>1</v>
      </c>
      <c r="D356" s="29">
        <f t="shared" si="40"/>
        <v>0.3</v>
      </c>
      <c r="E356" s="29">
        <f>IF(Dataset!C356&lt;=1,0.3,IF(Dataset!C356=2,0.4,IF(Dataset!C356=3,0.5,IF(Dataset!C356=4,0.65,0.8))))</f>
        <v>0.65</v>
      </c>
      <c r="F356" s="29">
        <f>IF(Dataset!C356&lt;=2,1,IF(Dataset!C356=3,2,IF(Dataset!C356=4,3,4)))</f>
        <v>3</v>
      </c>
      <c r="G356" s="29">
        <f t="shared" si="41"/>
        <v>1.9500000000000002</v>
      </c>
      <c r="H356" s="29">
        <f>IF(Dataset!G356&lt;=3,0.25,IF(Dataset!G356&lt;=6,0.45,IF(Dataset!G356&lt;=9,0.65,0.85)))</f>
        <v>0.45</v>
      </c>
      <c r="I356" s="29">
        <f>IF(Dataset!G356&lt;=3,1,IF(Dataset!G356&lt;=6,2,IF(Dataset!G356&lt;=9,3,4)))</f>
        <v>2</v>
      </c>
      <c r="J356" s="29">
        <f t="shared" si="42"/>
        <v>0.9</v>
      </c>
      <c r="K356" s="29">
        <f>IF(Dataset!H356&lt;1,0.2,IF(Dataset!H356&lt;1.3,0.45,IF(Dataset!H356&lt;1.8,0.7,0.9)))</f>
        <v>0.2</v>
      </c>
      <c r="L356" s="29">
        <f>IF(Dataset!H356&lt;1,1,IF(Dataset!H356&lt;1.3,2,IF(Dataset!H356&lt;1.8,3,4)))</f>
        <v>1</v>
      </c>
      <c r="M356" s="29">
        <f t="shared" si="43"/>
        <v>0.2</v>
      </c>
      <c r="N356" s="29">
        <f>IF(Dataset!F356=1,0.75,IF(Dataset!F356=2,0.45,0.2))</f>
        <v>0.2</v>
      </c>
      <c r="O356" s="29">
        <f>IF(Dataset!F356=1,3,IF(Dataset!F356=2,2,1))</f>
        <v>1</v>
      </c>
      <c r="P356" s="29">
        <f t="shared" si="44"/>
        <v>0.2</v>
      </c>
      <c r="Q356" s="29">
        <f>IF(Dataset!K356&lt;5,0.2,IF(Dataset!K356&lt;10,0.45,IF(Dataset!K356&lt;18,0.7,0.9)))</f>
        <v>0.7</v>
      </c>
      <c r="R356" s="29">
        <f>IF(Dataset!K356&lt;5,1,IF(Dataset!K356&lt;10,2,IF(Dataset!K356&lt;18,3,4)))</f>
        <v>3</v>
      </c>
      <c r="S356" s="29">
        <f t="shared" si="45"/>
        <v>2.0999999999999996</v>
      </c>
      <c r="T356" s="29">
        <f t="shared" si="46"/>
        <v>0.86900000000000022</v>
      </c>
      <c r="U356" s="29" t="str">
        <f t="shared" si="47"/>
        <v>Low</v>
      </c>
    </row>
    <row r="357" spans="1:21" ht="15" customHeight="1" x14ac:dyDescent="0.25">
      <c r="A357" s="29">
        <f>Dataset!A357</f>
        <v>353</v>
      </c>
      <c r="B357" s="29">
        <f>IF(Dataset!B357&lt;25,0.3,IF(Dataset!B357&lt;75,0.5,IF(Dataset!B357&lt;120,0.65,0.8)))</f>
        <v>0.5</v>
      </c>
      <c r="C357" s="29">
        <f>IF(Dataset!B357&lt;25,1,IF(Dataset!B357&lt;75,2,IF(Dataset!B357&lt;120,3,4)))</f>
        <v>2</v>
      </c>
      <c r="D357" s="29">
        <f t="shared" si="40"/>
        <v>1</v>
      </c>
      <c r="E357" s="29">
        <f>IF(Dataset!C357&lt;=1,0.3,IF(Dataset!C357=2,0.4,IF(Dataset!C357=3,0.5,IF(Dataset!C357=4,0.65,0.8))))</f>
        <v>0.5</v>
      </c>
      <c r="F357" s="29">
        <f>IF(Dataset!C357&lt;=2,1,IF(Dataset!C357=3,2,IF(Dataset!C357=4,3,4)))</f>
        <v>2</v>
      </c>
      <c r="G357" s="29">
        <f t="shared" si="41"/>
        <v>1</v>
      </c>
      <c r="H357" s="29">
        <f>IF(Dataset!G357&lt;=3,0.25,IF(Dataset!G357&lt;=6,0.45,IF(Dataset!G357&lt;=9,0.65,0.85)))</f>
        <v>0.45</v>
      </c>
      <c r="I357" s="29">
        <f>IF(Dataset!G357&lt;=3,1,IF(Dataset!G357&lt;=6,2,IF(Dataset!G357&lt;=9,3,4)))</f>
        <v>2</v>
      </c>
      <c r="J357" s="29">
        <f t="shared" si="42"/>
        <v>0.9</v>
      </c>
      <c r="K357" s="29">
        <f>IF(Dataset!H357&lt;1,0.2,IF(Dataset!H357&lt;1.3,0.45,IF(Dataset!H357&lt;1.8,0.7,0.9)))</f>
        <v>0.9</v>
      </c>
      <c r="L357" s="29">
        <f>IF(Dataset!H357&lt;1,1,IF(Dataset!H357&lt;1.3,2,IF(Dataset!H357&lt;1.8,3,4)))</f>
        <v>4</v>
      </c>
      <c r="M357" s="29">
        <f t="shared" si="43"/>
        <v>3.6</v>
      </c>
      <c r="N357" s="29">
        <f>IF(Dataset!F357=1,0.75,IF(Dataset!F357=2,0.45,0.2))</f>
        <v>0.2</v>
      </c>
      <c r="O357" s="29">
        <f>IF(Dataset!F357=1,3,IF(Dataset!F357=2,2,1))</f>
        <v>1</v>
      </c>
      <c r="P357" s="29">
        <f t="shared" si="44"/>
        <v>0.2</v>
      </c>
      <c r="Q357" s="29">
        <f>IF(Dataset!K357&lt;5,0.2,IF(Dataset!K357&lt;10,0.45,IF(Dataset!K357&lt;18,0.7,0.9)))</f>
        <v>0.45</v>
      </c>
      <c r="R357" s="29">
        <f>IF(Dataset!K357&lt;5,1,IF(Dataset!K357&lt;10,2,IF(Dataset!K357&lt;18,3,4)))</f>
        <v>2</v>
      </c>
      <c r="S357" s="29">
        <f t="shared" si="45"/>
        <v>0.9</v>
      </c>
      <c r="T357" s="29">
        <f t="shared" si="46"/>
        <v>1.51</v>
      </c>
      <c r="U357" s="29" t="str">
        <f t="shared" si="47"/>
        <v>Medium</v>
      </c>
    </row>
    <row r="358" spans="1:21" ht="15" customHeight="1" x14ac:dyDescent="0.25">
      <c r="A358" s="29">
        <f>Dataset!A358</f>
        <v>354</v>
      </c>
      <c r="B358" s="29">
        <f>IF(Dataset!B358&lt;25,0.3,IF(Dataset!B358&lt;75,0.5,IF(Dataset!B358&lt;120,0.65,0.8)))</f>
        <v>0.8</v>
      </c>
      <c r="C358" s="29">
        <f>IF(Dataset!B358&lt;25,1,IF(Dataset!B358&lt;75,2,IF(Dataset!B358&lt;120,3,4)))</f>
        <v>4</v>
      </c>
      <c r="D358" s="29">
        <f t="shared" si="40"/>
        <v>3.2</v>
      </c>
      <c r="E358" s="29">
        <f>IF(Dataset!C358&lt;=1,0.3,IF(Dataset!C358=2,0.4,IF(Dataset!C358=3,0.5,IF(Dataset!C358=4,0.65,0.8))))</f>
        <v>0.5</v>
      </c>
      <c r="F358" s="29">
        <f>IF(Dataset!C358&lt;=2,1,IF(Dataset!C358=3,2,IF(Dataset!C358=4,3,4)))</f>
        <v>2</v>
      </c>
      <c r="G358" s="29">
        <f t="shared" si="41"/>
        <v>1</v>
      </c>
      <c r="H358" s="29">
        <f>IF(Dataset!G358&lt;=3,0.25,IF(Dataset!G358&lt;=6,0.45,IF(Dataset!G358&lt;=9,0.65,0.85)))</f>
        <v>0.85</v>
      </c>
      <c r="I358" s="29">
        <f>IF(Dataset!G358&lt;=3,1,IF(Dataset!G358&lt;=6,2,IF(Dataset!G358&lt;=9,3,4)))</f>
        <v>4</v>
      </c>
      <c r="J358" s="29">
        <f t="shared" si="42"/>
        <v>3.4</v>
      </c>
      <c r="K358" s="29">
        <f>IF(Dataset!H358&lt;1,0.2,IF(Dataset!H358&lt;1.3,0.45,IF(Dataset!H358&lt;1.8,0.7,0.9)))</f>
        <v>0.7</v>
      </c>
      <c r="L358" s="29">
        <f>IF(Dataset!H358&lt;1,1,IF(Dataset!H358&lt;1.3,2,IF(Dataset!H358&lt;1.8,3,4)))</f>
        <v>3</v>
      </c>
      <c r="M358" s="29">
        <f t="shared" si="43"/>
        <v>2.0999999999999996</v>
      </c>
      <c r="N358" s="29">
        <f>IF(Dataset!F358=1,0.75,IF(Dataset!F358=2,0.45,0.2))</f>
        <v>0.75</v>
      </c>
      <c r="O358" s="29">
        <f>IF(Dataset!F358=1,3,IF(Dataset!F358=2,2,1))</f>
        <v>3</v>
      </c>
      <c r="P358" s="29">
        <f t="shared" si="44"/>
        <v>2.25</v>
      </c>
      <c r="Q358" s="29">
        <f>IF(Dataset!K358&lt;5,0.2,IF(Dataset!K358&lt;10,0.45,IF(Dataset!K358&lt;18,0.7,0.9)))</f>
        <v>0.45</v>
      </c>
      <c r="R358" s="29">
        <f>IF(Dataset!K358&lt;5,1,IF(Dataset!K358&lt;10,2,IF(Dataset!K358&lt;18,3,4)))</f>
        <v>2</v>
      </c>
      <c r="S358" s="29">
        <f t="shared" si="45"/>
        <v>0.9</v>
      </c>
      <c r="T358" s="29">
        <f t="shared" si="46"/>
        <v>2.2509999999999999</v>
      </c>
      <c r="U358" s="29" t="str">
        <f t="shared" si="47"/>
        <v>High</v>
      </c>
    </row>
    <row r="359" spans="1:21" ht="15" customHeight="1" x14ac:dyDescent="0.25">
      <c r="A359" s="29">
        <f>Dataset!A359</f>
        <v>355</v>
      </c>
      <c r="B359" s="29">
        <f>IF(Dataset!B359&lt;25,0.3,IF(Dataset!B359&lt;75,0.5,IF(Dataset!B359&lt;120,0.65,0.8)))</f>
        <v>0.3</v>
      </c>
      <c r="C359" s="29">
        <f>IF(Dataset!B359&lt;25,1,IF(Dataset!B359&lt;75,2,IF(Dataset!B359&lt;120,3,4)))</f>
        <v>1</v>
      </c>
      <c r="D359" s="29">
        <f t="shared" si="40"/>
        <v>0.3</v>
      </c>
      <c r="E359" s="29">
        <f>IF(Dataset!C359&lt;=1,0.3,IF(Dataset!C359=2,0.4,IF(Dataset!C359=3,0.5,IF(Dataset!C359=4,0.65,0.8))))</f>
        <v>0.8</v>
      </c>
      <c r="F359" s="29">
        <f>IF(Dataset!C359&lt;=2,1,IF(Dataset!C359=3,2,IF(Dataset!C359=4,3,4)))</f>
        <v>4</v>
      </c>
      <c r="G359" s="29">
        <f t="shared" si="41"/>
        <v>3.2</v>
      </c>
      <c r="H359" s="29">
        <f>IF(Dataset!G359&lt;=3,0.25,IF(Dataset!G359&lt;=6,0.45,IF(Dataset!G359&lt;=9,0.65,0.85)))</f>
        <v>0.65</v>
      </c>
      <c r="I359" s="29">
        <f>IF(Dataset!G359&lt;=3,1,IF(Dataset!G359&lt;=6,2,IF(Dataset!G359&lt;=9,3,4)))</f>
        <v>3</v>
      </c>
      <c r="J359" s="29">
        <f t="shared" si="42"/>
        <v>1.9500000000000002</v>
      </c>
      <c r="K359" s="29">
        <f>IF(Dataset!H359&lt;1,0.2,IF(Dataset!H359&lt;1.3,0.45,IF(Dataset!H359&lt;1.8,0.7,0.9)))</f>
        <v>0.7</v>
      </c>
      <c r="L359" s="29">
        <f>IF(Dataset!H359&lt;1,1,IF(Dataset!H359&lt;1.3,2,IF(Dataset!H359&lt;1.8,3,4)))</f>
        <v>3</v>
      </c>
      <c r="M359" s="29">
        <f t="shared" si="43"/>
        <v>2.0999999999999996</v>
      </c>
      <c r="N359" s="29">
        <f>IF(Dataset!F359=1,0.75,IF(Dataset!F359=2,0.45,0.2))</f>
        <v>0.75</v>
      </c>
      <c r="O359" s="29">
        <f>IF(Dataset!F359=1,3,IF(Dataset!F359=2,2,1))</f>
        <v>3</v>
      </c>
      <c r="P359" s="29">
        <f t="shared" si="44"/>
        <v>2.25</v>
      </c>
      <c r="Q359" s="29">
        <f>IF(Dataset!K359&lt;5,0.2,IF(Dataset!K359&lt;10,0.45,IF(Dataset!K359&lt;18,0.7,0.9)))</f>
        <v>0.7</v>
      </c>
      <c r="R359" s="29">
        <f>IF(Dataset!K359&lt;5,1,IF(Dataset!K359&lt;10,2,IF(Dataset!K359&lt;18,3,4)))</f>
        <v>3</v>
      </c>
      <c r="S359" s="29">
        <f t="shared" si="45"/>
        <v>2.0999999999999996</v>
      </c>
      <c r="T359" s="29">
        <f t="shared" si="46"/>
        <v>1.915</v>
      </c>
      <c r="U359" s="29" t="str">
        <f t="shared" si="47"/>
        <v>High</v>
      </c>
    </row>
    <row r="360" spans="1:21" ht="15" customHeight="1" x14ac:dyDescent="0.25">
      <c r="A360" s="29">
        <f>Dataset!A360</f>
        <v>356</v>
      </c>
      <c r="B360" s="29">
        <f>IF(Dataset!B360&lt;25,0.3,IF(Dataset!B360&lt;75,0.5,IF(Dataset!B360&lt;120,0.65,0.8)))</f>
        <v>0.8</v>
      </c>
      <c r="C360" s="29">
        <f>IF(Dataset!B360&lt;25,1,IF(Dataset!B360&lt;75,2,IF(Dataset!B360&lt;120,3,4)))</f>
        <v>4</v>
      </c>
      <c r="D360" s="29">
        <f t="shared" si="40"/>
        <v>3.2</v>
      </c>
      <c r="E360" s="29">
        <f>IF(Dataset!C360&lt;=1,0.3,IF(Dataset!C360=2,0.4,IF(Dataset!C360=3,0.5,IF(Dataset!C360=4,0.65,0.8))))</f>
        <v>0.5</v>
      </c>
      <c r="F360" s="29">
        <f>IF(Dataset!C360&lt;=2,1,IF(Dataset!C360=3,2,IF(Dataset!C360=4,3,4)))</f>
        <v>2</v>
      </c>
      <c r="G360" s="29">
        <f t="shared" si="41"/>
        <v>1</v>
      </c>
      <c r="H360" s="29">
        <f>IF(Dataset!G360&lt;=3,0.25,IF(Dataset!G360&lt;=6,0.45,IF(Dataset!G360&lt;=9,0.65,0.85)))</f>
        <v>0.65</v>
      </c>
      <c r="I360" s="29">
        <f>IF(Dataset!G360&lt;=3,1,IF(Dataset!G360&lt;=6,2,IF(Dataset!G360&lt;=9,3,4)))</f>
        <v>3</v>
      </c>
      <c r="J360" s="29">
        <f t="shared" si="42"/>
        <v>1.9500000000000002</v>
      </c>
      <c r="K360" s="29">
        <f>IF(Dataset!H360&lt;1,0.2,IF(Dataset!H360&lt;1.3,0.45,IF(Dataset!H360&lt;1.8,0.7,0.9)))</f>
        <v>0.9</v>
      </c>
      <c r="L360" s="29">
        <f>IF(Dataset!H360&lt;1,1,IF(Dataset!H360&lt;1.3,2,IF(Dataset!H360&lt;1.8,3,4)))</f>
        <v>4</v>
      </c>
      <c r="M360" s="29">
        <f t="shared" si="43"/>
        <v>3.6</v>
      </c>
      <c r="N360" s="29">
        <f>IF(Dataset!F360=1,0.75,IF(Dataset!F360=2,0.45,0.2))</f>
        <v>0.2</v>
      </c>
      <c r="O360" s="29">
        <f>IF(Dataset!F360=1,3,IF(Dataset!F360=2,2,1))</f>
        <v>1</v>
      </c>
      <c r="P360" s="29">
        <f t="shared" si="44"/>
        <v>0.2</v>
      </c>
      <c r="Q360" s="29">
        <f>IF(Dataset!K360&lt;5,0.2,IF(Dataset!K360&lt;10,0.45,IF(Dataset!K360&lt;18,0.7,0.9)))</f>
        <v>0.45</v>
      </c>
      <c r="R360" s="29">
        <f>IF(Dataset!K360&lt;5,1,IF(Dataset!K360&lt;10,2,IF(Dataset!K360&lt;18,3,4)))</f>
        <v>2</v>
      </c>
      <c r="S360" s="29">
        <f t="shared" si="45"/>
        <v>0.9</v>
      </c>
      <c r="T360" s="29">
        <f t="shared" si="46"/>
        <v>2.1160000000000001</v>
      </c>
      <c r="U360" s="29" t="str">
        <f t="shared" si="47"/>
        <v>High</v>
      </c>
    </row>
    <row r="361" spans="1:21" ht="15" customHeight="1" x14ac:dyDescent="0.25">
      <c r="A361" s="29">
        <f>Dataset!A361</f>
        <v>357</v>
      </c>
      <c r="B361" s="29">
        <f>IF(Dataset!B361&lt;25,0.3,IF(Dataset!B361&lt;75,0.5,IF(Dataset!B361&lt;120,0.65,0.8)))</f>
        <v>0.5</v>
      </c>
      <c r="C361" s="29">
        <f>IF(Dataset!B361&lt;25,1,IF(Dataset!B361&lt;75,2,IF(Dataset!B361&lt;120,3,4)))</f>
        <v>2</v>
      </c>
      <c r="D361" s="29">
        <f t="shared" si="40"/>
        <v>1</v>
      </c>
      <c r="E361" s="29">
        <f>IF(Dataset!C361&lt;=1,0.3,IF(Dataset!C361=2,0.4,IF(Dataset!C361=3,0.5,IF(Dataset!C361=4,0.65,0.8))))</f>
        <v>0.5</v>
      </c>
      <c r="F361" s="29">
        <f>IF(Dataset!C361&lt;=2,1,IF(Dataset!C361=3,2,IF(Dataset!C361=4,3,4)))</f>
        <v>2</v>
      </c>
      <c r="G361" s="29">
        <f t="shared" si="41"/>
        <v>1</v>
      </c>
      <c r="H361" s="29">
        <f>IF(Dataset!G361&lt;=3,0.25,IF(Dataset!G361&lt;=6,0.45,IF(Dataset!G361&lt;=9,0.65,0.85)))</f>
        <v>0.25</v>
      </c>
      <c r="I361" s="29">
        <f>IF(Dataset!G361&lt;=3,1,IF(Dataset!G361&lt;=6,2,IF(Dataset!G361&lt;=9,3,4)))</f>
        <v>1</v>
      </c>
      <c r="J361" s="29">
        <f t="shared" si="42"/>
        <v>0.25</v>
      </c>
      <c r="K361" s="29">
        <f>IF(Dataset!H361&lt;1,0.2,IF(Dataset!H361&lt;1.3,0.45,IF(Dataset!H361&lt;1.8,0.7,0.9)))</f>
        <v>0.7</v>
      </c>
      <c r="L361" s="29">
        <f>IF(Dataset!H361&lt;1,1,IF(Dataset!H361&lt;1.3,2,IF(Dataset!H361&lt;1.8,3,4)))</f>
        <v>3</v>
      </c>
      <c r="M361" s="29">
        <f t="shared" si="43"/>
        <v>2.0999999999999996</v>
      </c>
      <c r="N361" s="29">
        <f>IF(Dataset!F361=1,0.75,IF(Dataset!F361=2,0.45,0.2))</f>
        <v>0.75</v>
      </c>
      <c r="O361" s="29">
        <f>IF(Dataset!F361=1,3,IF(Dataset!F361=2,2,1))</f>
        <v>3</v>
      </c>
      <c r="P361" s="29">
        <f t="shared" si="44"/>
        <v>2.25</v>
      </c>
      <c r="Q361" s="29">
        <f>IF(Dataset!K361&lt;5,0.2,IF(Dataset!K361&lt;10,0.45,IF(Dataset!K361&lt;18,0.7,0.9)))</f>
        <v>0.2</v>
      </c>
      <c r="R361" s="29">
        <f>IF(Dataset!K361&lt;5,1,IF(Dataset!K361&lt;10,2,IF(Dataset!K361&lt;18,3,4)))</f>
        <v>1</v>
      </c>
      <c r="S361" s="29">
        <f t="shared" si="45"/>
        <v>0.2</v>
      </c>
      <c r="T361" s="29">
        <f t="shared" si="46"/>
        <v>1.127</v>
      </c>
      <c r="U361" s="29" t="str">
        <f t="shared" si="47"/>
        <v>Low</v>
      </c>
    </row>
    <row r="362" spans="1:21" ht="15" customHeight="1" x14ac:dyDescent="0.25">
      <c r="A362" s="29">
        <f>Dataset!A362</f>
        <v>358</v>
      </c>
      <c r="B362" s="29">
        <f>IF(Dataset!B362&lt;25,0.3,IF(Dataset!B362&lt;75,0.5,IF(Dataset!B362&lt;120,0.65,0.8)))</f>
        <v>0.5</v>
      </c>
      <c r="C362" s="29">
        <f>IF(Dataset!B362&lt;25,1,IF(Dataset!B362&lt;75,2,IF(Dataset!B362&lt;120,3,4)))</f>
        <v>2</v>
      </c>
      <c r="D362" s="29">
        <f t="shared" si="40"/>
        <v>1</v>
      </c>
      <c r="E362" s="29">
        <f>IF(Dataset!C362&lt;=1,0.3,IF(Dataset!C362=2,0.4,IF(Dataset!C362=3,0.5,IF(Dataset!C362=4,0.65,0.8))))</f>
        <v>0.65</v>
      </c>
      <c r="F362" s="29">
        <f>IF(Dataset!C362&lt;=2,1,IF(Dataset!C362=3,2,IF(Dataset!C362=4,3,4)))</f>
        <v>3</v>
      </c>
      <c r="G362" s="29">
        <f t="shared" si="41"/>
        <v>1.9500000000000002</v>
      </c>
      <c r="H362" s="29">
        <f>IF(Dataset!G362&lt;=3,0.25,IF(Dataset!G362&lt;=6,0.45,IF(Dataset!G362&lt;=9,0.65,0.85)))</f>
        <v>0.65</v>
      </c>
      <c r="I362" s="29">
        <f>IF(Dataset!G362&lt;=3,1,IF(Dataset!G362&lt;=6,2,IF(Dataset!G362&lt;=9,3,4)))</f>
        <v>3</v>
      </c>
      <c r="J362" s="29">
        <f t="shared" si="42"/>
        <v>1.9500000000000002</v>
      </c>
      <c r="K362" s="29">
        <f>IF(Dataset!H362&lt;1,0.2,IF(Dataset!H362&lt;1.3,0.45,IF(Dataset!H362&lt;1.8,0.7,0.9)))</f>
        <v>0.9</v>
      </c>
      <c r="L362" s="29">
        <f>IF(Dataset!H362&lt;1,1,IF(Dataset!H362&lt;1.3,2,IF(Dataset!H362&lt;1.8,3,4)))</f>
        <v>4</v>
      </c>
      <c r="M362" s="29">
        <f t="shared" si="43"/>
        <v>3.6</v>
      </c>
      <c r="N362" s="29">
        <f>IF(Dataset!F362=1,0.75,IF(Dataset!F362=2,0.45,0.2))</f>
        <v>0.75</v>
      </c>
      <c r="O362" s="29">
        <f>IF(Dataset!F362=1,3,IF(Dataset!F362=2,2,1))</f>
        <v>3</v>
      </c>
      <c r="P362" s="29">
        <f t="shared" si="44"/>
        <v>2.25</v>
      </c>
      <c r="Q362" s="29">
        <f>IF(Dataset!K362&lt;5,0.2,IF(Dataset!K362&lt;10,0.45,IF(Dataset!K362&lt;18,0.7,0.9)))</f>
        <v>0.45</v>
      </c>
      <c r="R362" s="29">
        <f>IF(Dataset!K362&lt;5,1,IF(Dataset!K362&lt;10,2,IF(Dataset!K362&lt;18,3,4)))</f>
        <v>2</v>
      </c>
      <c r="S362" s="29">
        <f t="shared" si="45"/>
        <v>0.9</v>
      </c>
      <c r="T362" s="29">
        <f t="shared" si="46"/>
        <v>2.0580000000000003</v>
      </c>
      <c r="U362" s="29" t="str">
        <f t="shared" si="47"/>
        <v>High</v>
      </c>
    </row>
    <row r="363" spans="1:21" ht="15" customHeight="1" x14ac:dyDescent="0.25">
      <c r="A363" s="29">
        <f>Dataset!A363</f>
        <v>359</v>
      </c>
      <c r="B363" s="29">
        <f>IF(Dataset!B363&lt;25,0.3,IF(Dataset!B363&lt;75,0.5,IF(Dataset!B363&lt;120,0.65,0.8)))</f>
        <v>0.5</v>
      </c>
      <c r="C363" s="29">
        <f>IF(Dataset!B363&lt;25,1,IF(Dataset!B363&lt;75,2,IF(Dataset!B363&lt;120,3,4)))</f>
        <v>2</v>
      </c>
      <c r="D363" s="29">
        <f t="shared" si="40"/>
        <v>1</v>
      </c>
      <c r="E363" s="29">
        <f>IF(Dataset!C363&lt;=1,0.3,IF(Dataset!C363=2,0.4,IF(Dataset!C363=3,0.5,IF(Dataset!C363=4,0.65,0.8))))</f>
        <v>0.5</v>
      </c>
      <c r="F363" s="29">
        <f>IF(Dataset!C363&lt;=2,1,IF(Dataset!C363=3,2,IF(Dataset!C363=4,3,4)))</f>
        <v>2</v>
      </c>
      <c r="G363" s="29">
        <f t="shared" si="41"/>
        <v>1</v>
      </c>
      <c r="H363" s="29">
        <f>IF(Dataset!G363&lt;=3,0.25,IF(Dataset!G363&lt;=6,0.45,IF(Dataset!G363&lt;=9,0.65,0.85)))</f>
        <v>0.65</v>
      </c>
      <c r="I363" s="29">
        <f>IF(Dataset!G363&lt;=3,1,IF(Dataset!G363&lt;=6,2,IF(Dataset!G363&lt;=9,3,4)))</f>
        <v>3</v>
      </c>
      <c r="J363" s="29">
        <f t="shared" si="42"/>
        <v>1.9500000000000002</v>
      </c>
      <c r="K363" s="29">
        <f>IF(Dataset!H363&lt;1,0.2,IF(Dataset!H363&lt;1.3,0.45,IF(Dataset!H363&lt;1.8,0.7,0.9)))</f>
        <v>0.9</v>
      </c>
      <c r="L363" s="29">
        <f>IF(Dataset!H363&lt;1,1,IF(Dataset!H363&lt;1.3,2,IF(Dataset!H363&lt;1.8,3,4)))</f>
        <v>4</v>
      </c>
      <c r="M363" s="29">
        <f t="shared" si="43"/>
        <v>3.6</v>
      </c>
      <c r="N363" s="29">
        <f>IF(Dataset!F363=1,0.75,IF(Dataset!F363=2,0.45,0.2))</f>
        <v>0.2</v>
      </c>
      <c r="O363" s="29">
        <f>IF(Dataset!F363=1,3,IF(Dataset!F363=2,2,1))</f>
        <v>1</v>
      </c>
      <c r="P363" s="29">
        <f t="shared" si="44"/>
        <v>0.2</v>
      </c>
      <c r="Q363" s="29">
        <f>IF(Dataset!K363&lt;5,0.2,IF(Dataset!K363&lt;10,0.45,IF(Dataset!K363&lt;18,0.7,0.9)))</f>
        <v>0.2</v>
      </c>
      <c r="R363" s="29">
        <f>IF(Dataset!K363&lt;5,1,IF(Dataset!K363&lt;10,2,IF(Dataset!K363&lt;18,3,4)))</f>
        <v>1</v>
      </c>
      <c r="S363" s="29">
        <f t="shared" si="45"/>
        <v>0.2</v>
      </c>
      <c r="T363" s="29">
        <f t="shared" si="46"/>
        <v>1.6220000000000001</v>
      </c>
      <c r="U363" s="29" t="str">
        <f t="shared" si="47"/>
        <v>Medium</v>
      </c>
    </row>
    <row r="364" spans="1:21" ht="15" customHeight="1" x14ac:dyDescent="0.25">
      <c r="A364" s="29">
        <f>Dataset!A364</f>
        <v>360</v>
      </c>
      <c r="B364" s="29">
        <f>IF(Dataset!B364&lt;25,0.3,IF(Dataset!B364&lt;75,0.5,IF(Dataset!B364&lt;120,0.65,0.8)))</f>
        <v>0.3</v>
      </c>
      <c r="C364" s="29">
        <f>IF(Dataset!B364&lt;25,1,IF(Dataset!B364&lt;75,2,IF(Dataset!B364&lt;120,3,4)))</f>
        <v>1</v>
      </c>
      <c r="D364" s="29">
        <f t="shared" si="40"/>
        <v>0.3</v>
      </c>
      <c r="E364" s="29">
        <f>IF(Dataset!C364&lt;=1,0.3,IF(Dataset!C364=2,0.4,IF(Dataset!C364=3,0.5,IF(Dataset!C364=4,0.65,0.8))))</f>
        <v>0.65</v>
      </c>
      <c r="F364" s="29">
        <f>IF(Dataset!C364&lt;=2,1,IF(Dataset!C364=3,2,IF(Dataset!C364=4,3,4)))</f>
        <v>3</v>
      </c>
      <c r="G364" s="29">
        <f t="shared" si="41"/>
        <v>1.9500000000000002</v>
      </c>
      <c r="H364" s="29">
        <f>IF(Dataset!G364&lt;=3,0.25,IF(Dataset!G364&lt;=6,0.45,IF(Dataset!G364&lt;=9,0.65,0.85)))</f>
        <v>0.65</v>
      </c>
      <c r="I364" s="29">
        <f>IF(Dataset!G364&lt;=3,1,IF(Dataset!G364&lt;=6,2,IF(Dataset!G364&lt;=9,3,4)))</f>
        <v>3</v>
      </c>
      <c r="J364" s="29">
        <f t="shared" si="42"/>
        <v>1.9500000000000002</v>
      </c>
      <c r="K364" s="29">
        <f>IF(Dataset!H364&lt;1,0.2,IF(Dataset!H364&lt;1.3,0.45,IF(Dataset!H364&lt;1.8,0.7,0.9)))</f>
        <v>0.9</v>
      </c>
      <c r="L364" s="29">
        <f>IF(Dataset!H364&lt;1,1,IF(Dataset!H364&lt;1.3,2,IF(Dataset!H364&lt;1.8,3,4)))</f>
        <v>4</v>
      </c>
      <c r="M364" s="29">
        <f t="shared" si="43"/>
        <v>3.6</v>
      </c>
      <c r="N364" s="29">
        <f>IF(Dataset!F364=1,0.75,IF(Dataset!F364=2,0.45,0.2))</f>
        <v>0.2</v>
      </c>
      <c r="O364" s="29">
        <f>IF(Dataset!F364=1,3,IF(Dataset!F364=2,2,1))</f>
        <v>1</v>
      </c>
      <c r="P364" s="29">
        <f t="shared" si="44"/>
        <v>0.2</v>
      </c>
      <c r="Q364" s="29">
        <f>IF(Dataset!K364&lt;5,0.2,IF(Dataset!K364&lt;10,0.45,IF(Dataset!K364&lt;18,0.7,0.9)))</f>
        <v>0.7</v>
      </c>
      <c r="R364" s="29">
        <f>IF(Dataset!K364&lt;5,1,IF(Dataset!K364&lt;10,2,IF(Dataset!K364&lt;18,3,4)))</f>
        <v>3</v>
      </c>
      <c r="S364" s="29">
        <f t="shared" si="45"/>
        <v>2.0999999999999996</v>
      </c>
      <c r="T364" s="29">
        <f t="shared" si="46"/>
        <v>1.895</v>
      </c>
      <c r="U364" s="29" t="str">
        <f t="shared" si="47"/>
        <v>High</v>
      </c>
    </row>
    <row r="365" spans="1:21" ht="15" customHeight="1" x14ac:dyDescent="0.25">
      <c r="A365" s="29">
        <f>Dataset!A365</f>
        <v>361</v>
      </c>
      <c r="B365" s="29">
        <f>IF(Dataset!B365&lt;25,0.3,IF(Dataset!B365&lt;75,0.5,IF(Dataset!B365&lt;120,0.65,0.8)))</f>
        <v>0.5</v>
      </c>
      <c r="C365" s="29">
        <f>IF(Dataset!B365&lt;25,1,IF(Dataset!B365&lt;75,2,IF(Dataset!B365&lt;120,3,4)))</f>
        <v>2</v>
      </c>
      <c r="D365" s="29">
        <f t="shared" si="40"/>
        <v>1</v>
      </c>
      <c r="E365" s="29">
        <f>IF(Dataset!C365&lt;=1,0.3,IF(Dataset!C365=2,0.4,IF(Dataset!C365=3,0.5,IF(Dataset!C365=4,0.65,0.8))))</f>
        <v>0.5</v>
      </c>
      <c r="F365" s="29">
        <f>IF(Dataset!C365&lt;=2,1,IF(Dataset!C365=3,2,IF(Dataset!C365=4,3,4)))</f>
        <v>2</v>
      </c>
      <c r="G365" s="29">
        <f t="shared" si="41"/>
        <v>1</v>
      </c>
      <c r="H365" s="29">
        <f>IF(Dataset!G365&lt;=3,0.25,IF(Dataset!G365&lt;=6,0.45,IF(Dataset!G365&lt;=9,0.65,0.85)))</f>
        <v>0.45</v>
      </c>
      <c r="I365" s="29">
        <f>IF(Dataset!G365&lt;=3,1,IF(Dataset!G365&lt;=6,2,IF(Dataset!G365&lt;=9,3,4)))</f>
        <v>2</v>
      </c>
      <c r="J365" s="29">
        <f t="shared" si="42"/>
        <v>0.9</v>
      </c>
      <c r="K365" s="29">
        <f>IF(Dataset!H365&lt;1,0.2,IF(Dataset!H365&lt;1.3,0.45,IF(Dataset!H365&lt;1.8,0.7,0.9)))</f>
        <v>0.45</v>
      </c>
      <c r="L365" s="29">
        <f>IF(Dataset!H365&lt;1,1,IF(Dataset!H365&lt;1.3,2,IF(Dataset!H365&lt;1.8,3,4)))</f>
        <v>2</v>
      </c>
      <c r="M365" s="29">
        <f t="shared" si="43"/>
        <v>0.9</v>
      </c>
      <c r="N365" s="29">
        <f>IF(Dataset!F365=1,0.75,IF(Dataset!F365=2,0.45,0.2))</f>
        <v>0.2</v>
      </c>
      <c r="O365" s="29">
        <f>IF(Dataset!F365=1,3,IF(Dataset!F365=2,2,1))</f>
        <v>1</v>
      </c>
      <c r="P365" s="29">
        <f t="shared" si="44"/>
        <v>0.2</v>
      </c>
      <c r="Q365" s="29">
        <f>IF(Dataset!K365&lt;5,0.2,IF(Dataset!K365&lt;10,0.45,IF(Dataset!K365&lt;18,0.7,0.9)))</f>
        <v>0.45</v>
      </c>
      <c r="R365" s="29">
        <f>IF(Dataset!K365&lt;5,1,IF(Dataset!K365&lt;10,2,IF(Dataset!K365&lt;18,3,4)))</f>
        <v>2</v>
      </c>
      <c r="S365" s="29">
        <f t="shared" si="45"/>
        <v>0.9</v>
      </c>
      <c r="T365" s="29">
        <f t="shared" si="46"/>
        <v>0.86199999999999999</v>
      </c>
      <c r="U365" s="29" t="str">
        <f t="shared" si="47"/>
        <v>Low</v>
      </c>
    </row>
    <row r="366" spans="1:21" ht="15" customHeight="1" x14ac:dyDescent="0.25">
      <c r="A366" s="29">
        <f>Dataset!A366</f>
        <v>362</v>
      </c>
      <c r="B366" s="29">
        <f>IF(Dataset!B366&lt;25,0.3,IF(Dataset!B366&lt;75,0.5,IF(Dataset!B366&lt;120,0.65,0.8)))</f>
        <v>0.3</v>
      </c>
      <c r="C366" s="29">
        <f>IF(Dataset!B366&lt;25,1,IF(Dataset!B366&lt;75,2,IF(Dataset!B366&lt;120,3,4)))</f>
        <v>1</v>
      </c>
      <c r="D366" s="29">
        <f t="shared" si="40"/>
        <v>0.3</v>
      </c>
      <c r="E366" s="29">
        <f>IF(Dataset!C366&lt;=1,0.3,IF(Dataset!C366=2,0.4,IF(Dataset!C366=3,0.5,IF(Dataset!C366=4,0.65,0.8))))</f>
        <v>0.65</v>
      </c>
      <c r="F366" s="29">
        <f>IF(Dataset!C366&lt;=2,1,IF(Dataset!C366=3,2,IF(Dataset!C366=4,3,4)))</f>
        <v>3</v>
      </c>
      <c r="G366" s="29">
        <f t="shared" si="41"/>
        <v>1.9500000000000002</v>
      </c>
      <c r="H366" s="29">
        <f>IF(Dataset!G366&lt;=3,0.25,IF(Dataset!G366&lt;=6,0.45,IF(Dataset!G366&lt;=9,0.65,0.85)))</f>
        <v>0.45</v>
      </c>
      <c r="I366" s="29">
        <f>IF(Dataset!G366&lt;=3,1,IF(Dataset!G366&lt;=6,2,IF(Dataset!G366&lt;=9,3,4)))</f>
        <v>2</v>
      </c>
      <c r="J366" s="29">
        <f t="shared" si="42"/>
        <v>0.9</v>
      </c>
      <c r="K366" s="29">
        <f>IF(Dataset!H366&lt;1,0.2,IF(Dataset!H366&lt;1.3,0.45,IF(Dataset!H366&lt;1.8,0.7,0.9)))</f>
        <v>0.2</v>
      </c>
      <c r="L366" s="29">
        <f>IF(Dataset!H366&lt;1,1,IF(Dataset!H366&lt;1.3,2,IF(Dataset!H366&lt;1.8,3,4)))</f>
        <v>1</v>
      </c>
      <c r="M366" s="29">
        <f t="shared" si="43"/>
        <v>0.2</v>
      </c>
      <c r="N366" s="29">
        <f>IF(Dataset!F366=1,0.75,IF(Dataset!F366=2,0.45,0.2))</f>
        <v>0.45</v>
      </c>
      <c r="O366" s="29">
        <f>IF(Dataset!F366=1,3,IF(Dataset!F366=2,2,1))</f>
        <v>2</v>
      </c>
      <c r="P366" s="29">
        <f t="shared" si="44"/>
        <v>0.9</v>
      </c>
      <c r="Q366" s="29">
        <f>IF(Dataset!K366&lt;5,0.2,IF(Dataset!K366&lt;10,0.45,IF(Dataset!K366&lt;18,0.7,0.9)))</f>
        <v>0.7</v>
      </c>
      <c r="R366" s="29">
        <f>IF(Dataset!K366&lt;5,1,IF(Dataset!K366&lt;10,2,IF(Dataset!K366&lt;18,3,4)))</f>
        <v>3</v>
      </c>
      <c r="S366" s="29">
        <f t="shared" si="45"/>
        <v>2.0999999999999996</v>
      </c>
      <c r="T366" s="29">
        <f t="shared" si="46"/>
        <v>0.93900000000000006</v>
      </c>
      <c r="U366" s="29" t="str">
        <f t="shared" si="47"/>
        <v>Low</v>
      </c>
    </row>
    <row r="367" spans="1:21" ht="15" customHeight="1" x14ac:dyDescent="0.25">
      <c r="A367" s="29">
        <f>Dataset!A367</f>
        <v>363</v>
      </c>
      <c r="B367" s="29">
        <f>IF(Dataset!B367&lt;25,0.3,IF(Dataset!B367&lt;75,0.5,IF(Dataset!B367&lt;120,0.65,0.8)))</f>
        <v>0.5</v>
      </c>
      <c r="C367" s="29">
        <f>IF(Dataset!B367&lt;25,1,IF(Dataset!B367&lt;75,2,IF(Dataset!B367&lt;120,3,4)))</f>
        <v>2</v>
      </c>
      <c r="D367" s="29">
        <f t="shared" si="40"/>
        <v>1</v>
      </c>
      <c r="E367" s="29">
        <f>IF(Dataset!C367&lt;=1,0.3,IF(Dataset!C367=2,0.4,IF(Dataset!C367=3,0.5,IF(Dataset!C367=4,0.65,0.8))))</f>
        <v>0.8</v>
      </c>
      <c r="F367" s="29">
        <f>IF(Dataset!C367&lt;=2,1,IF(Dataset!C367=3,2,IF(Dataset!C367=4,3,4)))</f>
        <v>4</v>
      </c>
      <c r="G367" s="29">
        <f t="shared" si="41"/>
        <v>3.2</v>
      </c>
      <c r="H367" s="29">
        <f>IF(Dataset!G367&lt;=3,0.25,IF(Dataset!G367&lt;=6,0.45,IF(Dataset!G367&lt;=9,0.65,0.85)))</f>
        <v>0.45</v>
      </c>
      <c r="I367" s="29">
        <f>IF(Dataset!G367&lt;=3,1,IF(Dataset!G367&lt;=6,2,IF(Dataset!G367&lt;=9,3,4)))</f>
        <v>2</v>
      </c>
      <c r="J367" s="29">
        <f t="shared" si="42"/>
        <v>0.9</v>
      </c>
      <c r="K367" s="29">
        <f>IF(Dataset!H367&lt;1,0.2,IF(Dataset!H367&lt;1.3,0.45,IF(Dataset!H367&lt;1.8,0.7,0.9)))</f>
        <v>0.9</v>
      </c>
      <c r="L367" s="29">
        <f>IF(Dataset!H367&lt;1,1,IF(Dataset!H367&lt;1.3,2,IF(Dataset!H367&lt;1.8,3,4)))</f>
        <v>4</v>
      </c>
      <c r="M367" s="29">
        <f t="shared" si="43"/>
        <v>3.6</v>
      </c>
      <c r="N367" s="29">
        <f>IF(Dataset!F367=1,0.75,IF(Dataset!F367=2,0.45,0.2))</f>
        <v>0.45</v>
      </c>
      <c r="O367" s="29">
        <f>IF(Dataset!F367=1,3,IF(Dataset!F367=2,2,1))</f>
        <v>2</v>
      </c>
      <c r="P367" s="29">
        <f t="shared" si="44"/>
        <v>0.9</v>
      </c>
      <c r="Q367" s="29">
        <f>IF(Dataset!K367&lt;5,0.2,IF(Dataset!K367&lt;10,0.45,IF(Dataset!K367&lt;18,0.7,0.9)))</f>
        <v>0.7</v>
      </c>
      <c r="R367" s="29">
        <f>IF(Dataset!K367&lt;5,1,IF(Dataset!K367&lt;10,2,IF(Dataset!K367&lt;18,3,4)))</f>
        <v>3</v>
      </c>
      <c r="S367" s="29">
        <f t="shared" si="45"/>
        <v>2.0999999999999996</v>
      </c>
      <c r="T367" s="29">
        <f t="shared" si="46"/>
        <v>2.056</v>
      </c>
      <c r="U367" s="29" t="str">
        <f t="shared" si="47"/>
        <v>High</v>
      </c>
    </row>
    <row r="368" spans="1:21" ht="15" customHeight="1" x14ac:dyDescent="0.25">
      <c r="A368" s="29">
        <f>Dataset!A368</f>
        <v>364</v>
      </c>
      <c r="B368" s="29">
        <f>IF(Dataset!B368&lt;25,0.3,IF(Dataset!B368&lt;75,0.5,IF(Dataset!B368&lt;120,0.65,0.8)))</f>
        <v>0.5</v>
      </c>
      <c r="C368" s="29">
        <f>IF(Dataset!B368&lt;25,1,IF(Dataset!B368&lt;75,2,IF(Dataset!B368&lt;120,3,4)))</f>
        <v>2</v>
      </c>
      <c r="D368" s="29">
        <f t="shared" si="40"/>
        <v>1</v>
      </c>
      <c r="E368" s="29">
        <f>IF(Dataset!C368&lt;=1,0.3,IF(Dataset!C368=2,0.4,IF(Dataset!C368=3,0.5,IF(Dataset!C368=4,0.65,0.8))))</f>
        <v>0.8</v>
      </c>
      <c r="F368" s="29">
        <f>IF(Dataset!C368&lt;=2,1,IF(Dataset!C368=3,2,IF(Dataset!C368=4,3,4)))</f>
        <v>4</v>
      </c>
      <c r="G368" s="29">
        <f t="shared" si="41"/>
        <v>3.2</v>
      </c>
      <c r="H368" s="29">
        <f>IF(Dataset!G368&lt;=3,0.25,IF(Dataset!G368&lt;=6,0.45,IF(Dataset!G368&lt;=9,0.65,0.85)))</f>
        <v>0.45</v>
      </c>
      <c r="I368" s="29">
        <f>IF(Dataset!G368&lt;=3,1,IF(Dataset!G368&lt;=6,2,IF(Dataset!G368&lt;=9,3,4)))</f>
        <v>2</v>
      </c>
      <c r="J368" s="29">
        <f t="shared" si="42"/>
        <v>0.9</v>
      </c>
      <c r="K368" s="29">
        <f>IF(Dataset!H368&lt;1,0.2,IF(Dataset!H368&lt;1.3,0.45,IF(Dataset!H368&lt;1.8,0.7,0.9)))</f>
        <v>0.9</v>
      </c>
      <c r="L368" s="29">
        <f>IF(Dataset!H368&lt;1,1,IF(Dataset!H368&lt;1.3,2,IF(Dataset!H368&lt;1.8,3,4)))</f>
        <v>4</v>
      </c>
      <c r="M368" s="29">
        <f t="shared" si="43"/>
        <v>3.6</v>
      </c>
      <c r="N368" s="29">
        <f>IF(Dataset!F368=1,0.75,IF(Dataset!F368=2,0.45,0.2))</f>
        <v>0.2</v>
      </c>
      <c r="O368" s="29">
        <f>IF(Dataset!F368=1,3,IF(Dataset!F368=2,2,1))</f>
        <v>1</v>
      </c>
      <c r="P368" s="29">
        <f t="shared" si="44"/>
        <v>0.2</v>
      </c>
      <c r="Q368" s="29">
        <f>IF(Dataset!K368&lt;5,0.2,IF(Dataset!K368&lt;10,0.45,IF(Dataset!K368&lt;18,0.7,0.9)))</f>
        <v>0.9</v>
      </c>
      <c r="R368" s="29">
        <f>IF(Dataset!K368&lt;5,1,IF(Dataset!K368&lt;10,2,IF(Dataset!K368&lt;18,3,4)))</f>
        <v>4</v>
      </c>
      <c r="S368" s="29">
        <f t="shared" si="45"/>
        <v>3.6</v>
      </c>
      <c r="T368" s="29">
        <f t="shared" si="46"/>
        <v>2.1960000000000002</v>
      </c>
      <c r="U368" s="29" t="str">
        <f t="shared" si="47"/>
        <v>High</v>
      </c>
    </row>
    <row r="369" spans="1:21" ht="15" customHeight="1" x14ac:dyDescent="0.25">
      <c r="A369" s="29">
        <f>Dataset!A369</f>
        <v>365</v>
      </c>
      <c r="B369" s="29">
        <f>IF(Dataset!B369&lt;25,0.3,IF(Dataset!B369&lt;75,0.5,IF(Dataset!B369&lt;120,0.65,0.8)))</f>
        <v>0.3</v>
      </c>
      <c r="C369" s="29">
        <f>IF(Dataset!B369&lt;25,1,IF(Dataset!B369&lt;75,2,IF(Dataset!B369&lt;120,3,4)))</f>
        <v>1</v>
      </c>
      <c r="D369" s="29">
        <f t="shared" si="40"/>
        <v>0.3</v>
      </c>
      <c r="E369" s="29">
        <f>IF(Dataset!C369&lt;=1,0.3,IF(Dataset!C369=2,0.4,IF(Dataset!C369=3,0.5,IF(Dataset!C369=4,0.65,0.8))))</f>
        <v>0.65</v>
      </c>
      <c r="F369" s="29">
        <f>IF(Dataset!C369&lt;=2,1,IF(Dataset!C369=3,2,IF(Dataset!C369=4,3,4)))</f>
        <v>3</v>
      </c>
      <c r="G369" s="29">
        <f t="shared" si="41"/>
        <v>1.9500000000000002</v>
      </c>
      <c r="H369" s="29">
        <f>IF(Dataset!G369&lt;=3,0.25,IF(Dataset!G369&lt;=6,0.45,IF(Dataset!G369&lt;=9,0.65,0.85)))</f>
        <v>0.65</v>
      </c>
      <c r="I369" s="29">
        <f>IF(Dataset!G369&lt;=3,1,IF(Dataset!G369&lt;=6,2,IF(Dataset!G369&lt;=9,3,4)))</f>
        <v>3</v>
      </c>
      <c r="J369" s="29">
        <f t="shared" si="42"/>
        <v>1.9500000000000002</v>
      </c>
      <c r="K369" s="29">
        <f>IF(Dataset!H369&lt;1,0.2,IF(Dataset!H369&lt;1.3,0.45,IF(Dataset!H369&lt;1.8,0.7,0.9)))</f>
        <v>0.45</v>
      </c>
      <c r="L369" s="29">
        <f>IF(Dataset!H369&lt;1,1,IF(Dataset!H369&lt;1.3,2,IF(Dataset!H369&lt;1.8,3,4)))</f>
        <v>2</v>
      </c>
      <c r="M369" s="29">
        <f t="shared" si="43"/>
        <v>0.9</v>
      </c>
      <c r="N369" s="29">
        <f>IF(Dataset!F369=1,0.75,IF(Dataset!F369=2,0.45,0.2))</f>
        <v>0.75</v>
      </c>
      <c r="O369" s="29">
        <f>IF(Dataset!F369=1,3,IF(Dataset!F369=2,2,1))</f>
        <v>3</v>
      </c>
      <c r="P369" s="29">
        <f t="shared" si="44"/>
        <v>2.25</v>
      </c>
      <c r="Q369" s="29">
        <f>IF(Dataset!K369&lt;5,0.2,IF(Dataset!K369&lt;10,0.45,IF(Dataset!K369&lt;18,0.7,0.9)))</f>
        <v>0.7</v>
      </c>
      <c r="R369" s="29">
        <f>IF(Dataset!K369&lt;5,1,IF(Dataset!K369&lt;10,2,IF(Dataset!K369&lt;18,3,4)))</f>
        <v>3</v>
      </c>
      <c r="S369" s="29">
        <f t="shared" si="45"/>
        <v>2.0999999999999996</v>
      </c>
      <c r="T369" s="29">
        <f t="shared" si="46"/>
        <v>1.4520000000000002</v>
      </c>
      <c r="U369" s="29" t="str">
        <f t="shared" si="47"/>
        <v>Medium</v>
      </c>
    </row>
    <row r="370" spans="1:21" ht="15" customHeight="1" x14ac:dyDescent="0.25">
      <c r="A370" s="29">
        <f>Dataset!A370</f>
        <v>366</v>
      </c>
      <c r="B370" s="29">
        <f>IF(Dataset!B370&lt;25,0.3,IF(Dataset!B370&lt;75,0.5,IF(Dataset!B370&lt;120,0.65,0.8)))</f>
        <v>0.5</v>
      </c>
      <c r="C370" s="29">
        <f>IF(Dataset!B370&lt;25,1,IF(Dataset!B370&lt;75,2,IF(Dataset!B370&lt;120,3,4)))</f>
        <v>2</v>
      </c>
      <c r="D370" s="29">
        <f t="shared" si="40"/>
        <v>1</v>
      </c>
      <c r="E370" s="29">
        <f>IF(Dataset!C370&lt;=1,0.3,IF(Dataset!C370=2,0.4,IF(Dataset!C370=3,0.5,IF(Dataset!C370=4,0.65,0.8))))</f>
        <v>0.5</v>
      </c>
      <c r="F370" s="29">
        <f>IF(Dataset!C370&lt;=2,1,IF(Dataset!C370=3,2,IF(Dataset!C370=4,3,4)))</f>
        <v>2</v>
      </c>
      <c r="G370" s="29">
        <f t="shared" si="41"/>
        <v>1</v>
      </c>
      <c r="H370" s="29">
        <f>IF(Dataset!G370&lt;=3,0.25,IF(Dataset!G370&lt;=6,0.45,IF(Dataset!G370&lt;=9,0.65,0.85)))</f>
        <v>0.85</v>
      </c>
      <c r="I370" s="29">
        <f>IF(Dataset!G370&lt;=3,1,IF(Dataset!G370&lt;=6,2,IF(Dataset!G370&lt;=9,3,4)))</f>
        <v>4</v>
      </c>
      <c r="J370" s="29">
        <f t="shared" si="42"/>
        <v>3.4</v>
      </c>
      <c r="K370" s="29">
        <f>IF(Dataset!H370&lt;1,0.2,IF(Dataset!H370&lt;1.3,0.45,IF(Dataset!H370&lt;1.8,0.7,0.9)))</f>
        <v>0.45</v>
      </c>
      <c r="L370" s="29">
        <f>IF(Dataset!H370&lt;1,1,IF(Dataset!H370&lt;1.3,2,IF(Dataset!H370&lt;1.8,3,4)))</f>
        <v>2</v>
      </c>
      <c r="M370" s="29">
        <f t="shared" si="43"/>
        <v>0.9</v>
      </c>
      <c r="N370" s="29">
        <f>IF(Dataset!F370=1,0.75,IF(Dataset!F370=2,0.45,0.2))</f>
        <v>0.75</v>
      </c>
      <c r="O370" s="29">
        <f>IF(Dataset!F370=1,3,IF(Dataset!F370=2,2,1))</f>
        <v>3</v>
      </c>
      <c r="P370" s="29">
        <f t="shared" si="44"/>
        <v>2.25</v>
      </c>
      <c r="Q370" s="29">
        <f>IF(Dataset!K370&lt;5,0.2,IF(Dataset!K370&lt;10,0.45,IF(Dataset!K370&lt;18,0.7,0.9)))</f>
        <v>0.45</v>
      </c>
      <c r="R370" s="29">
        <f>IF(Dataset!K370&lt;5,1,IF(Dataset!K370&lt;10,2,IF(Dataset!K370&lt;18,3,4)))</f>
        <v>2</v>
      </c>
      <c r="S370" s="29">
        <f t="shared" si="45"/>
        <v>0.9</v>
      </c>
      <c r="T370" s="29">
        <f t="shared" si="46"/>
        <v>1.5670000000000002</v>
      </c>
      <c r="U370" s="29" t="str">
        <f t="shared" si="47"/>
        <v>Medium</v>
      </c>
    </row>
    <row r="371" spans="1:21" ht="15" customHeight="1" x14ac:dyDescent="0.25">
      <c r="A371" s="29">
        <f>Dataset!A371</f>
        <v>367</v>
      </c>
      <c r="B371" s="29">
        <f>IF(Dataset!B371&lt;25,0.3,IF(Dataset!B371&lt;75,0.5,IF(Dataset!B371&lt;120,0.65,0.8)))</f>
        <v>0.65</v>
      </c>
      <c r="C371" s="29">
        <f>IF(Dataset!B371&lt;25,1,IF(Dataset!B371&lt;75,2,IF(Dataset!B371&lt;120,3,4)))</f>
        <v>3</v>
      </c>
      <c r="D371" s="29">
        <f t="shared" si="40"/>
        <v>1.9500000000000002</v>
      </c>
      <c r="E371" s="29">
        <f>IF(Dataset!C371&lt;=1,0.3,IF(Dataset!C371=2,0.4,IF(Dataset!C371=3,0.5,IF(Dataset!C371=4,0.65,0.8))))</f>
        <v>0.65</v>
      </c>
      <c r="F371" s="29">
        <f>IF(Dataset!C371&lt;=2,1,IF(Dataset!C371=3,2,IF(Dataset!C371=4,3,4)))</f>
        <v>3</v>
      </c>
      <c r="G371" s="29">
        <f t="shared" si="41"/>
        <v>1.9500000000000002</v>
      </c>
      <c r="H371" s="29">
        <f>IF(Dataset!G371&lt;=3,0.25,IF(Dataset!G371&lt;=6,0.45,IF(Dataset!G371&lt;=9,0.65,0.85)))</f>
        <v>0.25</v>
      </c>
      <c r="I371" s="29">
        <f>IF(Dataset!G371&lt;=3,1,IF(Dataset!G371&lt;=6,2,IF(Dataset!G371&lt;=9,3,4)))</f>
        <v>1</v>
      </c>
      <c r="J371" s="29">
        <f t="shared" si="42"/>
        <v>0.25</v>
      </c>
      <c r="K371" s="29">
        <f>IF(Dataset!H371&lt;1,0.2,IF(Dataset!H371&lt;1.3,0.45,IF(Dataset!H371&lt;1.8,0.7,0.9)))</f>
        <v>0.7</v>
      </c>
      <c r="L371" s="29">
        <f>IF(Dataset!H371&lt;1,1,IF(Dataset!H371&lt;1.3,2,IF(Dataset!H371&lt;1.8,3,4)))</f>
        <v>3</v>
      </c>
      <c r="M371" s="29">
        <f t="shared" si="43"/>
        <v>2.0999999999999996</v>
      </c>
      <c r="N371" s="29">
        <f>IF(Dataset!F371=1,0.75,IF(Dataset!F371=2,0.45,0.2))</f>
        <v>0.2</v>
      </c>
      <c r="O371" s="29">
        <f>IF(Dataset!F371=1,3,IF(Dataset!F371=2,2,1))</f>
        <v>1</v>
      </c>
      <c r="P371" s="29">
        <f t="shared" si="44"/>
        <v>0.2</v>
      </c>
      <c r="Q371" s="29">
        <f>IF(Dataset!K371&lt;5,0.2,IF(Dataset!K371&lt;10,0.45,IF(Dataset!K371&lt;18,0.7,0.9)))</f>
        <v>0.7</v>
      </c>
      <c r="R371" s="29">
        <f>IF(Dataset!K371&lt;5,1,IF(Dataset!K371&lt;10,2,IF(Dataset!K371&lt;18,3,4)))</f>
        <v>3</v>
      </c>
      <c r="S371" s="29">
        <f t="shared" si="45"/>
        <v>2.0999999999999996</v>
      </c>
      <c r="T371" s="29">
        <f t="shared" si="46"/>
        <v>1.492</v>
      </c>
      <c r="U371" s="29" t="str">
        <f t="shared" si="47"/>
        <v>Medium</v>
      </c>
    </row>
    <row r="372" spans="1:21" ht="15" customHeight="1" x14ac:dyDescent="0.25">
      <c r="A372" s="29">
        <f>Dataset!A372</f>
        <v>368</v>
      </c>
      <c r="B372" s="29">
        <f>IF(Dataset!B372&lt;25,0.3,IF(Dataset!B372&lt;75,0.5,IF(Dataset!B372&lt;120,0.65,0.8)))</f>
        <v>0.3</v>
      </c>
      <c r="C372" s="29">
        <f>IF(Dataset!B372&lt;25,1,IF(Dataset!B372&lt;75,2,IF(Dataset!B372&lt;120,3,4)))</f>
        <v>1</v>
      </c>
      <c r="D372" s="29">
        <f t="shared" si="40"/>
        <v>0.3</v>
      </c>
      <c r="E372" s="29">
        <f>IF(Dataset!C372&lt;=1,0.3,IF(Dataset!C372=2,0.4,IF(Dataset!C372=3,0.5,IF(Dataset!C372=4,0.65,0.8))))</f>
        <v>0.65</v>
      </c>
      <c r="F372" s="29">
        <f>IF(Dataset!C372&lt;=2,1,IF(Dataset!C372=3,2,IF(Dataset!C372=4,3,4)))</f>
        <v>3</v>
      </c>
      <c r="G372" s="29">
        <f t="shared" si="41"/>
        <v>1.9500000000000002</v>
      </c>
      <c r="H372" s="29">
        <f>IF(Dataset!G372&lt;=3,0.25,IF(Dataset!G372&lt;=6,0.45,IF(Dataset!G372&lt;=9,0.65,0.85)))</f>
        <v>0.65</v>
      </c>
      <c r="I372" s="29">
        <f>IF(Dataset!G372&lt;=3,1,IF(Dataset!G372&lt;=6,2,IF(Dataset!G372&lt;=9,3,4)))</f>
        <v>3</v>
      </c>
      <c r="J372" s="29">
        <f t="shared" si="42"/>
        <v>1.9500000000000002</v>
      </c>
      <c r="K372" s="29">
        <f>IF(Dataset!H372&lt;1,0.2,IF(Dataset!H372&lt;1.3,0.45,IF(Dataset!H372&lt;1.8,0.7,0.9)))</f>
        <v>0.9</v>
      </c>
      <c r="L372" s="29">
        <f>IF(Dataset!H372&lt;1,1,IF(Dataset!H372&lt;1.3,2,IF(Dataset!H372&lt;1.8,3,4)))</f>
        <v>4</v>
      </c>
      <c r="M372" s="29">
        <f t="shared" si="43"/>
        <v>3.6</v>
      </c>
      <c r="N372" s="29">
        <f>IF(Dataset!F372=1,0.75,IF(Dataset!F372=2,0.45,0.2))</f>
        <v>0.45</v>
      </c>
      <c r="O372" s="29">
        <f>IF(Dataset!F372=1,3,IF(Dataset!F372=2,2,1))</f>
        <v>2</v>
      </c>
      <c r="P372" s="29">
        <f t="shared" si="44"/>
        <v>0.9</v>
      </c>
      <c r="Q372" s="29">
        <f>IF(Dataset!K372&lt;5,0.2,IF(Dataset!K372&lt;10,0.45,IF(Dataset!K372&lt;18,0.7,0.9)))</f>
        <v>0.7</v>
      </c>
      <c r="R372" s="29">
        <f>IF(Dataset!K372&lt;5,1,IF(Dataset!K372&lt;10,2,IF(Dataset!K372&lt;18,3,4)))</f>
        <v>3</v>
      </c>
      <c r="S372" s="29">
        <f t="shared" si="45"/>
        <v>2.0999999999999996</v>
      </c>
      <c r="T372" s="29">
        <f t="shared" si="46"/>
        <v>1.9650000000000001</v>
      </c>
      <c r="U372" s="29" t="str">
        <f t="shared" si="47"/>
        <v>High</v>
      </c>
    </row>
    <row r="373" spans="1:21" ht="15" customHeight="1" x14ac:dyDescent="0.25">
      <c r="A373" s="29">
        <f>Dataset!A373</f>
        <v>369</v>
      </c>
      <c r="B373" s="29">
        <f>IF(Dataset!B373&lt;25,0.3,IF(Dataset!B373&lt;75,0.5,IF(Dataset!B373&lt;120,0.65,0.8)))</f>
        <v>0.65</v>
      </c>
      <c r="C373" s="29">
        <f>IF(Dataset!B373&lt;25,1,IF(Dataset!B373&lt;75,2,IF(Dataset!B373&lt;120,3,4)))</f>
        <v>3</v>
      </c>
      <c r="D373" s="29">
        <f t="shared" si="40"/>
        <v>1.9500000000000002</v>
      </c>
      <c r="E373" s="29">
        <f>IF(Dataset!C373&lt;=1,0.3,IF(Dataset!C373=2,0.4,IF(Dataset!C373=3,0.5,IF(Dataset!C373=4,0.65,0.8))))</f>
        <v>0.65</v>
      </c>
      <c r="F373" s="29">
        <f>IF(Dataset!C373&lt;=2,1,IF(Dataset!C373=3,2,IF(Dataset!C373=4,3,4)))</f>
        <v>3</v>
      </c>
      <c r="G373" s="29">
        <f t="shared" si="41"/>
        <v>1.9500000000000002</v>
      </c>
      <c r="H373" s="29">
        <f>IF(Dataset!G373&lt;=3,0.25,IF(Dataset!G373&lt;=6,0.45,IF(Dataset!G373&lt;=9,0.65,0.85)))</f>
        <v>0.45</v>
      </c>
      <c r="I373" s="29">
        <f>IF(Dataset!G373&lt;=3,1,IF(Dataset!G373&lt;=6,2,IF(Dataset!G373&lt;=9,3,4)))</f>
        <v>2</v>
      </c>
      <c r="J373" s="29">
        <f t="shared" si="42"/>
        <v>0.9</v>
      </c>
      <c r="K373" s="29">
        <f>IF(Dataset!H373&lt;1,0.2,IF(Dataset!H373&lt;1.3,0.45,IF(Dataset!H373&lt;1.8,0.7,0.9)))</f>
        <v>0.45</v>
      </c>
      <c r="L373" s="29">
        <f>IF(Dataset!H373&lt;1,1,IF(Dataset!H373&lt;1.3,2,IF(Dataset!H373&lt;1.8,3,4)))</f>
        <v>2</v>
      </c>
      <c r="M373" s="29">
        <f t="shared" si="43"/>
        <v>0.9</v>
      </c>
      <c r="N373" s="29">
        <f>IF(Dataset!F373=1,0.75,IF(Dataset!F373=2,0.45,0.2))</f>
        <v>0.2</v>
      </c>
      <c r="O373" s="29">
        <f>IF(Dataset!F373=1,3,IF(Dataset!F373=2,2,1))</f>
        <v>1</v>
      </c>
      <c r="P373" s="29">
        <f t="shared" si="44"/>
        <v>0.2</v>
      </c>
      <c r="Q373" s="29">
        <f>IF(Dataset!K373&lt;5,0.2,IF(Dataset!K373&lt;10,0.45,IF(Dataset!K373&lt;18,0.7,0.9)))</f>
        <v>0.7</v>
      </c>
      <c r="R373" s="29">
        <f>IF(Dataset!K373&lt;5,1,IF(Dataset!K373&lt;10,2,IF(Dataset!K373&lt;18,3,4)))</f>
        <v>3</v>
      </c>
      <c r="S373" s="29">
        <f t="shared" si="45"/>
        <v>2.0999999999999996</v>
      </c>
      <c r="T373" s="29">
        <f t="shared" si="46"/>
        <v>1.3340000000000003</v>
      </c>
      <c r="U373" s="29" t="str">
        <f t="shared" si="47"/>
        <v>Low</v>
      </c>
    </row>
    <row r="374" spans="1:21" ht="15" customHeight="1" x14ac:dyDescent="0.25">
      <c r="A374" s="29">
        <f>Dataset!A374</f>
        <v>370</v>
      </c>
      <c r="B374" s="29">
        <f>IF(Dataset!B374&lt;25,0.3,IF(Dataset!B374&lt;75,0.5,IF(Dataset!B374&lt;120,0.65,0.8)))</f>
        <v>0.65</v>
      </c>
      <c r="C374" s="29">
        <f>IF(Dataset!B374&lt;25,1,IF(Dataset!B374&lt;75,2,IF(Dataset!B374&lt;120,3,4)))</f>
        <v>3</v>
      </c>
      <c r="D374" s="29">
        <f t="shared" si="40"/>
        <v>1.9500000000000002</v>
      </c>
      <c r="E374" s="29">
        <f>IF(Dataset!C374&lt;=1,0.3,IF(Dataset!C374=2,0.4,IF(Dataset!C374=3,0.5,IF(Dataset!C374=4,0.65,0.8))))</f>
        <v>0.65</v>
      </c>
      <c r="F374" s="29">
        <f>IF(Dataset!C374&lt;=2,1,IF(Dataset!C374=3,2,IF(Dataset!C374=4,3,4)))</f>
        <v>3</v>
      </c>
      <c r="G374" s="29">
        <f t="shared" si="41"/>
        <v>1.9500000000000002</v>
      </c>
      <c r="H374" s="29">
        <f>IF(Dataset!G374&lt;=3,0.25,IF(Dataset!G374&lt;=6,0.45,IF(Dataset!G374&lt;=9,0.65,0.85)))</f>
        <v>0.45</v>
      </c>
      <c r="I374" s="29">
        <f>IF(Dataset!G374&lt;=3,1,IF(Dataset!G374&lt;=6,2,IF(Dataset!G374&lt;=9,3,4)))</f>
        <v>2</v>
      </c>
      <c r="J374" s="29">
        <f t="shared" si="42"/>
        <v>0.9</v>
      </c>
      <c r="K374" s="29">
        <f>IF(Dataset!H374&lt;1,0.2,IF(Dataset!H374&lt;1.3,0.45,IF(Dataset!H374&lt;1.8,0.7,0.9)))</f>
        <v>0.9</v>
      </c>
      <c r="L374" s="29">
        <f>IF(Dataset!H374&lt;1,1,IF(Dataset!H374&lt;1.3,2,IF(Dataset!H374&lt;1.8,3,4)))</f>
        <v>4</v>
      </c>
      <c r="M374" s="29">
        <f t="shared" si="43"/>
        <v>3.6</v>
      </c>
      <c r="N374" s="29">
        <f>IF(Dataset!F374=1,0.75,IF(Dataset!F374=2,0.45,0.2))</f>
        <v>0.75</v>
      </c>
      <c r="O374" s="29">
        <f>IF(Dataset!F374=1,3,IF(Dataset!F374=2,2,1))</f>
        <v>3</v>
      </c>
      <c r="P374" s="29">
        <f t="shared" si="44"/>
        <v>2.25</v>
      </c>
      <c r="Q374" s="29">
        <f>IF(Dataset!K374&lt;5,0.2,IF(Dataset!K374&lt;10,0.45,IF(Dataset!K374&lt;18,0.7,0.9)))</f>
        <v>0.45</v>
      </c>
      <c r="R374" s="29">
        <f>IF(Dataset!K374&lt;5,1,IF(Dataset!K374&lt;10,2,IF(Dataset!K374&lt;18,3,4)))</f>
        <v>2</v>
      </c>
      <c r="S374" s="29">
        <f t="shared" si="45"/>
        <v>0.9</v>
      </c>
      <c r="T374" s="29">
        <f t="shared" si="46"/>
        <v>2.0190000000000001</v>
      </c>
      <c r="U374" s="29" t="str">
        <f t="shared" si="47"/>
        <v>High</v>
      </c>
    </row>
    <row r="375" spans="1:21" ht="15" customHeight="1" x14ac:dyDescent="0.25">
      <c r="A375" s="29">
        <f>Dataset!A375</f>
        <v>371</v>
      </c>
      <c r="B375" s="29">
        <f>IF(Dataset!B375&lt;25,0.3,IF(Dataset!B375&lt;75,0.5,IF(Dataset!B375&lt;120,0.65,0.8)))</f>
        <v>0.65</v>
      </c>
      <c r="C375" s="29">
        <f>IF(Dataset!B375&lt;25,1,IF(Dataset!B375&lt;75,2,IF(Dataset!B375&lt;120,3,4)))</f>
        <v>3</v>
      </c>
      <c r="D375" s="29">
        <f t="shared" si="40"/>
        <v>1.9500000000000002</v>
      </c>
      <c r="E375" s="29">
        <f>IF(Dataset!C375&lt;=1,0.3,IF(Dataset!C375=2,0.4,IF(Dataset!C375=3,0.5,IF(Dataset!C375=4,0.65,0.8))))</f>
        <v>0.65</v>
      </c>
      <c r="F375" s="29">
        <f>IF(Dataset!C375&lt;=2,1,IF(Dataset!C375=3,2,IF(Dataset!C375=4,3,4)))</f>
        <v>3</v>
      </c>
      <c r="G375" s="29">
        <f t="shared" si="41"/>
        <v>1.9500000000000002</v>
      </c>
      <c r="H375" s="29">
        <f>IF(Dataset!G375&lt;=3,0.25,IF(Dataset!G375&lt;=6,0.45,IF(Dataset!G375&lt;=9,0.65,0.85)))</f>
        <v>0.45</v>
      </c>
      <c r="I375" s="29">
        <f>IF(Dataset!G375&lt;=3,1,IF(Dataset!G375&lt;=6,2,IF(Dataset!G375&lt;=9,3,4)))</f>
        <v>2</v>
      </c>
      <c r="J375" s="29">
        <f t="shared" si="42"/>
        <v>0.9</v>
      </c>
      <c r="K375" s="29">
        <f>IF(Dataset!H375&lt;1,0.2,IF(Dataset!H375&lt;1.3,0.45,IF(Dataset!H375&lt;1.8,0.7,0.9)))</f>
        <v>0.9</v>
      </c>
      <c r="L375" s="29">
        <f>IF(Dataset!H375&lt;1,1,IF(Dataset!H375&lt;1.3,2,IF(Dataset!H375&lt;1.8,3,4)))</f>
        <v>4</v>
      </c>
      <c r="M375" s="29">
        <f t="shared" si="43"/>
        <v>3.6</v>
      </c>
      <c r="N375" s="29">
        <f>IF(Dataset!F375=1,0.75,IF(Dataset!F375=2,0.45,0.2))</f>
        <v>0.2</v>
      </c>
      <c r="O375" s="29">
        <f>IF(Dataset!F375=1,3,IF(Dataset!F375=2,2,1))</f>
        <v>1</v>
      </c>
      <c r="P375" s="29">
        <f t="shared" si="44"/>
        <v>0.2</v>
      </c>
      <c r="Q375" s="29">
        <f>IF(Dataset!K375&lt;5,0.2,IF(Dataset!K375&lt;10,0.45,IF(Dataset!K375&lt;18,0.7,0.9)))</f>
        <v>0.45</v>
      </c>
      <c r="R375" s="29">
        <f>IF(Dataset!K375&lt;5,1,IF(Dataset!K375&lt;10,2,IF(Dataset!K375&lt;18,3,4)))</f>
        <v>2</v>
      </c>
      <c r="S375" s="29">
        <f t="shared" si="45"/>
        <v>0.9</v>
      </c>
      <c r="T375" s="29">
        <f t="shared" si="46"/>
        <v>1.8140000000000003</v>
      </c>
      <c r="U375" s="29" t="str">
        <f t="shared" si="47"/>
        <v>High</v>
      </c>
    </row>
    <row r="376" spans="1:21" ht="15" customHeight="1" x14ac:dyDescent="0.25">
      <c r="A376" s="29">
        <f>Dataset!A376</f>
        <v>372</v>
      </c>
      <c r="B376" s="29">
        <f>IF(Dataset!B376&lt;25,0.3,IF(Dataset!B376&lt;75,0.5,IF(Dataset!B376&lt;120,0.65,0.8)))</f>
        <v>0.65</v>
      </c>
      <c r="C376" s="29">
        <f>IF(Dataset!B376&lt;25,1,IF(Dataset!B376&lt;75,2,IF(Dataset!B376&lt;120,3,4)))</f>
        <v>3</v>
      </c>
      <c r="D376" s="29">
        <f t="shared" si="40"/>
        <v>1.9500000000000002</v>
      </c>
      <c r="E376" s="29">
        <f>IF(Dataset!C376&lt;=1,0.3,IF(Dataset!C376=2,0.4,IF(Dataset!C376=3,0.5,IF(Dataset!C376=4,0.65,0.8))))</f>
        <v>0.65</v>
      </c>
      <c r="F376" s="29">
        <f>IF(Dataset!C376&lt;=2,1,IF(Dataset!C376=3,2,IF(Dataset!C376=4,3,4)))</f>
        <v>3</v>
      </c>
      <c r="G376" s="29">
        <f t="shared" si="41"/>
        <v>1.9500000000000002</v>
      </c>
      <c r="H376" s="29">
        <f>IF(Dataset!G376&lt;=3,0.25,IF(Dataset!G376&lt;=6,0.45,IF(Dataset!G376&lt;=9,0.65,0.85)))</f>
        <v>0.45</v>
      </c>
      <c r="I376" s="29">
        <f>IF(Dataset!G376&lt;=3,1,IF(Dataset!G376&lt;=6,2,IF(Dataset!G376&lt;=9,3,4)))</f>
        <v>2</v>
      </c>
      <c r="J376" s="29">
        <f t="shared" si="42"/>
        <v>0.9</v>
      </c>
      <c r="K376" s="29">
        <f>IF(Dataset!H376&lt;1,0.2,IF(Dataset!H376&lt;1.3,0.45,IF(Dataset!H376&lt;1.8,0.7,0.9)))</f>
        <v>0.9</v>
      </c>
      <c r="L376" s="29">
        <f>IF(Dataset!H376&lt;1,1,IF(Dataset!H376&lt;1.3,2,IF(Dataset!H376&lt;1.8,3,4)))</f>
        <v>4</v>
      </c>
      <c r="M376" s="29">
        <f t="shared" si="43"/>
        <v>3.6</v>
      </c>
      <c r="N376" s="29">
        <f>IF(Dataset!F376=1,0.75,IF(Dataset!F376=2,0.45,0.2))</f>
        <v>0.45</v>
      </c>
      <c r="O376" s="29">
        <f>IF(Dataset!F376=1,3,IF(Dataset!F376=2,2,1))</f>
        <v>2</v>
      </c>
      <c r="P376" s="29">
        <f t="shared" si="44"/>
        <v>0.9</v>
      </c>
      <c r="Q376" s="29">
        <f>IF(Dataset!K376&lt;5,0.2,IF(Dataset!K376&lt;10,0.45,IF(Dataset!K376&lt;18,0.7,0.9)))</f>
        <v>0.7</v>
      </c>
      <c r="R376" s="29">
        <f>IF(Dataset!K376&lt;5,1,IF(Dataset!K376&lt;10,2,IF(Dataset!K376&lt;18,3,4)))</f>
        <v>3</v>
      </c>
      <c r="S376" s="29">
        <f t="shared" si="45"/>
        <v>2.0999999999999996</v>
      </c>
      <c r="T376" s="29">
        <f t="shared" si="46"/>
        <v>2.052</v>
      </c>
      <c r="U376" s="29" t="str">
        <f t="shared" si="47"/>
        <v>High</v>
      </c>
    </row>
    <row r="377" spans="1:21" ht="15" customHeight="1" x14ac:dyDescent="0.25">
      <c r="A377" s="29">
        <f>Dataset!A377</f>
        <v>373</v>
      </c>
      <c r="B377" s="29">
        <f>IF(Dataset!B377&lt;25,0.3,IF(Dataset!B377&lt;75,0.5,IF(Dataset!B377&lt;120,0.65,0.8)))</f>
        <v>0.3</v>
      </c>
      <c r="C377" s="29">
        <f>IF(Dataset!B377&lt;25,1,IF(Dataset!B377&lt;75,2,IF(Dataset!B377&lt;120,3,4)))</f>
        <v>1</v>
      </c>
      <c r="D377" s="29">
        <f t="shared" si="40"/>
        <v>0.3</v>
      </c>
      <c r="E377" s="29">
        <f>IF(Dataset!C377&lt;=1,0.3,IF(Dataset!C377=2,0.4,IF(Dataset!C377=3,0.5,IF(Dataset!C377=4,0.65,0.8))))</f>
        <v>0.65</v>
      </c>
      <c r="F377" s="29">
        <f>IF(Dataset!C377&lt;=2,1,IF(Dataset!C377=3,2,IF(Dataset!C377=4,3,4)))</f>
        <v>3</v>
      </c>
      <c r="G377" s="29">
        <f t="shared" si="41"/>
        <v>1.9500000000000002</v>
      </c>
      <c r="H377" s="29">
        <f>IF(Dataset!G377&lt;=3,0.25,IF(Dataset!G377&lt;=6,0.45,IF(Dataset!G377&lt;=9,0.65,0.85)))</f>
        <v>0.65</v>
      </c>
      <c r="I377" s="29">
        <f>IF(Dataset!G377&lt;=3,1,IF(Dataset!G377&lt;=6,2,IF(Dataset!G377&lt;=9,3,4)))</f>
        <v>3</v>
      </c>
      <c r="J377" s="29">
        <f t="shared" si="42"/>
        <v>1.9500000000000002</v>
      </c>
      <c r="K377" s="29">
        <f>IF(Dataset!H377&lt;1,0.2,IF(Dataset!H377&lt;1.3,0.45,IF(Dataset!H377&lt;1.8,0.7,0.9)))</f>
        <v>0.7</v>
      </c>
      <c r="L377" s="29">
        <f>IF(Dataset!H377&lt;1,1,IF(Dataset!H377&lt;1.3,2,IF(Dataset!H377&lt;1.8,3,4)))</f>
        <v>3</v>
      </c>
      <c r="M377" s="29">
        <f t="shared" si="43"/>
        <v>2.0999999999999996</v>
      </c>
      <c r="N377" s="29">
        <f>IF(Dataset!F377=1,0.75,IF(Dataset!F377=2,0.45,0.2))</f>
        <v>0.45</v>
      </c>
      <c r="O377" s="29">
        <f>IF(Dataset!F377=1,3,IF(Dataset!F377=2,2,1))</f>
        <v>2</v>
      </c>
      <c r="P377" s="29">
        <f t="shared" si="44"/>
        <v>0.9</v>
      </c>
      <c r="Q377" s="29">
        <f>IF(Dataset!K377&lt;5,0.2,IF(Dataset!K377&lt;10,0.45,IF(Dataset!K377&lt;18,0.7,0.9)))</f>
        <v>0.45</v>
      </c>
      <c r="R377" s="29">
        <f>IF(Dataset!K377&lt;5,1,IF(Dataset!K377&lt;10,2,IF(Dataset!K377&lt;18,3,4)))</f>
        <v>2</v>
      </c>
      <c r="S377" s="29">
        <f t="shared" si="45"/>
        <v>0.9</v>
      </c>
      <c r="T377" s="29">
        <f t="shared" si="46"/>
        <v>1.4370000000000003</v>
      </c>
      <c r="U377" s="29" t="str">
        <f t="shared" si="47"/>
        <v>Medium</v>
      </c>
    </row>
    <row r="378" spans="1:21" ht="15" customHeight="1" x14ac:dyDescent="0.25">
      <c r="A378" s="29">
        <f>Dataset!A378</f>
        <v>374</v>
      </c>
      <c r="B378" s="29">
        <f>IF(Dataset!B378&lt;25,0.3,IF(Dataset!B378&lt;75,0.5,IF(Dataset!B378&lt;120,0.65,0.8)))</f>
        <v>0.8</v>
      </c>
      <c r="C378" s="29">
        <f>IF(Dataset!B378&lt;25,1,IF(Dataset!B378&lt;75,2,IF(Dataset!B378&lt;120,3,4)))</f>
        <v>4</v>
      </c>
      <c r="D378" s="29">
        <f t="shared" si="40"/>
        <v>3.2</v>
      </c>
      <c r="E378" s="29">
        <f>IF(Dataset!C378&lt;=1,0.3,IF(Dataset!C378=2,0.4,IF(Dataset!C378=3,0.5,IF(Dataset!C378=4,0.65,0.8))))</f>
        <v>0.4</v>
      </c>
      <c r="F378" s="29">
        <f>IF(Dataset!C378&lt;=2,1,IF(Dataset!C378=3,2,IF(Dataset!C378=4,3,4)))</f>
        <v>1</v>
      </c>
      <c r="G378" s="29">
        <f t="shared" si="41"/>
        <v>0.4</v>
      </c>
      <c r="H378" s="29">
        <f>IF(Dataset!G378&lt;=3,0.25,IF(Dataset!G378&lt;=6,0.45,IF(Dataset!G378&lt;=9,0.65,0.85)))</f>
        <v>0.65</v>
      </c>
      <c r="I378" s="29">
        <f>IF(Dataset!G378&lt;=3,1,IF(Dataset!G378&lt;=6,2,IF(Dataset!G378&lt;=9,3,4)))</f>
        <v>3</v>
      </c>
      <c r="J378" s="29">
        <f t="shared" si="42"/>
        <v>1.9500000000000002</v>
      </c>
      <c r="K378" s="29">
        <f>IF(Dataset!H378&lt;1,0.2,IF(Dataset!H378&lt;1.3,0.45,IF(Dataset!H378&lt;1.8,0.7,0.9)))</f>
        <v>0.7</v>
      </c>
      <c r="L378" s="29">
        <f>IF(Dataset!H378&lt;1,1,IF(Dataset!H378&lt;1.3,2,IF(Dataset!H378&lt;1.8,3,4)))</f>
        <v>3</v>
      </c>
      <c r="M378" s="29">
        <f t="shared" si="43"/>
        <v>2.0999999999999996</v>
      </c>
      <c r="N378" s="29">
        <f>IF(Dataset!F378=1,0.75,IF(Dataset!F378=2,0.45,0.2))</f>
        <v>0.2</v>
      </c>
      <c r="O378" s="29">
        <f>IF(Dataset!F378=1,3,IF(Dataset!F378=2,2,1))</f>
        <v>1</v>
      </c>
      <c r="P378" s="29">
        <f t="shared" si="44"/>
        <v>0.2</v>
      </c>
      <c r="Q378" s="29">
        <f>IF(Dataset!K378&lt;5,0.2,IF(Dataset!K378&lt;10,0.45,IF(Dataset!K378&lt;18,0.7,0.9)))</f>
        <v>0.45</v>
      </c>
      <c r="R378" s="29">
        <f>IF(Dataset!K378&lt;5,1,IF(Dataset!K378&lt;10,2,IF(Dataset!K378&lt;18,3,4)))</f>
        <v>2</v>
      </c>
      <c r="S378" s="29">
        <f t="shared" si="45"/>
        <v>0.9</v>
      </c>
      <c r="T378" s="29">
        <f t="shared" si="46"/>
        <v>1.6719999999999999</v>
      </c>
      <c r="U378" s="29" t="str">
        <f t="shared" si="47"/>
        <v>Medium</v>
      </c>
    </row>
    <row r="379" spans="1:21" ht="15" customHeight="1" x14ac:dyDescent="0.25">
      <c r="A379" s="29">
        <f>Dataset!A379</f>
        <v>375</v>
      </c>
      <c r="B379" s="29">
        <f>IF(Dataset!B379&lt;25,0.3,IF(Dataset!B379&lt;75,0.5,IF(Dataset!B379&lt;120,0.65,0.8)))</f>
        <v>0.3</v>
      </c>
      <c r="C379" s="29">
        <f>IF(Dataset!B379&lt;25,1,IF(Dataset!B379&lt;75,2,IF(Dataset!B379&lt;120,3,4)))</f>
        <v>1</v>
      </c>
      <c r="D379" s="29">
        <f t="shared" si="40"/>
        <v>0.3</v>
      </c>
      <c r="E379" s="29">
        <f>IF(Dataset!C379&lt;=1,0.3,IF(Dataset!C379=2,0.4,IF(Dataset!C379=3,0.5,IF(Dataset!C379=4,0.65,0.8))))</f>
        <v>0.5</v>
      </c>
      <c r="F379" s="29">
        <f>IF(Dataset!C379&lt;=2,1,IF(Dataset!C379=3,2,IF(Dataset!C379=4,3,4)))</f>
        <v>2</v>
      </c>
      <c r="G379" s="29">
        <f t="shared" si="41"/>
        <v>1</v>
      </c>
      <c r="H379" s="29">
        <f>IF(Dataset!G379&lt;=3,0.25,IF(Dataset!G379&lt;=6,0.45,IF(Dataset!G379&lt;=9,0.65,0.85)))</f>
        <v>0.45</v>
      </c>
      <c r="I379" s="29">
        <f>IF(Dataset!G379&lt;=3,1,IF(Dataset!G379&lt;=6,2,IF(Dataset!G379&lt;=9,3,4)))</f>
        <v>2</v>
      </c>
      <c r="J379" s="29">
        <f t="shared" si="42"/>
        <v>0.9</v>
      </c>
      <c r="K379" s="29">
        <f>IF(Dataset!H379&lt;1,0.2,IF(Dataset!H379&lt;1.3,0.45,IF(Dataset!H379&lt;1.8,0.7,0.9)))</f>
        <v>0.45</v>
      </c>
      <c r="L379" s="29">
        <f>IF(Dataset!H379&lt;1,1,IF(Dataset!H379&lt;1.3,2,IF(Dataset!H379&lt;1.8,3,4)))</f>
        <v>2</v>
      </c>
      <c r="M379" s="29">
        <f t="shared" si="43"/>
        <v>0.9</v>
      </c>
      <c r="N379" s="29">
        <f>IF(Dataset!F379=1,0.75,IF(Dataset!F379=2,0.45,0.2))</f>
        <v>0.45</v>
      </c>
      <c r="O379" s="29">
        <f>IF(Dataset!F379=1,3,IF(Dataset!F379=2,2,1))</f>
        <v>2</v>
      </c>
      <c r="P379" s="29">
        <f t="shared" si="44"/>
        <v>0.9</v>
      </c>
      <c r="Q379" s="29">
        <f>IF(Dataset!K379&lt;5,0.2,IF(Dataset!K379&lt;10,0.45,IF(Dataset!K379&lt;18,0.7,0.9)))</f>
        <v>0.45</v>
      </c>
      <c r="R379" s="29">
        <f>IF(Dataset!K379&lt;5,1,IF(Dataset!K379&lt;10,2,IF(Dataset!K379&lt;18,3,4)))</f>
        <v>2</v>
      </c>
      <c r="S379" s="29">
        <f t="shared" si="45"/>
        <v>0.9</v>
      </c>
      <c r="T379" s="29">
        <f t="shared" si="46"/>
        <v>0.80599999999999994</v>
      </c>
      <c r="U379" s="29" t="str">
        <f t="shared" si="47"/>
        <v>Low</v>
      </c>
    </row>
    <row r="380" spans="1:21" ht="15" customHeight="1" x14ac:dyDescent="0.25">
      <c r="A380" s="29">
        <f>Dataset!A380</f>
        <v>376</v>
      </c>
      <c r="B380" s="29">
        <f>IF(Dataset!B380&lt;25,0.3,IF(Dataset!B380&lt;75,0.5,IF(Dataset!B380&lt;120,0.65,0.8)))</f>
        <v>0.5</v>
      </c>
      <c r="C380" s="29">
        <f>IF(Dataset!B380&lt;25,1,IF(Dataset!B380&lt;75,2,IF(Dataset!B380&lt;120,3,4)))</f>
        <v>2</v>
      </c>
      <c r="D380" s="29">
        <f t="shared" si="40"/>
        <v>1</v>
      </c>
      <c r="E380" s="29">
        <f>IF(Dataset!C380&lt;=1,0.3,IF(Dataset!C380=2,0.4,IF(Dataset!C380=3,0.5,IF(Dataset!C380=4,0.65,0.8))))</f>
        <v>0.65</v>
      </c>
      <c r="F380" s="29">
        <f>IF(Dataset!C380&lt;=2,1,IF(Dataset!C380=3,2,IF(Dataset!C380=4,3,4)))</f>
        <v>3</v>
      </c>
      <c r="G380" s="29">
        <f t="shared" si="41"/>
        <v>1.9500000000000002</v>
      </c>
      <c r="H380" s="29">
        <f>IF(Dataset!G380&lt;=3,0.25,IF(Dataset!G380&lt;=6,0.45,IF(Dataset!G380&lt;=9,0.65,0.85)))</f>
        <v>0.45</v>
      </c>
      <c r="I380" s="29">
        <f>IF(Dataset!G380&lt;=3,1,IF(Dataset!G380&lt;=6,2,IF(Dataset!G380&lt;=9,3,4)))</f>
        <v>2</v>
      </c>
      <c r="J380" s="29">
        <f t="shared" si="42"/>
        <v>0.9</v>
      </c>
      <c r="K380" s="29">
        <f>IF(Dataset!H380&lt;1,0.2,IF(Dataset!H380&lt;1.3,0.45,IF(Dataset!H380&lt;1.8,0.7,0.9)))</f>
        <v>0.45</v>
      </c>
      <c r="L380" s="29">
        <f>IF(Dataset!H380&lt;1,1,IF(Dataset!H380&lt;1.3,2,IF(Dataset!H380&lt;1.8,3,4)))</f>
        <v>2</v>
      </c>
      <c r="M380" s="29">
        <f t="shared" si="43"/>
        <v>0.9</v>
      </c>
      <c r="N380" s="29">
        <f>IF(Dataset!F380=1,0.75,IF(Dataset!F380=2,0.45,0.2))</f>
        <v>0.45</v>
      </c>
      <c r="O380" s="29">
        <f>IF(Dataset!F380=1,3,IF(Dataset!F380=2,2,1))</f>
        <v>2</v>
      </c>
      <c r="P380" s="29">
        <f t="shared" si="44"/>
        <v>0.9</v>
      </c>
      <c r="Q380" s="29">
        <f>IF(Dataset!K380&lt;5,0.2,IF(Dataset!K380&lt;10,0.45,IF(Dataset!K380&lt;18,0.7,0.9)))</f>
        <v>0.45</v>
      </c>
      <c r="R380" s="29">
        <f>IF(Dataset!K380&lt;5,1,IF(Dataset!K380&lt;10,2,IF(Dataset!K380&lt;18,3,4)))</f>
        <v>2</v>
      </c>
      <c r="S380" s="29">
        <f t="shared" si="45"/>
        <v>0.9</v>
      </c>
      <c r="T380" s="29">
        <f t="shared" si="46"/>
        <v>1.0650000000000002</v>
      </c>
      <c r="U380" s="29" t="str">
        <f t="shared" si="47"/>
        <v>Low</v>
      </c>
    </row>
    <row r="381" spans="1:21" ht="15" customHeight="1" x14ac:dyDescent="0.25">
      <c r="A381" s="29">
        <f>Dataset!A381</f>
        <v>377</v>
      </c>
      <c r="B381" s="29">
        <f>IF(Dataset!B381&lt;25,0.3,IF(Dataset!B381&lt;75,0.5,IF(Dataset!B381&lt;120,0.65,0.8)))</f>
        <v>0.8</v>
      </c>
      <c r="C381" s="29">
        <f>IF(Dataset!B381&lt;25,1,IF(Dataset!B381&lt;75,2,IF(Dataset!B381&lt;120,3,4)))</f>
        <v>4</v>
      </c>
      <c r="D381" s="29">
        <f t="shared" si="40"/>
        <v>3.2</v>
      </c>
      <c r="E381" s="29">
        <f>IF(Dataset!C381&lt;=1,0.3,IF(Dataset!C381=2,0.4,IF(Dataset!C381=3,0.5,IF(Dataset!C381=4,0.65,0.8))))</f>
        <v>0.3</v>
      </c>
      <c r="F381" s="29">
        <f>IF(Dataset!C381&lt;=2,1,IF(Dataset!C381=3,2,IF(Dataset!C381=4,3,4)))</f>
        <v>1</v>
      </c>
      <c r="G381" s="29">
        <f t="shared" si="41"/>
        <v>0.3</v>
      </c>
      <c r="H381" s="29">
        <f>IF(Dataset!G381&lt;=3,0.25,IF(Dataset!G381&lt;=6,0.45,IF(Dataset!G381&lt;=9,0.65,0.85)))</f>
        <v>0.45</v>
      </c>
      <c r="I381" s="29">
        <f>IF(Dataset!G381&lt;=3,1,IF(Dataset!G381&lt;=6,2,IF(Dataset!G381&lt;=9,3,4)))</f>
        <v>2</v>
      </c>
      <c r="J381" s="29">
        <f t="shared" si="42"/>
        <v>0.9</v>
      </c>
      <c r="K381" s="29">
        <f>IF(Dataset!H381&lt;1,0.2,IF(Dataset!H381&lt;1.3,0.45,IF(Dataset!H381&lt;1.8,0.7,0.9)))</f>
        <v>0.7</v>
      </c>
      <c r="L381" s="29">
        <f>IF(Dataset!H381&lt;1,1,IF(Dataset!H381&lt;1.3,2,IF(Dataset!H381&lt;1.8,3,4)))</f>
        <v>3</v>
      </c>
      <c r="M381" s="29">
        <f t="shared" si="43"/>
        <v>2.0999999999999996</v>
      </c>
      <c r="N381" s="29">
        <f>IF(Dataset!F381=1,0.75,IF(Dataset!F381=2,0.45,0.2))</f>
        <v>0.45</v>
      </c>
      <c r="O381" s="29">
        <f>IF(Dataset!F381=1,3,IF(Dataset!F381=2,2,1))</f>
        <v>2</v>
      </c>
      <c r="P381" s="29">
        <f t="shared" si="44"/>
        <v>0.9</v>
      </c>
      <c r="Q381" s="29">
        <f>IF(Dataset!K381&lt;5,0.2,IF(Dataset!K381&lt;10,0.45,IF(Dataset!K381&lt;18,0.7,0.9)))</f>
        <v>0.2</v>
      </c>
      <c r="R381" s="29">
        <f>IF(Dataset!K381&lt;5,1,IF(Dataset!K381&lt;10,2,IF(Dataset!K381&lt;18,3,4)))</f>
        <v>1</v>
      </c>
      <c r="S381" s="29">
        <f t="shared" si="45"/>
        <v>0.2</v>
      </c>
      <c r="T381" s="29">
        <f t="shared" si="46"/>
        <v>1.4200000000000002</v>
      </c>
      <c r="U381" s="29" t="str">
        <f t="shared" si="47"/>
        <v>Medium</v>
      </c>
    </row>
    <row r="382" spans="1:21" ht="15" customHeight="1" x14ac:dyDescent="0.25">
      <c r="A382" s="29">
        <f>Dataset!A382</f>
        <v>378</v>
      </c>
      <c r="B382" s="29">
        <f>IF(Dataset!B382&lt;25,0.3,IF(Dataset!B382&lt;75,0.5,IF(Dataset!B382&lt;120,0.65,0.8)))</f>
        <v>0.5</v>
      </c>
      <c r="C382" s="29">
        <f>IF(Dataset!B382&lt;25,1,IF(Dataset!B382&lt;75,2,IF(Dataset!B382&lt;120,3,4)))</f>
        <v>2</v>
      </c>
      <c r="D382" s="29">
        <f t="shared" si="40"/>
        <v>1</v>
      </c>
      <c r="E382" s="29">
        <f>IF(Dataset!C382&lt;=1,0.3,IF(Dataset!C382=2,0.4,IF(Dataset!C382=3,0.5,IF(Dataset!C382=4,0.65,0.8))))</f>
        <v>0.8</v>
      </c>
      <c r="F382" s="29">
        <f>IF(Dataset!C382&lt;=2,1,IF(Dataset!C382=3,2,IF(Dataset!C382=4,3,4)))</f>
        <v>4</v>
      </c>
      <c r="G382" s="29">
        <f t="shared" si="41"/>
        <v>3.2</v>
      </c>
      <c r="H382" s="29">
        <f>IF(Dataset!G382&lt;=3,0.25,IF(Dataset!G382&lt;=6,0.45,IF(Dataset!G382&lt;=9,0.65,0.85)))</f>
        <v>0.45</v>
      </c>
      <c r="I382" s="29">
        <f>IF(Dataset!G382&lt;=3,1,IF(Dataset!G382&lt;=6,2,IF(Dataset!G382&lt;=9,3,4)))</f>
        <v>2</v>
      </c>
      <c r="J382" s="29">
        <f t="shared" si="42"/>
        <v>0.9</v>
      </c>
      <c r="K382" s="29">
        <f>IF(Dataset!H382&lt;1,0.2,IF(Dataset!H382&lt;1.3,0.45,IF(Dataset!H382&lt;1.8,0.7,0.9)))</f>
        <v>0.9</v>
      </c>
      <c r="L382" s="29">
        <f>IF(Dataset!H382&lt;1,1,IF(Dataset!H382&lt;1.3,2,IF(Dataset!H382&lt;1.8,3,4)))</f>
        <v>4</v>
      </c>
      <c r="M382" s="29">
        <f t="shared" si="43"/>
        <v>3.6</v>
      </c>
      <c r="N382" s="29">
        <f>IF(Dataset!F382=1,0.75,IF(Dataset!F382=2,0.45,0.2))</f>
        <v>0.2</v>
      </c>
      <c r="O382" s="29">
        <f>IF(Dataset!F382=1,3,IF(Dataset!F382=2,2,1))</f>
        <v>1</v>
      </c>
      <c r="P382" s="29">
        <f t="shared" si="44"/>
        <v>0.2</v>
      </c>
      <c r="Q382" s="29">
        <f>IF(Dataset!K382&lt;5,0.2,IF(Dataset!K382&lt;10,0.45,IF(Dataset!K382&lt;18,0.7,0.9)))</f>
        <v>0.7</v>
      </c>
      <c r="R382" s="29">
        <f>IF(Dataset!K382&lt;5,1,IF(Dataset!K382&lt;10,2,IF(Dataset!K382&lt;18,3,4)))</f>
        <v>3</v>
      </c>
      <c r="S382" s="29">
        <f t="shared" si="45"/>
        <v>2.0999999999999996</v>
      </c>
      <c r="T382" s="29">
        <f t="shared" si="46"/>
        <v>1.9860000000000002</v>
      </c>
      <c r="U382" s="29" t="str">
        <f t="shared" si="47"/>
        <v>High</v>
      </c>
    </row>
    <row r="383" spans="1:21" ht="15" customHeight="1" x14ac:dyDescent="0.25">
      <c r="A383" s="29">
        <f>Dataset!A383</f>
        <v>379</v>
      </c>
      <c r="B383" s="29">
        <f>IF(Dataset!B383&lt;25,0.3,IF(Dataset!B383&lt;75,0.5,IF(Dataset!B383&lt;120,0.65,0.8)))</f>
        <v>0.5</v>
      </c>
      <c r="C383" s="29">
        <f>IF(Dataset!B383&lt;25,1,IF(Dataset!B383&lt;75,2,IF(Dataset!B383&lt;120,3,4)))</f>
        <v>2</v>
      </c>
      <c r="D383" s="29">
        <f t="shared" si="40"/>
        <v>1</v>
      </c>
      <c r="E383" s="29">
        <f>IF(Dataset!C383&lt;=1,0.3,IF(Dataset!C383=2,0.4,IF(Dataset!C383=3,0.5,IF(Dataset!C383=4,0.65,0.8))))</f>
        <v>0.65</v>
      </c>
      <c r="F383" s="29">
        <f>IF(Dataset!C383&lt;=2,1,IF(Dataset!C383=3,2,IF(Dataset!C383=4,3,4)))</f>
        <v>3</v>
      </c>
      <c r="G383" s="29">
        <f t="shared" si="41"/>
        <v>1.9500000000000002</v>
      </c>
      <c r="H383" s="29">
        <f>IF(Dataset!G383&lt;=3,0.25,IF(Dataset!G383&lt;=6,0.45,IF(Dataset!G383&lt;=9,0.65,0.85)))</f>
        <v>0.45</v>
      </c>
      <c r="I383" s="29">
        <f>IF(Dataset!G383&lt;=3,1,IF(Dataset!G383&lt;=6,2,IF(Dataset!G383&lt;=9,3,4)))</f>
        <v>2</v>
      </c>
      <c r="J383" s="29">
        <f t="shared" si="42"/>
        <v>0.9</v>
      </c>
      <c r="K383" s="29">
        <f>IF(Dataset!H383&lt;1,0.2,IF(Dataset!H383&lt;1.3,0.45,IF(Dataset!H383&lt;1.8,0.7,0.9)))</f>
        <v>0.7</v>
      </c>
      <c r="L383" s="29">
        <f>IF(Dataset!H383&lt;1,1,IF(Dataset!H383&lt;1.3,2,IF(Dataset!H383&lt;1.8,3,4)))</f>
        <v>3</v>
      </c>
      <c r="M383" s="29">
        <f t="shared" si="43"/>
        <v>2.0999999999999996</v>
      </c>
      <c r="N383" s="29">
        <f>IF(Dataset!F383=1,0.75,IF(Dataset!F383=2,0.45,0.2))</f>
        <v>0.2</v>
      </c>
      <c r="O383" s="29">
        <f>IF(Dataset!F383=1,3,IF(Dataset!F383=2,2,1))</f>
        <v>1</v>
      </c>
      <c r="P383" s="29">
        <f t="shared" si="44"/>
        <v>0.2</v>
      </c>
      <c r="Q383" s="29">
        <f>IF(Dataset!K383&lt;5,0.2,IF(Dataset!K383&lt;10,0.45,IF(Dataset!K383&lt;18,0.7,0.9)))</f>
        <v>0.45</v>
      </c>
      <c r="R383" s="29">
        <f>IF(Dataset!K383&lt;5,1,IF(Dataset!K383&lt;10,2,IF(Dataset!K383&lt;18,3,4)))</f>
        <v>2</v>
      </c>
      <c r="S383" s="29">
        <f t="shared" si="45"/>
        <v>0.9</v>
      </c>
      <c r="T383" s="29">
        <f t="shared" si="46"/>
        <v>1.2830000000000001</v>
      </c>
      <c r="U383" s="29" t="str">
        <f t="shared" si="47"/>
        <v>Low</v>
      </c>
    </row>
    <row r="384" spans="1:21" ht="15" customHeight="1" x14ac:dyDescent="0.25">
      <c r="A384" s="29">
        <f>Dataset!A384</f>
        <v>380</v>
      </c>
      <c r="B384" s="29">
        <f>IF(Dataset!B384&lt;25,0.3,IF(Dataset!B384&lt;75,0.5,IF(Dataset!B384&lt;120,0.65,0.8)))</f>
        <v>0.3</v>
      </c>
      <c r="C384" s="29">
        <f>IF(Dataset!B384&lt;25,1,IF(Dataset!B384&lt;75,2,IF(Dataset!B384&lt;120,3,4)))</f>
        <v>1</v>
      </c>
      <c r="D384" s="29">
        <f t="shared" si="40"/>
        <v>0.3</v>
      </c>
      <c r="E384" s="29">
        <f>IF(Dataset!C384&lt;=1,0.3,IF(Dataset!C384=2,0.4,IF(Dataset!C384=3,0.5,IF(Dataset!C384=4,0.65,0.8))))</f>
        <v>0.4</v>
      </c>
      <c r="F384" s="29">
        <f>IF(Dataset!C384&lt;=2,1,IF(Dataset!C384=3,2,IF(Dataset!C384=4,3,4)))</f>
        <v>1</v>
      </c>
      <c r="G384" s="29">
        <f t="shared" si="41"/>
        <v>0.4</v>
      </c>
      <c r="H384" s="29">
        <f>IF(Dataset!G384&lt;=3,0.25,IF(Dataset!G384&lt;=6,0.45,IF(Dataset!G384&lt;=9,0.65,0.85)))</f>
        <v>0.45</v>
      </c>
      <c r="I384" s="29">
        <f>IF(Dataset!G384&lt;=3,1,IF(Dataset!G384&lt;=6,2,IF(Dataset!G384&lt;=9,3,4)))</f>
        <v>2</v>
      </c>
      <c r="J384" s="29">
        <f t="shared" si="42"/>
        <v>0.9</v>
      </c>
      <c r="K384" s="29">
        <f>IF(Dataset!H384&lt;1,0.2,IF(Dataset!H384&lt;1.3,0.45,IF(Dataset!H384&lt;1.8,0.7,0.9)))</f>
        <v>0.2</v>
      </c>
      <c r="L384" s="29">
        <f>IF(Dataset!H384&lt;1,1,IF(Dataset!H384&lt;1.3,2,IF(Dataset!H384&lt;1.8,3,4)))</f>
        <v>1</v>
      </c>
      <c r="M384" s="29">
        <f t="shared" si="43"/>
        <v>0.2</v>
      </c>
      <c r="N384" s="29">
        <f>IF(Dataset!F384=1,0.75,IF(Dataset!F384=2,0.45,0.2))</f>
        <v>0.45</v>
      </c>
      <c r="O384" s="29">
        <f>IF(Dataset!F384=1,3,IF(Dataset!F384=2,2,1))</f>
        <v>2</v>
      </c>
      <c r="P384" s="29">
        <f t="shared" si="44"/>
        <v>0.9</v>
      </c>
      <c r="Q384" s="29">
        <f>IF(Dataset!K384&lt;5,0.2,IF(Dataset!K384&lt;10,0.45,IF(Dataset!K384&lt;18,0.7,0.9)))</f>
        <v>0.2</v>
      </c>
      <c r="R384" s="29">
        <f>IF(Dataset!K384&lt;5,1,IF(Dataset!K384&lt;10,2,IF(Dataset!K384&lt;18,3,4)))</f>
        <v>1</v>
      </c>
      <c r="S384" s="29">
        <f t="shared" si="45"/>
        <v>0.2</v>
      </c>
      <c r="T384" s="29">
        <f t="shared" si="46"/>
        <v>0.45600000000000007</v>
      </c>
      <c r="U384" s="29" t="str">
        <f t="shared" si="47"/>
        <v>Low</v>
      </c>
    </row>
    <row r="385" spans="1:21" ht="15" customHeight="1" x14ac:dyDescent="0.25">
      <c r="A385" s="29">
        <f>Dataset!A385</f>
        <v>381</v>
      </c>
      <c r="B385" s="29">
        <f>IF(Dataset!B385&lt;25,0.3,IF(Dataset!B385&lt;75,0.5,IF(Dataset!B385&lt;120,0.65,0.8)))</f>
        <v>0.8</v>
      </c>
      <c r="C385" s="29">
        <f>IF(Dataset!B385&lt;25,1,IF(Dataset!B385&lt;75,2,IF(Dataset!B385&lt;120,3,4)))</f>
        <v>4</v>
      </c>
      <c r="D385" s="29">
        <f t="shared" si="40"/>
        <v>3.2</v>
      </c>
      <c r="E385" s="29">
        <f>IF(Dataset!C385&lt;=1,0.3,IF(Dataset!C385=2,0.4,IF(Dataset!C385=3,0.5,IF(Dataset!C385=4,0.65,0.8))))</f>
        <v>0.65</v>
      </c>
      <c r="F385" s="29">
        <f>IF(Dataset!C385&lt;=2,1,IF(Dataset!C385=3,2,IF(Dataset!C385=4,3,4)))</f>
        <v>3</v>
      </c>
      <c r="G385" s="29">
        <f t="shared" si="41"/>
        <v>1.9500000000000002</v>
      </c>
      <c r="H385" s="29">
        <f>IF(Dataset!G385&lt;=3,0.25,IF(Dataset!G385&lt;=6,0.45,IF(Dataset!G385&lt;=9,0.65,0.85)))</f>
        <v>0.65</v>
      </c>
      <c r="I385" s="29">
        <f>IF(Dataset!G385&lt;=3,1,IF(Dataset!G385&lt;=6,2,IF(Dataset!G385&lt;=9,3,4)))</f>
        <v>3</v>
      </c>
      <c r="J385" s="29">
        <f t="shared" si="42"/>
        <v>1.9500000000000002</v>
      </c>
      <c r="K385" s="29">
        <f>IF(Dataset!H385&lt;1,0.2,IF(Dataset!H385&lt;1.3,0.45,IF(Dataset!H385&lt;1.8,0.7,0.9)))</f>
        <v>0.45</v>
      </c>
      <c r="L385" s="29">
        <f>IF(Dataset!H385&lt;1,1,IF(Dataset!H385&lt;1.3,2,IF(Dataset!H385&lt;1.8,3,4)))</f>
        <v>2</v>
      </c>
      <c r="M385" s="29">
        <f t="shared" si="43"/>
        <v>0.9</v>
      </c>
      <c r="N385" s="29">
        <f>IF(Dataset!F385=1,0.75,IF(Dataset!F385=2,0.45,0.2))</f>
        <v>0.75</v>
      </c>
      <c r="O385" s="29">
        <f>IF(Dataset!F385=1,3,IF(Dataset!F385=2,2,1))</f>
        <v>3</v>
      </c>
      <c r="P385" s="29">
        <f t="shared" si="44"/>
        <v>2.25</v>
      </c>
      <c r="Q385" s="29">
        <f>IF(Dataset!K385&lt;5,0.2,IF(Dataset!K385&lt;10,0.45,IF(Dataset!K385&lt;18,0.7,0.9)))</f>
        <v>0.7</v>
      </c>
      <c r="R385" s="29">
        <f>IF(Dataset!K385&lt;5,1,IF(Dataset!K385&lt;10,2,IF(Dataset!K385&lt;18,3,4)))</f>
        <v>3</v>
      </c>
      <c r="S385" s="29">
        <f t="shared" si="45"/>
        <v>2.0999999999999996</v>
      </c>
      <c r="T385" s="29">
        <f t="shared" si="46"/>
        <v>1.9740000000000002</v>
      </c>
      <c r="U385" s="29" t="str">
        <f t="shared" si="47"/>
        <v>High</v>
      </c>
    </row>
    <row r="386" spans="1:21" ht="15" customHeight="1" x14ac:dyDescent="0.25">
      <c r="A386" s="29">
        <f>Dataset!A386</f>
        <v>382</v>
      </c>
      <c r="B386" s="29">
        <f>IF(Dataset!B386&lt;25,0.3,IF(Dataset!B386&lt;75,0.5,IF(Dataset!B386&lt;120,0.65,0.8)))</f>
        <v>0.5</v>
      </c>
      <c r="C386" s="29">
        <f>IF(Dataset!B386&lt;25,1,IF(Dataset!B386&lt;75,2,IF(Dataset!B386&lt;120,3,4)))</f>
        <v>2</v>
      </c>
      <c r="D386" s="29">
        <f t="shared" si="40"/>
        <v>1</v>
      </c>
      <c r="E386" s="29">
        <f>IF(Dataset!C386&lt;=1,0.3,IF(Dataset!C386=2,0.4,IF(Dataset!C386=3,0.5,IF(Dataset!C386=4,0.65,0.8))))</f>
        <v>0.65</v>
      </c>
      <c r="F386" s="29">
        <f>IF(Dataset!C386&lt;=2,1,IF(Dataset!C386=3,2,IF(Dataset!C386=4,3,4)))</f>
        <v>3</v>
      </c>
      <c r="G386" s="29">
        <f t="shared" si="41"/>
        <v>1.9500000000000002</v>
      </c>
      <c r="H386" s="29">
        <f>IF(Dataset!G386&lt;=3,0.25,IF(Dataset!G386&lt;=6,0.45,IF(Dataset!G386&lt;=9,0.65,0.85)))</f>
        <v>0.45</v>
      </c>
      <c r="I386" s="29">
        <f>IF(Dataset!G386&lt;=3,1,IF(Dataset!G386&lt;=6,2,IF(Dataset!G386&lt;=9,3,4)))</f>
        <v>2</v>
      </c>
      <c r="J386" s="29">
        <f t="shared" si="42"/>
        <v>0.9</v>
      </c>
      <c r="K386" s="29">
        <f>IF(Dataset!H386&lt;1,0.2,IF(Dataset!H386&lt;1.3,0.45,IF(Dataset!H386&lt;1.8,0.7,0.9)))</f>
        <v>0.9</v>
      </c>
      <c r="L386" s="29">
        <f>IF(Dataset!H386&lt;1,1,IF(Dataset!H386&lt;1.3,2,IF(Dataset!H386&lt;1.8,3,4)))</f>
        <v>4</v>
      </c>
      <c r="M386" s="29">
        <f t="shared" si="43"/>
        <v>3.6</v>
      </c>
      <c r="N386" s="29">
        <f>IF(Dataset!F386=1,0.75,IF(Dataset!F386=2,0.45,0.2))</f>
        <v>0.75</v>
      </c>
      <c r="O386" s="29">
        <f>IF(Dataset!F386=1,3,IF(Dataset!F386=2,2,1))</f>
        <v>3</v>
      </c>
      <c r="P386" s="29">
        <f t="shared" si="44"/>
        <v>2.25</v>
      </c>
      <c r="Q386" s="29">
        <f>IF(Dataset!K386&lt;5,0.2,IF(Dataset!K386&lt;10,0.45,IF(Dataset!K386&lt;18,0.7,0.9)))</f>
        <v>0.45</v>
      </c>
      <c r="R386" s="29">
        <f>IF(Dataset!K386&lt;5,1,IF(Dataset!K386&lt;10,2,IF(Dataset!K386&lt;18,3,4)))</f>
        <v>2</v>
      </c>
      <c r="S386" s="29">
        <f t="shared" si="45"/>
        <v>0.9</v>
      </c>
      <c r="T386" s="29">
        <f t="shared" si="46"/>
        <v>1.8480000000000003</v>
      </c>
      <c r="U386" s="29" t="str">
        <f t="shared" si="47"/>
        <v>High</v>
      </c>
    </row>
    <row r="387" spans="1:21" ht="15" customHeight="1" x14ac:dyDescent="0.25">
      <c r="A387" s="29">
        <f>Dataset!A387</f>
        <v>383</v>
      </c>
      <c r="B387" s="29">
        <f>IF(Dataset!B387&lt;25,0.3,IF(Dataset!B387&lt;75,0.5,IF(Dataset!B387&lt;120,0.65,0.8)))</f>
        <v>0.65</v>
      </c>
      <c r="C387" s="29">
        <f>IF(Dataset!B387&lt;25,1,IF(Dataset!B387&lt;75,2,IF(Dataset!B387&lt;120,3,4)))</f>
        <v>3</v>
      </c>
      <c r="D387" s="29">
        <f t="shared" si="40"/>
        <v>1.9500000000000002</v>
      </c>
      <c r="E387" s="29">
        <f>IF(Dataset!C387&lt;=1,0.3,IF(Dataset!C387=2,0.4,IF(Dataset!C387=3,0.5,IF(Dataset!C387=4,0.65,0.8))))</f>
        <v>0.65</v>
      </c>
      <c r="F387" s="29">
        <f>IF(Dataset!C387&lt;=2,1,IF(Dataset!C387=3,2,IF(Dataset!C387=4,3,4)))</f>
        <v>3</v>
      </c>
      <c r="G387" s="29">
        <f t="shared" si="41"/>
        <v>1.9500000000000002</v>
      </c>
      <c r="H387" s="29">
        <f>IF(Dataset!G387&lt;=3,0.25,IF(Dataset!G387&lt;=6,0.45,IF(Dataset!G387&lt;=9,0.65,0.85)))</f>
        <v>0.65</v>
      </c>
      <c r="I387" s="29">
        <f>IF(Dataset!G387&lt;=3,1,IF(Dataset!G387&lt;=6,2,IF(Dataset!G387&lt;=9,3,4)))</f>
        <v>3</v>
      </c>
      <c r="J387" s="29">
        <f t="shared" si="42"/>
        <v>1.9500000000000002</v>
      </c>
      <c r="K387" s="29">
        <f>IF(Dataset!H387&lt;1,0.2,IF(Dataset!H387&lt;1.3,0.45,IF(Dataset!H387&lt;1.8,0.7,0.9)))</f>
        <v>0.9</v>
      </c>
      <c r="L387" s="29">
        <f>IF(Dataset!H387&lt;1,1,IF(Dataset!H387&lt;1.3,2,IF(Dataset!H387&lt;1.8,3,4)))</f>
        <v>4</v>
      </c>
      <c r="M387" s="29">
        <f t="shared" si="43"/>
        <v>3.6</v>
      </c>
      <c r="N387" s="29">
        <f>IF(Dataset!F387=1,0.75,IF(Dataset!F387=2,0.45,0.2))</f>
        <v>0.2</v>
      </c>
      <c r="O387" s="29">
        <f>IF(Dataset!F387=1,3,IF(Dataset!F387=2,2,1))</f>
        <v>1</v>
      </c>
      <c r="P387" s="29">
        <f t="shared" si="44"/>
        <v>0.2</v>
      </c>
      <c r="Q387" s="29">
        <f>IF(Dataset!K387&lt;5,0.2,IF(Dataset!K387&lt;10,0.45,IF(Dataset!K387&lt;18,0.7,0.9)))</f>
        <v>0.45</v>
      </c>
      <c r="R387" s="29">
        <f>IF(Dataset!K387&lt;5,1,IF(Dataset!K387&lt;10,2,IF(Dataset!K387&lt;18,3,4)))</f>
        <v>2</v>
      </c>
      <c r="S387" s="29">
        <f t="shared" si="45"/>
        <v>0.9</v>
      </c>
      <c r="T387" s="29">
        <f t="shared" si="46"/>
        <v>2.024</v>
      </c>
      <c r="U387" s="29" t="str">
        <f t="shared" si="47"/>
        <v>High</v>
      </c>
    </row>
    <row r="388" spans="1:21" ht="15" customHeight="1" x14ac:dyDescent="0.25">
      <c r="A388" s="29">
        <f>Dataset!A388</f>
        <v>384</v>
      </c>
      <c r="B388" s="29">
        <f>IF(Dataset!B388&lt;25,0.3,IF(Dataset!B388&lt;75,0.5,IF(Dataset!B388&lt;120,0.65,0.8)))</f>
        <v>0.8</v>
      </c>
      <c r="C388" s="29">
        <f>IF(Dataset!B388&lt;25,1,IF(Dataset!B388&lt;75,2,IF(Dataset!B388&lt;120,3,4)))</f>
        <v>4</v>
      </c>
      <c r="D388" s="29">
        <f t="shared" si="40"/>
        <v>3.2</v>
      </c>
      <c r="E388" s="29">
        <f>IF(Dataset!C388&lt;=1,0.3,IF(Dataset!C388=2,0.4,IF(Dataset!C388=3,0.5,IF(Dataset!C388=4,0.65,0.8))))</f>
        <v>0.5</v>
      </c>
      <c r="F388" s="29">
        <f>IF(Dataset!C388&lt;=2,1,IF(Dataset!C388=3,2,IF(Dataset!C388=4,3,4)))</f>
        <v>2</v>
      </c>
      <c r="G388" s="29">
        <f t="shared" si="41"/>
        <v>1</v>
      </c>
      <c r="H388" s="29">
        <f>IF(Dataset!G388&lt;=3,0.25,IF(Dataset!G388&lt;=6,0.45,IF(Dataset!G388&lt;=9,0.65,0.85)))</f>
        <v>0.65</v>
      </c>
      <c r="I388" s="29">
        <f>IF(Dataset!G388&lt;=3,1,IF(Dataset!G388&lt;=6,2,IF(Dataset!G388&lt;=9,3,4)))</f>
        <v>3</v>
      </c>
      <c r="J388" s="29">
        <f t="shared" si="42"/>
        <v>1.9500000000000002</v>
      </c>
      <c r="K388" s="29">
        <f>IF(Dataset!H388&lt;1,0.2,IF(Dataset!H388&lt;1.3,0.45,IF(Dataset!H388&lt;1.8,0.7,0.9)))</f>
        <v>0.7</v>
      </c>
      <c r="L388" s="29">
        <f>IF(Dataset!H388&lt;1,1,IF(Dataset!H388&lt;1.3,2,IF(Dataset!H388&lt;1.8,3,4)))</f>
        <v>3</v>
      </c>
      <c r="M388" s="29">
        <f t="shared" si="43"/>
        <v>2.0999999999999996</v>
      </c>
      <c r="N388" s="29">
        <f>IF(Dataset!F388=1,0.75,IF(Dataset!F388=2,0.45,0.2))</f>
        <v>0.2</v>
      </c>
      <c r="O388" s="29">
        <f>IF(Dataset!F388=1,3,IF(Dataset!F388=2,2,1))</f>
        <v>1</v>
      </c>
      <c r="P388" s="29">
        <f t="shared" si="44"/>
        <v>0.2</v>
      </c>
      <c r="Q388" s="29">
        <f>IF(Dataset!K388&lt;5,0.2,IF(Dataset!K388&lt;10,0.45,IF(Dataset!K388&lt;18,0.7,0.9)))</f>
        <v>0.45</v>
      </c>
      <c r="R388" s="29">
        <f>IF(Dataset!K388&lt;5,1,IF(Dataset!K388&lt;10,2,IF(Dataset!K388&lt;18,3,4)))</f>
        <v>2</v>
      </c>
      <c r="S388" s="29">
        <f t="shared" si="45"/>
        <v>0.9</v>
      </c>
      <c r="T388" s="29">
        <f t="shared" si="46"/>
        <v>1.756</v>
      </c>
      <c r="U388" s="29" t="str">
        <f t="shared" si="47"/>
        <v>High</v>
      </c>
    </row>
    <row r="389" spans="1:21" ht="15" customHeight="1" x14ac:dyDescent="0.25">
      <c r="A389" s="29">
        <f>Dataset!A389</f>
        <v>385</v>
      </c>
      <c r="B389" s="29">
        <f>IF(Dataset!B389&lt;25,0.3,IF(Dataset!B389&lt;75,0.5,IF(Dataset!B389&lt;120,0.65,0.8)))</f>
        <v>0.65</v>
      </c>
      <c r="C389" s="29">
        <f>IF(Dataset!B389&lt;25,1,IF(Dataset!B389&lt;75,2,IF(Dataset!B389&lt;120,3,4)))</f>
        <v>3</v>
      </c>
      <c r="D389" s="29">
        <f t="shared" ref="D389:D452" si="48">B389*C389</f>
        <v>1.9500000000000002</v>
      </c>
      <c r="E389" s="29">
        <f>IF(Dataset!C389&lt;=1,0.3,IF(Dataset!C389=2,0.4,IF(Dataset!C389=3,0.5,IF(Dataset!C389=4,0.65,0.8))))</f>
        <v>0.8</v>
      </c>
      <c r="F389" s="29">
        <f>IF(Dataset!C389&lt;=2,1,IF(Dataset!C389=3,2,IF(Dataset!C389=4,3,4)))</f>
        <v>4</v>
      </c>
      <c r="G389" s="29">
        <f t="shared" ref="G389:G452" si="49">E389*F389</f>
        <v>3.2</v>
      </c>
      <c r="H389" s="29">
        <f>IF(Dataset!G389&lt;=3,0.25,IF(Dataset!G389&lt;=6,0.45,IF(Dataset!G389&lt;=9,0.65,0.85)))</f>
        <v>0.25</v>
      </c>
      <c r="I389" s="29">
        <f>IF(Dataset!G389&lt;=3,1,IF(Dataset!G389&lt;=6,2,IF(Dataset!G389&lt;=9,3,4)))</f>
        <v>1</v>
      </c>
      <c r="J389" s="29">
        <f t="shared" ref="J389:J452" si="50">H389*I389</f>
        <v>0.25</v>
      </c>
      <c r="K389" s="29">
        <f>IF(Dataset!H389&lt;1,0.2,IF(Dataset!H389&lt;1.3,0.45,IF(Dataset!H389&lt;1.8,0.7,0.9)))</f>
        <v>0.9</v>
      </c>
      <c r="L389" s="29">
        <f>IF(Dataset!H389&lt;1,1,IF(Dataset!H389&lt;1.3,2,IF(Dataset!H389&lt;1.8,3,4)))</f>
        <v>4</v>
      </c>
      <c r="M389" s="29">
        <f t="shared" ref="M389:M452" si="51">K389*L389</f>
        <v>3.6</v>
      </c>
      <c r="N389" s="29">
        <f>IF(Dataset!F389=1,0.75,IF(Dataset!F389=2,0.45,0.2))</f>
        <v>0.2</v>
      </c>
      <c r="O389" s="29">
        <f>IF(Dataset!F389=1,3,IF(Dataset!F389=2,2,1))</f>
        <v>1</v>
      </c>
      <c r="P389" s="29">
        <f t="shared" ref="P389:P452" si="52">N389*O389</f>
        <v>0.2</v>
      </c>
      <c r="Q389" s="29">
        <f>IF(Dataset!K389&lt;5,0.2,IF(Dataset!K389&lt;10,0.45,IF(Dataset!K389&lt;18,0.7,0.9)))</f>
        <v>0.9</v>
      </c>
      <c r="R389" s="29">
        <f>IF(Dataset!K389&lt;5,1,IF(Dataset!K389&lt;10,2,IF(Dataset!K389&lt;18,3,4)))</f>
        <v>4</v>
      </c>
      <c r="S389" s="29">
        <f t="shared" ref="S389:S452" si="53">Q389*R389</f>
        <v>3.6</v>
      </c>
      <c r="T389" s="29">
        <f t="shared" ref="T389:T452" si="54">$Y$6*D389+$Y$7*G389+$Y$8*J389+$Y$9*M389+$Y$10*P389+$Y$11*S389</f>
        <v>2.2370000000000001</v>
      </c>
      <c r="U389" s="29" t="str">
        <f t="shared" ref="U389:U452" si="55">IF(T389&lt;=$Y$15,"Low",IF(T389&lt;=$Y$16,"Medium","High"))</f>
        <v>High</v>
      </c>
    </row>
    <row r="390" spans="1:21" ht="15" customHeight="1" x14ac:dyDescent="0.25">
      <c r="A390" s="29">
        <f>Dataset!A390</f>
        <v>386</v>
      </c>
      <c r="B390" s="29">
        <f>IF(Dataset!B390&lt;25,0.3,IF(Dataset!B390&lt;75,0.5,IF(Dataset!B390&lt;120,0.65,0.8)))</f>
        <v>0.65</v>
      </c>
      <c r="C390" s="29">
        <f>IF(Dataset!B390&lt;25,1,IF(Dataset!B390&lt;75,2,IF(Dataset!B390&lt;120,3,4)))</f>
        <v>3</v>
      </c>
      <c r="D390" s="29">
        <f t="shared" si="48"/>
        <v>1.9500000000000002</v>
      </c>
      <c r="E390" s="29">
        <f>IF(Dataset!C390&lt;=1,0.3,IF(Dataset!C390=2,0.4,IF(Dataset!C390=3,0.5,IF(Dataset!C390=4,0.65,0.8))))</f>
        <v>0.5</v>
      </c>
      <c r="F390" s="29">
        <f>IF(Dataset!C390&lt;=2,1,IF(Dataset!C390=3,2,IF(Dataset!C390=4,3,4)))</f>
        <v>2</v>
      </c>
      <c r="G390" s="29">
        <f t="shared" si="49"/>
        <v>1</v>
      </c>
      <c r="H390" s="29">
        <f>IF(Dataset!G390&lt;=3,0.25,IF(Dataset!G390&lt;=6,0.45,IF(Dataset!G390&lt;=9,0.65,0.85)))</f>
        <v>0.65</v>
      </c>
      <c r="I390" s="29">
        <f>IF(Dataset!G390&lt;=3,1,IF(Dataset!G390&lt;=6,2,IF(Dataset!G390&lt;=9,3,4)))</f>
        <v>3</v>
      </c>
      <c r="J390" s="29">
        <f t="shared" si="50"/>
        <v>1.9500000000000002</v>
      </c>
      <c r="K390" s="29">
        <f>IF(Dataset!H390&lt;1,0.2,IF(Dataset!H390&lt;1.3,0.45,IF(Dataset!H390&lt;1.8,0.7,0.9)))</f>
        <v>0.9</v>
      </c>
      <c r="L390" s="29">
        <f>IF(Dataset!H390&lt;1,1,IF(Dataset!H390&lt;1.3,2,IF(Dataset!H390&lt;1.8,3,4)))</f>
        <v>4</v>
      </c>
      <c r="M390" s="29">
        <f t="shared" si="51"/>
        <v>3.6</v>
      </c>
      <c r="N390" s="29">
        <f>IF(Dataset!F390=1,0.75,IF(Dataset!F390=2,0.45,0.2))</f>
        <v>0.75</v>
      </c>
      <c r="O390" s="29">
        <f>IF(Dataset!F390=1,3,IF(Dataset!F390=2,2,1))</f>
        <v>3</v>
      </c>
      <c r="P390" s="29">
        <f t="shared" si="52"/>
        <v>2.25</v>
      </c>
      <c r="Q390" s="29">
        <f>IF(Dataset!K390&lt;5,0.2,IF(Dataset!K390&lt;10,0.45,IF(Dataset!K390&lt;18,0.7,0.9)))</f>
        <v>0.45</v>
      </c>
      <c r="R390" s="29">
        <f>IF(Dataset!K390&lt;5,1,IF(Dataset!K390&lt;10,2,IF(Dataset!K390&lt;18,3,4)))</f>
        <v>2</v>
      </c>
      <c r="S390" s="29">
        <f t="shared" si="53"/>
        <v>0.9</v>
      </c>
      <c r="T390" s="29">
        <f t="shared" si="54"/>
        <v>2.0960000000000001</v>
      </c>
      <c r="U390" s="29" t="str">
        <f t="shared" si="55"/>
        <v>High</v>
      </c>
    </row>
    <row r="391" spans="1:21" ht="15" customHeight="1" x14ac:dyDescent="0.25">
      <c r="A391" s="29">
        <f>Dataset!A391</f>
        <v>387</v>
      </c>
      <c r="B391" s="29">
        <f>IF(Dataset!B391&lt;25,0.3,IF(Dataset!B391&lt;75,0.5,IF(Dataset!B391&lt;120,0.65,0.8)))</f>
        <v>0.5</v>
      </c>
      <c r="C391" s="29">
        <f>IF(Dataset!B391&lt;25,1,IF(Dataset!B391&lt;75,2,IF(Dataset!B391&lt;120,3,4)))</f>
        <v>2</v>
      </c>
      <c r="D391" s="29">
        <f t="shared" si="48"/>
        <v>1</v>
      </c>
      <c r="E391" s="29">
        <f>IF(Dataset!C391&lt;=1,0.3,IF(Dataset!C391=2,0.4,IF(Dataset!C391=3,0.5,IF(Dataset!C391=4,0.65,0.8))))</f>
        <v>0.65</v>
      </c>
      <c r="F391" s="29">
        <f>IF(Dataset!C391&lt;=2,1,IF(Dataset!C391=3,2,IF(Dataset!C391=4,3,4)))</f>
        <v>3</v>
      </c>
      <c r="G391" s="29">
        <f t="shared" si="49"/>
        <v>1.9500000000000002</v>
      </c>
      <c r="H391" s="29">
        <f>IF(Dataset!G391&lt;=3,0.25,IF(Dataset!G391&lt;=6,0.45,IF(Dataset!G391&lt;=9,0.65,0.85)))</f>
        <v>0.65</v>
      </c>
      <c r="I391" s="29">
        <f>IF(Dataset!G391&lt;=3,1,IF(Dataset!G391&lt;=6,2,IF(Dataset!G391&lt;=9,3,4)))</f>
        <v>3</v>
      </c>
      <c r="J391" s="29">
        <f t="shared" si="50"/>
        <v>1.9500000000000002</v>
      </c>
      <c r="K391" s="29">
        <f>IF(Dataset!H391&lt;1,0.2,IF(Dataset!H391&lt;1.3,0.45,IF(Dataset!H391&lt;1.8,0.7,0.9)))</f>
        <v>0.9</v>
      </c>
      <c r="L391" s="29">
        <f>IF(Dataset!H391&lt;1,1,IF(Dataset!H391&lt;1.3,2,IF(Dataset!H391&lt;1.8,3,4)))</f>
        <v>4</v>
      </c>
      <c r="M391" s="29">
        <f t="shared" si="51"/>
        <v>3.6</v>
      </c>
      <c r="N391" s="29">
        <f>IF(Dataset!F391=1,0.75,IF(Dataset!F391=2,0.45,0.2))</f>
        <v>0.45</v>
      </c>
      <c r="O391" s="29">
        <f>IF(Dataset!F391=1,3,IF(Dataset!F391=2,2,1))</f>
        <v>2</v>
      </c>
      <c r="P391" s="29">
        <f t="shared" si="52"/>
        <v>0.9</v>
      </c>
      <c r="Q391" s="29">
        <f>IF(Dataset!K391&lt;5,0.2,IF(Dataset!K391&lt;10,0.45,IF(Dataset!K391&lt;18,0.7,0.9)))</f>
        <v>0.45</v>
      </c>
      <c r="R391" s="29">
        <f>IF(Dataset!K391&lt;5,1,IF(Dataset!K391&lt;10,2,IF(Dataset!K391&lt;18,3,4)))</f>
        <v>2</v>
      </c>
      <c r="S391" s="29">
        <f t="shared" si="53"/>
        <v>0.9</v>
      </c>
      <c r="T391" s="29">
        <f t="shared" si="54"/>
        <v>1.9230000000000005</v>
      </c>
      <c r="U391" s="29" t="str">
        <f t="shared" si="55"/>
        <v>High</v>
      </c>
    </row>
    <row r="392" spans="1:21" ht="15" customHeight="1" x14ac:dyDescent="0.25">
      <c r="A392" s="29">
        <f>Dataset!A392</f>
        <v>388</v>
      </c>
      <c r="B392" s="29">
        <f>IF(Dataset!B392&lt;25,0.3,IF(Dataset!B392&lt;75,0.5,IF(Dataset!B392&lt;120,0.65,0.8)))</f>
        <v>0.3</v>
      </c>
      <c r="C392" s="29">
        <f>IF(Dataset!B392&lt;25,1,IF(Dataset!B392&lt;75,2,IF(Dataset!B392&lt;120,3,4)))</f>
        <v>1</v>
      </c>
      <c r="D392" s="29">
        <f t="shared" si="48"/>
        <v>0.3</v>
      </c>
      <c r="E392" s="29">
        <f>IF(Dataset!C392&lt;=1,0.3,IF(Dataset!C392=2,0.4,IF(Dataset!C392=3,0.5,IF(Dataset!C392=4,0.65,0.8))))</f>
        <v>0.3</v>
      </c>
      <c r="F392" s="29">
        <f>IF(Dataset!C392&lt;=2,1,IF(Dataset!C392=3,2,IF(Dataset!C392=4,3,4)))</f>
        <v>1</v>
      </c>
      <c r="G392" s="29">
        <f t="shared" si="49"/>
        <v>0.3</v>
      </c>
      <c r="H392" s="29">
        <f>IF(Dataset!G392&lt;=3,0.25,IF(Dataset!G392&lt;=6,0.45,IF(Dataset!G392&lt;=9,0.65,0.85)))</f>
        <v>0.65</v>
      </c>
      <c r="I392" s="29">
        <f>IF(Dataset!G392&lt;=3,1,IF(Dataset!G392&lt;=6,2,IF(Dataset!G392&lt;=9,3,4)))</f>
        <v>3</v>
      </c>
      <c r="J392" s="29">
        <f t="shared" si="50"/>
        <v>1.9500000000000002</v>
      </c>
      <c r="K392" s="29">
        <f>IF(Dataset!H392&lt;1,0.2,IF(Dataset!H392&lt;1.3,0.45,IF(Dataset!H392&lt;1.8,0.7,0.9)))</f>
        <v>0.7</v>
      </c>
      <c r="L392" s="29">
        <f>IF(Dataset!H392&lt;1,1,IF(Dataset!H392&lt;1.3,2,IF(Dataset!H392&lt;1.8,3,4)))</f>
        <v>3</v>
      </c>
      <c r="M392" s="29">
        <f t="shared" si="51"/>
        <v>2.0999999999999996</v>
      </c>
      <c r="N392" s="29">
        <f>IF(Dataset!F392=1,0.75,IF(Dataset!F392=2,0.45,0.2))</f>
        <v>0.2</v>
      </c>
      <c r="O392" s="29">
        <f>IF(Dataset!F392=1,3,IF(Dataset!F392=2,2,1))</f>
        <v>1</v>
      </c>
      <c r="P392" s="29">
        <f t="shared" si="52"/>
        <v>0.2</v>
      </c>
      <c r="Q392" s="29">
        <f>IF(Dataset!K392&lt;5,0.2,IF(Dataset!K392&lt;10,0.45,IF(Dataset!K392&lt;18,0.7,0.9)))</f>
        <v>0.2</v>
      </c>
      <c r="R392" s="29">
        <f>IF(Dataset!K392&lt;5,1,IF(Dataset!K392&lt;10,2,IF(Dataset!K392&lt;18,3,4)))</f>
        <v>1</v>
      </c>
      <c r="S392" s="29">
        <f t="shared" si="53"/>
        <v>0.2</v>
      </c>
      <c r="T392" s="29">
        <f t="shared" si="54"/>
        <v>1.038</v>
      </c>
      <c r="U392" s="29" t="str">
        <f t="shared" si="55"/>
        <v>Low</v>
      </c>
    </row>
    <row r="393" spans="1:21" ht="15" customHeight="1" x14ac:dyDescent="0.25">
      <c r="A393" s="29">
        <f>Dataset!A393</f>
        <v>389</v>
      </c>
      <c r="B393" s="29">
        <f>IF(Dataset!B393&lt;25,0.3,IF(Dataset!B393&lt;75,0.5,IF(Dataset!B393&lt;120,0.65,0.8)))</f>
        <v>0.8</v>
      </c>
      <c r="C393" s="29">
        <f>IF(Dataset!B393&lt;25,1,IF(Dataset!B393&lt;75,2,IF(Dataset!B393&lt;120,3,4)))</f>
        <v>4</v>
      </c>
      <c r="D393" s="29">
        <f t="shared" si="48"/>
        <v>3.2</v>
      </c>
      <c r="E393" s="29">
        <f>IF(Dataset!C393&lt;=1,0.3,IF(Dataset!C393=2,0.4,IF(Dataset!C393=3,0.5,IF(Dataset!C393=4,0.65,0.8))))</f>
        <v>0.65</v>
      </c>
      <c r="F393" s="29">
        <f>IF(Dataset!C393&lt;=2,1,IF(Dataset!C393=3,2,IF(Dataset!C393=4,3,4)))</f>
        <v>3</v>
      </c>
      <c r="G393" s="29">
        <f t="shared" si="49"/>
        <v>1.9500000000000002</v>
      </c>
      <c r="H393" s="29">
        <f>IF(Dataset!G393&lt;=3,0.25,IF(Dataset!G393&lt;=6,0.45,IF(Dataset!G393&lt;=9,0.65,0.85)))</f>
        <v>0.65</v>
      </c>
      <c r="I393" s="29">
        <f>IF(Dataset!G393&lt;=3,1,IF(Dataset!G393&lt;=6,2,IF(Dataset!G393&lt;=9,3,4)))</f>
        <v>3</v>
      </c>
      <c r="J393" s="29">
        <f t="shared" si="50"/>
        <v>1.9500000000000002</v>
      </c>
      <c r="K393" s="29">
        <f>IF(Dataset!H393&lt;1,0.2,IF(Dataset!H393&lt;1.3,0.45,IF(Dataset!H393&lt;1.8,0.7,0.9)))</f>
        <v>0.7</v>
      </c>
      <c r="L393" s="29">
        <f>IF(Dataset!H393&lt;1,1,IF(Dataset!H393&lt;1.3,2,IF(Dataset!H393&lt;1.8,3,4)))</f>
        <v>3</v>
      </c>
      <c r="M393" s="29">
        <f t="shared" si="51"/>
        <v>2.0999999999999996</v>
      </c>
      <c r="N393" s="29">
        <f>IF(Dataset!F393=1,0.75,IF(Dataset!F393=2,0.45,0.2))</f>
        <v>0.2</v>
      </c>
      <c r="O393" s="29">
        <f>IF(Dataset!F393=1,3,IF(Dataset!F393=2,2,1))</f>
        <v>1</v>
      </c>
      <c r="P393" s="29">
        <f t="shared" si="52"/>
        <v>0.2</v>
      </c>
      <c r="Q393" s="29">
        <f>IF(Dataset!K393&lt;5,0.2,IF(Dataset!K393&lt;10,0.45,IF(Dataset!K393&lt;18,0.7,0.9)))</f>
        <v>0.7</v>
      </c>
      <c r="R393" s="29">
        <f>IF(Dataset!K393&lt;5,1,IF(Dataset!K393&lt;10,2,IF(Dataset!K393&lt;18,3,4)))</f>
        <v>3</v>
      </c>
      <c r="S393" s="29">
        <f t="shared" si="53"/>
        <v>2.0999999999999996</v>
      </c>
      <c r="T393" s="29">
        <f t="shared" si="54"/>
        <v>2.0569999999999999</v>
      </c>
      <c r="U393" s="29" t="str">
        <f t="shared" si="55"/>
        <v>High</v>
      </c>
    </row>
    <row r="394" spans="1:21" ht="15" customHeight="1" x14ac:dyDescent="0.25">
      <c r="A394" s="29">
        <f>Dataset!A394</f>
        <v>390</v>
      </c>
      <c r="B394" s="29">
        <f>IF(Dataset!B394&lt;25,0.3,IF(Dataset!B394&lt;75,0.5,IF(Dataset!B394&lt;120,0.65,0.8)))</f>
        <v>0.65</v>
      </c>
      <c r="C394" s="29">
        <f>IF(Dataset!B394&lt;25,1,IF(Dataset!B394&lt;75,2,IF(Dataset!B394&lt;120,3,4)))</f>
        <v>3</v>
      </c>
      <c r="D394" s="29">
        <f t="shared" si="48"/>
        <v>1.9500000000000002</v>
      </c>
      <c r="E394" s="29">
        <f>IF(Dataset!C394&lt;=1,0.3,IF(Dataset!C394=2,0.4,IF(Dataset!C394=3,0.5,IF(Dataset!C394=4,0.65,0.8))))</f>
        <v>0.65</v>
      </c>
      <c r="F394" s="29">
        <f>IF(Dataset!C394&lt;=2,1,IF(Dataset!C394=3,2,IF(Dataset!C394=4,3,4)))</f>
        <v>3</v>
      </c>
      <c r="G394" s="29">
        <f t="shared" si="49"/>
        <v>1.9500000000000002</v>
      </c>
      <c r="H394" s="29">
        <f>IF(Dataset!G394&lt;=3,0.25,IF(Dataset!G394&lt;=6,0.45,IF(Dataset!G394&lt;=9,0.65,0.85)))</f>
        <v>0.65</v>
      </c>
      <c r="I394" s="29">
        <f>IF(Dataset!G394&lt;=3,1,IF(Dataset!G394&lt;=6,2,IF(Dataset!G394&lt;=9,3,4)))</f>
        <v>3</v>
      </c>
      <c r="J394" s="29">
        <f t="shared" si="50"/>
        <v>1.9500000000000002</v>
      </c>
      <c r="K394" s="29">
        <f>IF(Dataset!H394&lt;1,0.2,IF(Dataset!H394&lt;1.3,0.45,IF(Dataset!H394&lt;1.8,0.7,0.9)))</f>
        <v>0.45</v>
      </c>
      <c r="L394" s="29">
        <f>IF(Dataset!H394&lt;1,1,IF(Dataset!H394&lt;1.3,2,IF(Dataset!H394&lt;1.8,3,4)))</f>
        <v>2</v>
      </c>
      <c r="M394" s="29">
        <f t="shared" si="51"/>
        <v>0.9</v>
      </c>
      <c r="N394" s="29">
        <f>IF(Dataset!F394=1,0.75,IF(Dataset!F394=2,0.45,0.2))</f>
        <v>0.75</v>
      </c>
      <c r="O394" s="29">
        <f>IF(Dataset!F394=1,3,IF(Dataset!F394=2,2,1))</f>
        <v>3</v>
      </c>
      <c r="P394" s="29">
        <f t="shared" si="52"/>
        <v>2.25</v>
      </c>
      <c r="Q394" s="29">
        <f>IF(Dataset!K394&lt;5,0.2,IF(Dataset!K394&lt;10,0.45,IF(Dataset!K394&lt;18,0.7,0.9)))</f>
        <v>0.45</v>
      </c>
      <c r="R394" s="29">
        <f>IF(Dataset!K394&lt;5,1,IF(Dataset!K394&lt;10,2,IF(Dataset!K394&lt;18,3,4)))</f>
        <v>2</v>
      </c>
      <c r="S394" s="29">
        <f t="shared" si="53"/>
        <v>0.9</v>
      </c>
      <c r="T394" s="29">
        <f t="shared" si="54"/>
        <v>1.5810000000000004</v>
      </c>
      <c r="U394" s="29" t="str">
        <f t="shared" si="55"/>
        <v>Medium</v>
      </c>
    </row>
    <row r="395" spans="1:21" ht="15" customHeight="1" x14ac:dyDescent="0.25">
      <c r="A395" s="29">
        <f>Dataset!A395</f>
        <v>391</v>
      </c>
      <c r="B395" s="29">
        <f>IF(Dataset!B395&lt;25,0.3,IF(Dataset!B395&lt;75,0.5,IF(Dataset!B395&lt;120,0.65,0.8)))</f>
        <v>0.5</v>
      </c>
      <c r="C395" s="29">
        <f>IF(Dataset!B395&lt;25,1,IF(Dataset!B395&lt;75,2,IF(Dataset!B395&lt;120,3,4)))</f>
        <v>2</v>
      </c>
      <c r="D395" s="29">
        <f t="shared" si="48"/>
        <v>1</v>
      </c>
      <c r="E395" s="29">
        <f>IF(Dataset!C395&lt;=1,0.3,IF(Dataset!C395=2,0.4,IF(Dataset!C395=3,0.5,IF(Dataset!C395=4,0.65,0.8))))</f>
        <v>0.65</v>
      </c>
      <c r="F395" s="29">
        <f>IF(Dataset!C395&lt;=2,1,IF(Dataset!C395=3,2,IF(Dataset!C395=4,3,4)))</f>
        <v>3</v>
      </c>
      <c r="G395" s="29">
        <f t="shared" si="49"/>
        <v>1.9500000000000002</v>
      </c>
      <c r="H395" s="29">
        <f>IF(Dataset!G395&lt;=3,0.25,IF(Dataset!G395&lt;=6,0.45,IF(Dataset!G395&lt;=9,0.65,0.85)))</f>
        <v>0.65</v>
      </c>
      <c r="I395" s="29">
        <f>IF(Dataset!G395&lt;=3,1,IF(Dataset!G395&lt;=6,2,IF(Dataset!G395&lt;=9,3,4)))</f>
        <v>3</v>
      </c>
      <c r="J395" s="29">
        <f t="shared" si="50"/>
        <v>1.9500000000000002</v>
      </c>
      <c r="K395" s="29">
        <f>IF(Dataset!H395&lt;1,0.2,IF(Dataset!H395&lt;1.3,0.45,IF(Dataset!H395&lt;1.8,0.7,0.9)))</f>
        <v>0.2</v>
      </c>
      <c r="L395" s="29">
        <f>IF(Dataset!H395&lt;1,1,IF(Dataset!H395&lt;1.3,2,IF(Dataset!H395&lt;1.8,3,4)))</f>
        <v>1</v>
      </c>
      <c r="M395" s="29">
        <f t="shared" si="51"/>
        <v>0.2</v>
      </c>
      <c r="N395" s="29">
        <f>IF(Dataset!F395=1,0.75,IF(Dataset!F395=2,0.45,0.2))</f>
        <v>0.45</v>
      </c>
      <c r="O395" s="29">
        <f>IF(Dataset!F395=1,3,IF(Dataset!F395=2,2,1))</f>
        <v>2</v>
      </c>
      <c r="P395" s="29">
        <f t="shared" si="52"/>
        <v>0.9</v>
      </c>
      <c r="Q395" s="29">
        <f>IF(Dataset!K395&lt;5,0.2,IF(Dataset!K395&lt;10,0.45,IF(Dataset!K395&lt;18,0.7,0.9)))</f>
        <v>0.7</v>
      </c>
      <c r="R395" s="29">
        <f>IF(Dataset!K395&lt;5,1,IF(Dataset!K395&lt;10,2,IF(Dataset!K395&lt;18,3,4)))</f>
        <v>3</v>
      </c>
      <c r="S395" s="29">
        <f t="shared" si="53"/>
        <v>2.0999999999999996</v>
      </c>
      <c r="T395" s="29">
        <f t="shared" si="54"/>
        <v>1.2750000000000001</v>
      </c>
      <c r="U395" s="29" t="str">
        <f t="shared" si="55"/>
        <v>Low</v>
      </c>
    </row>
    <row r="396" spans="1:21" ht="15" customHeight="1" x14ac:dyDescent="0.25">
      <c r="A396" s="29">
        <f>Dataset!A396</f>
        <v>392</v>
      </c>
      <c r="B396" s="29">
        <f>IF(Dataset!B396&lt;25,0.3,IF(Dataset!B396&lt;75,0.5,IF(Dataset!B396&lt;120,0.65,0.8)))</f>
        <v>0.3</v>
      </c>
      <c r="C396" s="29">
        <f>IF(Dataset!B396&lt;25,1,IF(Dataset!B396&lt;75,2,IF(Dataset!B396&lt;120,3,4)))</f>
        <v>1</v>
      </c>
      <c r="D396" s="29">
        <f t="shared" si="48"/>
        <v>0.3</v>
      </c>
      <c r="E396" s="29">
        <f>IF(Dataset!C396&lt;=1,0.3,IF(Dataset!C396=2,0.4,IF(Dataset!C396=3,0.5,IF(Dataset!C396=4,0.65,0.8))))</f>
        <v>0.5</v>
      </c>
      <c r="F396" s="29">
        <f>IF(Dataset!C396&lt;=2,1,IF(Dataset!C396=3,2,IF(Dataset!C396=4,3,4)))</f>
        <v>2</v>
      </c>
      <c r="G396" s="29">
        <f t="shared" si="49"/>
        <v>1</v>
      </c>
      <c r="H396" s="29">
        <f>IF(Dataset!G396&lt;=3,0.25,IF(Dataset!G396&lt;=6,0.45,IF(Dataset!G396&lt;=9,0.65,0.85)))</f>
        <v>0.65</v>
      </c>
      <c r="I396" s="29">
        <f>IF(Dataset!G396&lt;=3,1,IF(Dataset!G396&lt;=6,2,IF(Dataset!G396&lt;=9,3,4)))</f>
        <v>3</v>
      </c>
      <c r="J396" s="29">
        <f t="shared" si="50"/>
        <v>1.9500000000000002</v>
      </c>
      <c r="K396" s="29">
        <f>IF(Dataset!H396&lt;1,0.2,IF(Dataset!H396&lt;1.3,0.45,IF(Dataset!H396&lt;1.8,0.7,0.9)))</f>
        <v>0.9</v>
      </c>
      <c r="L396" s="29">
        <f>IF(Dataset!H396&lt;1,1,IF(Dataset!H396&lt;1.3,2,IF(Dataset!H396&lt;1.8,3,4)))</f>
        <v>4</v>
      </c>
      <c r="M396" s="29">
        <f t="shared" si="51"/>
        <v>3.6</v>
      </c>
      <c r="N396" s="29">
        <f>IF(Dataset!F396=1,0.75,IF(Dataset!F396=2,0.45,0.2))</f>
        <v>0.75</v>
      </c>
      <c r="O396" s="29">
        <f>IF(Dataset!F396=1,3,IF(Dataset!F396=2,2,1))</f>
        <v>3</v>
      </c>
      <c r="P396" s="29">
        <f t="shared" si="52"/>
        <v>2.25</v>
      </c>
      <c r="Q396" s="29">
        <f>IF(Dataset!K396&lt;5,0.2,IF(Dataset!K396&lt;10,0.45,IF(Dataset!K396&lt;18,0.7,0.9)))</f>
        <v>0.2</v>
      </c>
      <c r="R396" s="29">
        <f>IF(Dataset!K396&lt;5,1,IF(Dataset!K396&lt;10,2,IF(Dataset!K396&lt;18,3,4)))</f>
        <v>1</v>
      </c>
      <c r="S396" s="29">
        <f t="shared" si="53"/>
        <v>0.2</v>
      </c>
      <c r="T396" s="29">
        <f t="shared" si="54"/>
        <v>1.7010000000000001</v>
      </c>
      <c r="U396" s="29" t="str">
        <f t="shared" si="55"/>
        <v>Medium</v>
      </c>
    </row>
    <row r="397" spans="1:21" ht="15" customHeight="1" x14ac:dyDescent="0.25">
      <c r="A397" s="29">
        <f>Dataset!A397</f>
        <v>393</v>
      </c>
      <c r="B397" s="29">
        <f>IF(Dataset!B397&lt;25,0.3,IF(Dataset!B397&lt;75,0.5,IF(Dataset!B397&lt;120,0.65,0.8)))</f>
        <v>0.5</v>
      </c>
      <c r="C397" s="29">
        <f>IF(Dataset!B397&lt;25,1,IF(Dataset!B397&lt;75,2,IF(Dataset!B397&lt;120,3,4)))</f>
        <v>2</v>
      </c>
      <c r="D397" s="29">
        <f t="shared" si="48"/>
        <v>1</v>
      </c>
      <c r="E397" s="29">
        <f>IF(Dataset!C397&lt;=1,0.3,IF(Dataset!C397=2,0.4,IF(Dataset!C397=3,0.5,IF(Dataset!C397=4,0.65,0.8))))</f>
        <v>0.65</v>
      </c>
      <c r="F397" s="29">
        <f>IF(Dataset!C397&lt;=2,1,IF(Dataset!C397=3,2,IF(Dataset!C397=4,3,4)))</f>
        <v>3</v>
      </c>
      <c r="G397" s="29">
        <f t="shared" si="49"/>
        <v>1.9500000000000002</v>
      </c>
      <c r="H397" s="29">
        <f>IF(Dataset!G397&lt;=3,0.25,IF(Dataset!G397&lt;=6,0.45,IF(Dataset!G397&lt;=9,0.65,0.85)))</f>
        <v>0.45</v>
      </c>
      <c r="I397" s="29">
        <f>IF(Dataset!G397&lt;=3,1,IF(Dataset!G397&lt;=6,2,IF(Dataset!G397&lt;=9,3,4)))</f>
        <v>2</v>
      </c>
      <c r="J397" s="29">
        <f t="shared" si="50"/>
        <v>0.9</v>
      </c>
      <c r="K397" s="29">
        <f>IF(Dataset!H397&lt;1,0.2,IF(Dataset!H397&lt;1.3,0.45,IF(Dataset!H397&lt;1.8,0.7,0.9)))</f>
        <v>0.9</v>
      </c>
      <c r="L397" s="29">
        <f>IF(Dataset!H397&lt;1,1,IF(Dataset!H397&lt;1.3,2,IF(Dataset!H397&lt;1.8,3,4)))</f>
        <v>4</v>
      </c>
      <c r="M397" s="29">
        <f t="shared" si="51"/>
        <v>3.6</v>
      </c>
      <c r="N397" s="29">
        <f>IF(Dataset!F397=1,0.75,IF(Dataset!F397=2,0.45,0.2))</f>
        <v>0.45</v>
      </c>
      <c r="O397" s="29">
        <f>IF(Dataset!F397=1,3,IF(Dataset!F397=2,2,1))</f>
        <v>2</v>
      </c>
      <c r="P397" s="29">
        <f t="shared" si="52"/>
        <v>0.9</v>
      </c>
      <c r="Q397" s="29">
        <f>IF(Dataset!K397&lt;5,0.2,IF(Dataset!K397&lt;10,0.45,IF(Dataset!K397&lt;18,0.7,0.9)))</f>
        <v>0.45</v>
      </c>
      <c r="R397" s="29">
        <f>IF(Dataset!K397&lt;5,1,IF(Dataset!K397&lt;10,2,IF(Dataset!K397&lt;18,3,4)))</f>
        <v>2</v>
      </c>
      <c r="S397" s="29">
        <f t="shared" si="53"/>
        <v>0.9</v>
      </c>
      <c r="T397" s="29">
        <f t="shared" si="54"/>
        <v>1.7130000000000003</v>
      </c>
      <c r="U397" s="29" t="str">
        <f t="shared" si="55"/>
        <v>Medium</v>
      </c>
    </row>
    <row r="398" spans="1:21" ht="15" customHeight="1" x14ac:dyDescent="0.25">
      <c r="A398" s="29">
        <f>Dataset!A398</f>
        <v>394</v>
      </c>
      <c r="B398" s="29">
        <f>IF(Dataset!B398&lt;25,0.3,IF(Dataset!B398&lt;75,0.5,IF(Dataset!B398&lt;120,0.65,0.8)))</f>
        <v>0.5</v>
      </c>
      <c r="C398" s="29">
        <f>IF(Dataset!B398&lt;25,1,IF(Dataset!B398&lt;75,2,IF(Dataset!B398&lt;120,3,4)))</f>
        <v>2</v>
      </c>
      <c r="D398" s="29">
        <f t="shared" si="48"/>
        <v>1</v>
      </c>
      <c r="E398" s="29">
        <f>IF(Dataset!C398&lt;=1,0.3,IF(Dataset!C398=2,0.4,IF(Dataset!C398=3,0.5,IF(Dataset!C398=4,0.65,0.8))))</f>
        <v>0.65</v>
      </c>
      <c r="F398" s="29">
        <f>IF(Dataset!C398&lt;=2,1,IF(Dataset!C398=3,2,IF(Dataset!C398=4,3,4)))</f>
        <v>3</v>
      </c>
      <c r="G398" s="29">
        <f t="shared" si="49"/>
        <v>1.9500000000000002</v>
      </c>
      <c r="H398" s="29">
        <f>IF(Dataset!G398&lt;=3,0.25,IF(Dataset!G398&lt;=6,0.45,IF(Dataset!G398&lt;=9,0.65,0.85)))</f>
        <v>0.25</v>
      </c>
      <c r="I398" s="29">
        <f>IF(Dataset!G398&lt;=3,1,IF(Dataset!G398&lt;=6,2,IF(Dataset!G398&lt;=9,3,4)))</f>
        <v>1</v>
      </c>
      <c r="J398" s="29">
        <f t="shared" si="50"/>
        <v>0.25</v>
      </c>
      <c r="K398" s="29">
        <f>IF(Dataset!H398&lt;1,0.2,IF(Dataset!H398&lt;1.3,0.45,IF(Dataset!H398&lt;1.8,0.7,0.9)))</f>
        <v>0.45</v>
      </c>
      <c r="L398" s="29">
        <f>IF(Dataset!H398&lt;1,1,IF(Dataset!H398&lt;1.3,2,IF(Dataset!H398&lt;1.8,3,4)))</f>
        <v>2</v>
      </c>
      <c r="M398" s="29">
        <f t="shared" si="51"/>
        <v>0.9</v>
      </c>
      <c r="N398" s="29">
        <f>IF(Dataset!F398=1,0.75,IF(Dataset!F398=2,0.45,0.2))</f>
        <v>0.75</v>
      </c>
      <c r="O398" s="29">
        <f>IF(Dataset!F398=1,3,IF(Dataset!F398=2,2,1))</f>
        <v>3</v>
      </c>
      <c r="P398" s="29">
        <f t="shared" si="52"/>
        <v>2.25</v>
      </c>
      <c r="Q398" s="29">
        <f>IF(Dataset!K398&lt;5,0.2,IF(Dataset!K398&lt;10,0.45,IF(Dataset!K398&lt;18,0.7,0.9)))</f>
        <v>0.7</v>
      </c>
      <c r="R398" s="29">
        <f>IF(Dataset!K398&lt;5,1,IF(Dataset!K398&lt;10,2,IF(Dataset!K398&lt;18,3,4)))</f>
        <v>3</v>
      </c>
      <c r="S398" s="29">
        <f t="shared" si="53"/>
        <v>2.0999999999999996</v>
      </c>
      <c r="T398" s="29">
        <f t="shared" si="54"/>
        <v>1.238</v>
      </c>
      <c r="U398" s="29" t="str">
        <f t="shared" si="55"/>
        <v>Low</v>
      </c>
    </row>
    <row r="399" spans="1:21" ht="15" customHeight="1" x14ac:dyDescent="0.25">
      <c r="A399" s="29">
        <f>Dataset!A399</f>
        <v>395</v>
      </c>
      <c r="B399" s="29">
        <f>IF(Dataset!B399&lt;25,0.3,IF(Dataset!B399&lt;75,0.5,IF(Dataset!B399&lt;120,0.65,0.8)))</f>
        <v>0.8</v>
      </c>
      <c r="C399" s="29">
        <f>IF(Dataset!B399&lt;25,1,IF(Dataset!B399&lt;75,2,IF(Dataset!B399&lt;120,3,4)))</f>
        <v>4</v>
      </c>
      <c r="D399" s="29">
        <f t="shared" si="48"/>
        <v>3.2</v>
      </c>
      <c r="E399" s="29">
        <f>IF(Dataset!C399&lt;=1,0.3,IF(Dataset!C399=2,0.4,IF(Dataset!C399=3,0.5,IF(Dataset!C399=4,0.65,0.8))))</f>
        <v>0.5</v>
      </c>
      <c r="F399" s="29">
        <f>IF(Dataset!C399&lt;=2,1,IF(Dataset!C399=3,2,IF(Dataset!C399=4,3,4)))</f>
        <v>2</v>
      </c>
      <c r="G399" s="29">
        <f t="shared" si="49"/>
        <v>1</v>
      </c>
      <c r="H399" s="29">
        <f>IF(Dataset!G399&lt;=3,0.25,IF(Dataset!G399&lt;=6,0.45,IF(Dataset!G399&lt;=9,0.65,0.85)))</f>
        <v>0.45</v>
      </c>
      <c r="I399" s="29">
        <f>IF(Dataset!G399&lt;=3,1,IF(Dataset!G399&lt;=6,2,IF(Dataset!G399&lt;=9,3,4)))</f>
        <v>2</v>
      </c>
      <c r="J399" s="29">
        <f t="shared" si="50"/>
        <v>0.9</v>
      </c>
      <c r="K399" s="29">
        <f>IF(Dataset!H399&lt;1,0.2,IF(Dataset!H399&lt;1.3,0.45,IF(Dataset!H399&lt;1.8,0.7,0.9)))</f>
        <v>0.9</v>
      </c>
      <c r="L399" s="29">
        <f>IF(Dataset!H399&lt;1,1,IF(Dataset!H399&lt;1.3,2,IF(Dataset!H399&lt;1.8,3,4)))</f>
        <v>4</v>
      </c>
      <c r="M399" s="29">
        <f t="shared" si="51"/>
        <v>3.6</v>
      </c>
      <c r="N399" s="29">
        <f>IF(Dataset!F399=1,0.75,IF(Dataset!F399=2,0.45,0.2))</f>
        <v>0.75</v>
      </c>
      <c r="O399" s="29">
        <f>IF(Dataset!F399=1,3,IF(Dataset!F399=2,2,1))</f>
        <v>3</v>
      </c>
      <c r="P399" s="29">
        <f t="shared" si="52"/>
        <v>2.25</v>
      </c>
      <c r="Q399" s="29">
        <f>IF(Dataset!K399&lt;5,0.2,IF(Dataset!K399&lt;10,0.45,IF(Dataset!K399&lt;18,0.7,0.9)))</f>
        <v>0.45</v>
      </c>
      <c r="R399" s="29">
        <f>IF(Dataset!K399&lt;5,1,IF(Dataset!K399&lt;10,2,IF(Dataset!K399&lt;18,3,4)))</f>
        <v>2</v>
      </c>
      <c r="S399" s="29">
        <f t="shared" si="53"/>
        <v>0.9</v>
      </c>
      <c r="T399" s="29">
        <f t="shared" si="54"/>
        <v>2.1110000000000002</v>
      </c>
      <c r="U399" s="29" t="str">
        <f t="shared" si="55"/>
        <v>High</v>
      </c>
    </row>
    <row r="400" spans="1:21" ht="15" customHeight="1" x14ac:dyDescent="0.25">
      <c r="A400" s="29">
        <f>Dataset!A400</f>
        <v>396</v>
      </c>
      <c r="B400" s="29">
        <f>IF(Dataset!B400&lt;25,0.3,IF(Dataset!B400&lt;75,0.5,IF(Dataset!B400&lt;120,0.65,0.8)))</f>
        <v>0.5</v>
      </c>
      <c r="C400" s="29">
        <f>IF(Dataset!B400&lt;25,1,IF(Dataset!B400&lt;75,2,IF(Dataset!B400&lt;120,3,4)))</f>
        <v>2</v>
      </c>
      <c r="D400" s="29">
        <f t="shared" si="48"/>
        <v>1</v>
      </c>
      <c r="E400" s="29">
        <f>IF(Dataset!C400&lt;=1,0.3,IF(Dataset!C400=2,0.4,IF(Dataset!C400=3,0.5,IF(Dataset!C400=4,0.65,0.8))))</f>
        <v>0.8</v>
      </c>
      <c r="F400" s="29">
        <f>IF(Dataset!C400&lt;=2,1,IF(Dataset!C400=3,2,IF(Dataset!C400=4,3,4)))</f>
        <v>4</v>
      </c>
      <c r="G400" s="29">
        <f t="shared" si="49"/>
        <v>3.2</v>
      </c>
      <c r="H400" s="29">
        <f>IF(Dataset!G400&lt;=3,0.25,IF(Dataset!G400&lt;=6,0.45,IF(Dataset!G400&lt;=9,0.65,0.85)))</f>
        <v>0.45</v>
      </c>
      <c r="I400" s="29">
        <f>IF(Dataset!G400&lt;=3,1,IF(Dataset!G400&lt;=6,2,IF(Dataset!G400&lt;=9,3,4)))</f>
        <v>2</v>
      </c>
      <c r="J400" s="29">
        <f t="shared" si="50"/>
        <v>0.9</v>
      </c>
      <c r="K400" s="29">
        <f>IF(Dataset!H400&lt;1,0.2,IF(Dataset!H400&lt;1.3,0.45,IF(Dataset!H400&lt;1.8,0.7,0.9)))</f>
        <v>0.7</v>
      </c>
      <c r="L400" s="29">
        <f>IF(Dataset!H400&lt;1,1,IF(Dataset!H400&lt;1.3,2,IF(Dataset!H400&lt;1.8,3,4)))</f>
        <v>3</v>
      </c>
      <c r="M400" s="29">
        <f t="shared" si="51"/>
        <v>2.0999999999999996</v>
      </c>
      <c r="N400" s="29">
        <f>IF(Dataset!F400=1,0.75,IF(Dataset!F400=2,0.45,0.2))</f>
        <v>0.75</v>
      </c>
      <c r="O400" s="29">
        <f>IF(Dataset!F400=1,3,IF(Dataset!F400=2,2,1))</f>
        <v>3</v>
      </c>
      <c r="P400" s="29">
        <f t="shared" si="52"/>
        <v>2.25</v>
      </c>
      <c r="Q400" s="29">
        <f>IF(Dataset!K400&lt;5,0.2,IF(Dataset!K400&lt;10,0.45,IF(Dataset!K400&lt;18,0.7,0.9)))</f>
        <v>0.9</v>
      </c>
      <c r="R400" s="29">
        <f>IF(Dataset!K400&lt;5,1,IF(Dataset!K400&lt;10,2,IF(Dataset!K400&lt;18,3,4)))</f>
        <v>4</v>
      </c>
      <c r="S400" s="29">
        <f t="shared" si="53"/>
        <v>3.6</v>
      </c>
      <c r="T400" s="29">
        <f t="shared" si="54"/>
        <v>2.0410000000000004</v>
      </c>
      <c r="U400" s="29" t="str">
        <f t="shared" si="55"/>
        <v>High</v>
      </c>
    </row>
    <row r="401" spans="1:21" ht="15" customHeight="1" x14ac:dyDescent="0.25">
      <c r="A401" s="29">
        <f>Dataset!A401</f>
        <v>397</v>
      </c>
      <c r="B401" s="29">
        <f>IF(Dataset!B401&lt;25,0.3,IF(Dataset!B401&lt;75,0.5,IF(Dataset!B401&lt;120,0.65,0.8)))</f>
        <v>0.5</v>
      </c>
      <c r="C401" s="29">
        <f>IF(Dataset!B401&lt;25,1,IF(Dataset!B401&lt;75,2,IF(Dataset!B401&lt;120,3,4)))</f>
        <v>2</v>
      </c>
      <c r="D401" s="29">
        <f t="shared" si="48"/>
        <v>1</v>
      </c>
      <c r="E401" s="29">
        <f>IF(Dataset!C401&lt;=1,0.3,IF(Dataset!C401=2,0.4,IF(Dataset!C401=3,0.5,IF(Dataset!C401=4,0.65,0.8))))</f>
        <v>0.65</v>
      </c>
      <c r="F401" s="29">
        <f>IF(Dataset!C401&lt;=2,1,IF(Dataset!C401=3,2,IF(Dataset!C401=4,3,4)))</f>
        <v>3</v>
      </c>
      <c r="G401" s="29">
        <f t="shared" si="49"/>
        <v>1.9500000000000002</v>
      </c>
      <c r="H401" s="29">
        <f>IF(Dataset!G401&lt;=3,0.25,IF(Dataset!G401&lt;=6,0.45,IF(Dataset!G401&lt;=9,0.65,0.85)))</f>
        <v>0.25</v>
      </c>
      <c r="I401" s="29">
        <f>IF(Dataset!G401&lt;=3,1,IF(Dataset!G401&lt;=6,2,IF(Dataset!G401&lt;=9,3,4)))</f>
        <v>1</v>
      </c>
      <c r="J401" s="29">
        <f t="shared" si="50"/>
        <v>0.25</v>
      </c>
      <c r="K401" s="29">
        <f>IF(Dataset!H401&lt;1,0.2,IF(Dataset!H401&lt;1.3,0.45,IF(Dataset!H401&lt;1.8,0.7,0.9)))</f>
        <v>0.7</v>
      </c>
      <c r="L401" s="29">
        <f>IF(Dataset!H401&lt;1,1,IF(Dataset!H401&lt;1.3,2,IF(Dataset!H401&lt;1.8,3,4)))</f>
        <v>3</v>
      </c>
      <c r="M401" s="29">
        <f t="shared" si="51"/>
        <v>2.0999999999999996</v>
      </c>
      <c r="N401" s="29">
        <f>IF(Dataset!F401=1,0.75,IF(Dataset!F401=2,0.45,0.2))</f>
        <v>0.2</v>
      </c>
      <c r="O401" s="29">
        <f>IF(Dataset!F401=1,3,IF(Dataset!F401=2,2,1))</f>
        <v>1</v>
      </c>
      <c r="P401" s="29">
        <f t="shared" si="52"/>
        <v>0.2</v>
      </c>
      <c r="Q401" s="29">
        <f>IF(Dataset!K401&lt;5,0.2,IF(Dataset!K401&lt;10,0.45,IF(Dataset!K401&lt;18,0.7,0.9)))</f>
        <v>0.45</v>
      </c>
      <c r="R401" s="29">
        <f>IF(Dataset!K401&lt;5,1,IF(Dataset!K401&lt;10,2,IF(Dataset!K401&lt;18,3,4)))</f>
        <v>2</v>
      </c>
      <c r="S401" s="29">
        <f t="shared" si="53"/>
        <v>0.9</v>
      </c>
      <c r="T401" s="29">
        <f t="shared" si="54"/>
        <v>1.1530000000000002</v>
      </c>
      <c r="U401" s="29" t="str">
        <f t="shared" si="55"/>
        <v>Low</v>
      </c>
    </row>
    <row r="402" spans="1:21" ht="15" customHeight="1" x14ac:dyDescent="0.25">
      <c r="A402" s="29">
        <f>Dataset!A402</f>
        <v>398</v>
      </c>
      <c r="B402" s="29">
        <f>IF(Dataset!B402&lt;25,0.3,IF(Dataset!B402&lt;75,0.5,IF(Dataset!B402&lt;120,0.65,0.8)))</f>
        <v>0.3</v>
      </c>
      <c r="C402" s="29">
        <f>IF(Dataset!B402&lt;25,1,IF(Dataset!B402&lt;75,2,IF(Dataset!B402&lt;120,3,4)))</f>
        <v>1</v>
      </c>
      <c r="D402" s="29">
        <f t="shared" si="48"/>
        <v>0.3</v>
      </c>
      <c r="E402" s="29">
        <f>IF(Dataset!C402&lt;=1,0.3,IF(Dataset!C402=2,0.4,IF(Dataset!C402=3,0.5,IF(Dataset!C402=4,0.65,0.8))))</f>
        <v>0.8</v>
      </c>
      <c r="F402" s="29">
        <f>IF(Dataset!C402&lt;=2,1,IF(Dataset!C402=3,2,IF(Dataset!C402=4,3,4)))</f>
        <v>4</v>
      </c>
      <c r="G402" s="29">
        <f t="shared" si="49"/>
        <v>3.2</v>
      </c>
      <c r="H402" s="29">
        <f>IF(Dataset!G402&lt;=3,0.25,IF(Dataset!G402&lt;=6,0.45,IF(Dataset!G402&lt;=9,0.65,0.85)))</f>
        <v>0.85</v>
      </c>
      <c r="I402" s="29">
        <f>IF(Dataset!G402&lt;=3,1,IF(Dataset!G402&lt;=6,2,IF(Dataset!G402&lt;=9,3,4)))</f>
        <v>4</v>
      </c>
      <c r="J402" s="29">
        <f t="shared" si="50"/>
        <v>3.4</v>
      </c>
      <c r="K402" s="29">
        <f>IF(Dataset!H402&lt;1,0.2,IF(Dataset!H402&lt;1.3,0.45,IF(Dataset!H402&lt;1.8,0.7,0.9)))</f>
        <v>0.2</v>
      </c>
      <c r="L402" s="29">
        <f>IF(Dataset!H402&lt;1,1,IF(Dataset!H402&lt;1.3,2,IF(Dataset!H402&lt;1.8,3,4)))</f>
        <v>1</v>
      </c>
      <c r="M402" s="29">
        <f t="shared" si="51"/>
        <v>0.2</v>
      </c>
      <c r="N402" s="29">
        <f>IF(Dataset!F402=1,0.75,IF(Dataset!F402=2,0.45,0.2))</f>
        <v>0.45</v>
      </c>
      <c r="O402" s="29">
        <f>IF(Dataset!F402=1,3,IF(Dataset!F402=2,2,1))</f>
        <v>2</v>
      </c>
      <c r="P402" s="29">
        <f t="shared" si="52"/>
        <v>0.9</v>
      </c>
      <c r="Q402" s="29">
        <f>IF(Dataset!K402&lt;5,0.2,IF(Dataset!K402&lt;10,0.45,IF(Dataset!K402&lt;18,0.7,0.9)))</f>
        <v>0.7</v>
      </c>
      <c r="R402" s="29">
        <f>IF(Dataset!K402&lt;5,1,IF(Dataset!K402&lt;10,2,IF(Dataset!K402&lt;18,3,4)))</f>
        <v>3</v>
      </c>
      <c r="S402" s="29">
        <f t="shared" si="53"/>
        <v>2.0999999999999996</v>
      </c>
      <c r="T402" s="29">
        <f t="shared" si="54"/>
        <v>1.6140000000000003</v>
      </c>
      <c r="U402" s="29" t="str">
        <f t="shared" si="55"/>
        <v>Medium</v>
      </c>
    </row>
    <row r="403" spans="1:21" ht="15" customHeight="1" x14ac:dyDescent="0.25">
      <c r="A403" s="29">
        <f>Dataset!A403</f>
        <v>399</v>
      </c>
      <c r="B403" s="29">
        <f>IF(Dataset!B403&lt;25,0.3,IF(Dataset!B403&lt;75,0.5,IF(Dataset!B403&lt;120,0.65,0.8)))</f>
        <v>0.5</v>
      </c>
      <c r="C403" s="29">
        <f>IF(Dataset!B403&lt;25,1,IF(Dataset!B403&lt;75,2,IF(Dataset!B403&lt;120,3,4)))</f>
        <v>2</v>
      </c>
      <c r="D403" s="29">
        <f t="shared" si="48"/>
        <v>1</v>
      </c>
      <c r="E403" s="29">
        <f>IF(Dataset!C403&lt;=1,0.3,IF(Dataset!C403=2,0.4,IF(Dataset!C403=3,0.5,IF(Dataset!C403=4,0.65,0.8))))</f>
        <v>0.8</v>
      </c>
      <c r="F403" s="29">
        <f>IF(Dataset!C403&lt;=2,1,IF(Dataset!C403=3,2,IF(Dataset!C403=4,3,4)))</f>
        <v>4</v>
      </c>
      <c r="G403" s="29">
        <f t="shared" si="49"/>
        <v>3.2</v>
      </c>
      <c r="H403" s="29">
        <f>IF(Dataset!G403&lt;=3,0.25,IF(Dataset!G403&lt;=6,0.45,IF(Dataset!G403&lt;=9,0.65,0.85)))</f>
        <v>0.45</v>
      </c>
      <c r="I403" s="29">
        <f>IF(Dataset!G403&lt;=3,1,IF(Dataset!G403&lt;=6,2,IF(Dataset!G403&lt;=9,3,4)))</f>
        <v>2</v>
      </c>
      <c r="J403" s="29">
        <f t="shared" si="50"/>
        <v>0.9</v>
      </c>
      <c r="K403" s="29">
        <f>IF(Dataset!H403&lt;1,0.2,IF(Dataset!H403&lt;1.3,0.45,IF(Dataset!H403&lt;1.8,0.7,0.9)))</f>
        <v>0.9</v>
      </c>
      <c r="L403" s="29">
        <f>IF(Dataset!H403&lt;1,1,IF(Dataset!H403&lt;1.3,2,IF(Dataset!H403&lt;1.8,3,4)))</f>
        <v>4</v>
      </c>
      <c r="M403" s="29">
        <f t="shared" si="51"/>
        <v>3.6</v>
      </c>
      <c r="N403" s="29">
        <f>IF(Dataset!F403=1,0.75,IF(Dataset!F403=2,0.45,0.2))</f>
        <v>0.2</v>
      </c>
      <c r="O403" s="29">
        <f>IF(Dataset!F403=1,3,IF(Dataset!F403=2,2,1))</f>
        <v>1</v>
      </c>
      <c r="P403" s="29">
        <f t="shared" si="52"/>
        <v>0.2</v>
      </c>
      <c r="Q403" s="29">
        <f>IF(Dataset!K403&lt;5,0.2,IF(Dataset!K403&lt;10,0.45,IF(Dataset!K403&lt;18,0.7,0.9)))</f>
        <v>0.9</v>
      </c>
      <c r="R403" s="29">
        <f>IF(Dataset!K403&lt;5,1,IF(Dataset!K403&lt;10,2,IF(Dataset!K403&lt;18,3,4)))</f>
        <v>4</v>
      </c>
      <c r="S403" s="29">
        <f t="shared" si="53"/>
        <v>3.6</v>
      </c>
      <c r="T403" s="29">
        <f t="shared" si="54"/>
        <v>2.1960000000000002</v>
      </c>
      <c r="U403" s="29" t="str">
        <f t="shared" si="55"/>
        <v>High</v>
      </c>
    </row>
    <row r="404" spans="1:21" ht="15" customHeight="1" x14ac:dyDescent="0.25">
      <c r="A404" s="29">
        <f>Dataset!A404</f>
        <v>400</v>
      </c>
      <c r="B404" s="29">
        <f>IF(Dataset!B404&lt;25,0.3,IF(Dataset!B404&lt;75,0.5,IF(Dataset!B404&lt;120,0.65,0.8)))</f>
        <v>0.65</v>
      </c>
      <c r="C404" s="29">
        <f>IF(Dataset!B404&lt;25,1,IF(Dataset!B404&lt;75,2,IF(Dataset!B404&lt;120,3,4)))</f>
        <v>3</v>
      </c>
      <c r="D404" s="29">
        <f t="shared" si="48"/>
        <v>1.9500000000000002</v>
      </c>
      <c r="E404" s="29">
        <f>IF(Dataset!C404&lt;=1,0.3,IF(Dataset!C404=2,0.4,IF(Dataset!C404=3,0.5,IF(Dataset!C404=4,0.65,0.8))))</f>
        <v>0.8</v>
      </c>
      <c r="F404" s="29">
        <f>IF(Dataset!C404&lt;=2,1,IF(Dataset!C404=3,2,IF(Dataset!C404=4,3,4)))</f>
        <v>4</v>
      </c>
      <c r="G404" s="29">
        <f t="shared" si="49"/>
        <v>3.2</v>
      </c>
      <c r="H404" s="29">
        <f>IF(Dataset!G404&lt;=3,0.25,IF(Dataset!G404&lt;=6,0.45,IF(Dataset!G404&lt;=9,0.65,0.85)))</f>
        <v>0.65</v>
      </c>
      <c r="I404" s="29">
        <f>IF(Dataset!G404&lt;=3,1,IF(Dataset!G404&lt;=6,2,IF(Dataset!G404&lt;=9,3,4)))</f>
        <v>3</v>
      </c>
      <c r="J404" s="29">
        <f t="shared" si="50"/>
        <v>1.9500000000000002</v>
      </c>
      <c r="K404" s="29">
        <f>IF(Dataset!H404&lt;1,0.2,IF(Dataset!H404&lt;1.3,0.45,IF(Dataset!H404&lt;1.8,0.7,0.9)))</f>
        <v>0.9</v>
      </c>
      <c r="L404" s="29">
        <f>IF(Dataset!H404&lt;1,1,IF(Dataset!H404&lt;1.3,2,IF(Dataset!H404&lt;1.8,3,4)))</f>
        <v>4</v>
      </c>
      <c r="M404" s="29">
        <f t="shared" si="51"/>
        <v>3.6</v>
      </c>
      <c r="N404" s="29">
        <f>IF(Dataset!F404=1,0.75,IF(Dataset!F404=2,0.45,0.2))</f>
        <v>0.45</v>
      </c>
      <c r="O404" s="29">
        <f>IF(Dataset!F404=1,3,IF(Dataset!F404=2,2,1))</f>
        <v>2</v>
      </c>
      <c r="P404" s="29">
        <f t="shared" si="52"/>
        <v>0.9</v>
      </c>
      <c r="Q404" s="29">
        <f>IF(Dataset!K404&lt;5,0.2,IF(Dataset!K404&lt;10,0.45,IF(Dataset!K404&lt;18,0.7,0.9)))</f>
        <v>0.9</v>
      </c>
      <c r="R404" s="29">
        <f>IF(Dataset!K404&lt;5,1,IF(Dataset!K404&lt;10,2,IF(Dataset!K404&lt;18,3,4)))</f>
        <v>4</v>
      </c>
      <c r="S404" s="29">
        <f t="shared" si="53"/>
        <v>3.6</v>
      </c>
      <c r="T404" s="29">
        <f t="shared" si="54"/>
        <v>2.6470000000000002</v>
      </c>
      <c r="U404" s="29" t="str">
        <f t="shared" si="55"/>
        <v>High</v>
      </c>
    </row>
    <row r="405" spans="1:21" ht="15" customHeight="1" x14ac:dyDescent="0.25">
      <c r="A405" s="29">
        <f>Dataset!A405</f>
        <v>401</v>
      </c>
      <c r="B405" s="29">
        <f>IF(Dataset!B405&lt;25,0.3,IF(Dataset!B405&lt;75,0.5,IF(Dataset!B405&lt;120,0.65,0.8)))</f>
        <v>0.3</v>
      </c>
      <c r="C405" s="29">
        <f>IF(Dataset!B405&lt;25,1,IF(Dataset!B405&lt;75,2,IF(Dataset!B405&lt;120,3,4)))</f>
        <v>1</v>
      </c>
      <c r="D405" s="29">
        <f t="shared" si="48"/>
        <v>0.3</v>
      </c>
      <c r="E405" s="29">
        <f>IF(Dataset!C405&lt;=1,0.3,IF(Dataset!C405=2,0.4,IF(Dataset!C405=3,0.5,IF(Dataset!C405=4,0.65,0.8))))</f>
        <v>0.65</v>
      </c>
      <c r="F405" s="29">
        <f>IF(Dataset!C405&lt;=2,1,IF(Dataset!C405=3,2,IF(Dataset!C405=4,3,4)))</f>
        <v>3</v>
      </c>
      <c r="G405" s="29">
        <f t="shared" si="49"/>
        <v>1.9500000000000002</v>
      </c>
      <c r="H405" s="29">
        <f>IF(Dataset!G405&lt;=3,0.25,IF(Dataset!G405&lt;=6,0.45,IF(Dataset!G405&lt;=9,0.65,0.85)))</f>
        <v>0.45</v>
      </c>
      <c r="I405" s="29">
        <f>IF(Dataset!G405&lt;=3,1,IF(Dataset!G405&lt;=6,2,IF(Dataset!G405&lt;=9,3,4)))</f>
        <v>2</v>
      </c>
      <c r="J405" s="29">
        <f t="shared" si="50"/>
        <v>0.9</v>
      </c>
      <c r="K405" s="29">
        <f>IF(Dataset!H405&lt;1,0.2,IF(Dataset!H405&lt;1.3,0.45,IF(Dataset!H405&lt;1.8,0.7,0.9)))</f>
        <v>0.45</v>
      </c>
      <c r="L405" s="29">
        <f>IF(Dataset!H405&lt;1,1,IF(Dataset!H405&lt;1.3,2,IF(Dataset!H405&lt;1.8,3,4)))</f>
        <v>2</v>
      </c>
      <c r="M405" s="29">
        <f t="shared" si="51"/>
        <v>0.9</v>
      </c>
      <c r="N405" s="29">
        <f>IF(Dataset!F405=1,0.75,IF(Dataset!F405=2,0.45,0.2))</f>
        <v>0.45</v>
      </c>
      <c r="O405" s="29">
        <f>IF(Dataset!F405=1,3,IF(Dataset!F405=2,2,1))</f>
        <v>2</v>
      </c>
      <c r="P405" s="29">
        <f t="shared" si="52"/>
        <v>0.9</v>
      </c>
      <c r="Q405" s="29">
        <f>IF(Dataset!K405&lt;5,0.2,IF(Dataset!K405&lt;10,0.45,IF(Dataset!K405&lt;18,0.7,0.9)))</f>
        <v>0.7</v>
      </c>
      <c r="R405" s="29">
        <f>IF(Dataset!K405&lt;5,1,IF(Dataset!K405&lt;10,2,IF(Dataset!K405&lt;18,3,4)))</f>
        <v>3</v>
      </c>
      <c r="S405" s="29">
        <f t="shared" si="53"/>
        <v>2.0999999999999996</v>
      </c>
      <c r="T405" s="29">
        <f t="shared" si="54"/>
        <v>1.107</v>
      </c>
      <c r="U405" s="29" t="str">
        <f t="shared" si="55"/>
        <v>Low</v>
      </c>
    </row>
    <row r="406" spans="1:21" ht="15" customHeight="1" x14ac:dyDescent="0.25">
      <c r="A406" s="29">
        <f>Dataset!A406</f>
        <v>402</v>
      </c>
      <c r="B406" s="29">
        <f>IF(Dataset!B406&lt;25,0.3,IF(Dataset!B406&lt;75,0.5,IF(Dataset!B406&lt;120,0.65,0.8)))</f>
        <v>0.8</v>
      </c>
      <c r="C406" s="29">
        <f>IF(Dataset!B406&lt;25,1,IF(Dataset!B406&lt;75,2,IF(Dataset!B406&lt;120,3,4)))</f>
        <v>4</v>
      </c>
      <c r="D406" s="29">
        <f t="shared" si="48"/>
        <v>3.2</v>
      </c>
      <c r="E406" s="29">
        <f>IF(Dataset!C406&lt;=1,0.3,IF(Dataset!C406=2,0.4,IF(Dataset!C406=3,0.5,IF(Dataset!C406=4,0.65,0.8))))</f>
        <v>0.65</v>
      </c>
      <c r="F406" s="29">
        <f>IF(Dataset!C406&lt;=2,1,IF(Dataset!C406=3,2,IF(Dataset!C406=4,3,4)))</f>
        <v>3</v>
      </c>
      <c r="G406" s="29">
        <f t="shared" si="49"/>
        <v>1.9500000000000002</v>
      </c>
      <c r="H406" s="29">
        <f>IF(Dataset!G406&lt;=3,0.25,IF(Dataset!G406&lt;=6,0.45,IF(Dataset!G406&lt;=9,0.65,0.85)))</f>
        <v>0.25</v>
      </c>
      <c r="I406" s="29">
        <f>IF(Dataset!G406&lt;=3,1,IF(Dataset!G406&lt;=6,2,IF(Dataset!G406&lt;=9,3,4)))</f>
        <v>1</v>
      </c>
      <c r="J406" s="29">
        <f t="shared" si="50"/>
        <v>0.25</v>
      </c>
      <c r="K406" s="29">
        <f>IF(Dataset!H406&lt;1,0.2,IF(Dataset!H406&lt;1.3,0.45,IF(Dataset!H406&lt;1.8,0.7,0.9)))</f>
        <v>0.7</v>
      </c>
      <c r="L406" s="29">
        <f>IF(Dataset!H406&lt;1,1,IF(Dataset!H406&lt;1.3,2,IF(Dataset!H406&lt;1.8,3,4)))</f>
        <v>3</v>
      </c>
      <c r="M406" s="29">
        <f t="shared" si="51"/>
        <v>2.0999999999999996</v>
      </c>
      <c r="N406" s="29">
        <f>IF(Dataset!F406=1,0.75,IF(Dataset!F406=2,0.45,0.2))</f>
        <v>0.45</v>
      </c>
      <c r="O406" s="29">
        <f>IF(Dataset!F406=1,3,IF(Dataset!F406=2,2,1))</f>
        <v>2</v>
      </c>
      <c r="P406" s="29">
        <f t="shared" si="52"/>
        <v>0.9</v>
      </c>
      <c r="Q406" s="29">
        <f>IF(Dataset!K406&lt;5,0.2,IF(Dataset!K406&lt;10,0.45,IF(Dataset!K406&lt;18,0.7,0.9)))</f>
        <v>0.45</v>
      </c>
      <c r="R406" s="29">
        <f>IF(Dataset!K406&lt;5,1,IF(Dataset!K406&lt;10,2,IF(Dataset!K406&lt;18,3,4)))</f>
        <v>2</v>
      </c>
      <c r="S406" s="29">
        <f t="shared" si="53"/>
        <v>0.9</v>
      </c>
      <c r="T406" s="29">
        <f t="shared" si="54"/>
        <v>1.6190000000000002</v>
      </c>
      <c r="U406" s="29" t="str">
        <f t="shared" si="55"/>
        <v>Medium</v>
      </c>
    </row>
    <row r="407" spans="1:21" ht="15" customHeight="1" x14ac:dyDescent="0.25">
      <c r="A407" s="29">
        <f>Dataset!A407</f>
        <v>403</v>
      </c>
      <c r="B407" s="29">
        <f>IF(Dataset!B407&lt;25,0.3,IF(Dataset!B407&lt;75,0.5,IF(Dataset!B407&lt;120,0.65,0.8)))</f>
        <v>0.8</v>
      </c>
      <c r="C407" s="29">
        <f>IF(Dataset!B407&lt;25,1,IF(Dataset!B407&lt;75,2,IF(Dataset!B407&lt;120,3,4)))</f>
        <v>4</v>
      </c>
      <c r="D407" s="29">
        <f t="shared" si="48"/>
        <v>3.2</v>
      </c>
      <c r="E407" s="29">
        <f>IF(Dataset!C407&lt;=1,0.3,IF(Dataset!C407=2,0.4,IF(Dataset!C407=3,0.5,IF(Dataset!C407=4,0.65,0.8))))</f>
        <v>0.4</v>
      </c>
      <c r="F407" s="29">
        <f>IF(Dataset!C407&lt;=2,1,IF(Dataset!C407=3,2,IF(Dataset!C407=4,3,4)))</f>
        <v>1</v>
      </c>
      <c r="G407" s="29">
        <f t="shared" si="49"/>
        <v>0.4</v>
      </c>
      <c r="H407" s="29">
        <f>IF(Dataset!G407&lt;=3,0.25,IF(Dataset!G407&lt;=6,0.45,IF(Dataset!G407&lt;=9,0.65,0.85)))</f>
        <v>0.85</v>
      </c>
      <c r="I407" s="29">
        <f>IF(Dataset!G407&lt;=3,1,IF(Dataset!G407&lt;=6,2,IF(Dataset!G407&lt;=9,3,4)))</f>
        <v>4</v>
      </c>
      <c r="J407" s="29">
        <f t="shared" si="50"/>
        <v>3.4</v>
      </c>
      <c r="K407" s="29">
        <f>IF(Dataset!H407&lt;1,0.2,IF(Dataset!H407&lt;1.3,0.45,IF(Dataset!H407&lt;1.8,0.7,0.9)))</f>
        <v>0.9</v>
      </c>
      <c r="L407" s="29">
        <f>IF(Dataset!H407&lt;1,1,IF(Dataset!H407&lt;1.3,2,IF(Dataset!H407&lt;1.8,3,4)))</f>
        <v>4</v>
      </c>
      <c r="M407" s="29">
        <f t="shared" si="51"/>
        <v>3.6</v>
      </c>
      <c r="N407" s="29">
        <f>IF(Dataset!F407=1,0.75,IF(Dataset!F407=2,0.45,0.2))</f>
        <v>0.45</v>
      </c>
      <c r="O407" s="29">
        <f>IF(Dataset!F407=1,3,IF(Dataset!F407=2,2,1))</f>
        <v>2</v>
      </c>
      <c r="P407" s="29">
        <f t="shared" si="52"/>
        <v>0.9</v>
      </c>
      <c r="Q407" s="29">
        <f>IF(Dataset!K407&lt;5,0.2,IF(Dataset!K407&lt;10,0.45,IF(Dataset!K407&lt;18,0.7,0.9)))</f>
        <v>0.2</v>
      </c>
      <c r="R407" s="29">
        <f>IF(Dataset!K407&lt;5,1,IF(Dataset!K407&lt;10,2,IF(Dataset!K407&lt;18,3,4)))</f>
        <v>1</v>
      </c>
      <c r="S407" s="29">
        <f t="shared" si="53"/>
        <v>0.2</v>
      </c>
      <c r="T407" s="29">
        <f t="shared" si="54"/>
        <v>2.294</v>
      </c>
      <c r="U407" s="29" t="str">
        <f t="shared" si="55"/>
        <v>High</v>
      </c>
    </row>
    <row r="408" spans="1:21" ht="15" customHeight="1" x14ac:dyDescent="0.25">
      <c r="A408" s="29">
        <f>Dataset!A408</f>
        <v>404</v>
      </c>
      <c r="B408" s="29">
        <f>IF(Dataset!B408&lt;25,0.3,IF(Dataset!B408&lt;75,0.5,IF(Dataset!B408&lt;120,0.65,0.8)))</f>
        <v>0.5</v>
      </c>
      <c r="C408" s="29">
        <f>IF(Dataset!B408&lt;25,1,IF(Dataset!B408&lt;75,2,IF(Dataset!B408&lt;120,3,4)))</f>
        <v>2</v>
      </c>
      <c r="D408" s="29">
        <f t="shared" si="48"/>
        <v>1</v>
      </c>
      <c r="E408" s="29">
        <f>IF(Dataset!C408&lt;=1,0.3,IF(Dataset!C408=2,0.4,IF(Dataset!C408=3,0.5,IF(Dataset!C408=4,0.65,0.8))))</f>
        <v>0.5</v>
      </c>
      <c r="F408" s="29">
        <f>IF(Dataset!C408&lt;=2,1,IF(Dataset!C408=3,2,IF(Dataset!C408=4,3,4)))</f>
        <v>2</v>
      </c>
      <c r="G408" s="29">
        <f t="shared" si="49"/>
        <v>1</v>
      </c>
      <c r="H408" s="29">
        <f>IF(Dataset!G408&lt;=3,0.25,IF(Dataset!G408&lt;=6,0.45,IF(Dataset!G408&lt;=9,0.65,0.85)))</f>
        <v>0.45</v>
      </c>
      <c r="I408" s="29">
        <f>IF(Dataset!G408&lt;=3,1,IF(Dataset!G408&lt;=6,2,IF(Dataset!G408&lt;=9,3,4)))</f>
        <v>2</v>
      </c>
      <c r="J408" s="29">
        <f t="shared" si="50"/>
        <v>0.9</v>
      </c>
      <c r="K408" s="29">
        <f>IF(Dataset!H408&lt;1,0.2,IF(Dataset!H408&lt;1.3,0.45,IF(Dataset!H408&lt;1.8,0.7,0.9)))</f>
        <v>0.2</v>
      </c>
      <c r="L408" s="29">
        <f>IF(Dataset!H408&lt;1,1,IF(Dataset!H408&lt;1.3,2,IF(Dataset!H408&lt;1.8,3,4)))</f>
        <v>1</v>
      </c>
      <c r="M408" s="29">
        <f t="shared" si="51"/>
        <v>0.2</v>
      </c>
      <c r="N408" s="29">
        <f>IF(Dataset!F408=1,0.75,IF(Dataset!F408=2,0.45,0.2))</f>
        <v>0.45</v>
      </c>
      <c r="O408" s="29">
        <f>IF(Dataset!F408=1,3,IF(Dataset!F408=2,2,1))</f>
        <v>2</v>
      </c>
      <c r="P408" s="29">
        <f t="shared" si="52"/>
        <v>0.9</v>
      </c>
      <c r="Q408" s="29">
        <f>IF(Dataset!K408&lt;5,0.2,IF(Dataset!K408&lt;10,0.45,IF(Dataset!K408&lt;18,0.7,0.9)))</f>
        <v>0.45</v>
      </c>
      <c r="R408" s="29">
        <f>IF(Dataset!K408&lt;5,1,IF(Dataset!K408&lt;10,2,IF(Dataset!K408&lt;18,3,4)))</f>
        <v>2</v>
      </c>
      <c r="S408" s="29">
        <f t="shared" si="53"/>
        <v>0.9</v>
      </c>
      <c r="T408" s="29">
        <f t="shared" si="54"/>
        <v>0.76400000000000001</v>
      </c>
      <c r="U408" s="29" t="str">
        <f t="shared" si="55"/>
        <v>Low</v>
      </c>
    </row>
    <row r="409" spans="1:21" ht="15" customHeight="1" x14ac:dyDescent="0.25">
      <c r="A409" s="29">
        <f>Dataset!A409</f>
        <v>405</v>
      </c>
      <c r="B409" s="29">
        <f>IF(Dataset!B409&lt;25,0.3,IF(Dataset!B409&lt;75,0.5,IF(Dataset!B409&lt;120,0.65,0.8)))</f>
        <v>0.65</v>
      </c>
      <c r="C409" s="29">
        <f>IF(Dataset!B409&lt;25,1,IF(Dataset!B409&lt;75,2,IF(Dataset!B409&lt;120,3,4)))</f>
        <v>3</v>
      </c>
      <c r="D409" s="29">
        <f t="shared" si="48"/>
        <v>1.9500000000000002</v>
      </c>
      <c r="E409" s="29">
        <f>IF(Dataset!C409&lt;=1,0.3,IF(Dataset!C409=2,0.4,IF(Dataset!C409=3,0.5,IF(Dataset!C409=4,0.65,0.8))))</f>
        <v>0.65</v>
      </c>
      <c r="F409" s="29">
        <f>IF(Dataset!C409&lt;=2,1,IF(Dataset!C409=3,2,IF(Dataset!C409=4,3,4)))</f>
        <v>3</v>
      </c>
      <c r="G409" s="29">
        <f t="shared" si="49"/>
        <v>1.9500000000000002</v>
      </c>
      <c r="H409" s="29">
        <f>IF(Dataset!G409&lt;=3,0.25,IF(Dataset!G409&lt;=6,0.45,IF(Dataset!G409&lt;=9,0.65,0.85)))</f>
        <v>0.45</v>
      </c>
      <c r="I409" s="29">
        <f>IF(Dataset!G409&lt;=3,1,IF(Dataset!G409&lt;=6,2,IF(Dataset!G409&lt;=9,3,4)))</f>
        <v>2</v>
      </c>
      <c r="J409" s="29">
        <f t="shared" si="50"/>
        <v>0.9</v>
      </c>
      <c r="K409" s="29">
        <f>IF(Dataset!H409&lt;1,0.2,IF(Dataset!H409&lt;1.3,0.45,IF(Dataset!H409&lt;1.8,0.7,0.9)))</f>
        <v>0.45</v>
      </c>
      <c r="L409" s="29">
        <f>IF(Dataset!H409&lt;1,1,IF(Dataset!H409&lt;1.3,2,IF(Dataset!H409&lt;1.8,3,4)))</f>
        <v>2</v>
      </c>
      <c r="M409" s="29">
        <f t="shared" si="51"/>
        <v>0.9</v>
      </c>
      <c r="N409" s="29">
        <f>IF(Dataset!F409=1,0.75,IF(Dataset!F409=2,0.45,0.2))</f>
        <v>0.45</v>
      </c>
      <c r="O409" s="29">
        <f>IF(Dataset!F409=1,3,IF(Dataset!F409=2,2,1))</f>
        <v>2</v>
      </c>
      <c r="P409" s="29">
        <f t="shared" si="52"/>
        <v>0.9</v>
      </c>
      <c r="Q409" s="29">
        <f>IF(Dataset!K409&lt;5,0.2,IF(Dataset!K409&lt;10,0.45,IF(Dataset!K409&lt;18,0.7,0.9)))</f>
        <v>0.7</v>
      </c>
      <c r="R409" s="29">
        <f>IF(Dataset!K409&lt;5,1,IF(Dataset!K409&lt;10,2,IF(Dataset!K409&lt;18,3,4)))</f>
        <v>3</v>
      </c>
      <c r="S409" s="29">
        <f t="shared" si="53"/>
        <v>2.0999999999999996</v>
      </c>
      <c r="T409" s="29">
        <f t="shared" si="54"/>
        <v>1.4040000000000004</v>
      </c>
      <c r="U409" s="29" t="str">
        <f t="shared" si="55"/>
        <v>Medium</v>
      </c>
    </row>
    <row r="410" spans="1:21" ht="15" customHeight="1" x14ac:dyDescent="0.25">
      <c r="A410" s="29">
        <f>Dataset!A410</f>
        <v>406</v>
      </c>
      <c r="B410" s="29">
        <f>IF(Dataset!B410&lt;25,0.3,IF(Dataset!B410&lt;75,0.5,IF(Dataset!B410&lt;120,0.65,0.8)))</f>
        <v>0.8</v>
      </c>
      <c r="C410" s="29">
        <f>IF(Dataset!B410&lt;25,1,IF(Dataset!B410&lt;75,2,IF(Dataset!B410&lt;120,3,4)))</f>
        <v>4</v>
      </c>
      <c r="D410" s="29">
        <f t="shared" si="48"/>
        <v>3.2</v>
      </c>
      <c r="E410" s="29">
        <f>IF(Dataset!C410&lt;=1,0.3,IF(Dataset!C410=2,0.4,IF(Dataset!C410=3,0.5,IF(Dataset!C410=4,0.65,0.8))))</f>
        <v>0.5</v>
      </c>
      <c r="F410" s="29">
        <f>IF(Dataset!C410&lt;=2,1,IF(Dataset!C410=3,2,IF(Dataset!C410=4,3,4)))</f>
        <v>2</v>
      </c>
      <c r="G410" s="29">
        <f t="shared" si="49"/>
        <v>1</v>
      </c>
      <c r="H410" s="29">
        <f>IF(Dataset!G410&lt;=3,0.25,IF(Dataset!G410&lt;=6,0.45,IF(Dataset!G410&lt;=9,0.65,0.85)))</f>
        <v>0.65</v>
      </c>
      <c r="I410" s="29">
        <f>IF(Dataset!G410&lt;=3,1,IF(Dataset!G410&lt;=6,2,IF(Dataset!G410&lt;=9,3,4)))</f>
        <v>3</v>
      </c>
      <c r="J410" s="29">
        <f t="shared" si="50"/>
        <v>1.9500000000000002</v>
      </c>
      <c r="K410" s="29">
        <f>IF(Dataset!H410&lt;1,0.2,IF(Dataset!H410&lt;1.3,0.45,IF(Dataset!H410&lt;1.8,0.7,0.9)))</f>
        <v>0.2</v>
      </c>
      <c r="L410" s="29">
        <f>IF(Dataset!H410&lt;1,1,IF(Dataset!H410&lt;1.3,2,IF(Dataset!H410&lt;1.8,3,4)))</f>
        <v>1</v>
      </c>
      <c r="M410" s="29">
        <f t="shared" si="51"/>
        <v>0.2</v>
      </c>
      <c r="N410" s="29">
        <f>IF(Dataset!F410=1,0.75,IF(Dataset!F410=2,0.45,0.2))</f>
        <v>0.2</v>
      </c>
      <c r="O410" s="29">
        <f>IF(Dataset!F410=1,3,IF(Dataset!F410=2,2,1))</f>
        <v>1</v>
      </c>
      <c r="P410" s="29">
        <f t="shared" si="52"/>
        <v>0.2</v>
      </c>
      <c r="Q410" s="29">
        <f>IF(Dataset!K410&lt;5,0.2,IF(Dataset!K410&lt;10,0.45,IF(Dataset!K410&lt;18,0.7,0.9)))</f>
        <v>0.2</v>
      </c>
      <c r="R410" s="29">
        <f>IF(Dataset!K410&lt;5,1,IF(Dataset!K410&lt;10,2,IF(Dataset!K410&lt;18,3,4)))</f>
        <v>1</v>
      </c>
      <c r="S410" s="29">
        <f t="shared" si="53"/>
        <v>0.2</v>
      </c>
      <c r="T410" s="29">
        <f t="shared" si="54"/>
        <v>1.2020000000000002</v>
      </c>
      <c r="U410" s="29" t="str">
        <f t="shared" si="55"/>
        <v>Low</v>
      </c>
    </row>
    <row r="411" spans="1:21" ht="15" customHeight="1" x14ac:dyDescent="0.25">
      <c r="A411" s="29">
        <f>Dataset!A411</f>
        <v>407</v>
      </c>
      <c r="B411" s="29">
        <f>IF(Dataset!B411&lt;25,0.3,IF(Dataset!B411&lt;75,0.5,IF(Dataset!B411&lt;120,0.65,0.8)))</f>
        <v>0.5</v>
      </c>
      <c r="C411" s="29">
        <f>IF(Dataset!B411&lt;25,1,IF(Dataset!B411&lt;75,2,IF(Dataset!B411&lt;120,3,4)))</f>
        <v>2</v>
      </c>
      <c r="D411" s="29">
        <f t="shared" si="48"/>
        <v>1</v>
      </c>
      <c r="E411" s="29">
        <f>IF(Dataset!C411&lt;=1,0.3,IF(Dataset!C411=2,0.4,IF(Dataset!C411=3,0.5,IF(Dataset!C411=4,0.65,0.8))))</f>
        <v>0.8</v>
      </c>
      <c r="F411" s="29">
        <f>IF(Dataset!C411&lt;=2,1,IF(Dataset!C411=3,2,IF(Dataset!C411=4,3,4)))</f>
        <v>4</v>
      </c>
      <c r="G411" s="29">
        <f t="shared" si="49"/>
        <v>3.2</v>
      </c>
      <c r="H411" s="29">
        <f>IF(Dataset!G411&lt;=3,0.25,IF(Dataset!G411&lt;=6,0.45,IF(Dataset!G411&lt;=9,0.65,0.85)))</f>
        <v>0.45</v>
      </c>
      <c r="I411" s="29">
        <f>IF(Dataset!G411&lt;=3,1,IF(Dataset!G411&lt;=6,2,IF(Dataset!G411&lt;=9,3,4)))</f>
        <v>2</v>
      </c>
      <c r="J411" s="29">
        <f t="shared" si="50"/>
        <v>0.9</v>
      </c>
      <c r="K411" s="29">
        <f>IF(Dataset!H411&lt;1,0.2,IF(Dataset!H411&lt;1.3,0.45,IF(Dataset!H411&lt;1.8,0.7,0.9)))</f>
        <v>0.9</v>
      </c>
      <c r="L411" s="29">
        <f>IF(Dataset!H411&lt;1,1,IF(Dataset!H411&lt;1.3,2,IF(Dataset!H411&lt;1.8,3,4)))</f>
        <v>4</v>
      </c>
      <c r="M411" s="29">
        <f t="shared" si="51"/>
        <v>3.6</v>
      </c>
      <c r="N411" s="29">
        <f>IF(Dataset!F411=1,0.75,IF(Dataset!F411=2,0.45,0.2))</f>
        <v>0.2</v>
      </c>
      <c r="O411" s="29">
        <f>IF(Dataset!F411=1,3,IF(Dataset!F411=2,2,1))</f>
        <v>1</v>
      </c>
      <c r="P411" s="29">
        <f t="shared" si="52"/>
        <v>0.2</v>
      </c>
      <c r="Q411" s="29">
        <f>IF(Dataset!K411&lt;5,0.2,IF(Dataset!K411&lt;10,0.45,IF(Dataset!K411&lt;18,0.7,0.9)))</f>
        <v>0.7</v>
      </c>
      <c r="R411" s="29">
        <f>IF(Dataset!K411&lt;5,1,IF(Dataset!K411&lt;10,2,IF(Dataset!K411&lt;18,3,4)))</f>
        <v>3</v>
      </c>
      <c r="S411" s="29">
        <f t="shared" si="53"/>
        <v>2.0999999999999996</v>
      </c>
      <c r="T411" s="29">
        <f t="shared" si="54"/>
        <v>1.9860000000000002</v>
      </c>
      <c r="U411" s="29" t="str">
        <f t="shared" si="55"/>
        <v>High</v>
      </c>
    </row>
    <row r="412" spans="1:21" ht="15" customHeight="1" x14ac:dyDescent="0.25">
      <c r="A412" s="29">
        <f>Dataset!A412</f>
        <v>408</v>
      </c>
      <c r="B412" s="29">
        <f>IF(Dataset!B412&lt;25,0.3,IF(Dataset!B412&lt;75,0.5,IF(Dataset!B412&lt;120,0.65,0.8)))</f>
        <v>0.5</v>
      </c>
      <c r="C412" s="29">
        <f>IF(Dataset!B412&lt;25,1,IF(Dataset!B412&lt;75,2,IF(Dataset!B412&lt;120,3,4)))</f>
        <v>2</v>
      </c>
      <c r="D412" s="29">
        <f t="shared" si="48"/>
        <v>1</v>
      </c>
      <c r="E412" s="29">
        <f>IF(Dataset!C412&lt;=1,0.3,IF(Dataset!C412=2,0.4,IF(Dataset!C412=3,0.5,IF(Dataset!C412=4,0.65,0.8))))</f>
        <v>0.4</v>
      </c>
      <c r="F412" s="29">
        <f>IF(Dataset!C412&lt;=2,1,IF(Dataset!C412=3,2,IF(Dataset!C412=4,3,4)))</f>
        <v>1</v>
      </c>
      <c r="G412" s="29">
        <f t="shared" si="49"/>
        <v>0.4</v>
      </c>
      <c r="H412" s="29">
        <f>IF(Dataset!G412&lt;=3,0.25,IF(Dataset!G412&lt;=6,0.45,IF(Dataset!G412&lt;=9,0.65,0.85)))</f>
        <v>0.65</v>
      </c>
      <c r="I412" s="29">
        <f>IF(Dataset!G412&lt;=3,1,IF(Dataset!G412&lt;=6,2,IF(Dataset!G412&lt;=9,3,4)))</f>
        <v>3</v>
      </c>
      <c r="J412" s="29">
        <f t="shared" si="50"/>
        <v>1.9500000000000002</v>
      </c>
      <c r="K412" s="29">
        <f>IF(Dataset!H412&lt;1,0.2,IF(Dataset!H412&lt;1.3,0.45,IF(Dataset!H412&lt;1.8,0.7,0.9)))</f>
        <v>0.2</v>
      </c>
      <c r="L412" s="29">
        <f>IF(Dataset!H412&lt;1,1,IF(Dataset!H412&lt;1.3,2,IF(Dataset!H412&lt;1.8,3,4)))</f>
        <v>1</v>
      </c>
      <c r="M412" s="29">
        <f t="shared" si="51"/>
        <v>0.2</v>
      </c>
      <c r="N412" s="29">
        <f>IF(Dataset!F412=1,0.75,IF(Dataset!F412=2,0.45,0.2))</f>
        <v>0.75</v>
      </c>
      <c r="O412" s="29">
        <f>IF(Dataset!F412=1,3,IF(Dataset!F412=2,2,1))</f>
        <v>3</v>
      </c>
      <c r="P412" s="29">
        <f t="shared" si="52"/>
        <v>2.25</v>
      </c>
      <c r="Q412" s="29">
        <f>IF(Dataset!K412&lt;5,0.2,IF(Dataset!K412&lt;10,0.45,IF(Dataset!K412&lt;18,0.7,0.9)))</f>
        <v>0.2</v>
      </c>
      <c r="R412" s="29">
        <f>IF(Dataset!K412&lt;5,1,IF(Dataset!K412&lt;10,2,IF(Dataset!K412&lt;18,3,4)))</f>
        <v>1</v>
      </c>
      <c r="S412" s="29">
        <f t="shared" si="53"/>
        <v>0.2</v>
      </c>
      <c r="T412" s="29">
        <f t="shared" si="54"/>
        <v>0.92700000000000016</v>
      </c>
      <c r="U412" s="29" t="str">
        <f t="shared" si="55"/>
        <v>Low</v>
      </c>
    </row>
    <row r="413" spans="1:21" ht="15" customHeight="1" x14ac:dyDescent="0.25">
      <c r="A413" s="29">
        <f>Dataset!A413</f>
        <v>409</v>
      </c>
      <c r="B413" s="29">
        <f>IF(Dataset!B413&lt;25,0.3,IF(Dataset!B413&lt;75,0.5,IF(Dataset!B413&lt;120,0.65,0.8)))</f>
        <v>0.5</v>
      </c>
      <c r="C413" s="29">
        <f>IF(Dataset!B413&lt;25,1,IF(Dataset!B413&lt;75,2,IF(Dataset!B413&lt;120,3,4)))</f>
        <v>2</v>
      </c>
      <c r="D413" s="29">
        <f t="shared" si="48"/>
        <v>1</v>
      </c>
      <c r="E413" s="29">
        <f>IF(Dataset!C413&lt;=1,0.3,IF(Dataset!C413=2,0.4,IF(Dataset!C413=3,0.5,IF(Dataset!C413=4,0.65,0.8))))</f>
        <v>0.5</v>
      </c>
      <c r="F413" s="29">
        <f>IF(Dataset!C413&lt;=2,1,IF(Dataset!C413=3,2,IF(Dataset!C413=4,3,4)))</f>
        <v>2</v>
      </c>
      <c r="G413" s="29">
        <f t="shared" si="49"/>
        <v>1</v>
      </c>
      <c r="H413" s="29">
        <f>IF(Dataset!G413&lt;=3,0.25,IF(Dataset!G413&lt;=6,0.45,IF(Dataset!G413&lt;=9,0.65,0.85)))</f>
        <v>0.45</v>
      </c>
      <c r="I413" s="29">
        <f>IF(Dataset!G413&lt;=3,1,IF(Dataset!G413&lt;=6,2,IF(Dataset!G413&lt;=9,3,4)))</f>
        <v>2</v>
      </c>
      <c r="J413" s="29">
        <f t="shared" si="50"/>
        <v>0.9</v>
      </c>
      <c r="K413" s="29">
        <f>IF(Dataset!H413&lt;1,0.2,IF(Dataset!H413&lt;1.3,0.45,IF(Dataset!H413&lt;1.8,0.7,0.9)))</f>
        <v>0.7</v>
      </c>
      <c r="L413" s="29">
        <f>IF(Dataset!H413&lt;1,1,IF(Dataset!H413&lt;1.3,2,IF(Dataset!H413&lt;1.8,3,4)))</f>
        <v>3</v>
      </c>
      <c r="M413" s="29">
        <f t="shared" si="51"/>
        <v>2.0999999999999996</v>
      </c>
      <c r="N413" s="29">
        <f>IF(Dataset!F413=1,0.75,IF(Dataset!F413=2,0.45,0.2))</f>
        <v>0.45</v>
      </c>
      <c r="O413" s="29">
        <f>IF(Dataset!F413=1,3,IF(Dataset!F413=2,2,1))</f>
        <v>2</v>
      </c>
      <c r="P413" s="29">
        <f t="shared" si="52"/>
        <v>0.9</v>
      </c>
      <c r="Q413" s="29">
        <f>IF(Dataset!K413&lt;5,0.2,IF(Dataset!K413&lt;10,0.45,IF(Dataset!K413&lt;18,0.7,0.9)))</f>
        <v>0.2</v>
      </c>
      <c r="R413" s="29">
        <f>IF(Dataset!K413&lt;5,1,IF(Dataset!K413&lt;10,2,IF(Dataset!K413&lt;18,3,4)))</f>
        <v>1</v>
      </c>
      <c r="S413" s="29">
        <f t="shared" si="53"/>
        <v>0.2</v>
      </c>
      <c r="T413" s="29">
        <f t="shared" si="54"/>
        <v>1.1220000000000001</v>
      </c>
      <c r="U413" s="29" t="str">
        <f t="shared" si="55"/>
        <v>Low</v>
      </c>
    </row>
    <row r="414" spans="1:21" ht="15" customHeight="1" x14ac:dyDescent="0.25">
      <c r="A414" s="29">
        <f>Dataset!A414</f>
        <v>410</v>
      </c>
      <c r="B414" s="29">
        <f>IF(Dataset!B414&lt;25,0.3,IF(Dataset!B414&lt;75,0.5,IF(Dataset!B414&lt;120,0.65,0.8)))</f>
        <v>0.65</v>
      </c>
      <c r="C414" s="29">
        <f>IF(Dataset!B414&lt;25,1,IF(Dataset!B414&lt;75,2,IF(Dataset!B414&lt;120,3,4)))</f>
        <v>3</v>
      </c>
      <c r="D414" s="29">
        <f t="shared" si="48"/>
        <v>1.9500000000000002</v>
      </c>
      <c r="E414" s="29">
        <f>IF(Dataset!C414&lt;=1,0.3,IF(Dataset!C414=2,0.4,IF(Dataset!C414=3,0.5,IF(Dataset!C414=4,0.65,0.8))))</f>
        <v>0.5</v>
      </c>
      <c r="F414" s="29">
        <f>IF(Dataset!C414&lt;=2,1,IF(Dataset!C414=3,2,IF(Dataset!C414=4,3,4)))</f>
        <v>2</v>
      </c>
      <c r="G414" s="29">
        <f t="shared" si="49"/>
        <v>1</v>
      </c>
      <c r="H414" s="29">
        <f>IF(Dataset!G414&lt;=3,0.25,IF(Dataset!G414&lt;=6,0.45,IF(Dataset!G414&lt;=9,0.65,0.85)))</f>
        <v>0.25</v>
      </c>
      <c r="I414" s="29">
        <f>IF(Dataset!G414&lt;=3,1,IF(Dataset!G414&lt;=6,2,IF(Dataset!G414&lt;=9,3,4)))</f>
        <v>1</v>
      </c>
      <c r="J414" s="29">
        <f t="shared" si="50"/>
        <v>0.25</v>
      </c>
      <c r="K414" s="29">
        <f>IF(Dataset!H414&lt;1,0.2,IF(Dataset!H414&lt;1.3,0.45,IF(Dataset!H414&lt;1.8,0.7,0.9)))</f>
        <v>0.9</v>
      </c>
      <c r="L414" s="29">
        <f>IF(Dataset!H414&lt;1,1,IF(Dataset!H414&lt;1.3,2,IF(Dataset!H414&lt;1.8,3,4)))</f>
        <v>4</v>
      </c>
      <c r="M414" s="29">
        <f t="shared" si="51"/>
        <v>3.6</v>
      </c>
      <c r="N414" s="29">
        <f>IF(Dataset!F414=1,0.75,IF(Dataset!F414=2,0.45,0.2))</f>
        <v>0.75</v>
      </c>
      <c r="O414" s="29">
        <f>IF(Dataset!F414=1,3,IF(Dataset!F414=2,2,1))</f>
        <v>3</v>
      </c>
      <c r="P414" s="29">
        <f t="shared" si="52"/>
        <v>2.25</v>
      </c>
      <c r="Q414" s="29">
        <f>IF(Dataset!K414&lt;5,0.2,IF(Dataset!K414&lt;10,0.45,IF(Dataset!K414&lt;18,0.7,0.9)))</f>
        <v>0.45</v>
      </c>
      <c r="R414" s="29">
        <f>IF(Dataset!K414&lt;5,1,IF(Dataset!K414&lt;10,2,IF(Dataset!K414&lt;18,3,4)))</f>
        <v>2</v>
      </c>
      <c r="S414" s="29">
        <f t="shared" si="53"/>
        <v>0.9</v>
      </c>
      <c r="T414" s="29">
        <f t="shared" si="54"/>
        <v>1.7560000000000002</v>
      </c>
      <c r="U414" s="29" t="str">
        <f t="shared" si="55"/>
        <v>High</v>
      </c>
    </row>
    <row r="415" spans="1:21" ht="15" customHeight="1" x14ac:dyDescent="0.25">
      <c r="A415" s="29">
        <f>Dataset!A415</f>
        <v>411</v>
      </c>
      <c r="B415" s="29">
        <f>IF(Dataset!B415&lt;25,0.3,IF(Dataset!B415&lt;75,0.5,IF(Dataset!B415&lt;120,0.65,0.8)))</f>
        <v>0.5</v>
      </c>
      <c r="C415" s="29">
        <f>IF(Dataset!B415&lt;25,1,IF(Dataset!B415&lt;75,2,IF(Dataset!B415&lt;120,3,4)))</f>
        <v>2</v>
      </c>
      <c r="D415" s="29">
        <f t="shared" si="48"/>
        <v>1</v>
      </c>
      <c r="E415" s="29">
        <f>IF(Dataset!C415&lt;=1,0.3,IF(Dataset!C415=2,0.4,IF(Dataset!C415=3,0.5,IF(Dataset!C415=4,0.65,0.8))))</f>
        <v>0.5</v>
      </c>
      <c r="F415" s="29">
        <f>IF(Dataset!C415&lt;=2,1,IF(Dataset!C415=3,2,IF(Dataset!C415=4,3,4)))</f>
        <v>2</v>
      </c>
      <c r="G415" s="29">
        <f t="shared" si="49"/>
        <v>1</v>
      </c>
      <c r="H415" s="29">
        <f>IF(Dataset!G415&lt;=3,0.25,IF(Dataset!G415&lt;=6,0.45,IF(Dataset!G415&lt;=9,0.65,0.85)))</f>
        <v>0.25</v>
      </c>
      <c r="I415" s="29">
        <f>IF(Dataset!G415&lt;=3,1,IF(Dataset!G415&lt;=6,2,IF(Dataset!G415&lt;=9,3,4)))</f>
        <v>1</v>
      </c>
      <c r="J415" s="29">
        <f t="shared" si="50"/>
        <v>0.25</v>
      </c>
      <c r="K415" s="29">
        <f>IF(Dataset!H415&lt;1,0.2,IF(Dataset!H415&lt;1.3,0.45,IF(Dataset!H415&lt;1.8,0.7,0.9)))</f>
        <v>0.45</v>
      </c>
      <c r="L415" s="29">
        <f>IF(Dataset!H415&lt;1,1,IF(Dataset!H415&lt;1.3,2,IF(Dataset!H415&lt;1.8,3,4)))</f>
        <v>2</v>
      </c>
      <c r="M415" s="29">
        <f t="shared" si="51"/>
        <v>0.9</v>
      </c>
      <c r="N415" s="29">
        <f>IF(Dataset!F415=1,0.75,IF(Dataset!F415=2,0.45,0.2))</f>
        <v>0.75</v>
      </c>
      <c r="O415" s="29">
        <f>IF(Dataset!F415=1,3,IF(Dataset!F415=2,2,1))</f>
        <v>3</v>
      </c>
      <c r="P415" s="29">
        <f t="shared" si="52"/>
        <v>2.25</v>
      </c>
      <c r="Q415" s="29">
        <f>IF(Dataset!K415&lt;5,0.2,IF(Dataset!K415&lt;10,0.45,IF(Dataset!K415&lt;18,0.7,0.9)))</f>
        <v>0.45</v>
      </c>
      <c r="R415" s="29">
        <f>IF(Dataset!K415&lt;5,1,IF(Dataset!K415&lt;10,2,IF(Dataset!K415&lt;18,3,4)))</f>
        <v>2</v>
      </c>
      <c r="S415" s="29">
        <f t="shared" si="53"/>
        <v>0.9</v>
      </c>
      <c r="T415" s="29">
        <f t="shared" si="54"/>
        <v>0.93699999999999994</v>
      </c>
      <c r="U415" s="29" t="str">
        <f t="shared" si="55"/>
        <v>Low</v>
      </c>
    </row>
    <row r="416" spans="1:21" ht="15" customHeight="1" x14ac:dyDescent="0.25">
      <c r="A416" s="29">
        <f>Dataset!A416</f>
        <v>412</v>
      </c>
      <c r="B416" s="29">
        <f>IF(Dataset!B416&lt;25,0.3,IF(Dataset!B416&lt;75,0.5,IF(Dataset!B416&lt;120,0.65,0.8)))</f>
        <v>0.5</v>
      </c>
      <c r="C416" s="29">
        <f>IF(Dataset!B416&lt;25,1,IF(Dataset!B416&lt;75,2,IF(Dataset!B416&lt;120,3,4)))</f>
        <v>2</v>
      </c>
      <c r="D416" s="29">
        <f t="shared" si="48"/>
        <v>1</v>
      </c>
      <c r="E416" s="29">
        <f>IF(Dataset!C416&lt;=1,0.3,IF(Dataset!C416=2,0.4,IF(Dataset!C416=3,0.5,IF(Dataset!C416=4,0.65,0.8))))</f>
        <v>0.4</v>
      </c>
      <c r="F416" s="29">
        <f>IF(Dataset!C416&lt;=2,1,IF(Dataset!C416=3,2,IF(Dataset!C416=4,3,4)))</f>
        <v>1</v>
      </c>
      <c r="G416" s="29">
        <f t="shared" si="49"/>
        <v>0.4</v>
      </c>
      <c r="H416" s="29">
        <f>IF(Dataset!G416&lt;=3,0.25,IF(Dataset!G416&lt;=6,0.45,IF(Dataset!G416&lt;=9,0.65,0.85)))</f>
        <v>0.25</v>
      </c>
      <c r="I416" s="29">
        <f>IF(Dataset!G416&lt;=3,1,IF(Dataset!G416&lt;=6,2,IF(Dataset!G416&lt;=9,3,4)))</f>
        <v>1</v>
      </c>
      <c r="J416" s="29">
        <f t="shared" si="50"/>
        <v>0.25</v>
      </c>
      <c r="K416" s="29">
        <f>IF(Dataset!H416&lt;1,0.2,IF(Dataset!H416&lt;1.3,0.45,IF(Dataset!H416&lt;1.8,0.7,0.9)))</f>
        <v>0.2</v>
      </c>
      <c r="L416" s="29">
        <f>IF(Dataset!H416&lt;1,1,IF(Dataset!H416&lt;1.3,2,IF(Dataset!H416&lt;1.8,3,4)))</f>
        <v>1</v>
      </c>
      <c r="M416" s="29">
        <f t="shared" si="51"/>
        <v>0.2</v>
      </c>
      <c r="N416" s="29">
        <f>IF(Dataset!F416=1,0.75,IF(Dataset!F416=2,0.45,0.2))</f>
        <v>0.45</v>
      </c>
      <c r="O416" s="29">
        <f>IF(Dataset!F416=1,3,IF(Dataset!F416=2,2,1))</f>
        <v>2</v>
      </c>
      <c r="P416" s="29">
        <f t="shared" si="52"/>
        <v>0.9</v>
      </c>
      <c r="Q416" s="29">
        <f>IF(Dataset!K416&lt;5,0.2,IF(Dataset!K416&lt;10,0.45,IF(Dataset!K416&lt;18,0.7,0.9)))</f>
        <v>0.2</v>
      </c>
      <c r="R416" s="29">
        <f>IF(Dataset!K416&lt;5,1,IF(Dataset!K416&lt;10,2,IF(Dataset!K416&lt;18,3,4)))</f>
        <v>1</v>
      </c>
      <c r="S416" s="29">
        <f t="shared" si="53"/>
        <v>0.2</v>
      </c>
      <c r="T416" s="29">
        <f t="shared" si="54"/>
        <v>0.45200000000000001</v>
      </c>
      <c r="U416" s="29" t="str">
        <f t="shared" si="55"/>
        <v>Low</v>
      </c>
    </row>
    <row r="417" spans="1:21" ht="15" customHeight="1" x14ac:dyDescent="0.25">
      <c r="A417" s="29">
        <f>Dataset!A417</f>
        <v>413</v>
      </c>
      <c r="B417" s="29">
        <f>IF(Dataset!B417&lt;25,0.3,IF(Dataset!B417&lt;75,0.5,IF(Dataset!B417&lt;120,0.65,0.8)))</f>
        <v>0.65</v>
      </c>
      <c r="C417" s="29">
        <f>IF(Dataset!B417&lt;25,1,IF(Dataset!B417&lt;75,2,IF(Dataset!B417&lt;120,3,4)))</f>
        <v>3</v>
      </c>
      <c r="D417" s="29">
        <f t="shared" si="48"/>
        <v>1.9500000000000002</v>
      </c>
      <c r="E417" s="29">
        <f>IF(Dataset!C417&lt;=1,0.3,IF(Dataset!C417=2,0.4,IF(Dataset!C417=3,0.5,IF(Dataset!C417=4,0.65,0.8))))</f>
        <v>0.4</v>
      </c>
      <c r="F417" s="29">
        <f>IF(Dataset!C417&lt;=2,1,IF(Dataset!C417=3,2,IF(Dataset!C417=4,3,4)))</f>
        <v>1</v>
      </c>
      <c r="G417" s="29">
        <f t="shared" si="49"/>
        <v>0.4</v>
      </c>
      <c r="H417" s="29">
        <f>IF(Dataset!G417&lt;=3,0.25,IF(Dataset!G417&lt;=6,0.45,IF(Dataset!G417&lt;=9,0.65,0.85)))</f>
        <v>0.45</v>
      </c>
      <c r="I417" s="29">
        <f>IF(Dataset!G417&lt;=3,1,IF(Dataset!G417&lt;=6,2,IF(Dataset!G417&lt;=9,3,4)))</f>
        <v>2</v>
      </c>
      <c r="J417" s="29">
        <f t="shared" si="50"/>
        <v>0.9</v>
      </c>
      <c r="K417" s="29">
        <f>IF(Dataset!H417&lt;1,0.2,IF(Dataset!H417&lt;1.3,0.45,IF(Dataset!H417&lt;1.8,0.7,0.9)))</f>
        <v>0.7</v>
      </c>
      <c r="L417" s="29">
        <f>IF(Dataset!H417&lt;1,1,IF(Dataset!H417&lt;1.3,2,IF(Dataset!H417&lt;1.8,3,4)))</f>
        <v>3</v>
      </c>
      <c r="M417" s="29">
        <f t="shared" si="51"/>
        <v>2.0999999999999996</v>
      </c>
      <c r="N417" s="29">
        <f>IF(Dataset!F417=1,0.75,IF(Dataset!F417=2,0.45,0.2))</f>
        <v>0.45</v>
      </c>
      <c r="O417" s="29">
        <f>IF(Dataset!F417=1,3,IF(Dataset!F417=2,2,1))</f>
        <v>2</v>
      </c>
      <c r="P417" s="29">
        <f t="shared" si="52"/>
        <v>0.9</v>
      </c>
      <c r="Q417" s="29">
        <f>IF(Dataset!K417&lt;5,0.2,IF(Dataset!K417&lt;10,0.45,IF(Dataset!K417&lt;18,0.7,0.9)))</f>
        <v>0.45</v>
      </c>
      <c r="R417" s="29">
        <f>IF(Dataset!K417&lt;5,1,IF(Dataset!K417&lt;10,2,IF(Dataset!K417&lt;18,3,4)))</f>
        <v>2</v>
      </c>
      <c r="S417" s="29">
        <f t="shared" si="53"/>
        <v>0.9</v>
      </c>
      <c r="T417" s="29">
        <f t="shared" si="54"/>
        <v>1.3070000000000002</v>
      </c>
      <c r="U417" s="29" t="str">
        <f t="shared" si="55"/>
        <v>Low</v>
      </c>
    </row>
    <row r="418" spans="1:21" ht="15" customHeight="1" x14ac:dyDescent="0.25">
      <c r="A418" s="29">
        <f>Dataset!A418</f>
        <v>414</v>
      </c>
      <c r="B418" s="29">
        <f>IF(Dataset!B418&lt;25,0.3,IF(Dataset!B418&lt;75,0.5,IF(Dataset!B418&lt;120,0.65,0.8)))</f>
        <v>0.5</v>
      </c>
      <c r="C418" s="29">
        <f>IF(Dataset!B418&lt;25,1,IF(Dataset!B418&lt;75,2,IF(Dataset!B418&lt;120,3,4)))</f>
        <v>2</v>
      </c>
      <c r="D418" s="29">
        <f t="shared" si="48"/>
        <v>1</v>
      </c>
      <c r="E418" s="29">
        <f>IF(Dataset!C418&lt;=1,0.3,IF(Dataset!C418=2,0.4,IF(Dataset!C418=3,0.5,IF(Dataset!C418=4,0.65,0.8))))</f>
        <v>0.65</v>
      </c>
      <c r="F418" s="29">
        <f>IF(Dataset!C418&lt;=2,1,IF(Dataset!C418=3,2,IF(Dataset!C418=4,3,4)))</f>
        <v>3</v>
      </c>
      <c r="G418" s="29">
        <f t="shared" si="49"/>
        <v>1.9500000000000002</v>
      </c>
      <c r="H418" s="29">
        <f>IF(Dataset!G418&lt;=3,0.25,IF(Dataset!G418&lt;=6,0.45,IF(Dataset!G418&lt;=9,0.65,0.85)))</f>
        <v>0.45</v>
      </c>
      <c r="I418" s="29">
        <f>IF(Dataset!G418&lt;=3,1,IF(Dataset!G418&lt;=6,2,IF(Dataset!G418&lt;=9,3,4)))</f>
        <v>2</v>
      </c>
      <c r="J418" s="29">
        <f t="shared" si="50"/>
        <v>0.9</v>
      </c>
      <c r="K418" s="29">
        <f>IF(Dataset!H418&lt;1,0.2,IF(Dataset!H418&lt;1.3,0.45,IF(Dataset!H418&lt;1.8,0.7,0.9)))</f>
        <v>0.45</v>
      </c>
      <c r="L418" s="29">
        <f>IF(Dataset!H418&lt;1,1,IF(Dataset!H418&lt;1.3,2,IF(Dataset!H418&lt;1.8,3,4)))</f>
        <v>2</v>
      </c>
      <c r="M418" s="29">
        <f t="shared" si="51"/>
        <v>0.9</v>
      </c>
      <c r="N418" s="29">
        <f>IF(Dataset!F418=1,0.75,IF(Dataset!F418=2,0.45,0.2))</f>
        <v>0.45</v>
      </c>
      <c r="O418" s="29">
        <f>IF(Dataset!F418=1,3,IF(Dataset!F418=2,2,1))</f>
        <v>2</v>
      </c>
      <c r="P418" s="29">
        <f t="shared" si="52"/>
        <v>0.9</v>
      </c>
      <c r="Q418" s="29">
        <f>IF(Dataset!K418&lt;5,0.2,IF(Dataset!K418&lt;10,0.45,IF(Dataset!K418&lt;18,0.7,0.9)))</f>
        <v>0.7</v>
      </c>
      <c r="R418" s="29">
        <f>IF(Dataset!K418&lt;5,1,IF(Dataset!K418&lt;10,2,IF(Dataset!K418&lt;18,3,4)))</f>
        <v>3</v>
      </c>
      <c r="S418" s="29">
        <f t="shared" si="53"/>
        <v>2.0999999999999996</v>
      </c>
      <c r="T418" s="29">
        <f t="shared" si="54"/>
        <v>1.2330000000000001</v>
      </c>
      <c r="U418" s="29" t="str">
        <f t="shared" si="55"/>
        <v>Low</v>
      </c>
    </row>
    <row r="419" spans="1:21" ht="15" customHeight="1" x14ac:dyDescent="0.25">
      <c r="A419" s="29">
        <f>Dataset!A419</f>
        <v>415</v>
      </c>
      <c r="B419" s="29">
        <f>IF(Dataset!B419&lt;25,0.3,IF(Dataset!B419&lt;75,0.5,IF(Dataset!B419&lt;120,0.65,0.8)))</f>
        <v>0.3</v>
      </c>
      <c r="C419" s="29">
        <f>IF(Dataset!B419&lt;25,1,IF(Dataset!B419&lt;75,2,IF(Dataset!B419&lt;120,3,4)))</f>
        <v>1</v>
      </c>
      <c r="D419" s="29">
        <f t="shared" si="48"/>
        <v>0.3</v>
      </c>
      <c r="E419" s="29">
        <f>IF(Dataset!C419&lt;=1,0.3,IF(Dataset!C419=2,0.4,IF(Dataset!C419=3,0.5,IF(Dataset!C419=4,0.65,0.8))))</f>
        <v>0.5</v>
      </c>
      <c r="F419" s="29">
        <f>IF(Dataset!C419&lt;=2,1,IF(Dataset!C419=3,2,IF(Dataset!C419=4,3,4)))</f>
        <v>2</v>
      </c>
      <c r="G419" s="29">
        <f t="shared" si="49"/>
        <v>1</v>
      </c>
      <c r="H419" s="29">
        <f>IF(Dataset!G419&lt;=3,0.25,IF(Dataset!G419&lt;=6,0.45,IF(Dataset!G419&lt;=9,0.65,0.85)))</f>
        <v>0.25</v>
      </c>
      <c r="I419" s="29">
        <f>IF(Dataset!G419&lt;=3,1,IF(Dataset!G419&lt;=6,2,IF(Dataset!G419&lt;=9,3,4)))</f>
        <v>1</v>
      </c>
      <c r="J419" s="29">
        <f t="shared" si="50"/>
        <v>0.25</v>
      </c>
      <c r="K419" s="29">
        <f>IF(Dataset!H419&lt;1,0.2,IF(Dataset!H419&lt;1.3,0.45,IF(Dataset!H419&lt;1.8,0.7,0.9)))</f>
        <v>0.9</v>
      </c>
      <c r="L419" s="29">
        <f>IF(Dataset!H419&lt;1,1,IF(Dataset!H419&lt;1.3,2,IF(Dataset!H419&lt;1.8,3,4)))</f>
        <v>4</v>
      </c>
      <c r="M419" s="29">
        <f t="shared" si="51"/>
        <v>3.6</v>
      </c>
      <c r="N419" s="29">
        <f>IF(Dataset!F419=1,0.75,IF(Dataset!F419=2,0.45,0.2))</f>
        <v>0.75</v>
      </c>
      <c r="O419" s="29">
        <f>IF(Dataset!F419=1,3,IF(Dataset!F419=2,2,1))</f>
        <v>3</v>
      </c>
      <c r="P419" s="29">
        <f t="shared" si="52"/>
        <v>2.25</v>
      </c>
      <c r="Q419" s="29">
        <f>IF(Dataset!K419&lt;5,0.2,IF(Dataset!K419&lt;10,0.45,IF(Dataset!K419&lt;18,0.7,0.9)))</f>
        <v>0.45</v>
      </c>
      <c r="R419" s="29">
        <f>IF(Dataset!K419&lt;5,1,IF(Dataset!K419&lt;10,2,IF(Dataset!K419&lt;18,3,4)))</f>
        <v>2</v>
      </c>
      <c r="S419" s="29">
        <f t="shared" si="53"/>
        <v>0.9</v>
      </c>
      <c r="T419" s="29">
        <f t="shared" si="54"/>
        <v>1.4590000000000003</v>
      </c>
      <c r="U419" s="29" t="str">
        <f t="shared" si="55"/>
        <v>Medium</v>
      </c>
    </row>
    <row r="420" spans="1:21" ht="15" customHeight="1" x14ac:dyDescent="0.25">
      <c r="A420" s="29">
        <f>Dataset!A420</f>
        <v>416</v>
      </c>
      <c r="B420" s="29">
        <f>IF(Dataset!B420&lt;25,0.3,IF(Dataset!B420&lt;75,0.5,IF(Dataset!B420&lt;120,0.65,0.8)))</f>
        <v>0.5</v>
      </c>
      <c r="C420" s="29">
        <f>IF(Dataset!B420&lt;25,1,IF(Dataset!B420&lt;75,2,IF(Dataset!B420&lt;120,3,4)))</f>
        <v>2</v>
      </c>
      <c r="D420" s="29">
        <f t="shared" si="48"/>
        <v>1</v>
      </c>
      <c r="E420" s="29">
        <f>IF(Dataset!C420&lt;=1,0.3,IF(Dataset!C420=2,0.4,IF(Dataset!C420=3,0.5,IF(Dataset!C420=4,0.65,0.8))))</f>
        <v>0.3</v>
      </c>
      <c r="F420" s="29">
        <f>IF(Dataset!C420&lt;=2,1,IF(Dataset!C420=3,2,IF(Dataset!C420=4,3,4)))</f>
        <v>1</v>
      </c>
      <c r="G420" s="29">
        <f t="shared" si="49"/>
        <v>0.3</v>
      </c>
      <c r="H420" s="29">
        <f>IF(Dataset!G420&lt;=3,0.25,IF(Dataset!G420&lt;=6,0.45,IF(Dataset!G420&lt;=9,0.65,0.85)))</f>
        <v>0.65</v>
      </c>
      <c r="I420" s="29">
        <f>IF(Dataset!G420&lt;=3,1,IF(Dataset!G420&lt;=6,2,IF(Dataset!G420&lt;=9,3,4)))</f>
        <v>3</v>
      </c>
      <c r="J420" s="29">
        <f t="shared" si="50"/>
        <v>1.9500000000000002</v>
      </c>
      <c r="K420" s="29">
        <f>IF(Dataset!H420&lt;1,0.2,IF(Dataset!H420&lt;1.3,0.45,IF(Dataset!H420&lt;1.8,0.7,0.9)))</f>
        <v>0.9</v>
      </c>
      <c r="L420" s="29">
        <f>IF(Dataset!H420&lt;1,1,IF(Dataset!H420&lt;1.3,2,IF(Dataset!H420&lt;1.8,3,4)))</f>
        <v>4</v>
      </c>
      <c r="M420" s="29">
        <f t="shared" si="51"/>
        <v>3.6</v>
      </c>
      <c r="N420" s="29">
        <f>IF(Dataset!F420=1,0.75,IF(Dataset!F420=2,0.45,0.2))</f>
        <v>0.2</v>
      </c>
      <c r="O420" s="29">
        <f>IF(Dataset!F420=1,3,IF(Dataset!F420=2,2,1))</f>
        <v>1</v>
      </c>
      <c r="P420" s="29">
        <f t="shared" si="52"/>
        <v>0.2</v>
      </c>
      <c r="Q420" s="29">
        <f>IF(Dataset!K420&lt;5,0.2,IF(Dataset!K420&lt;10,0.45,IF(Dataset!K420&lt;18,0.7,0.9)))</f>
        <v>0.2</v>
      </c>
      <c r="R420" s="29">
        <f>IF(Dataset!K420&lt;5,1,IF(Dataset!K420&lt;10,2,IF(Dataset!K420&lt;18,3,4)))</f>
        <v>1</v>
      </c>
      <c r="S420" s="29">
        <f t="shared" si="53"/>
        <v>0.2</v>
      </c>
      <c r="T420" s="29">
        <f t="shared" si="54"/>
        <v>1.524</v>
      </c>
      <c r="U420" s="29" t="str">
        <f t="shared" si="55"/>
        <v>Medium</v>
      </c>
    </row>
    <row r="421" spans="1:21" ht="15" customHeight="1" x14ac:dyDescent="0.25">
      <c r="A421" s="29">
        <f>Dataset!A421</f>
        <v>417</v>
      </c>
      <c r="B421" s="29">
        <f>IF(Dataset!B421&lt;25,0.3,IF(Dataset!B421&lt;75,0.5,IF(Dataset!B421&lt;120,0.65,0.8)))</f>
        <v>0.8</v>
      </c>
      <c r="C421" s="29">
        <f>IF(Dataset!B421&lt;25,1,IF(Dataset!B421&lt;75,2,IF(Dataset!B421&lt;120,3,4)))</f>
        <v>4</v>
      </c>
      <c r="D421" s="29">
        <f t="shared" si="48"/>
        <v>3.2</v>
      </c>
      <c r="E421" s="29">
        <f>IF(Dataset!C421&lt;=1,0.3,IF(Dataset!C421=2,0.4,IF(Dataset!C421=3,0.5,IF(Dataset!C421=4,0.65,0.8))))</f>
        <v>0.3</v>
      </c>
      <c r="F421" s="29">
        <f>IF(Dataset!C421&lt;=2,1,IF(Dataset!C421=3,2,IF(Dataset!C421=4,3,4)))</f>
        <v>1</v>
      </c>
      <c r="G421" s="29">
        <f t="shared" si="49"/>
        <v>0.3</v>
      </c>
      <c r="H421" s="29">
        <f>IF(Dataset!G421&lt;=3,0.25,IF(Dataset!G421&lt;=6,0.45,IF(Dataset!G421&lt;=9,0.65,0.85)))</f>
        <v>0.65</v>
      </c>
      <c r="I421" s="29">
        <f>IF(Dataset!G421&lt;=3,1,IF(Dataset!G421&lt;=6,2,IF(Dataset!G421&lt;=9,3,4)))</f>
        <v>3</v>
      </c>
      <c r="J421" s="29">
        <f t="shared" si="50"/>
        <v>1.9500000000000002</v>
      </c>
      <c r="K421" s="29">
        <f>IF(Dataset!H421&lt;1,0.2,IF(Dataset!H421&lt;1.3,0.45,IF(Dataset!H421&lt;1.8,0.7,0.9)))</f>
        <v>0.45</v>
      </c>
      <c r="L421" s="29">
        <f>IF(Dataset!H421&lt;1,1,IF(Dataset!H421&lt;1.3,2,IF(Dataset!H421&lt;1.8,3,4)))</f>
        <v>2</v>
      </c>
      <c r="M421" s="29">
        <f t="shared" si="51"/>
        <v>0.9</v>
      </c>
      <c r="N421" s="29">
        <f>IF(Dataset!F421=1,0.75,IF(Dataset!F421=2,0.45,0.2))</f>
        <v>0.2</v>
      </c>
      <c r="O421" s="29">
        <f>IF(Dataset!F421=1,3,IF(Dataset!F421=2,2,1))</f>
        <v>1</v>
      </c>
      <c r="P421" s="29">
        <f t="shared" si="52"/>
        <v>0.2</v>
      </c>
      <c r="Q421" s="29">
        <f>IF(Dataset!K421&lt;5,0.2,IF(Dataset!K421&lt;10,0.45,IF(Dataset!K421&lt;18,0.7,0.9)))</f>
        <v>0.2</v>
      </c>
      <c r="R421" s="29">
        <f>IF(Dataset!K421&lt;5,1,IF(Dataset!K421&lt;10,2,IF(Dataset!K421&lt;18,3,4)))</f>
        <v>1</v>
      </c>
      <c r="S421" s="29">
        <f t="shared" si="53"/>
        <v>0.2</v>
      </c>
      <c r="T421" s="29">
        <f t="shared" si="54"/>
        <v>1.272</v>
      </c>
      <c r="U421" s="29" t="str">
        <f t="shared" si="55"/>
        <v>Low</v>
      </c>
    </row>
    <row r="422" spans="1:21" ht="15" customHeight="1" x14ac:dyDescent="0.25">
      <c r="A422" s="29">
        <f>Dataset!A422</f>
        <v>418</v>
      </c>
      <c r="B422" s="29">
        <f>IF(Dataset!B422&lt;25,0.3,IF(Dataset!B422&lt;75,0.5,IF(Dataset!B422&lt;120,0.65,0.8)))</f>
        <v>0.65</v>
      </c>
      <c r="C422" s="29">
        <f>IF(Dataset!B422&lt;25,1,IF(Dataset!B422&lt;75,2,IF(Dataset!B422&lt;120,3,4)))</f>
        <v>3</v>
      </c>
      <c r="D422" s="29">
        <f t="shared" si="48"/>
        <v>1.9500000000000002</v>
      </c>
      <c r="E422" s="29">
        <f>IF(Dataset!C422&lt;=1,0.3,IF(Dataset!C422=2,0.4,IF(Dataset!C422=3,0.5,IF(Dataset!C422=4,0.65,0.8))))</f>
        <v>0.5</v>
      </c>
      <c r="F422" s="29">
        <f>IF(Dataset!C422&lt;=2,1,IF(Dataset!C422=3,2,IF(Dataset!C422=4,3,4)))</f>
        <v>2</v>
      </c>
      <c r="G422" s="29">
        <f t="shared" si="49"/>
        <v>1</v>
      </c>
      <c r="H422" s="29">
        <f>IF(Dataset!G422&lt;=3,0.25,IF(Dataset!G422&lt;=6,0.45,IF(Dataset!G422&lt;=9,0.65,0.85)))</f>
        <v>0.45</v>
      </c>
      <c r="I422" s="29">
        <f>IF(Dataset!G422&lt;=3,1,IF(Dataset!G422&lt;=6,2,IF(Dataset!G422&lt;=9,3,4)))</f>
        <v>2</v>
      </c>
      <c r="J422" s="29">
        <f t="shared" si="50"/>
        <v>0.9</v>
      </c>
      <c r="K422" s="29">
        <f>IF(Dataset!H422&lt;1,0.2,IF(Dataset!H422&lt;1.3,0.45,IF(Dataset!H422&lt;1.8,0.7,0.9)))</f>
        <v>0.45</v>
      </c>
      <c r="L422" s="29">
        <f>IF(Dataset!H422&lt;1,1,IF(Dataset!H422&lt;1.3,2,IF(Dataset!H422&lt;1.8,3,4)))</f>
        <v>2</v>
      </c>
      <c r="M422" s="29">
        <f t="shared" si="51"/>
        <v>0.9</v>
      </c>
      <c r="N422" s="29">
        <f>IF(Dataset!F422=1,0.75,IF(Dataset!F422=2,0.45,0.2))</f>
        <v>0.45</v>
      </c>
      <c r="O422" s="29">
        <f>IF(Dataset!F422=1,3,IF(Dataset!F422=2,2,1))</f>
        <v>2</v>
      </c>
      <c r="P422" s="29">
        <f t="shared" si="52"/>
        <v>0.9</v>
      </c>
      <c r="Q422" s="29">
        <f>IF(Dataset!K422&lt;5,0.2,IF(Dataset!K422&lt;10,0.45,IF(Dataset!K422&lt;18,0.7,0.9)))</f>
        <v>0.2</v>
      </c>
      <c r="R422" s="29">
        <f>IF(Dataset!K422&lt;5,1,IF(Dataset!K422&lt;10,2,IF(Dataset!K422&lt;18,3,4)))</f>
        <v>1</v>
      </c>
      <c r="S422" s="29">
        <f t="shared" si="53"/>
        <v>0.2</v>
      </c>
      <c r="T422" s="29">
        <f t="shared" si="54"/>
        <v>1.0049999999999999</v>
      </c>
      <c r="U422" s="29" t="str">
        <f t="shared" si="55"/>
        <v>Low</v>
      </c>
    </row>
    <row r="423" spans="1:21" ht="15" customHeight="1" x14ac:dyDescent="0.25">
      <c r="A423" s="29">
        <f>Dataset!A423</f>
        <v>419</v>
      </c>
      <c r="B423" s="29">
        <f>IF(Dataset!B423&lt;25,0.3,IF(Dataset!B423&lt;75,0.5,IF(Dataset!B423&lt;120,0.65,0.8)))</f>
        <v>0.3</v>
      </c>
      <c r="C423" s="29">
        <f>IF(Dataset!B423&lt;25,1,IF(Dataset!B423&lt;75,2,IF(Dataset!B423&lt;120,3,4)))</f>
        <v>1</v>
      </c>
      <c r="D423" s="29">
        <f t="shared" si="48"/>
        <v>0.3</v>
      </c>
      <c r="E423" s="29">
        <f>IF(Dataset!C423&lt;=1,0.3,IF(Dataset!C423=2,0.4,IF(Dataset!C423=3,0.5,IF(Dataset!C423=4,0.65,0.8))))</f>
        <v>0.4</v>
      </c>
      <c r="F423" s="29">
        <f>IF(Dataset!C423&lt;=2,1,IF(Dataset!C423=3,2,IF(Dataset!C423=4,3,4)))</f>
        <v>1</v>
      </c>
      <c r="G423" s="29">
        <f t="shared" si="49"/>
        <v>0.4</v>
      </c>
      <c r="H423" s="29">
        <f>IF(Dataset!G423&lt;=3,0.25,IF(Dataset!G423&lt;=6,0.45,IF(Dataset!G423&lt;=9,0.65,0.85)))</f>
        <v>0.45</v>
      </c>
      <c r="I423" s="29">
        <f>IF(Dataset!G423&lt;=3,1,IF(Dataset!G423&lt;=6,2,IF(Dataset!G423&lt;=9,3,4)))</f>
        <v>2</v>
      </c>
      <c r="J423" s="29">
        <f t="shared" si="50"/>
        <v>0.9</v>
      </c>
      <c r="K423" s="29">
        <f>IF(Dataset!H423&lt;1,0.2,IF(Dataset!H423&lt;1.3,0.45,IF(Dataset!H423&lt;1.8,0.7,0.9)))</f>
        <v>0.45</v>
      </c>
      <c r="L423" s="29">
        <f>IF(Dataset!H423&lt;1,1,IF(Dataset!H423&lt;1.3,2,IF(Dataset!H423&lt;1.8,3,4)))</f>
        <v>2</v>
      </c>
      <c r="M423" s="29">
        <f t="shared" si="51"/>
        <v>0.9</v>
      </c>
      <c r="N423" s="29">
        <f>IF(Dataset!F423=1,0.75,IF(Dataset!F423=2,0.45,0.2))</f>
        <v>0.2</v>
      </c>
      <c r="O423" s="29">
        <f>IF(Dataset!F423=1,3,IF(Dataset!F423=2,2,1))</f>
        <v>1</v>
      </c>
      <c r="P423" s="29">
        <f t="shared" si="52"/>
        <v>0.2</v>
      </c>
      <c r="Q423" s="29">
        <f>IF(Dataset!K423&lt;5,0.2,IF(Dataset!K423&lt;10,0.45,IF(Dataset!K423&lt;18,0.7,0.9)))</f>
        <v>0.45</v>
      </c>
      <c r="R423" s="29">
        <f>IF(Dataset!K423&lt;5,1,IF(Dataset!K423&lt;10,2,IF(Dataset!K423&lt;18,3,4)))</f>
        <v>2</v>
      </c>
      <c r="S423" s="29">
        <f t="shared" si="53"/>
        <v>0.9</v>
      </c>
      <c r="T423" s="29">
        <f t="shared" si="54"/>
        <v>0.65200000000000002</v>
      </c>
      <c r="U423" s="29" t="str">
        <f t="shared" si="55"/>
        <v>Low</v>
      </c>
    </row>
    <row r="424" spans="1:21" ht="15" customHeight="1" x14ac:dyDescent="0.25">
      <c r="A424" s="29">
        <f>Dataset!A424</f>
        <v>420</v>
      </c>
      <c r="B424" s="29">
        <f>IF(Dataset!B424&lt;25,0.3,IF(Dataset!B424&lt;75,0.5,IF(Dataset!B424&lt;120,0.65,0.8)))</f>
        <v>0.5</v>
      </c>
      <c r="C424" s="29">
        <f>IF(Dataset!B424&lt;25,1,IF(Dataset!B424&lt;75,2,IF(Dataset!B424&lt;120,3,4)))</f>
        <v>2</v>
      </c>
      <c r="D424" s="29">
        <f t="shared" si="48"/>
        <v>1</v>
      </c>
      <c r="E424" s="29">
        <f>IF(Dataset!C424&lt;=1,0.3,IF(Dataset!C424=2,0.4,IF(Dataset!C424=3,0.5,IF(Dataset!C424=4,0.65,0.8))))</f>
        <v>0.65</v>
      </c>
      <c r="F424" s="29">
        <f>IF(Dataset!C424&lt;=2,1,IF(Dataset!C424=3,2,IF(Dataset!C424=4,3,4)))</f>
        <v>3</v>
      </c>
      <c r="G424" s="29">
        <f t="shared" si="49"/>
        <v>1.9500000000000002</v>
      </c>
      <c r="H424" s="29">
        <f>IF(Dataset!G424&lt;=3,0.25,IF(Dataset!G424&lt;=6,0.45,IF(Dataset!G424&lt;=9,0.65,0.85)))</f>
        <v>0.45</v>
      </c>
      <c r="I424" s="29">
        <f>IF(Dataset!G424&lt;=3,1,IF(Dataset!G424&lt;=6,2,IF(Dataset!G424&lt;=9,3,4)))</f>
        <v>2</v>
      </c>
      <c r="J424" s="29">
        <f t="shared" si="50"/>
        <v>0.9</v>
      </c>
      <c r="K424" s="29">
        <f>IF(Dataset!H424&lt;1,0.2,IF(Dataset!H424&lt;1.3,0.45,IF(Dataset!H424&lt;1.8,0.7,0.9)))</f>
        <v>0.9</v>
      </c>
      <c r="L424" s="29">
        <f>IF(Dataset!H424&lt;1,1,IF(Dataset!H424&lt;1.3,2,IF(Dataset!H424&lt;1.8,3,4)))</f>
        <v>4</v>
      </c>
      <c r="M424" s="29">
        <f t="shared" si="51"/>
        <v>3.6</v>
      </c>
      <c r="N424" s="29">
        <f>IF(Dataset!F424=1,0.75,IF(Dataset!F424=2,0.45,0.2))</f>
        <v>0.75</v>
      </c>
      <c r="O424" s="29">
        <f>IF(Dataset!F424=1,3,IF(Dataset!F424=2,2,1))</f>
        <v>3</v>
      </c>
      <c r="P424" s="29">
        <f t="shared" si="52"/>
        <v>2.25</v>
      </c>
      <c r="Q424" s="29">
        <f>IF(Dataset!K424&lt;5,0.2,IF(Dataset!K424&lt;10,0.45,IF(Dataset!K424&lt;18,0.7,0.9)))</f>
        <v>0.45</v>
      </c>
      <c r="R424" s="29">
        <f>IF(Dataset!K424&lt;5,1,IF(Dataset!K424&lt;10,2,IF(Dataset!K424&lt;18,3,4)))</f>
        <v>2</v>
      </c>
      <c r="S424" s="29">
        <f t="shared" si="53"/>
        <v>0.9</v>
      </c>
      <c r="T424" s="29">
        <f t="shared" si="54"/>
        <v>1.8480000000000003</v>
      </c>
      <c r="U424" s="29" t="str">
        <f t="shared" si="55"/>
        <v>High</v>
      </c>
    </row>
    <row r="425" spans="1:21" ht="15" customHeight="1" x14ac:dyDescent="0.25">
      <c r="A425" s="29">
        <f>Dataset!A425</f>
        <v>421</v>
      </c>
      <c r="B425" s="29">
        <f>IF(Dataset!B425&lt;25,0.3,IF(Dataset!B425&lt;75,0.5,IF(Dataset!B425&lt;120,0.65,0.8)))</f>
        <v>0.5</v>
      </c>
      <c r="C425" s="29">
        <f>IF(Dataset!B425&lt;25,1,IF(Dataset!B425&lt;75,2,IF(Dataset!B425&lt;120,3,4)))</f>
        <v>2</v>
      </c>
      <c r="D425" s="29">
        <f t="shared" si="48"/>
        <v>1</v>
      </c>
      <c r="E425" s="29">
        <f>IF(Dataset!C425&lt;=1,0.3,IF(Dataset!C425=2,0.4,IF(Dataset!C425=3,0.5,IF(Dataset!C425=4,0.65,0.8))))</f>
        <v>0.65</v>
      </c>
      <c r="F425" s="29">
        <f>IF(Dataset!C425&lt;=2,1,IF(Dataset!C425=3,2,IF(Dataset!C425=4,3,4)))</f>
        <v>3</v>
      </c>
      <c r="G425" s="29">
        <f t="shared" si="49"/>
        <v>1.9500000000000002</v>
      </c>
      <c r="H425" s="29">
        <f>IF(Dataset!G425&lt;=3,0.25,IF(Dataset!G425&lt;=6,0.45,IF(Dataset!G425&lt;=9,0.65,0.85)))</f>
        <v>0.45</v>
      </c>
      <c r="I425" s="29">
        <f>IF(Dataset!G425&lt;=3,1,IF(Dataset!G425&lt;=6,2,IF(Dataset!G425&lt;=9,3,4)))</f>
        <v>2</v>
      </c>
      <c r="J425" s="29">
        <f t="shared" si="50"/>
        <v>0.9</v>
      </c>
      <c r="K425" s="29">
        <f>IF(Dataset!H425&lt;1,0.2,IF(Dataset!H425&lt;1.3,0.45,IF(Dataset!H425&lt;1.8,0.7,0.9)))</f>
        <v>0.7</v>
      </c>
      <c r="L425" s="29">
        <f>IF(Dataset!H425&lt;1,1,IF(Dataset!H425&lt;1.3,2,IF(Dataset!H425&lt;1.8,3,4)))</f>
        <v>3</v>
      </c>
      <c r="M425" s="29">
        <f t="shared" si="51"/>
        <v>2.0999999999999996</v>
      </c>
      <c r="N425" s="29">
        <f>IF(Dataset!F425=1,0.75,IF(Dataset!F425=2,0.45,0.2))</f>
        <v>0.45</v>
      </c>
      <c r="O425" s="29">
        <f>IF(Dataset!F425=1,3,IF(Dataset!F425=2,2,1))</f>
        <v>2</v>
      </c>
      <c r="P425" s="29">
        <f t="shared" si="52"/>
        <v>0.9</v>
      </c>
      <c r="Q425" s="29">
        <f>IF(Dataset!K425&lt;5,0.2,IF(Dataset!K425&lt;10,0.45,IF(Dataset!K425&lt;18,0.7,0.9)))</f>
        <v>0.45</v>
      </c>
      <c r="R425" s="29">
        <f>IF(Dataset!K425&lt;5,1,IF(Dataset!K425&lt;10,2,IF(Dataset!K425&lt;18,3,4)))</f>
        <v>2</v>
      </c>
      <c r="S425" s="29">
        <f t="shared" si="53"/>
        <v>0.9</v>
      </c>
      <c r="T425" s="29">
        <f t="shared" si="54"/>
        <v>1.3530000000000002</v>
      </c>
      <c r="U425" s="29" t="str">
        <f t="shared" si="55"/>
        <v>Low</v>
      </c>
    </row>
    <row r="426" spans="1:21" ht="15" customHeight="1" x14ac:dyDescent="0.25">
      <c r="A426" s="29">
        <f>Dataset!A426</f>
        <v>422</v>
      </c>
      <c r="B426" s="29">
        <f>IF(Dataset!B426&lt;25,0.3,IF(Dataset!B426&lt;75,0.5,IF(Dataset!B426&lt;120,0.65,0.8)))</f>
        <v>0.8</v>
      </c>
      <c r="C426" s="29">
        <f>IF(Dataset!B426&lt;25,1,IF(Dataset!B426&lt;75,2,IF(Dataset!B426&lt;120,3,4)))</f>
        <v>4</v>
      </c>
      <c r="D426" s="29">
        <f t="shared" si="48"/>
        <v>3.2</v>
      </c>
      <c r="E426" s="29">
        <f>IF(Dataset!C426&lt;=1,0.3,IF(Dataset!C426=2,0.4,IF(Dataset!C426=3,0.5,IF(Dataset!C426=4,0.65,0.8))))</f>
        <v>0.4</v>
      </c>
      <c r="F426" s="29">
        <f>IF(Dataset!C426&lt;=2,1,IF(Dataset!C426=3,2,IF(Dataset!C426=4,3,4)))</f>
        <v>1</v>
      </c>
      <c r="G426" s="29">
        <f t="shared" si="49"/>
        <v>0.4</v>
      </c>
      <c r="H426" s="29">
        <f>IF(Dataset!G426&lt;=3,0.25,IF(Dataset!G426&lt;=6,0.45,IF(Dataset!G426&lt;=9,0.65,0.85)))</f>
        <v>0.25</v>
      </c>
      <c r="I426" s="29">
        <f>IF(Dataset!G426&lt;=3,1,IF(Dataset!G426&lt;=6,2,IF(Dataset!G426&lt;=9,3,4)))</f>
        <v>1</v>
      </c>
      <c r="J426" s="29">
        <f t="shared" si="50"/>
        <v>0.25</v>
      </c>
      <c r="K426" s="29">
        <f>IF(Dataset!H426&lt;1,0.2,IF(Dataset!H426&lt;1.3,0.45,IF(Dataset!H426&lt;1.8,0.7,0.9)))</f>
        <v>0.45</v>
      </c>
      <c r="L426" s="29">
        <f>IF(Dataset!H426&lt;1,1,IF(Dataset!H426&lt;1.3,2,IF(Dataset!H426&lt;1.8,3,4)))</f>
        <v>2</v>
      </c>
      <c r="M426" s="29">
        <f t="shared" si="51"/>
        <v>0.9</v>
      </c>
      <c r="N426" s="29">
        <f>IF(Dataset!F426=1,0.75,IF(Dataset!F426=2,0.45,0.2))</f>
        <v>0.2</v>
      </c>
      <c r="O426" s="29">
        <f>IF(Dataset!F426=1,3,IF(Dataset!F426=2,2,1))</f>
        <v>1</v>
      </c>
      <c r="P426" s="29">
        <f t="shared" si="52"/>
        <v>0.2</v>
      </c>
      <c r="Q426" s="29">
        <f>IF(Dataset!K426&lt;5,0.2,IF(Dataset!K426&lt;10,0.45,IF(Dataset!K426&lt;18,0.7,0.9)))</f>
        <v>0.2</v>
      </c>
      <c r="R426" s="29">
        <f>IF(Dataset!K426&lt;5,1,IF(Dataset!K426&lt;10,2,IF(Dataset!K426&lt;18,3,4)))</f>
        <v>1</v>
      </c>
      <c r="S426" s="29">
        <f t="shared" si="53"/>
        <v>0.2</v>
      </c>
      <c r="T426" s="29">
        <f t="shared" si="54"/>
        <v>0.94600000000000006</v>
      </c>
      <c r="U426" s="29" t="str">
        <f t="shared" si="55"/>
        <v>Low</v>
      </c>
    </row>
    <row r="427" spans="1:21" ht="15" customHeight="1" x14ac:dyDescent="0.25">
      <c r="A427" s="29">
        <f>Dataset!A427</f>
        <v>423</v>
      </c>
      <c r="B427" s="29">
        <f>IF(Dataset!B427&lt;25,0.3,IF(Dataset!B427&lt;75,0.5,IF(Dataset!B427&lt;120,0.65,0.8)))</f>
        <v>0.8</v>
      </c>
      <c r="C427" s="29">
        <f>IF(Dataset!B427&lt;25,1,IF(Dataset!B427&lt;75,2,IF(Dataset!B427&lt;120,3,4)))</f>
        <v>4</v>
      </c>
      <c r="D427" s="29">
        <f t="shared" si="48"/>
        <v>3.2</v>
      </c>
      <c r="E427" s="29">
        <f>IF(Dataset!C427&lt;=1,0.3,IF(Dataset!C427=2,0.4,IF(Dataset!C427=3,0.5,IF(Dataset!C427=4,0.65,0.8))))</f>
        <v>0.65</v>
      </c>
      <c r="F427" s="29">
        <f>IF(Dataset!C427&lt;=2,1,IF(Dataset!C427=3,2,IF(Dataset!C427=4,3,4)))</f>
        <v>3</v>
      </c>
      <c r="G427" s="29">
        <f t="shared" si="49"/>
        <v>1.9500000000000002</v>
      </c>
      <c r="H427" s="29">
        <f>IF(Dataset!G427&lt;=3,0.25,IF(Dataset!G427&lt;=6,0.45,IF(Dataset!G427&lt;=9,0.65,0.85)))</f>
        <v>0.25</v>
      </c>
      <c r="I427" s="29">
        <f>IF(Dataset!G427&lt;=3,1,IF(Dataset!G427&lt;=6,2,IF(Dataset!G427&lt;=9,3,4)))</f>
        <v>1</v>
      </c>
      <c r="J427" s="29">
        <f t="shared" si="50"/>
        <v>0.25</v>
      </c>
      <c r="K427" s="29">
        <f>IF(Dataset!H427&lt;1,0.2,IF(Dataset!H427&lt;1.3,0.45,IF(Dataset!H427&lt;1.8,0.7,0.9)))</f>
        <v>0.9</v>
      </c>
      <c r="L427" s="29">
        <f>IF(Dataset!H427&lt;1,1,IF(Dataset!H427&lt;1.3,2,IF(Dataset!H427&lt;1.8,3,4)))</f>
        <v>4</v>
      </c>
      <c r="M427" s="29">
        <f t="shared" si="51"/>
        <v>3.6</v>
      </c>
      <c r="N427" s="29">
        <f>IF(Dataset!F427=1,0.75,IF(Dataset!F427=2,0.45,0.2))</f>
        <v>0.2</v>
      </c>
      <c r="O427" s="29">
        <f>IF(Dataset!F427=1,3,IF(Dataset!F427=2,2,1))</f>
        <v>1</v>
      </c>
      <c r="P427" s="29">
        <f t="shared" si="52"/>
        <v>0.2</v>
      </c>
      <c r="Q427" s="29">
        <f>IF(Dataset!K427&lt;5,0.2,IF(Dataset!K427&lt;10,0.45,IF(Dataset!K427&lt;18,0.7,0.9)))</f>
        <v>0.45</v>
      </c>
      <c r="R427" s="29">
        <f>IF(Dataset!K427&lt;5,1,IF(Dataset!K427&lt;10,2,IF(Dataset!K427&lt;18,3,4)))</f>
        <v>2</v>
      </c>
      <c r="S427" s="29">
        <f t="shared" si="53"/>
        <v>0.9</v>
      </c>
      <c r="T427" s="29">
        <f t="shared" si="54"/>
        <v>1.909</v>
      </c>
      <c r="U427" s="29" t="str">
        <f t="shared" si="55"/>
        <v>High</v>
      </c>
    </row>
    <row r="428" spans="1:21" ht="15" customHeight="1" x14ac:dyDescent="0.25">
      <c r="A428" s="29">
        <f>Dataset!A428</f>
        <v>424</v>
      </c>
      <c r="B428" s="29">
        <f>IF(Dataset!B428&lt;25,0.3,IF(Dataset!B428&lt;75,0.5,IF(Dataset!B428&lt;120,0.65,0.8)))</f>
        <v>0.8</v>
      </c>
      <c r="C428" s="29">
        <f>IF(Dataset!B428&lt;25,1,IF(Dataset!B428&lt;75,2,IF(Dataset!B428&lt;120,3,4)))</f>
        <v>4</v>
      </c>
      <c r="D428" s="29">
        <f t="shared" si="48"/>
        <v>3.2</v>
      </c>
      <c r="E428" s="29">
        <f>IF(Dataset!C428&lt;=1,0.3,IF(Dataset!C428=2,0.4,IF(Dataset!C428=3,0.5,IF(Dataset!C428=4,0.65,0.8))))</f>
        <v>0.4</v>
      </c>
      <c r="F428" s="29">
        <f>IF(Dataset!C428&lt;=2,1,IF(Dataset!C428=3,2,IF(Dataset!C428=4,3,4)))</f>
        <v>1</v>
      </c>
      <c r="G428" s="29">
        <f t="shared" si="49"/>
        <v>0.4</v>
      </c>
      <c r="H428" s="29">
        <f>IF(Dataset!G428&lt;=3,0.25,IF(Dataset!G428&lt;=6,0.45,IF(Dataset!G428&lt;=9,0.65,0.85)))</f>
        <v>0.45</v>
      </c>
      <c r="I428" s="29">
        <f>IF(Dataset!G428&lt;=3,1,IF(Dataset!G428&lt;=6,2,IF(Dataset!G428&lt;=9,3,4)))</f>
        <v>2</v>
      </c>
      <c r="J428" s="29">
        <f t="shared" si="50"/>
        <v>0.9</v>
      </c>
      <c r="K428" s="29">
        <f>IF(Dataset!H428&lt;1,0.2,IF(Dataset!H428&lt;1.3,0.45,IF(Dataset!H428&lt;1.8,0.7,0.9)))</f>
        <v>0.45</v>
      </c>
      <c r="L428" s="29">
        <f>IF(Dataset!H428&lt;1,1,IF(Dataset!H428&lt;1.3,2,IF(Dataset!H428&lt;1.8,3,4)))</f>
        <v>2</v>
      </c>
      <c r="M428" s="29">
        <f t="shared" si="51"/>
        <v>0.9</v>
      </c>
      <c r="N428" s="29">
        <f>IF(Dataset!F428=1,0.75,IF(Dataset!F428=2,0.45,0.2))</f>
        <v>0.2</v>
      </c>
      <c r="O428" s="29">
        <f>IF(Dataset!F428=1,3,IF(Dataset!F428=2,2,1))</f>
        <v>1</v>
      </c>
      <c r="P428" s="29">
        <f t="shared" si="52"/>
        <v>0.2</v>
      </c>
      <c r="Q428" s="29">
        <f>IF(Dataset!K428&lt;5,0.2,IF(Dataset!K428&lt;10,0.45,IF(Dataset!K428&lt;18,0.7,0.9)))</f>
        <v>0.45</v>
      </c>
      <c r="R428" s="29">
        <f>IF(Dataset!K428&lt;5,1,IF(Dataset!K428&lt;10,2,IF(Dataset!K428&lt;18,3,4)))</f>
        <v>2</v>
      </c>
      <c r="S428" s="29">
        <f t="shared" si="53"/>
        <v>0.9</v>
      </c>
      <c r="T428" s="29">
        <f t="shared" si="54"/>
        <v>1.1740000000000002</v>
      </c>
      <c r="U428" s="29" t="str">
        <f t="shared" si="55"/>
        <v>Low</v>
      </c>
    </row>
    <row r="429" spans="1:21" ht="15" customHeight="1" x14ac:dyDescent="0.25">
      <c r="A429" s="29">
        <f>Dataset!A429</f>
        <v>425</v>
      </c>
      <c r="B429" s="29">
        <f>IF(Dataset!B429&lt;25,0.3,IF(Dataset!B429&lt;75,0.5,IF(Dataset!B429&lt;120,0.65,0.8)))</f>
        <v>0.5</v>
      </c>
      <c r="C429" s="29">
        <f>IF(Dataset!B429&lt;25,1,IF(Dataset!B429&lt;75,2,IF(Dataset!B429&lt;120,3,4)))</f>
        <v>2</v>
      </c>
      <c r="D429" s="29">
        <f t="shared" si="48"/>
        <v>1</v>
      </c>
      <c r="E429" s="29">
        <f>IF(Dataset!C429&lt;=1,0.3,IF(Dataset!C429=2,0.4,IF(Dataset!C429=3,0.5,IF(Dataset!C429=4,0.65,0.8))))</f>
        <v>0.5</v>
      </c>
      <c r="F429" s="29">
        <f>IF(Dataset!C429&lt;=2,1,IF(Dataset!C429=3,2,IF(Dataset!C429=4,3,4)))</f>
        <v>2</v>
      </c>
      <c r="G429" s="29">
        <f t="shared" si="49"/>
        <v>1</v>
      </c>
      <c r="H429" s="29">
        <f>IF(Dataset!G429&lt;=3,0.25,IF(Dataset!G429&lt;=6,0.45,IF(Dataset!G429&lt;=9,0.65,0.85)))</f>
        <v>0.45</v>
      </c>
      <c r="I429" s="29">
        <f>IF(Dataset!G429&lt;=3,1,IF(Dataset!G429&lt;=6,2,IF(Dataset!G429&lt;=9,3,4)))</f>
        <v>2</v>
      </c>
      <c r="J429" s="29">
        <f t="shared" si="50"/>
        <v>0.9</v>
      </c>
      <c r="K429" s="29">
        <f>IF(Dataset!H429&lt;1,0.2,IF(Dataset!H429&lt;1.3,0.45,IF(Dataset!H429&lt;1.8,0.7,0.9)))</f>
        <v>0.7</v>
      </c>
      <c r="L429" s="29">
        <f>IF(Dataset!H429&lt;1,1,IF(Dataset!H429&lt;1.3,2,IF(Dataset!H429&lt;1.8,3,4)))</f>
        <v>3</v>
      </c>
      <c r="M429" s="29">
        <f t="shared" si="51"/>
        <v>2.0999999999999996</v>
      </c>
      <c r="N429" s="29">
        <f>IF(Dataset!F429=1,0.75,IF(Dataset!F429=2,0.45,0.2))</f>
        <v>0.45</v>
      </c>
      <c r="O429" s="29">
        <f>IF(Dataset!F429=1,3,IF(Dataset!F429=2,2,1))</f>
        <v>2</v>
      </c>
      <c r="P429" s="29">
        <f t="shared" si="52"/>
        <v>0.9</v>
      </c>
      <c r="Q429" s="29">
        <f>IF(Dataset!K429&lt;5,0.2,IF(Dataset!K429&lt;10,0.45,IF(Dataset!K429&lt;18,0.7,0.9)))</f>
        <v>0.45</v>
      </c>
      <c r="R429" s="29">
        <f>IF(Dataset!K429&lt;5,1,IF(Dataset!K429&lt;10,2,IF(Dataset!K429&lt;18,3,4)))</f>
        <v>2</v>
      </c>
      <c r="S429" s="29">
        <f t="shared" si="53"/>
        <v>0.9</v>
      </c>
      <c r="T429" s="29">
        <f t="shared" si="54"/>
        <v>1.2200000000000002</v>
      </c>
      <c r="U429" s="29" t="str">
        <f t="shared" si="55"/>
        <v>Low</v>
      </c>
    </row>
    <row r="430" spans="1:21" ht="15" customHeight="1" x14ac:dyDescent="0.25">
      <c r="A430" s="29">
        <f>Dataset!A430</f>
        <v>426</v>
      </c>
      <c r="B430" s="29">
        <f>IF(Dataset!B430&lt;25,0.3,IF(Dataset!B430&lt;75,0.5,IF(Dataset!B430&lt;120,0.65,0.8)))</f>
        <v>0.8</v>
      </c>
      <c r="C430" s="29">
        <f>IF(Dataset!B430&lt;25,1,IF(Dataset!B430&lt;75,2,IF(Dataset!B430&lt;120,3,4)))</f>
        <v>4</v>
      </c>
      <c r="D430" s="29">
        <f t="shared" si="48"/>
        <v>3.2</v>
      </c>
      <c r="E430" s="29">
        <f>IF(Dataset!C430&lt;=1,0.3,IF(Dataset!C430=2,0.4,IF(Dataset!C430=3,0.5,IF(Dataset!C430=4,0.65,0.8))))</f>
        <v>0.8</v>
      </c>
      <c r="F430" s="29">
        <f>IF(Dataset!C430&lt;=2,1,IF(Dataset!C430=3,2,IF(Dataset!C430=4,3,4)))</f>
        <v>4</v>
      </c>
      <c r="G430" s="29">
        <f t="shared" si="49"/>
        <v>3.2</v>
      </c>
      <c r="H430" s="29">
        <f>IF(Dataset!G430&lt;=3,0.25,IF(Dataset!G430&lt;=6,0.45,IF(Dataset!G430&lt;=9,0.65,0.85)))</f>
        <v>0.65</v>
      </c>
      <c r="I430" s="29">
        <f>IF(Dataset!G430&lt;=3,1,IF(Dataset!G430&lt;=6,2,IF(Dataset!G430&lt;=9,3,4)))</f>
        <v>3</v>
      </c>
      <c r="J430" s="29">
        <f t="shared" si="50"/>
        <v>1.9500000000000002</v>
      </c>
      <c r="K430" s="29">
        <f>IF(Dataset!H430&lt;1,0.2,IF(Dataset!H430&lt;1.3,0.45,IF(Dataset!H430&lt;1.8,0.7,0.9)))</f>
        <v>0.45</v>
      </c>
      <c r="L430" s="29">
        <f>IF(Dataset!H430&lt;1,1,IF(Dataset!H430&lt;1.3,2,IF(Dataset!H430&lt;1.8,3,4)))</f>
        <v>2</v>
      </c>
      <c r="M430" s="29">
        <f t="shared" si="51"/>
        <v>0.9</v>
      </c>
      <c r="N430" s="29">
        <f>IF(Dataset!F430=1,0.75,IF(Dataset!F430=2,0.45,0.2))</f>
        <v>0.2</v>
      </c>
      <c r="O430" s="29">
        <f>IF(Dataset!F430=1,3,IF(Dataset!F430=2,2,1))</f>
        <v>1</v>
      </c>
      <c r="P430" s="29">
        <f t="shared" si="52"/>
        <v>0.2</v>
      </c>
      <c r="Q430" s="29">
        <f>IF(Dataset!K430&lt;5,0.2,IF(Dataset!K430&lt;10,0.45,IF(Dataset!K430&lt;18,0.7,0.9)))</f>
        <v>0.7</v>
      </c>
      <c r="R430" s="29">
        <f>IF(Dataset!K430&lt;5,1,IF(Dataset!K430&lt;10,2,IF(Dataset!K430&lt;18,3,4)))</f>
        <v>3</v>
      </c>
      <c r="S430" s="29">
        <f t="shared" si="53"/>
        <v>2.0999999999999996</v>
      </c>
      <c r="T430" s="29">
        <f t="shared" si="54"/>
        <v>1.9440000000000002</v>
      </c>
      <c r="U430" s="29" t="str">
        <f t="shared" si="55"/>
        <v>High</v>
      </c>
    </row>
    <row r="431" spans="1:21" ht="15" customHeight="1" x14ac:dyDescent="0.25">
      <c r="A431" s="29">
        <f>Dataset!A431</f>
        <v>427</v>
      </c>
      <c r="B431" s="29">
        <f>IF(Dataset!B431&lt;25,0.3,IF(Dataset!B431&lt;75,0.5,IF(Dataset!B431&lt;120,0.65,0.8)))</f>
        <v>0.5</v>
      </c>
      <c r="C431" s="29">
        <f>IF(Dataset!B431&lt;25,1,IF(Dataset!B431&lt;75,2,IF(Dataset!B431&lt;120,3,4)))</f>
        <v>2</v>
      </c>
      <c r="D431" s="29">
        <f t="shared" si="48"/>
        <v>1</v>
      </c>
      <c r="E431" s="29">
        <f>IF(Dataset!C431&lt;=1,0.3,IF(Dataset!C431=2,0.4,IF(Dataset!C431=3,0.5,IF(Dataset!C431=4,0.65,0.8))))</f>
        <v>0.5</v>
      </c>
      <c r="F431" s="29">
        <f>IF(Dataset!C431&lt;=2,1,IF(Dataset!C431=3,2,IF(Dataset!C431=4,3,4)))</f>
        <v>2</v>
      </c>
      <c r="G431" s="29">
        <f t="shared" si="49"/>
        <v>1</v>
      </c>
      <c r="H431" s="29">
        <f>IF(Dataset!G431&lt;=3,0.25,IF(Dataset!G431&lt;=6,0.45,IF(Dataset!G431&lt;=9,0.65,0.85)))</f>
        <v>0.45</v>
      </c>
      <c r="I431" s="29">
        <f>IF(Dataset!G431&lt;=3,1,IF(Dataset!G431&lt;=6,2,IF(Dataset!G431&lt;=9,3,4)))</f>
        <v>2</v>
      </c>
      <c r="J431" s="29">
        <f t="shared" si="50"/>
        <v>0.9</v>
      </c>
      <c r="K431" s="29">
        <f>IF(Dataset!H431&lt;1,0.2,IF(Dataset!H431&lt;1.3,0.45,IF(Dataset!H431&lt;1.8,0.7,0.9)))</f>
        <v>0.7</v>
      </c>
      <c r="L431" s="29">
        <f>IF(Dataset!H431&lt;1,1,IF(Dataset!H431&lt;1.3,2,IF(Dataset!H431&lt;1.8,3,4)))</f>
        <v>3</v>
      </c>
      <c r="M431" s="29">
        <f t="shared" si="51"/>
        <v>2.0999999999999996</v>
      </c>
      <c r="N431" s="29">
        <f>IF(Dataset!F431=1,0.75,IF(Dataset!F431=2,0.45,0.2))</f>
        <v>0.45</v>
      </c>
      <c r="O431" s="29">
        <f>IF(Dataset!F431=1,3,IF(Dataset!F431=2,2,1))</f>
        <v>2</v>
      </c>
      <c r="P431" s="29">
        <f t="shared" si="52"/>
        <v>0.9</v>
      </c>
      <c r="Q431" s="29">
        <f>IF(Dataset!K431&lt;5,0.2,IF(Dataset!K431&lt;10,0.45,IF(Dataset!K431&lt;18,0.7,0.9)))</f>
        <v>0.45</v>
      </c>
      <c r="R431" s="29">
        <f>IF(Dataset!K431&lt;5,1,IF(Dataset!K431&lt;10,2,IF(Dataset!K431&lt;18,3,4)))</f>
        <v>2</v>
      </c>
      <c r="S431" s="29">
        <f t="shared" si="53"/>
        <v>0.9</v>
      </c>
      <c r="T431" s="29">
        <f t="shared" si="54"/>
        <v>1.2200000000000002</v>
      </c>
      <c r="U431" s="29" t="str">
        <f t="shared" si="55"/>
        <v>Low</v>
      </c>
    </row>
    <row r="432" spans="1:21" ht="15" customHeight="1" x14ac:dyDescent="0.25">
      <c r="A432" s="29">
        <f>Dataset!A432</f>
        <v>428</v>
      </c>
      <c r="B432" s="29">
        <f>IF(Dataset!B432&lt;25,0.3,IF(Dataset!B432&lt;75,0.5,IF(Dataset!B432&lt;120,0.65,0.8)))</f>
        <v>0.5</v>
      </c>
      <c r="C432" s="29">
        <f>IF(Dataset!B432&lt;25,1,IF(Dataset!B432&lt;75,2,IF(Dataset!B432&lt;120,3,4)))</f>
        <v>2</v>
      </c>
      <c r="D432" s="29">
        <f t="shared" si="48"/>
        <v>1</v>
      </c>
      <c r="E432" s="29">
        <f>IF(Dataset!C432&lt;=1,0.3,IF(Dataset!C432=2,0.4,IF(Dataset!C432=3,0.5,IF(Dataset!C432=4,0.65,0.8))))</f>
        <v>0.8</v>
      </c>
      <c r="F432" s="29">
        <f>IF(Dataset!C432&lt;=2,1,IF(Dataset!C432=3,2,IF(Dataset!C432=4,3,4)))</f>
        <v>4</v>
      </c>
      <c r="G432" s="29">
        <f t="shared" si="49"/>
        <v>3.2</v>
      </c>
      <c r="H432" s="29">
        <f>IF(Dataset!G432&lt;=3,0.25,IF(Dataset!G432&lt;=6,0.45,IF(Dataset!G432&lt;=9,0.65,0.85)))</f>
        <v>0.85</v>
      </c>
      <c r="I432" s="29">
        <f>IF(Dataset!G432&lt;=3,1,IF(Dataset!G432&lt;=6,2,IF(Dataset!G432&lt;=9,3,4)))</f>
        <v>4</v>
      </c>
      <c r="J432" s="29">
        <f t="shared" si="50"/>
        <v>3.4</v>
      </c>
      <c r="K432" s="29">
        <f>IF(Dataset!H432&lt;1,0.2,IF(Dataset!H432&lt;1.3,0.45,IF(Dataset!H432&lt;1.8,0.7,0.9)))</f>
        <v>0.7</v>
      </c>
      <c r="L432" s="29">
        <f>IF(Dataset!H432&lt;1,1,IF(Dataset!H432&lt;1.3,2,IF(Dataset!H432&lt;1.8,3,4)))</f>
        <v>3</v>
      </c>
      <c r="M432" s="29">
        <f t="shared" si="51"/>
        <v>2.0999999999999996</v>
      </c>
      <c r="N432" s="29">
        <f>IF(Dataset!F432=1,0.75,IF(Dataset!F432=2,0.45,0.2))</f>
        <v>0.75</v>
      </c>
      <c r="O432" s="29">
        <f>IF(Dataset!F432=1,3,IF(Dataset!F432=2,2,1))</f>
        <v>3</v>
      </c>
      <c r="P432" s="29">
        <f t="shared" si="52"/>
        <v>2.25</v>
      </c>
      <c r="Q432" s="29">
        <f>IF(Dataset!K432&lt;5,0.2,IF(Dataset!K432&lt;10,0.45,IF(Dataset!K432&lt;18,0.7,0.9)))</f>
        <v>0.9</v>
      </c>
      <c r="R432" s="29">
        <f>IF(Dataset!K432&lt;5,1,IF(Dataset!K432&lt;10,2,IF(Dataset!K432&lt;18,3,4)))</f>
        <v>4</v>
      </c>
      <c r="S432" s="29">
        <f t="shared" si="53"/>
        <v>3.6</v>
      </c>
      <c r="T432" s="29">
        <f t="shared" si="54"/>
        <v>2.5410000000000004</v>
      </c>
      <c r="U432" s="29" t="str">
        <f t="shared" si="55"/>
        <v>High</v>
      </c>
    </row>
    <row r="433" spans="1:21" ht="15" customHeight="1" x14ac:dyDescent="0.25">
      <c r="A433" s="29">
        <f>Dataset!A433</f>
        <v>429</v>
      </c>
      <c r="B433" s="29">
        <f>IF(Dataset!B433&lt;25,0.3,IF(Dataset!B433&lt;75,0.5,IF(Dataset!B433&lt;120,0.65,0.8)))</f>
        <v>0.8</v>
      </c>
      <c r="C433" s="29">
        <f>IF(Dataset!B433&lt;25,1,IF(Dataset!B433&lt;75,2,IF(Dataset!B433&lt;120,3,4)))</f>
        <v>4</v>
      </c>
      <c r="D433" s="29">
        <f t="shared" si="48"/>
        <v>3.2</v>
      </c>
      <c r="E433" s="29">
        <f>IF(Dataset!C433&lt;=1,0.3,IF(Dataset!C433=2,0.4,IF(Dataset!C433=3,0.5,IF(Dataset!C433=4,0.65,0.8))))</f>
        <v>0.4</v>
      </c>
      <c r="F433" s="29">
        <f>IF(Dataset!C433&lt;=2,1,IF(Dataset!C433=3,2,IF(Dataset!C433=4,3,4)))</f>
        <v>1</v>
      </c>
      <c r="G433" s="29">
        <f t="shared" si="49"/>
        <v>0.4</v>
      </c>
      <c r="H433" s="29">
        <f>IF(Dataset!G433&lt;=3,0.25,IF(Dataset!G433&lt;=6,0.45,IF(Dataset!G433&lt;=9,0.65,0.85)))</f>
        <v>0.65</v>
      </c>
      <c r="I433" s="29">
        <f>IF(Dataset!G433&lt;=3,1,IF(Dataset!G433&lt;=6,2,IF(Dataset!G433&lt;=9,3,4)))</f>
        <v>3</v>
      </c>
      <c r="J433" s="29">
        <f t="shared" si="50"/>
        <v>1.9500000000000002</v>
      </c>
      <c r="K433" s="29">
        <f>IF(Dataset!H433&lt;1,0.2,IF(Dataset!H433&lt;1.3,0.45,IF(Dataset!H433&lt;1.8,0.7,0.9)))</f>
        <v>0.9</v>
      </c>
      <c r="L433" s="29">
        <f>IF(Dataset!H433&lt;1,1,IF(Dataset!H433&lt;1.3,2,IF(Dataset!H433&lt;1.8,3,4)))</f>
        <v>4</v>
      </c>
      <c r="M433" s="29">
        <f t="shared" si="51"/>
        <v>3.6</v>
      </c>
      <c r="N433" s="29">
        <f>IF(Dataset!F433=1,0.75,IF(Dataset!F433=2,0.45,0.2))</f>
        <v>0.75</v>
      </c>
      <c r="O433" s="29">
        <f>IF(Dataset!F433=1,3,IF(Dataset!F433=2,2,1))</f>
        <v>3</v>
      </c>
      <c r="P433" s="29">
        <f t="shared" si="52"/>
        <v>2.25</v>
      </c>
      <c r="Q433" s="29">
        <f>IF(Dataset!K433&lt;5,0.2,IF(Dataset!K433&lt;10,0.45,IF(Dataset!K433&lt;18,0.7,0.9)))</f>
        <v>0.2</v>
      </c>
      <c r="R433" s="29">
        <f>IF(Dataset!K433&lt;5,1,IF(Dataset!K433&lt;10,2,IF(Dataset!K433&lt;18,3,4)))</f>
        <v>1</v>
      </c>
      <c r="S433" s="29">
        <f t="shared" si="53"/>
        <v>0.2</v>
      </c>
      <c r="T433" s="29">
        <f t="shared" si="54"/>
        <v>2.1390000000000002</v>
      </c>
      <c r="U433" s="29" t="str">
        <f t="shared" si="55"/>
        <v>High</v>
      </c>
    </row>
    <row r="434" spans="1:21" ht="15" customHeight="1" x14ac:dyDescent="0.25">
      <c r="A434" s="29">
        <f>Dataset!A434</f>
        <v>430</v>
      </c>
      <c r="B434" s="29">
        <f>IF(Dataset!B434&lt;25,0.3,IF(Dataset!B434&lt;75,0.5,IF(Dataset!B434&lt;120,0.65,0.8)))</f>
        <v>0.65</v>
      </c>
      <c r="C434" s="29">
        <f>IF(Dataset!B434&lt;25,1,IF(Dataset!B434&lt;75,2,IF(Dataset!B434&lt;120,3,4)))</f>
        <v>3</v>
      </c>
      <c r="D434" s="29">
        <f t="shared" si="48"/>
        <v>1.9500000000000002</v>
      </c>
      <c r="E434" s="29">
        <f>IF(Dataset!C434&lt;=1,0.3,IF(Dataset!C434=2,0.4,IF(Dataset!C434=3,0.5,IF(Dataset!C434=4,0.65,0.8))))</f>
        <v>0.5</v>
      </c>
      <c r="F434" s="29">
        <f>IF(Dataset!C434&lt;=2,1,IF(Dataset!C434=3,2,IF(Dataset!C434=4,3,4)))</f>
        <v>2</v>
      </c>
      <c r="G434" s="29">
        <f t="shared" si="49"/>
        <v>1</v>
      </c>
      <c r="H434" s="29">
        <f>IF(Dataset!G434&lt;=3,0.25,IF(Dataset!G434&lt;=6,0.45,IF(Dataset!G434&lt;=9,0.65,0.85)))</f>
        <v>0.45</v>
      </c>
      <c r="I434" s="29">
        <f>IF(Dataset!G434&lt;=3,1,IF(Dataset!G434&lt;=6,2,IF(Dataset!G434&lt;=9,3,4)))</f>
        <v>2</v>
      </c>
      <c r="J434" s="29">
        <f t="shared" si="50"/>
        <v>0.9</v>
      </c>
      <c r="K434" s="29">
        <f>IF(Dataset!H434&lt;1,0.2,IF(Dataset!H434&lt;1.3,0.45,IF(Dataset!H434&lt;1.8,0.7,0.9)))</f>
        <v>0.7</v>
      </c>
      <c r="L434" s="29">
        <f>IF(Dataset!H434&lt;1,1,IF(Dataset!H434&lt;1.3,2,IF(Dataset!H434&lt;1.8,3,4)))</f>
        <v>3</v>
      </c>
      <c r="M434" s="29">
        <f t="shared" si="51"/>
        <v>2.0999999999999996</v>
      </c>
      <c r="N434" s="29">
        <f>IF(Dataset!F434=1,0.75,IF(Dataset!F434=2,0.45,0.2))</f>
        <v>0.2</v>
      </c>
      <c r="O434" s="29">
        <f>IF(Dataset!F434=1,3,IF(Dataset!F434=2,2,1))</f>
        <v>1</v>
      </c>
      <c r="P434" s="29">
        <f t="shared" si="52"/>
        <v>0.2</v>
      </c>
      <c r="Q434" s="29">
        <f>IF(Dataset!K434&lt;5,0.2,IF(Dataset!K434&lt;10,0.45,IF(Dataset!K434&lt;18,0.7,0.9)))</f>
        <v>0.45</v>
      </c>
      <c r="R434" s="29">
        <f>IF(Dataset!K434&lt;5,1,IF(Dataset!K434&lt;10,2,IF(Dataset!K434&lt;18,3,4)))</f>
        <v>2</v>
      </c>
      <c r="S434" s="29">
        <f t="shared" si="53"/>
        <v>0.9</v>
      </c>
      <c r="T434" s="29">
        <f t="shared" si="54"/>
        <v>1.321</v>
      </c>
      <c r="U434" s="29" t="str">
        <f t="shared" si="55"/>
        <v>Low</v>
      </c>
    </row>
    <row r="435" spans="1:21" ht="15" customHeight="1" x14ac:dyDescent="0.25">
      <c r="A435" s="29">
        <f>Dataset!A435</f>
        <v>431</v>
      </c>
      <c r="B435" s="29">
        <f>IF(Dataset!B435&lt;25,0.3,IF(Dataset!B435&lt;75,0.5,IF(Dataset!B435&lt;120,0.65,0.8)))</f>
        <v>0.65</v>
      </c>
      <c r="C435" s="29">
        <f>IF(Dataset!B435&lt;25,1,IF(Dataset!B435&lt;75,2,IF(Dataset!B435&lt;120,3,4)))</f>
        <v>3</v>
      </c>
      <c r="D435" s="29">
        <f t="shared" si="48"/>
        <v>1.9500000000000002</v>
      </c>
      <c r="E435" s="29">
        <f>IF(Dataset!C435&lt;=1,0.3,IF(Dataset!C435=2,0.4,IF(Dataset!C435=3,0.5,IF(Dataset!C435=4,0.65,0.8))))</f>
        <v>0.5</v>
      </c>
      <c r="F435" s="29">
        <f>IF(Dataset!C435&lt;=2,1,IF(Dataset!C435=3,2,IF(Dataset!C435=4,3,4)))</f>
        <v>2</v>
      </c>
      <c r="G435" s="29">
        <f t="shared" si="49"/>
        <v>1</v>
      </c>
      <c r="H435" s="29">
        <f>IF(Dataset!G435&lt;=3,0.25,IF(Dataset!G435&lt;=6,0.45,IF(Dataset!G435&lt;=9,0.65,0.85)))</f>
        <v>0.45</v>
      </c>
      <c r="I435" s="29">
        <f>IF(Dataset!G435&lt;=3,1,IF(Dataset!G435&lt;=6,2,IF(Dataset!G435&lt;=9,3,4)))</f>
        <v>2</v>
      </c>
      <c r="J435" s="29">
        <f t="shared" si="50"/>
        <v>0.9</v>
      </c>
      <c r="K435" s="29">
        <f>IF(Dataset!H435&lt;1,0.2,IF(Dataset!H435&lt;1.3,0.45,IF(Dataset!H435&lt;1.8,0.7,0.9)))</f>
        <v>0.45</v>
      </c>
      <c r="L435" s="29">
        <f>IF(Dataset!H435&lt;1,1,IF(Dataset!H435&lt;1.3,2,IF(Dataset!H435&lt;1.8,3,4)))</f>
        <v>2</v>
      </c>
      <c r="M435" s="29">
        <f t="shared" si="51"/>
        <v>0.9</v>
      </c>
      <c r="N435" s="29">
        <f>IF(Dataset!F435=1,0.75,IF(Dataset!F435=2,0.45,0.2))</f>
        <v>0.45</v>
      </c>
      <c r="O435" s="29">
        <f>IF(Dataset!F435=1,3,IF(Dataset!F435=2,2,1))</f>
        <v>2</v>
      </c>
      <c r="P435" s="29">
        <f t="shared" si="52"/>
        <v>0.9</v>
      </c>
      <c r="Q435" s="29">
        <f>IF(Dataset!K435&lt;5,0.2,IF(Dataset!K435&lt;10,0.45,IF(Dataset!K435&lt;18,0.7,0.9)))</f>
        <v>0.2</v>
      </c>
      <c r="R435" s="29">
        <f>IF(Dataset!K435&lt;5,1,IF(Dataset!K435&lt;10,2,IF(Dataset!K435&lt;18,3,4)))</f>
        <v>1</v>
      </c>
      <c r="S435" s="29">
        <f t="shared" si="53"/>
        <v>0.2</v>
      </c>
      <c r="T435" s="29">
        <f t="shared" si="54"/>
        <v>1.0049999999999999</v>
      </c>
      <c r="U435" s="29" t="str">
        <f t="shared" si="55"/>
        <v>Low</v>
      </c>
    </row>
    <row r="436" spans="1:21" ht="15" customHeight="1" x14ac:dyDescent="0.25">
      <c r="A436" s="29">
        <f>Dataset!A436</f>
        <v>432</v>
      </c>
      <c r="B436" s="29">
        <f>IF(Dataset!B436&lt;25,0.3,IF(Dataset!B436&lt;75,0.5,IF(Dataset!B436&lt;120,0.65,0.8)))</f>
        <v>0.3</v>
      </c>
      <c r="C436" s="29">
        <f>IF(Dataset!B436&lt;25,1,IF(Dataset!B436&lt;75,2,IF(Dataset!B436&lt;120,3,4)))</f>
        <v>1</v>
      </c>
      <c r="D436" s="29">
        <f t="shared" si="48"/>
        <v>0.3</v>
      </c>
      <c r="E436" s="29">
        <f>IF(Dataset!C436&lt;=1,0.3,IF(Dataset!C436=2,0.4,IF(Dataset!C436=3,0.5,IF(Dataset!C436=4,0.65,0.8))))</f>
        <v>0.5</v>
      </c>
      <c r="F436" s="29">
        <f>IF(Dataset!C436&lt;=2,1,IF(Dataset!C436=3,2,IF(Dataset!C436=4,3,4)))</f>
        <v>2</v>
      </c>
      <c r="G436" s="29">
        <f t="shared" si="49"/>
        <v>1</v>
      </c>
      <c r="H436" s="29">
        <f>IF(Dataset!G436&lt;=3,0.25,IF(Dataset!G436&lt;=6,0.45,IF(Dataset!G436&lt;=9,0.65,0.85)))</f>
        <v>0.45</v>
      </c>
      <c r="I436" s="29">
        <f>IF(Dataset!G436&lt;=3,1,IF(Dataset!G436&lt;=6,2,IF(Dataset!G436&lt;=9,3,4)))</f>
        <v>2</v>
      </c>
      <c r="J436" s="29">
        <f t="shared" si="50"/>
        <v>0.9</v>
      </c>
      <c r="K436" s="29">
        <f>IF(Dataset!H436&lt;1,0.2,IF(Dataset!H436&lt;1.3,0.45,IF(Dataset!H436&lt;1.8,0.7,0.9)))</f>
        <v>0.7</v>
      </c>
      <c r="L436" s="29">
        <f>IF(Dataset!H436&lt;1,1,IF(Dataset!H436&lt;1.3,2,IF(Dataset!H436&lt;1.8,3,4)))</f>
        <v>3</v>
      </c>
      <c r="M436" s="29">
        <f t="shared" si="51"/>
        <v>2.0999999999999996</v>
      </c>
      <c r="N436" s="29">
        <f>IF(Dataset!F436=1,0.75,IF(Dataset!F436=2,0.45,0.2))</f>
        <v>0.45</v>
      </c>
      <c r="O436" s="29">
        <f>IF(Dataset!F436=1,3,IF(Dataset!F436=2,2,1))</f>
        <v>2</v>
      </c>
      <c r="P436" s="29">
        <f t="shared" si="52"/>
        <v>0.9</v>
      </c>
      <c r="Q436" s="29">
        <f>IF(Dataset!K436&lt;5,0.2,IF(Dataset!K436&lt;10,0.45,IF(Dataset!K436&lt;18,0.7,0.9)))</f>
        <v>0.2</v>
      </c>
      <c r="R436" s="29">
        <f>IF(Dataset!K436&lt;5,1,IF(Dataset!K436&lt;10,2,IF(Dataset!K436&lt;18,3,4)))</f>
        <v>1</v>
      </c>
      <c r="S436" s="29">
        <f t="shared" si="53"/>
        <v>0.2</v>
      </c>
      <c r="T436" s="29">
        <f t="shared" si="54"/>
        <v>0.99599999999999989</v>
      </c>
      <c r="U436" s="29" t="str">
        <f t="shared" si="55"/>
        <v>Low</v>
      </c>
    </row>
    <row r="437" spans="1:21" ht="15" customHeight="1" x14ac:dyDescent="0.25">
      <c r="A437" s="29">
        <f>Dataset!A437</f>
        <v>433</v>
      </c>
      <c r="B437" s="29">
        <f>IF(Dataset!B437&lt;25,0.3,IF(Dataset!B437&lt;75,0.5,IF(Dataset!B437&lt;120,0.65,0.8)))</f>
        <v>0.5</v>
      </c>
      <c r="C437" s="29">
        <f>IF(Dataset!B437&lt;25,1,IF(Dataset!B437&lt;75,2,IF(Dataset!B437&lt;120,3,4)))</f>
        <v>2</v>
      </c>
      <c r="D437" s="29">
        <f t="shared" si="48"/>
        <v>1</v>
      </c>
      <c r="E437" s="29">
        <f>IF(Dataset!C437&lt;=1,0.3,IF(Dataset!C437=2,0.4,IF(Dataset!C437=3,0.5,IF(Dataset!C437=4,0.65,0.8))))</f>
        <v>0.8</v>
      </c>
      <c r="F437" s="29">
        <f>IF(Dataset!C437&lt;=2,1,IF(Dataset!C437=3,2,IF(Dataset!C437=4,3,4)))</f>
        <v>4</v>
      </c>
      <c r="G437" s="29">
        <f t="shared" si="49"/>
        <v>3.2</v>
      </c>
      <c r="H437" s="29">
        <f>IF(Dataset!G437&lt;=3,0.25,IF(Dataset!G437&lt;=6,0.45,IF(Dataset!G437&lt;=9,0.65,0.85)))</f>
        <v>0.45</v>
      </c>
      <c r="I437" s="29">
        <f>IF(Dataset!G437&lt;=3,1,IF(Dataset!G437&lt;=6,2,IF(Dataset!G437&lt;=9,3,4)))</f>
        <v>2</v>
      </c>
      <c r="J437" s="29">
        <f t="shared" si="50"/>
        <v>0.9</v>
      </c>
      <c r="K437" s="29">
        <f>IF(Dataset!H437&lt;1,0.2,IF(Dataset!H437&lt;1.3,0.45,IF(Dataset!H437&lt;1.8,0.7,0.9)))</f>
        <v>0.9</v>
      </c>
      <c r="L437" s="29">
        <f>IF(Dataset!H437&lt;1,1,IF(Dataset!H437&lt;1.3,2,IF(Dataset!H437&lt;1.8,3,4)))</f>
        <v>4</v>
      </c>
      <c r="M437" s="29">
        <f t="shared" si="51"/>
        <v>3.6</v>
      </c>
      <c r="N437" s="29">
        <f>IF(Dataset!F437=1,0.75,IF(Dataset!F437=2,0.45,0.2))</f>
        <v>0.2</v>
      </c>
      <c r="O437" s="29">
        <f>IF(Dataset!F437=1,3,IF(Dataset!F437=2,2,1))</f>
        <v>1</v>
      </c>
      <c r="P437" s="29">
        <f t="shared" si="52"/>
        <v>0.2</v>
      </c>
      <c r="Q437" s="29">
        <f>IF(Dataset!K437&lt;5,0.2,IF(Dataset!K437&lt;10,0.45,IF(Dataset!K437&lt;18,0.7,0.9)))</f>
        <v>0.9</v>
      </c>
      <c r="R437" s="29">
        <f>IF(Dataset!K437&lt;5,1,IF(Dataset!K437&lt;10,2,IF(Dataset!K437&lt;18,3,4)))</f>
        <v>4</v>
      </c>
      <c r="S437" s="29">
        <f t="shared" si="53"/>
        <v>3.6</v>
      </c>
      <c r="T437" s="29">
        <f t="shared" si="54"/>
        <v>2.1960000000000002</v>
      </c>
      <c r="U437" s="29" t="str">
        <f t="shared" si="55"/>
        <v>High</v>
      </c>
    </row>
    <row r="438" spans="1:21" ht="15" customHeight="1" x14ac:dyDescent="0.25">
      <c r="A438" s="29">
        <f>Dataset!A438</f>
        <v>434</v>
      </c>
      <c r="B438" s="29">
        <f>IF(Dataset!B438&lt;25,0.3,IF(Dataset!B438&lt;75,0.5,IF(Dataset!B438&lt;120,0.65,0.8)))</f>
        <v>0.5</v>
      </c>
      <c r="C438" s="29">
        <f>IF(Dataset!B438&lt;25,1,IF(Dataset!B438&lt;75,2,IF(Dataset!B438&lt;120,3,4)))</f>
        <v>2</v>
      </c>
      <c r="D438" s="29">
        <f t="shared" si="48"/>
        <v>1</v>
      </c>
      <c r="E438" s="29">
        <f>IF(Dataset!C438&lt;=1,0.3,IF(Dataset!C438=2,0.4,IF(Dataset!C438=3,0.5,IF(Dataset!C438=4,0.65,0.8))))</f>
        <v>0.4</v>
      </c>
      <c r="F438" s="29">
        <f>IF(Dataset!C438&lt;=2,1,IF(Dataset!C438=3,2,IF(Dataset!C438=4,3,4)))</f>
        <v>1</v>
      </c>
      <c r="G438" s="29">
        <f t="shared" si="49"/>
        <v>0.4</v>
      </c>
      <c r="H438" s="29">
        <f>IF(Dataset!G438&lt;=3,0.25,IF(Dataset!G438&lt;=6,0.45,IF(Dataset!G438&lt;=9,0.65,0.85)))</f>
        <v>0.65</v>
      </c>
      <c r="I438" s="29">
        <f>IF(Dataset!G438&lt;=3,1,IF(Dataset!G438&lt;=6,2,IF(Dataset!G438&lt;=9,3,4)))</f>
        <v>3</v>
      </c>
      <c r="J438" s="29">
        <f t="shared" si="50"/>
        <v>1.9500000000000002</v>
      </c>
      <c r="K438" s="29">
        <f>IF(Dataset!H438&lt;1,0.2,IF(Dataset!H438&lt;1.3,0.45,IF(Dataset!H438&lt;1.8,0.7,0.9)))</f>
        <v>0.2</v>
      </c>
      <c r="L438" s="29">
        <f>IF(Dataset!H438&lt;1,1,IF(Dataset!H438&lt;1.3,2,IF(Dataset!H438&lt;1.8,3,4)))</f>
        <v>1</v>
      </c>
      <c r="M438" s="29">
        <f t="shared" si="51"/>
        <v>0.2</v>
      </c>
      <c r="N438" s="29">
        <f>IF(Dataset!F438=1,0.75,IF(Dataset!F438=2,0.45,0.2))</f>
        <v>0.45</v>
      </c>
      <c r="O438" s="29">
        <f>IF(Dataset!F438=1,3,IF(Dataset!F438=2,2,1))</f>
        <v>2</v>
      </c>
      <c r="P438" s="29">
        <f t="shared" si="52"/>
        <v>0.9</v>
      </c>
      <c r="Q438" s="29">
        <f>IF(Dataset!K438&lt;5,0.2,IF(Dataset!K438&lt;10,0.45,IF(Dataset!K438&lt;18,0.7,0.9)))</f>
        <v>0.45</v>
      </c>
      <c r="R438" s="29">
        <f>IF(Dataset!K438&lt;5,1,IF(Dataset!K438&lt;10,2,IF(Dataset!K438&lt;18,3,4)))</f>
        <v>2</v>
      </c>
      <c r="S438" s="29">
        <f t="shared" si="53"/>
        <v>0.9</v>
      </c>
      <c r="T438" s="29">
        <f t="shared" si="54"/>
        <v>0.89000000000000012</v>
      </c>
      <c r="U438" s="29" t="str">
        <f t="shared" si="55"/>
        <v>Low</v>
      </c>
    </row>
    <row r="439" spans="1:21" ht="15" customHeight="1" x14ac:dyDescent="0.25">
      <c r="A439" s="29">
        <f>Dataset!A439</f>
        <v>435</v>
      </c>
      <c r="B439" s="29">
        <f>IF(Dataset!B439&lt;25,0.3,IF(Dataset!B439&lt;75,0.5,IF(Dataset!B439&lt;120,0.65,0.8)))</f>
        <v>0.3</v>
      </c>
      <c r="C439" s="29">
        <f>IF(Dataset!B439&lt;25,1,IF(Dataset!B439&lt;75,2,IF(Dataset!B439&lt;120,3,4)))</f>
        <v>1</v>
      </c>
      <c r="D439" s="29">
        <f t="shared" si="48"/>
        <v>0.3</v>
      </c>
      <c r="E439" s="29">
        <f>IF(Dataset!C439&lt;=1,0.3,IF(Dataset!C439=2,0.4,IF(Dataset!C439=3,0.5,IF(Dataset!C439=4,0.65,0.8))))</f>
        <v>0.8</v>
      </c>
      <c r="F439" s="29">
        <f>IF(Dataset!C439&lt;=2,1,IF(Dataset!C439=3,2,IF(Dataset!C439=4,3,4)))</f>
        <v>4</v>
      </c>
      <c r="G439" s="29">
        <f t="shared" si="49"/>
        <v>3.2</v>
      </c>
      <c r="H439" s="29">
        <f>IF(Dataset!G439&lt;=3,0.25,IF(Dataset!G439&lt;=6,0.45,IF(Dataset!G439&lt;=9,0.65,0.85)))</f>
        <v>0.45</v>
      </c>
      <c r="I439" s="29">
        <f>IF(Dataset!G439&lt;=3,1,IF(Dataset!G439&lt;=6,2,IF(Dataset!G439&lt;=9,3,4)))</f>
        <v>2</v>
      </c>
      <c r="J439" s="29">
        <f t="shared" si="50"/>
        <v>0.9</v>
      </c>
      <c r="K439" s="29">
        <f>IF(Dataset!H439&lt;1,0.2,IF(Dataset!H439&lt;1.3,0.45,IF(Dataset!H439&lt;1.8,0.7,0.9)))</f>
        <v>0.9</v>
      </c>
      <c r="L439" s="29">
        <f>IF(Dataset!H439&lt;1,1,IF(Dataset!H439&lt;1.3,2,IF(Dataset!H439&lt;1.8,3,4)))</f>
        <v>4</v>
      </c>
      <c r="M439" s="29">
        <f t="shared" si="51"/>
        <v>3.6</v>
      </c>
      <c r="N439" s="29">
        <f>IF(Dataset!F439=1,0.75,IF(Dataset!F439=2,0.45,0.2))</f>
        <v>0.45</v>
      </c>
      <c r="O439" s="29">
        <f>IF(Dataset!F439=1,3,IF(Dataset!F439=2,2,1))</f>
        <v>2</v>
      </c>
      <c r="P439" s="29">
        <f t="shared" si="52"/>
        <v>0.9</v>
      </c>
      <c r="Q439" s="29">
        <f>IF(Dataset!K439&lt;5,0.2,IF(Dataset!K439&lt;10,0.45,IF(Dataset!K439&lt;18,0.7,0.9)))</f>
        <v>0.7</v>
      </c>
      <c r="R439" s="29">
        <f>IF(Dataset!K439&lt;5,1,IF(Dataset!K439&lt;10,2,IF(Dataset!K439&lt;18,3,4)))</f>
        <v>3</v>
      </c>
      <c r="S439" s="29">
        <f t="shared" si="53"/>
        <v>2.0999999999999996</v>
      </c>
      <c r="T439" s="29">
        <f t="shared" si="54"/>
        <v>1.9300000000000004</v>
      </c>
      <c r="U439" s="29" t="str">
        <f t="shared" si="55"/>
        <v>High</v>
      </c>
    </row>
    <row r="440" spans="1:21" ht="15" customHeight="1" x14ac:dyDescent="0.25">
      <c r="A440" s="29">
        <f>Dataset!A440</f>
        <v>436</v>
      </c>
      <c r="B440" s="29">
        <f>IF(Dataset!B440&lt;25,0.3,IF(Dataset!B440&lt;75,0.5,IF(Dataset!B440&lt;120,0.65,0.8)))</f>
        <v>0.5</v>
      </c>
      <c r="C440" s="29">
        <f>IF(Dataset!B440&lt;25,1,IF(Dataset!B440&lt;75,2,IF(Dataset!B440&lt;120,3,4)))</f>
        <v>2</v>
      </c>
      <c r="D440" s="29">
        <f t="shared" si="48"/>
        <v>1</v>
      </c>
      <c r="E440" s="29">
        <f>IF(Dataset!C440&lt;=1,0.3,IF(Dataset!C440=2,0.4,IF(Dataset!C440=3,0.5,IF(Dataset!C440=4,0.65,0.8))))</f>
        <v>0.8</v>
      </c>
      <c r="F440" s="29">
        <f>IF(Dataset!C440&lt;=2,1,IF(Dataset!C440=3,2,IF(Dataset!C440=4,3,4)))</f>
        <v>4</v>
      </c>
      <c r="G440" s="29">
        <f t="shared" si="49"/>
        <v>3.2</v>
      </c>
      <c r="H440" s="29">
        <f>IF(Dataset!G440&lt;=3,0.25,IF(Dataset!G440&lt;=6,0.45,IF(Dataset!G440&lt;=9,0.65,0.85)))</f>
        <v>0.65</v>
      </c>
      <c r="I440" s="29">
        <f>IF(Dataset!G440&lt;=3,1,IF(Dataset!G440&lt;=6,2,IF(Dataset!G440&lt;=9,3,4)))</f>
        <v>3</v>
      </c>
      <c r="J440" s="29">
        <f t="shared" si="50"/>
        <v>1.9500000000000002</v>
      </c>
      <c r="K440" s="29">
        <f>IF(Dataset!H440&lt;1,0.2,IF(Dataset!H440&lt;1.3,0.45,IF(Dataset!H440&lt;1.8,0.7,0.9)))</f>
        <v>0.2</v>
      </c>
      <c r="L440" s="29">
        <f>IF(Dataset!H440&lt;1,1,IF(Dataset!H440&lt;1.3,2,IF(Dataset!H440&lt;1.8,3,4)))</f>
        <v>1</v>
      </c>
      <c r="M440" s="29">
        <f t="shared" si="51"/>
        <v>0.2</v>
      </c>
      <c r="N440" s="29">
        <f>IF(Dataset!F440=1,0.75,IF(Dataset!F440=2,0.45,0.2))</f>
        <v>0.45</v>
      </c>
      <c r="O440" s="29">
        <f>IF(Dataset!F440=1,3,IF(Dataset!F440=2,2,1))</f>
        <v>2</v>
      </c>
      <c r="P440" s="29">
        <f t="shared" si="52"/>
        <v>0.9</v>
      </c>
      <c r="Q440" s="29">
        <f>IF(Dataset!K440&lt;5,0.2,IF(Dataset!K440&lt;10,0.45,IF(Dataset!K440&lt;18,0.7,0.9)))</f>
        <v>0.7</v>
      </c>
      <c r="R440" s="29">
        <f>IF(Dataset!K440&lt;5,1,IF(Dataset!K440&lt;10,2,IF(Dataset!K440&lt;18,3,4)))</f>
        <v>3</v>
      </c>
      <c r="S440" s="29">
        <f t="shared" si="53"/>
        <v>2.0999999999999996</v>
      </c>
      <c r="T440" s="29">
        <f t="shared" si="54"/>
        <v>1.4500000000000004</v>
      </c>
      <c r="U440" s="29" t="str">
        <f t="shared" si="55"/>
        <v>Medium</v>
      </c>
    </row>
    <row r="441" spans="1:21" ht="15" customHeight="1" x14ac:dyDescent="0.25">
      <c r="A441" s="29">
        <f>Dataset!A441</f>
        <v>437</v>
      </c>
      <c r="B441" s="29">
        <f>IF(Dataset!B441&lt;25,0.3,IF(Dataset!B441&lt;75,0.5,IF(Dataset!B441&lt;120,0.65,0.8)))</f>
        <v>0.65</v>
      </c>
      <c r="C441" s="29">
        <f>IF(Dataset!B441&lt;25,1,IF(Dataset!B441&lt;75,2,IF(Dataset!B441&lt;120,3,4)))</f>
        <v>3</v>
      </c>
      <c r="D441" s="29">
        <f t="shared" si="48"/>
        <v>1.9500000000000002</v>
      </c>
      <c r="E441" s="29">
        <f>IF(Dataset!C441&lt;=1,0.3,IF(Dataset!C441=2,0.4,IF(Dataset!C441=3,0.5,IF(Dataset!C441=4,0.65,0.8))))</f>
        <v>0.65</v>
      </c>
      <c r="F441" s="29">
        <f>IF(Dataset!C441&lt;=2,1,IF(Dataset!C441=3,2,IF(Dataset!C441=4,3,4)))</f>
        <v>3</v>
      </c>
      <c r="G441" s="29">
        <f t="shared" si="49"/>
        <v>1.9500000000000002</v>
      </c>
      <c r="H441" s="29">
        <f>IF(Dataset!G441&lt;=3,0.25,IF(Dataset!G441&lt;=6,0.45,IF(Dataset!G441&lt;=9,0.65,0.85)))</f>
        <v>0.45</v>
      </c>
      <c r="I441" s="29">
        <f>IF(Dataset!G441&lt;=3,1,IF(Dataset!G441&lt;=6,2,IF(Dataset!G441&lt;=9,3,4)))</f>
        <v>2</v>
      </c>
      <c r="J441" s="29">
        <f t="shared" si="50"/>
        <v>0.9</v>
      </c>
      <c r="K441" s="29">
        <f>IF(Dataset!H441&lt;1,0.2,IF(Dataset!H441&lt;1.3,0.45,IF(Dataset!H441&lt;1.8,0.7,0.9)))</f>
        <v>0.9</v>
      </c>
      <c r="L441" s="29">
        <f>IF(Dataset!H441&lt;1,1,IF(Dataset!H441&lt;1.3,2,IF(Dataset!H441&lt;1.8,3,4)))</f>
        <v>4</v>
      </c>
      <c r="M441" s="29">
        <f t="shared" si="51"/>
        <v>3.6</v>
      </c>
      <c r="N441" s="29">
        <f>IF(Dataset!F441=1,0.75,IF(Dataset!F441=2,0.45,0.2))</f>
        <v>0.45</v>
      </c>
      <c r="O441" s="29">
        <f>IF(Dataset!F441=1,3,IF(Dataset!F441=2,2,1))</f>
        <v>2</v>
      </c>
      <c r="P441" s="29">
        <f t="shared" si="52"/>
        <v>0.9</v>
      </c>
      <c r="Q441" s="29">
        <f>IF(Dataset!K441&lt;5,0.2,IF(Dataset!K441&lt;10,0.45,IF(Dataset!K441&lt;18,0.7,0.9)))</f>
        <v>0.7</v>
      </c>
      <c r="R441" s="29">
        <f>IF(Dataset!K441&lt;5,1,IF(Dataset!K441&lt;10,2,IF(Dataset!K441&lt;18,3,4)))</f>
        <v>3</v>
      </c>
      <c r="S441" s="29">
        <f t="shared" si="53"/>
        <v>2.0999999999999996</v>
      </c>
      <c r="T441" s="29">
        <f t="shared" si="54"/>
        <v>2.052</v>
      </c>
      <c r="U441" s="29" t="str">
        <f t="shared" si="55"/>
        <v>High</v>
      </c>
    </row>
    <row r="442" spans="1:21" ht="15" customHeight="1" x14ac:dyDescent="0.25">
      <c r="A442" s="29">
        <f>Dataset!A442</f>
        <v>438</v>
      </c>
      <c r="B442" s="29">
        <f>IF(Dataset!B442&lt;25,0.3,IF(Dataset!B442&lt;75,0.5,IF(Dataset!B442&lt;120,0.65,0.8)))</f>
        <v>0.65</v>
      </c>
      <c r="C442" s="29">
        <f>IF(Dataset!B442&lt;25,1,IF(Dataset!B442&lt;75,2,IF(Dataset!B442&lt;120,3,4)))</f>
        <v>3</v>
      </c>
      <c r="D442" s="29">
        <f t="shared" si="48"/>
        <v>1.9500000000000002</v>
      </c>
      <c r="E442" s="29">
        <f>IF(Dataset!C442&lt;=1,0.3,IF(Dataset!C442=2,0.4,IF(Dataset!C442=3,0.5,IF(Dataset!C442=4,0.65,0.8))))</f>
        <v>0.5</v>
      </c>
      <c r="F442" s="29">
        <f>IF(Dataset!C442&lt;=2,1,IF(Dataset!C442=3,2,IF(Dataset!C442=4,3,4)))</f>
        <v>2</v>
      </c>
      <c r="G442" s="29">
        <f t="shared" si="49"/>
        <v>1</v>
      </c>
      <c r="H442" s="29">
        <f>IF(Dataset!G442&lt;=3,0.25,IF(Dataset!G442&lt;=6,0.45,IF(Dataset!G442&lt;=9,0.65,0.85)))</f>
        <v>0.25</v>
      </c>
      <c r="I442" s="29">
        <f>IF(Dataset!G442&lt;=3,1,IF(Dataset!G442&lt;=6,2,IF(Dataset!G442&lt;=9,3,4)))</f>
        <v>1</v>
      </c>
      <c r="J442" s="29">
        <f t="shared" si="50"/>
        <v>0.25</v>
      </c>
      <c r="K442" s="29">
        <f>IF(Dataset!H442&lt;1,0.2,IF(Dataset!H442&lt;1.3,0.45,IF(Dataset!H442&lt;1.8,0.7,0.9)))</f>
        <v>0.7</v>
      </c>
      <c r="L442" s="29">
        <f>IF(Dataset!H442&lt;1,1,IF(Dataset!H442&lt;1.3,2,IF(Dataset!H442&lt;1.8,3,4)))</f>
        <v>3</v>
      </c>
      <c r="M442" s="29">
        <f t="shared" si="51"/>
        <v>2.0999999999999996</v>
      </c>
      <c r="N442" s="29">
        <f>IF(Dataset!F442=1,0.75,IF(Dataset!F442=2,0.45,0.2))</f>
        <v>0.2</v>
      </c>
      <c r="O442" s="29">
        <f>IF(Dataset!F442=1,3,IF(Dataset!F442=2,2,1))</f>
        <v>1</v>
      </c>
      <c r="P442" s="29">
        <f t="shared" si="52"/>
        <v>0.2</v>
      </c>
      <c r="Q442" s="29">
        <f>IF(Dataset!K442&lt;5,0.2,IF(Dataset!K442&lt;10,0.45,IF(Dataset!K442&lt;18,0.7,0.9)))</f>
        <v>0.45</v>
      </c>
      <c r="R442" s="29">
        <f>IF(Dataset!K442&lt;5,1,IF(Dataset!K442&lt;10,2,IF(Dataset!K442&lt;18,3,4)))</f>
        <v>2</v>
      </c>
      <c r="S442" s="29">
        <f t="shared" si="53"/>
        <v>0.9</v>
      </c>
      <c r="T442" s="29">
        <f t="shared" si="54"/>
        <v>1.1910000000000001</v>
      </c>
      <c r="U442" s="29" t="str">
        <f t="shared" si="55"/>
        <v>Low</v>
      </c>
    </row>
    <row r="443" spans="1:21" ht="15" customHeight="1" x14ac:dyDescent="0.25">
      <c r="A443" s="29">
        <f>Dataset!A443</f>
        <v>439</v>
      </c>
      <c r="B443" s="29">
        <f>IF(Dataset!B443&lt;25,0.3,IF(Dataset!B443&lt;75,0.5,IF(Dataset!B443&lt;120,0.65,0.8)))</f>
        <v>0.3</v>
      </c>
      <c r="C443" s="29">
        <f>IF(Dataset!B443&lt;25,1,IF(Dataset!B443&lt;75,2,IF(Dataset!B443&lt;120,3,4)))</f>
        <v>1</v>
      </c>
      <c r="D443" s="29">
        <f t="shared" si="48"/>
        <v>0.3</v>
      </c>
      <c r="E443" s="29">
        <f>IF(Dataset!C443&lt;=1,0.3,IF(Dataset!C443=2,0.4,IF(Dataset!C443=3,0.5,IF(Dataset!C443=4,0.65,0.8))))</f>
        <v>0.5</v>
      </c>
      <c r="F443" s="29">
        <f>IF(Dataset!C443&lt;=2,1,IF(Dataset!C443=3,2,IF(Dataset!C443=4,3,4)))</f>
        <v>2</v>
      </c>
      <c r="G443" s="29">
        <f t="shared" si="49"/>
        <v>1</v>
      </c>
      <c r="H443" s="29">
        <f>IF(Dataset!G443&lt;=3,0.25,IF(Dataset!G443&lt;=6,0.45,IF(Dataset!G443&lt;=9,0.65,0.85)))</f>
        <v>0.45</v>
      </c>
      <c r="I443" s="29">
        <f>IF(Dataset!G443&lt;=3,1,IF(Dataset!G443&lt;=6,2,IF(Dataset!G443&lt;=9,3,4)))</f>
        <v>2</v>
      </c>
      <c r="J443" s="29">
        <f t="shared" si="50"/>
        <v>0.9</v>
      </c>
      <c r="K443" s="29">
        <f>IF(Dataset!H443&lt;1,0.2,IF(Dataset!H443&lt;1.3,0.45,IF(Dataset!H443&lt;1.8,0.7,0.9)))</f>
        <v>0.45</v>
      </c>
      <c r="L443" s="29">
        <f>IF(Dataset!H443&lt;1,1,IF(Dataset!H443&lt;1.3,2,IF(Dataset!H443&lt;1.8,3,4)))</f>
        <v>2</v>
      </c>
      <c r="M443" s="29">
        <f t="shared" si="51"/>
        <v>0.9</v>
      </c>
      <c r="N443" s="29">
        <f>IF(Dataset!F443=1,0.75,IF(Dataset!F443=2,0.45,0.2))</f>
        <v>0.45</v>
      </c>
      <c r="O443" s="29">
        <f>IF(Dataset!F443=1,3,IF(Dataset!F443=2,2,1))</f>
        <v>2</v>
      </c>
      <c r="P443" s="29">
        <f t="shared" si="52"/>
        <v>0.9</v>
      </c>
      <c r="Q443" s="29">
        <f>IF(Dataset!K443&lt;5,0.2,IF(Dataset!K443&lt;10,0.45,IF(Dataset!K443&lt;18,0.7,0.9)))</f>
        <v>0.45</v>
      </c>
      <c r="R443" s="29">
        <f>IF(Dataset!K443&lt;5,1,IF(Dataset!K443&lt;10,2,IF(Dataset!K443&lt;18,3,4)))</f>
        <v>2</v>
      </c>
      <c r="S443" s="29">
        <f t="shared" si="53"/>
        <v>0.9</v>
      </c>
      <c r="T443" s="29">
        <f t="shared" si="54"/>
        <v>0.80599999999999994</v>
      </c>
      <c r="U443" s="29" t="str">
        <f t="shared" si="55"/>
        <v>Low</v>
      </c>
    </row>
    <row r="444" spans="1:21" ht="15" customHeight="1" x14ac:dyDescent="0.25">
      <c r="A444" s="29">
        <f>Dataset!A444</f>
        <v>440</v>
      </c>
      <c r="B444" s="29">
        <f>IF(Dataset!B444&lt;25,0.3,IF(Dataset!B444&lt;75,0.5,IF(Dataset!B444&lt;120,0.65,0.8)))</f>
        <v>0.5</v>
      </c>
      <c r="C444" s="29">
        <f>IF(Dataset!B444&lt;25,1,IF(Dataset!B444&lt;75,2,IF(Dataset!B444&lt;120,3,4)))</f>
        <v>2</v>
      </c>
      <c r="D444" s="29">
        <f t="shared" si="48"/>
        <v>1</v>
      </c>
      <c r="E444" s="29">
        <f>IF(Dataset!C444&lt;=1,0.3,IF(Dataset!C444=2,0.4,IF(Dataset!C444=3,0.5,IF(Dataset!C444=4,0.65,0.8))))</f>
        <v>0.5</v>
      </c>
      <c r="F444" s="29">
        <f>IF(Dataset!C444&lt;=2,1,IF(Dataset!C444=3,2,IF(Dataset!C444=4,3,4)))</f>
        <v>2</v>
      </c>
      <c r="G444" s="29">
        <f t="shared" si="49"/>
        <v>1</v>
      </c>
      <c r="H444" s="29">
        <f>IF(Dataset!G444&lt;=3,0.25,IF(Dataset!G444&lt;=6,0.45,IF(Dataset!G444&lt;=9,0.65,0.85)))</f>
        <v>0.45</v>
      </c>
      <c r="I444" s="29">
        <f>IF(Dataset!G444&lt;=3,1,IF(Dataset!G444&lt;=6,2,IF(Dataset!G444&lt;=9,3,4)))</f>
        <v>2</v>
      </c>
      <c r="J444" s="29">
        <f t="shared" si="50"/>
        <v>0.9</v>
      </c>
      <c r="K444" s="29">
        <f>IF(Dataset!H444&lt;1,0.2,IF(Dataset!H444&lt;1.3,0.45,IF(Dataset!H444&lt;1.8,0.7,0.9)))</f>
        <v>0.9</v>
      </c>
      <c r="L444" s="29">
        <f>IF(Dataset!H444&lt;1,1,IF(Dataset!H444&lt;1.3,2,IF(Dataset!H444&lt;1.8,3,4)))</f>
        <v>4</v>
      </c>
      <c r="M444" s="29">
        <f t="shared" si="51"/>
        <v>3.6</v>
      </c>
      <c r="N444" s="29">
        <f>IF(Dataset!F444=1,0.75,IF(Dataset!F444=2,0.45,0.2))</f>
        <v>0.45</v>
      </c>
      <c r="O444" s="29">
        <f>IF(Dataset!F444=1,3,IF(Dataset!F444=2,2,1))</f>
        <v>2</v>
      </c>
      <c r="P444" s="29">
        <f t="shared" si="52"/>
        <v>0.9</v>
      </c>
      <c r="Q444" s="29">
        <f>IF(Dataset!K444&lt;5,0.2,IF(Dataset!K444&lt;10,0.45,IF(Dataset!K444&lt;18,0.7,0.9)))</f>
        <v>0.45</v>
      </c>
      <c r="R444" s="29">
        <f>IF(Dataset!K444&lt;5,1,IF(Dataset!K444&lt;10,2,IF(Dataset!K444&lt;18,3,4)))</f>
        <v>2</v>
      </c>
      <c r="S444" s="29">
        <f t="shared" si="53"/>
        <v>0.9</v>
      </c>
      <c r="T444" s="29">
        <f t="shared" si="54"/>
        <v>1.58</v>
      </c>
      <c r="U444" s="29" t="str">
        <f t="shared" si="55"/>
        <v>Medium</v>
      </c>
    </row>
    <row r="445" spans="1:21" ht="15" customHeight="1" x14ac:dyDescent="0.25">
      <c r="A445" s="29">
        <f>Dataset!A445</f>
        <v>441</v>
      </c>
      <c r="B445" s="29">
        <f>IF(Dataset!B445&lt;25,0.3,IF(Dataset!B445&lt;75,0.5,IF(Dataset!B445&lt;120,0.65,0.8)))</f>
        <v>0.5</v>
      </c>
      <c r="C445" s="29">
        <f>IF(Dataset!B445&lt;25,1,IF(Dataset!B445&lt;75,2,IF(Dataset!B445&lt;120,3,4)))</f>
        <v>2</v>
      </c>
      <c r="D445" s="29">
        <f t="shared" si="48"/>
        <v>1</v>
      </c>
      <c r="E445" s="29">
        <f>IF(Dataset!C445&lt;=1,0.3,IF(Dataset!C445=2,0.4,IF(Dataset!C445=3,0.5,IF(Dataset!C445=4,0.65,0.8))))</f>
        <v>0.65</v>
      </c>
      <c r="F445" s="29">
        <f>IF(Dataset!C445&lt;=2,1,IF(Dataset!C445=3,2,IF(Dataset!C445=4,3,4)))</f>
        <v>3</v>
      </c>
      <c r="G445" s="29">
        <f t="shared" si="49"/>
        <v>1.9500000000000002</v>
      </c>
      <c r="H445" s="29">
        <f>IF(Dataset!G445&lt;=3,0.25,IF(Dataset!G445&lt;=6,0.45,IF(Dataset!G445&lt;=9,0.65,0.85)))</f>
        <v>0.25</v>
      </c>
      <c r="I445" s="29">
        <f>IF(Dataset!G445&lt;=3,1,IF(Dataset!G445&lt;=6,2,IF(Dataset!G445&lt;=9,3,4)))</f>
        <v>1</v>
      </c>
      <c r="J445" s="29">
        <f t="shared" si="50"/>
        <v>0.25</v>
      </c>
      <c r="K445" s="29">
        <f>IF(Dataset!H445&lt;1,0.2,IF(Dataset!H445&lt;1.3,0.45,IF(Dataset!H445&lt;1.8,0.7,0.9)))</f>
        <v>0.7</v>
      </c>
      <c r="L445" s="29">
        <f>IF(Dataset!H445&lt;1,1,IF(Dataset!H445&lt;1.3,2,IF(Dataset!H445&lt;1.8,3,4)))</f>
        <v>3</v>
      </c>
      <c r="M445" s="29">
        <f t="shared" si="51"/>
        <v>2.0999999999999996</v>
      </c>
      <c r="N445" s="29">
        <f>IF(Dataset!F445=1,0.75,IF(Dataset!F445=2,0.45,0.2))</f>
        <v>0.45</v>
      </c>
      <c r="O445" s="29">
        <f>IF(Dataset!F445=1,3,IF(Dataset!F445=2,2,1))</f>
        <v>2</v>
      </c>
      <c r="P445" s="29">
        <f t="shared" si="52"/>
        <v>0.9</v>
      </c>
      <c r="Q445" s="29">
        <f>IF(Dataset!K445&lt;5,0.2,IF(Dataset!K445&lt;10,0.45,IF(Dataset!K445&lt;18,0.7,0.9)))</f>
        <v>0.7</v>
      </c>
      <c r="R445" s="29">
        <f>IF(Dataset!K445&lt;5,1,IF(Dataset!K445&lt;10,2,IF(Dataset!K445&lt;18,3,4)))</f>
        <v>3</v>
      </c>
      <c r="S445" s="29">
        <f t="shared" si="53"/>
        <v>2.0999999999999996</v>
      </c>
      <c r="T445" s="29">
        <f t="shared" si="54"/>
        <v>1.3910000000000002</v>
      </c>
      <c r="U445" s="29" t="str">
        <f t="shared" si="55"/>
        <v>Medium</v>
      </c>
    </row>
    <row r="446" spans="1:21" ht="15" customHeight="1" x14ac:dyDescent="0.25">
      <c r="A446" s="29">
        <f>Dataset!A446</f>
        <v>442</v>
      </c>
      <c r="B446" s="29">
        <f>IF(Dataset!B446&lt;25,0.3,IF(Dataset!B446&lt;75,0.5,IF(Dataset!B446&lt;120,0.65,0.8)))</f>
        <v>0.5</v>
      </c>
      <c r="C446" s="29">
        <f>IF(Dataset!B446&lt;25,1,IF(Dataset!B446&lt;75,2,IF(Dataset!B446&lt;120,3,4)))</f>
        <v>2</v>
      </c>
      <c r="D446" s="29">
        <f t="shared" si="48"/>
        <v>1</v>
      </c>
      <c r="E446" s="29">
        <f>IF(Dataset!C446&lt;=1,0.3,IF(Dataset!C446=2,0.4,IF(Dataset!C446=3,0.5,IF(Dataset!C446=4,0.65,0.8))))</f>
        <v>0.5</v>
      </c>
      <c r="F446" s="29">
        <f>IF(Dataset!C446&lt;=2,1,IF(Dataset!C446=3,2,IF(Dataset!C446=4,3,4)))</f>
        <v>2</v>
      </c>
      <c r="G446" s="29">
        <f t="shared" si="49"/>
        <v>1</v>
      </c>
      <c r="H446" s="29">
        <f>IF(Dataset!G446&lt;=3,0.25,IF(Dataset!G446&lt;=6,0.45,IF(Dataset!G446&lt;=9,0.65,0.85)))</f>
        <v>0.65</v>
      </c>
      <c r="I446" s="29">
        <f>IF(Dataset!G446&lt;=3,1,IF(Dataset!G446&lt;=6,2,IF(Dataset!G446&lt;=9,3,4)))</f>
        <v>3</v>
      </c>
      <c r="J446" s="29">
        <f t="shared" si="50"/>
        <v>1.9500000000000002</v>
      </c>
      <c r="K446" s="29">
        <f>IF(Dataset!H446&lt;1,0.2,IF(Dataset!H446&lt;1.3,0.45,IF(Dataset!H446&lt;1.8,0.7,0.9)))</f>
        <v>0.7</v>
      </c>
      <c r="L446" s="29">
        <f>IF(Dataset!H446&lt;1,1,IF(Dataset!H446&lt;1.3,2,IF(Dataset!H446&lt;1.8,3,4)))</f>
        <v>3</v>
      </c>
      <c r="M446" s="29">
        <f t="shared" si="51"/>
        <v>2.0999999999999996</v>
      </c>
      <c r="N446" s="29">
        <f>IF(Dataset!F446=1,0.75,IF(Dataset!F446=2,0.45,0.2))</f>
        <v>0.45</v>
      </c>
      <c r="O446" s="29">
        <f>IF(Dataset!F446=1,3,IF(Dataset!F446=2,2,1))</f>
        <v>2</v>
      </c>
      <c r="P446" s="29">
        <f t="shared" si="52"/>
        <v>0.9</v>
      </c>
      <c r="Q446" s="29">
        <f>IF(Dataset!K446&lt;5,0.2,IF(Dataset!K446&lt;10,0.45,IF(Dataset!K446&lt;18,0.7,0.9)))</f>
        <v>0.45</v>
      </c>
      <c r="R446" s="29">
        <f>IF(Dataset!K446&lt;5,1,IF(Dataset!K446&lt;10,2,IF(Dataset!K446&lt;18,3,4)))</f>
        <v>2</v>
      </c>
      <c r="S446" s="29">
        <f t="shared" si="53"/>
        <v>0.9</v>
      </c>
      <c r="T446" s="29">
        <f t="shared" si="54"/>
        <v>1.4300000000000002</v>
      </c>
      <c r="U446" s="29" t="str">
        <f t="shared" si="55"/>
        <v>Medium</v>
      </c>
    </row>
    <row r="447" spans="1:21" ht="15" customHeight="1" x14ac:dyDescent="0.25">
      <c r="A447" s="29">
        <f>Dataset!A447</f>
        <v>443</v>
      </c>
      <c r="B447" s="29">
        <f>IF(Dataset!B447&lt;25,0.3,IF(Dataset!B447&lt;75,0.5,IF(Dataset!B447&lt;120,0.65,0.8)))</f>
        <v>0.3</v>
      </c>
      <c r="C447" s="29">
        <f>IF(Dataset!B447&lt;25,1,IF(Dataset!B447&lt;75,2,IF(Dataset!B447&lt;120,3,4)))</f>
        <v>1</v>
      </c>
      <c r="D447" s="29">
        <f t="shared" si="48"/>
        <v>0.3</v>
      </c>
      <c r="E447" s="29">
        <f>IF(Dataset!C447&lt;=1,0.3,IF(Dataset!C447=2,0.4,IF(Dataset!C447=3,0.5,IF(Dataset!C447=4,0.65,0.8))))</f>
        <v>0.8</v>
      </c>
      <c r="F447" s="29">
        <f>IF(Dataset!C447&lt;=2,1,IF(Dataset!C447=3,2,IF(Dataset!C447=4,3,4)))</f>
        <v>4</v>
      </c>
      <c r="G447" s="29">
        <f t="shared" si="49"/>
        <v>3.2</v>
      </c>
      <c r="H447" s="29">
        <f>IF(Dataset!G447&lt;=3,0.25,IF(Dataset!G447&lt;=6,0.45,IF(Dataset!G447&lt;=9,0.65,0.85)))</f>
        <v>0.45</v>
      </c>
      <c r="I447" s="29">
        <f>IF(Dataset!G447&lt;=3,1,IF(Dataset!G447&lt;=6,2,IF(Dataset!G447&lt;=9,3,4)))</f>
        <v>2</v>
      </c>
      <c r="J447" s="29">
        <f t="shared" si="50"/>
        <v>0.9</v>
      </c>
      <c r="K447" s="29">
        <f>IF(Dataset!H447&lt;1,0.2,IF(Dataset!H447&lt;1.3,0.45,IF(Dataset!H447&lt;1.8,0.7,0.9)))</f>
        <v>0.7</v>
      </c>
      <c r="L447" s="29">
        <f>IF(Dataset!H447&lt;1,1,IF(Dataset!H447&lt;1.3,2,IF(Dataset!H447&lt;1.8,3,4)))</f>
        <v>3</v>
      </c>
      <c r="M447" s="29">
        <f t="shared" si="51"/>
        <v>2.0999999999999996</v>
      </c>
      <c r="N447" s="29">
        <f>IF(Dataset!F447=1,0.75,IF(Dataset!F447=2,0.45,0.2))</f>
        <v>0.2</v>
      </c>
      <c r="O447" s="29">
        <f>IF(Dataset!F447=1,3,IF(Dataset!F447=2,2,1))</f>
        <v>1</v>
      </c>
      <c r="P447" s="29">
        <f t="shared" si="52"/>
        <v>0.2</v>
      </c>
      <c r="Q447" s="29">
        <f>IF(Dataset!K447&lt;5,0.2,IF(Dataset!K447&lt;10,0.45,IF(Dataset!K447&lt;18,0.7,0.9)))</f>
        <v>0.7</v>
      </c>
      <c r="R447" s="29">
        <f>IF(Dataset!K447&lt;5,1,IF(Dataset!K447&lt;10,2,IF(Dataset!K447&lt;18,3,4)))</f>
        <v>3</v>
      </c>
      <c r="S447" s="29">
        <f t="shared" si="53"/>
        <v>2.0999999999999996</v>
      </c>
      <c r="T447" s="29">
        <f t="shared" si="54"/>
        <v>1.5</v>
      </c>
      <c r="U447" s="29" t="str">
        <f t="shared" si="55"/>
        <v>Medium</v>
      </c>
    </row>
    <row r="448" spans="1:21" ht="15" customHeight="1" x14ac:dyDescent="0.25">
      <c r="A448" s="29">
        <f>Dataset!A448</f>
        <v>444</v>
      </c>
      <c r="B448" s="29">
        <f>IF(Dataset!B448&lt;25,0.3,IF(Dataset!B448&lt;75,0.5,IF(Dataset!B448&lt;120,0.65,0.8)))</f>
        <v>0.3</v>
      </c>
      <c r="C448" s="29">
        <f>IF(Dataset!B448&lt;25,1,IF(Dataset!B448&lt;75,2,IF(Dataset!B448&lt;120,3,4)))</f>
        <v>1</v>
      </c>
      <c r="D448" s="29">
        <f t="shared" si="48"/>
        <v>0.3</v>
      </c>
      <c r="E448" s="29">
        <f>IF(Dataset!C448&lt;=1,0.3,IF(Dataset!C448=2,0.4,IF(Dataset!C448=3,0.5,IF(Dataset!C448=4,0.65,0.8))))</f>
        <v>0.65</v>
      </c>
      <c r="F448" s="29">
        <f>IF(Dataset!C448&lt;=2,1,IF(Dataset!C448=3,2,IF(Dataset!C448=4,3,4)))</f>
        <v>3</v>
      </c>
      <c r="G448" s="29">
        <f t="shared" si="49"/>
        <v>1.9500000000000002</v>
      </c>
      <c r="H448" s="29">
        <f>IF(Dataset!G448&lt;=3,0.25,IF(Dataset!G448&lt;=6,0.45,IF(Dataset!G448&lt;=9,0.65,0.85)))</f>
        <v>0.45</v>
      </c>
      <c r="I448" s="29">
        <f>IF(Dataset!G448&lt;=3,1,IF(Dataset!G448&lt;=6,2,IF(Dataset!G448&lt;=9,3,4)))</f>
        <v>2</v>
      </c>
      <c r="J448" s="29">
        <f t="shared" si="50"/>
        <v>0.9</v>
      </c>
      <c r="K448" s="29">
        <f>IF(Dataset!H448&lt;1,0.2,IF(Dataset!H448&lt;1.3,0.45,IF(Dataset!H448&lt;1.8,0.7,0.9)))</f>
        <v>0.7</v>
      </c>
      <c r="L448" s="29">
        <f>IF(Dataset!H448&lt;1,1,IF(Dataset!H448&lt;1.3,2,IF(Dataset!H448&lt;1.8,3,4)))</f>
        <v>3</v>
      </c>
      <c r="M448" s="29">
        <f t="shared" si="51"/>
        <v>2.0999999999999996</v>
      </c>
      <c r="N448" s="29">
        <f>IF(Dataset!F448=1,0.75,IF(Dataset!F448=2,0.45,0.2))</f>
        <v>0.75</v>
      </c>
      <c r="O448" s="29">
        <f>IF(Dataset!F448=1,3,IF(Dataset!F448=2,2,1))</f>
        <v>3</v>
      </c>
      <c r="P448" s="29">
        <f t="shared" si="52"/>
        <v>2.25</v>
      </c>
      <c r="Q448" s="29">
        <f>IF(Dataset!K448&lt;5,0.2,IF(Dataset!K448&lt;10,0.45,IF(Dataset!K448&lt;18,0.7,0.9)))</f>
        <v>0.7</v>
      </c>
      <c r="R448" s="29">
        <f>IF(Dataset!K448&lt;5,1,IF(Dataset!K448&lt;10,2,IF(Dataset!K448&lt;18,3,4)))</f>
        <v>3</v>
      </c>
      <c r="S448" s="29">
        <f t="shared" si="53"/>
        <v>2.0999999999999996</v>
      </c>
      <c r="T448" s="29">
        <f t="shared" si="54"/>
        <v>1.5300000000000002</v>
      </c>
      <c r="U448" s="29" t="str">
        <f t="shared" si="55"/>
        <v>Medium</v>
      </c>
    </row>
    <row r="449" spans="1:21" ht="15" customHeight="1" x14ac:dyDescent="0.25">
      <c r="A449" s="29">
        <f>Dataset!A449</f>
        <v>445</v>
      </c>
      <c r="B449" s="29">
        <f>IF(Dataset!B449&lt;25,0.3,IF(Dataset!B449&lt;75,0.5,IF(Dataset!B449&lt;120,0.65,0.8)))</f>
        <v>0.8</v>
      </c>
      <c r="C449" s="29">
        <f>IF(Dataset!B449&lt;25,1,IF(Dataset!B449&lt;75,2,IF(Dataset!B449&lt;120,3,4)))</f>
        <v>4</v>
      </c>
      <c r="D449" s="29">
        <f t="shared" si="48"/>
        <v>3.2</v>
      </c>
      <c r="E449" s="29">
        <f>IF(Dataset!C449&lt;=1,0.3,IF(Dataset!C449=2,0.4,IF(Dataset!C449=3,0.5,IF(Dataset!C449=4,0.65,0.8))))</f>
        <v>0.5</v>
      </c>
      <c r="F449" s="29">
        <f>IF(Dataset!C449&lt;=2,1,IF(Dataset!C449=3,2,IF(Dataset!C449=4,3,4)))</f>
        <v>2</v>
      </c>
      <c r="G449" s="29">
        <f t="shared" si="49"/>
        <v>1</v>
      </c>
      <c r="H449" s="29">
        <f>IF(Dataset!G449&lt;=3,0.25,IF(Dataset!G449&lt;=6,0.45,IF(Dataset!G449&lt;=9,0.65,0.85)))</f>
        <v>0.45</v>
      </c>
      <c r="I449" s="29">
        <f>IF(Dataset!G449&lt;=3,1,IF(Dataset!G449&lt;=6,2,IF(Dataset!G449&lt;=9,3,4)))</f>
        <v>2</v>
      </c>
      <c r="J449" s="29">
        <f t="shared" si="50"/>
        <v>0.9</v>
      </c>
      <c r="K449" s="29">
        <f>IF(Dataset!H449&lt;1,0.2,IF(Dataset!H449&lt;1.3,0.45,IF(Dataset!H449&lt;1.8,0.7,0.9)))</f>
        <v>0.2</v>
      </c>
      <c r="L449" s="29">
        <f>IF(Dataset!H449&lt;1,1,IF(Dataset!H449&lt;1.3,2,IF(Dataset!H449&lt;1.8,3,4)))</f>
        <v>1</v>
      </c>
      <c r="M449" s="29">
        <f t="shared" si="51"/>
        <v>0.2</v>
      </c>
      <c r="N449" s="29">
        <f>IF(Dataset!F449=1,0.75,IF(Dataset!F449=2,0.45,0.2))</f>
        <v>0.2</v>
      </c>
      <c r="O449" s="29">
        <f>IF(Dataset!F449=1,3,IF(Dataset!F449=2,2,1))</f>
        <v>1</v>
      </c>
      <c r="P449" s="29">
        <f t="shared" si="52"/>
        <v>0.2</v>
      </c>
      <c r="Q449" s="29">
        <f>IF(Dataset!K449&lt;5,0.2,IF(Dataset!K449&lt;10,0.45,IF(Dataset!K449&lt;18,0.7,0.9)))</f>
        <v>0.2</v>
      </c>
      <c r="R449" s="29">
        <f>IF(Dataset!K449&lt;5,1,IF(Dataset!K449&lt;10,2,IF(Dataset!K449&lt;18,3,4)))</f>
        <v>1</v>
      </c>
      <c r="S449" s="29">
        <f t="shared" si="53"/>
        <v>0.2</v>
      </c>
      <c r="T449" s="29">
        <f t="shared" si="54"/>
        <v>0.9920000000000001</v>
      </c>
      <c r="U449" s="29" t="str">
        <f t="shared" si="55"/>
        <v>Low</v>
      </c>
    </row>
    <row r="450" spans="1:21" ht="15" customHeight="1" x14ac:dyDescent="0.25">
      <c r="A450" s="29">
        <f>Dataset!A450</f>
        <v>446</v>
      </c>
      <c r="B450" s="29">
        <f>IF(Dataset!B450&lt;25,0.3,IF(Dataset!B450&lt;75,0.5,IF(Dataset!B450&lt;120,0.65,0.8)))</f>
        <v>0.5</v>
      </c>
      <c r="C450" s="29">
        <f>IF(Dataset!B450&lt;25,1,IF(Dataset!B450&lt;75,2,IF(Dataset!B450&lt;120,3,4)))</f>
        <v>2</v>
      </c>
      <c r="D450" s="29">
        <f t="shared" si="48"/>
        <v>1</v>
      </c>
      <c r="E450" s="29">
        <f>IF(Dataset!C450&lt;=1,0.3,IF(Dataset!C450=2,0.4,IF(Dataset!C450=3,0.5,IF(Dataset!C450=4,0.65,0.8))))</f>
        <v>0.65</v>
      </c>
      <c r="F450" s="29">
        <f>IF(Dataset!C450&lt;=2,1,IF(Dataset!C450=3,2,IF(Dataset!C450=4,3,4)))</f>
        <v>3</v>
      </c>
      <c r="G450" s="29">
        <f t="shared" si="49"/>
        <v>1.9500000000000002</v>
      </c>
      <c r="H450" s="29">
        <f>IF(Dataset!G450&lt;=3,0.25,IF(Dataset!G450&lt;=6,0.45,IF(Dataset!G450&lt;=9,0.65,0.85)))</f>
        <v>0.45</v>
      </c>
      <c r="I450" s="29">
        <f>IF(Dataset!G450&lt;=3,1,IF(Dataset!G450&lt;=6,2,IF(Dataset!G450&lt;=9,3,4)))</f>
        <v>2</v>
      </c>
      <c r="J450" s="29">
        <f t="shared" si="50"/>
        <v>0.9</v>
      </c>
      <c r="K450" s="29">
        <f>IF(Dataset!H450&lt;1,0.2,IF(Dataset!H450&lt;1.3,0.45,IF(Dataset!H450&lt;1.8,0.7,0.9)))</f>
        <v>0.9</v>
      </c>
      <c r="L450" s="29">
        <f>IF(Dataset!H450&lt;1,1,IF(Dataset!H450&lt;1.3,2,IF(Dataset!H450&lt;1.8,3,4)))</f>
        <v>4</v>
      </c>
      <c r="M450" s="29">
        <f t="shared" si="51"/>
        <v>3.6</v>
      </c>
      <c r="N450" s="29">
        <f>IF(Dataset!F450=1,0.75,IF(Dataset!F450=2,0.45,0.2))</f>
        <v>0.45</v>
      </c>
      <c r="O450" s="29">
        <f>IF(Dataset!F450=1,3,IF(Dataset!F450=2,2,1))</f>
        <v>2</v>
      </c>
      <c r="P450" s="29">
        <f t="shared" si="52"/>
        <v>0.9</v>
      </c>
      <c r="Q450" s="29">
        <f>IF(Dataset!K450&lt;5,0.2,IF(Dataset!K450&lt;10,0.45,IF(Dataset!K450&lt;18,0.7,0.9)))</f>
        <v>0.7</v>
      </c>
      <c r="R450" s="29">
        <f>IF(Dataset!K450&lt;5,1,IF(Dataset!K450&lt;10,2,IF(Dataset!K450&lt;18,3,4)))</f>
        <v>3</v>
      </c>
      <c r="S450" s="29">
        <f t="shared" si="53"/>
        <v>2.0999999999999996</v>
      </c>
      <c r="T450" s="29">
        <f t="shared" si="54"/>
        <v>1.8810000000000002</v>
      </c>
      <c r="U450" s="29" t="str">
        <f t="shared" si="55"/>
        <v>High</v>
      </c>
    </row>
    <row r="451" spans="1:21" ht="15" customHeight="1" x14ac:dyDescent="0.25">
      <c r="A451" s="29">
        <f>Dataset!A451</f>
        <v>447</v>
      </c>
      <c r="B451" s="29">
        <f>IF(Dataset!B451&lt;25,0.3,IF(Dataset!B451&lt;75,0.5,IF(Dataset!B451&lt;120,0.65,0.8)))</f>
        <v>0.5</v>
      </c>
      <c r="C451" s="29">
        <f>IF(Dataset!B451&lt;25,1,IF(Dataset!B451&lt;75,2,IF(Dataset!B451&lt;120,3,4)))</f>
        <v>2</v>
      </c>
      <c r="D451" s="29">
        <f t="shared" si="48"/>
        <v>1</v>
      </c>
      <c r="E451" s="29">
        <f>IF(Dataset!C451&lt;=1,0.3,IF(Dataset!C451=2,0.4,IF(Dataset!C451=3,0.5,IF(Dataset!C451=4,0.65,0.8))))</f>
        <v>0.5</v>
      </c>
      <c r="F451" s="29">
        <f>IF(Dataset!C451&lt;=2,1,IF(Dataset!C451=3,2,IF(Dataset!C451=4,3,4)))</f>
        <v>2</v>
      </c>
      <c r="G451" s="29">
        <f t="shared" si="49"/>
        <v>1</v>
      </c>
      <c r="H451" s="29">
        <f>IF(Dataset!G451&lt;=3,0.25,IF(Dataset!G451&lt;=6,0.45,IF(Dataset!G451&lt;=9,0.65,0.85)))</f>
        <v>0.45</v>
      </c>
      <c r="I451" s="29">
        <f>IF(Dataset!G451&lt;=3,1,IF(Dataset!G451&lt;=6,2,IF(Dataset!G451&lt;=9,3,4)))</f>
        <v>2</v>
      </c>
      <c r="J451" s="29">
        <f t="shared" si="50"/>
        <v>0.9</v>
      </c>
      <c r="K451" s="29">
        <f>IF(Dataset!H451&lt;1,0.2,IF(Dataset!H451&lt;1.3,0.45,IF(Dataset!H451&lt;1.8,0.7,0.9)))</f>
        <v>0.2</v>
      </c>
      <c r="L451" s="29">
        <f>IF(Dataset!H451&lt;1,1,IF(Dataset!H451&lt;1.3,2,IF(Dataset!H451&lt;1.8,3,4)))</f>
        <v>1</v>
      </c>
      <c r="M451" s="29">
        <f t="shared" si="51"/>
        <v>0.2</v>
      </c>
      <c r="N451" s="29">
        <f>IF(Dataset!F451=1,0.75,IF(Dataset!F451=2,0.45,0.2))</f>
        <v>0.75</v>
      </c>
      <c r="O451" s="29">
        <f>IF(Dataset!F451=1,3,IF(Dataset!F451=2,2,1))</f>
        <v>3</v>
      </c>
      <c r="P451" s="29">
        <f t="shared" si="52"/>
        <v>2.25</v>
      </c>
      <c r="Q451" s="29">
        <f>IF(Dataset!K451&lt;5,0.2,IF(Dataset!K451&lt;10,0.45,IF(Dataset!K451&lt;18,0.7,0.9)))</f>
        <v>0.2</v>
      </c>
      <c r="R451" s="29">
        <f>IF(Dataset!K451&lt;5,1,IF(Dataset!K451&lt;10,2,IF(Dataset!K451&lt;18,3,4)))</f>
        <v>1</v>
      </c>
      <c r="S451" s="29">
        <f t="shared" si="53"/>
        <v>0.2</v>
      </c>
      <c r="T451" s="29">
        <f t="shared" si="54"/>
        <v>0.80100000000000005</v>
      </c>
      <c r="U451" s="29" t="str">
        <f t="shared" si="55"/>
        <v>Low</v>
      </c>
    </row>
    <row r="452" spans="1:21" ht="15" customHeight="1" x14ac:dyDescent="0.25">
      <c r="A452" s="29">
        <f>Dataset!A452</f>
        <v>448</v>
      </c>
      <c r="B452" s="29">
        <f>IF(Dataset!B452&lt;25,0.3,IF(Dataset!B452&lt;75,0.5,IF(Dataset!B452&lt;120,0.65,0.8)))</f>
        <v>0.5</v>
      </c>
      <c r="C452" s="29">
        <f>IF(Dataset!B452&lt;25,1,IF(Dataset!B452&lt;75,2,IF(Dataset!B452&lt;120,3,4)))</f>
        <v>2</v>
      </c>
      <c r="D452" s="29">
        <f t="shared" si="48"/>
        <v>1</v>
      </c>
      <c r="E452" s="29">
        <f>IF(Dataset!C452&lt;=1,0.3,IF(Dataset!C452=2,0.4,IF(Dataset!C452=3,0.5,IF(Dataset!C452=4,0.65,0.8))))</f>
        <v>0.8</v>
      </c>
      <c r="F452" s="29">
        <f>IF(Dataset!C452&lt;=2,1,IF(Dataset!C452=3,2,IF(Dataset!C452=4,3,4)))</f>
        <v>4</v>
      </c>
      <c r="G452" s="29">
        <f t="shared" si="49"/>
        <v>3.2</v>
      </c>
      <c r="H452" s="29">
        <f>IF(Dataset!G452&lt;=3,0.25,IF(Dataset!G452&lt;=6,0.45,IF(Dataset!G452&lt;=9,0.65,0.85)))</f>
        <v>0.45</v>
      </c>
      <c r="I452" s="29">
        <f>IF(Dataset!G452&lt;=3,1,IF(Dataset!G452&lt;=6,2,IF(Dataset!G452&lt;=9,3,4)))</f>
        <v>2</v>
      </c>
      <c r="J452" s="29">
        <f t="shared" si="50"/>
        <v>0.9</v>
      </c>
      <c r="K452" s="29">
        <f>IF(Dataset!H452&lt;1,0.2,IF(Dataset!H452&lt;1.3,0.45,IF(Dataset!H452&lt;1.8,0.7,0.9)))</f>
        <v>0.9</v>
      </c>
      <c r="L452" s="29">
        <f>IF(Dataset!H452&lt;1,1,IF(Dataset!H452&lt;1.3,2,IF(Dataset!H452&lt;1.8,3,4)))</f>
        <v>4</v>
      </c>
      <c r="M452" s="29">
        <f t="shared" si="51"/>
        <v>3.6</v>
      </c>
      <c r="N452" s="29">
        <f>IF(Dataset!F452=1,0.75,IF(Dataset!F452=2,0.45,0.2))</f>
        <v>0.45</v>
      </c>
      <c r="O452" s="29">
        <f>IF(Dataset!F452=1,3,IF(Dataset!F452=2,2,1))</f>
        <v>2</v>
      </c>
      <c r="P452" s="29">
        <f t="shared" si="52"/>
        <v>0.9</v>
      </c>
      <c r="Q452" s="29">
        <f>IF(Dataset!K452&lt;5,0.2,IF(Dataset!K452&lt;10,0.45,IF(Dataset!K452&lt;18,0.7,0.9)))</f>
        <v>0.7</v>
      </c>
      <c r="R452" s="29">
        <f>IF(Dataset!K452&lt;5,1,IF(Dataset!K452&lt;10,2,IF(Dataset!K452&lt;18,3,4)))</f>
        <v>3</v>
      </c>
      <c r="S452" s="29">
        <f t="shared" si="53"/>
        <v>2.0999999999999996</v>
      </c>
      <c r="T452" s="29">
        <f t="shared" si="54"/>
        <v>2.056</v>
      </c>
      <c r="U452" s="29" t="str">
        <f t="shared" si="55"/>
        <v>High</v>
      </c>
    </row>
    <row r="453" spans="1:21" ht="15" customHeight="1" x14ac:dyDescent="0.25">
      <c r="A453" s="29">
        <f>Dataset!A453</f>
        <v>449</v>
      </c>
      <c r="B453" s="29">
        <f>IF(Dataset!B453&lt;25,0.3,IF(Dataset!B453&lt;75,0.5,IF(Dataset!B453&lt;120,0.65,0.8)))</f>
        <v>0.5</v>
      </c>
      <c r="C453" s="29">
        <f>IF(Dataset!B453&lt;25,1,IF(Dataset!B453&lt;75,2,IF(Dataset!B453&lt;120,3,4)))</f>
        <v>2</v>
      </c>
      <c r="D453" s="29">
        <f t="shared" ref="D453:D516" si="56">B453*C453</f>
        <v>1</v>
      </c>
      <c r="E453" s="29">
        <f>IF(Dataset!C453&lt;=1,0.3,IF(Dataset!C453=2,0.4,IF(Dataset!C453=3,0.5,IF(Dataset!C453=4,0.65,0.8))))</f>
        <v>0.4</v>
      </c>
      <c r="F453" s="29">
        <f>IF(Dataset!C453&lt;=2,1,IF(Dataset!C453=3,2,IF(Dataset!C453=4,3,4)))</f>
        <v>1</v>
      </c>
      <c r="G453" s="29">
        <f t="shared" ref="G453:G516" si="57">E453*F453</f>
        <v>0.4</v>
      </c>
      <c r="H453" s="29">
        <f>IF(Dataset!G453&lt;=3,0.25,IF(Dataset!G453&lt;=6,0.45,IF(Dataset!G453&lt;=9,0.65,0.85)))</f>
        <v>0.85</v>
      </c>
      <c r="I453" s="29">
        <f>IF(Dataset!G453&lt;=3,1,IF(Dataset!G453&lt;=6,2,IF(Dataset!G453&lt;=9,3,4)))</f>
        <v>4</v>
      </c>
      <c r="J453" s="29">
        <f t="shared" ref="J453:J516" si="58">H453*I453</f>
        <v>3.4</v>
      </c>
      <c r="K453" s="29">
        <f>IF(Dataset!H453&lt;1,0.2,IF(Dataset!H453&lt;1.3,0.45,IF(Dataset!H453&lt;1.8,0.7,0.9)))</f>
        <v>0.45</v>
      </c>
      <c r="L453" s="29">
        <f>IF(Dataset!H453&lt;1,1,IF(Dataset!H453&lt;1.3,2,IF(Dataset!H453&lt;1.8,3,4)))</f>
        <v>2</v>
      </c>
      <c r="M453" s="29">
        <f t="shared" ref="M453:M516" si="59">K453*L453</f>
        <v>0.9</v>
      </c>
      <c r="N453" s="29">
        <f>IF(Dataset!F453=1,0.75,IF(Dataset!F453=2,0.45,0.2))</f>
        <v>0.45</v>
      </c>
      <c r="O453" s="29">
        <f>IF(Dataset!F453=1,3,IF(Dataset!F453=2,2,1))</f>
        <v>2</v>
      </c>
      <c r="P453" s="29">
        <f t="shared" ref="P453:P516" si="60">N453*O453</f>
        <v>0.9</v>
      </c>
      <c r="Q453" s="29">
        <f>IF(Dataset!K453&lt;5,0.2,IF(Dataset!K453&lt;10,0.45,IF(Dataset!K453&lt;18,0.7,0.9)))</f>
        <v>0.45</v>
      </c>
      <c r="R453" s="29">
        <f>IF(Dataset!K453&lt;5,1,IF(Dataset!K453&lt;10,2,IF(Dataset!K453&lt;18,3,4)))</f>
        <v>2</v>
      </c>
      <c r="S453" s="29">
        <f t="shared" ref="S453:S516" si="61">Q453*R453</f>
        <v>0.9</v>
      </c>
      <c r="T453" s="29">
        <f t="shared" ref="T453:T516" si="62">$Y$6*D453+$Y$7*G453+$Y$8*J453+$Y$9*M453+$Y$10*P453+$Y$11*S453</f>
        <v>1.3480000000000003</v>
      </c>
      <c r="U453" s="29" t="str">
        <f t="shared" ref="U453:U516" si="63">IF(T453&lt;=$Y$15,"Low",IF(T453&lt;=$Y$16,"Medium","High"))</f>
        <v>Low</v>
      </c>
    </row>
    <row r="454" spans="1:21" ht="15" customHeight="1" x14ac:dyDescent="0.25">
      <c r="A454" s="29">
        <f>Dataset!A454</f>
        <v>450</v>
      </c>
      <c r="B454" s="29">
        <f>IF(Dataset!B454&lt;25,0.3,IF(Dataset!B454&lt;75,0.5,IF(Dataset!B454&lt;120,0.65,0.8)))</f>
        <v>0.65</v>
      </c>
      <c r="C454" s="29">
        <f>IF(Dataset!B454&lt;25,1,IF(Dataset!B454&lt;75,2,IF(Dataset!B454&lt;120,3,4)))</f>
        <v>3</v>
      </c>
      <c r="D454" s="29">
        <f t="shared" si="56"/>
        <v>1.9500000000000002</v>
      </c>
      <c r="E454" s="29">
        <f>IF(Dataset!C454&lt;=1,0.3,IF(Dataset!C454=2,0.4,IF(Dataset!C454=3,0.5,IF(Dataset!C454=4,0.65,0.8))))</f>
        <v>0.8</v>
      </c>
      <c r="F454" s="29">
        <f>IF(Dataset!C454&lt;=2,1,IF(Dataset!C454=3,2,IF(Dataset!C454=4,3,4)))</f>
        <v>4</v>
      </c>
      <c r="G454" s="29">
        <f t="shared" si="57"/>
        <v>3.2</v>
      </c>
      <c r="H454" s="29">
        <f>IF(Dataset!G454&lt;=3,0.25,IF(Dataset!G454&lt;=6,0.45,IF(Dataset!G454&lt;=9,0.65,0.85)))</f>
        <v>0.25</v>
      </c>
      <c r="I454" s="29">
        <f>IF(Dataset!G454&lt;=3,1,IF(Dataset!G454&lt;=6,2,IF(Dataset!G454&lt;=9,3,4)))</f>
        <v>1</v>
      </c>
      <c r="J454" s="29">
        <f t="shared" si="58"/>
        <v>0.25</v>
      </c>
      <c r="K454" s="29">
        <f>IF(Dataset!H454&lt;1,0.2,IF(Dataset!H454&lt;1.3,0.45,IF(Dataset!H454&lt;1.8,0.7,0.9)))</f>
        <v>0.7</v>
      </c>
      <c r="L454" s="29">
        <f>IF(Dataset!H454&lt;1,1,IF(Dataset!H454&lt;1.3,2,IF(Dataset!H454&lt;1.8,3,4)))</f>
        <v>3</v>
      </c>
      <c r="M454" s="29">
        <f t="shared" si="59"/>
        <v>2.0999999999999996</v>
      </c>
      <c r="N454" s="29">
        <f>IF(Dataset!F454=1,0.75,IF(Dataset!F454=2,0.45,0.2))</f>
        <v>0.45</v>
      </c>
      <c r="O454" s="29">
        <f>IF(Dataset!F454=1,3,IF(Dataset!F454=2,2,1))</f>
        <v>2</v>
      </c>
      <c r="P454" s="29">
        <f t="shared" si="60"/>
        <v>0.9</v>
      </c>
      <c r="Q454" s="29">
        <f>IF(Dataset!K454&lt;5,0.2,IF(Dataset!K454&lt;10,0.45,IF(Dataset!K454&lt;18,0.7,0.9)))</f>
        <v>0.9</v>
      </c>
      <c r="R454" s="29">
        <f>IF(Dataset!K454&lt;5,1,IF(Dataset!K454&lt;10,2,IF(Dataset!K454&lt;18,3,4)))</f>
        <v>4</v>
      </c>
      <c r="S454" s="29">
        <f t="shared" si="61"/>
        <v>3.6</v>
      </c>
      <c r="T454" s="29">
        <f t="shared" si="62"/>
        <v>1.9470000000000005</v>
      </c>
      <c r="U454" s="29" t="str">
        <f t="shared" si="63"/>
        <v>High</v>
      </c>
    </row>
    <row r="455" spans="1:21" ht="15" customHeight="1" x14ac:dyDescent="0.25">
      <c r="A455" s="29">
        <f>Dataset!A455</f>
        <v>451</v>
      </c>
      <c r="B455" s="29">
        <f>IF(Dataset!B455&lt;25,0.3,IF(Dataset!B455&lt;75,0.5,IF(Dataset!B455&lt;120,0.65,0.8)))</f>
        <v>0.65</v>
      </c>
      <c r="C455" s="29">
        <f>IF(Dataset!B455&lt;25,1,IF(Dataset!B455&lt;75,2,IF(Dataset!B455&lt;120,3,4)))</f>
        <v>3</v>
      </c>
      <c r="D455" s="29">
        <f t="shared" si="56"/>
        <v>1.9500000000000002</v>
      </c>
      <c r="E455" s="29">
        <f>IF(Dataset!C455&lt;=1,0.3,IF(Dataset!C455=2,0.4,IF(Dataset!C455=3,0.5,IF(Dataset!C455=4,0.65,0.8))))</f>
        <v>0.65</v>
      </c>
      <c r="F455" s="29">
        <f>IF(Dataset!C455&lt;=2,1,IF(Dataset!C455=3,2,IF(Dataset!C455=4,3,4)))</f>
        <v>3</v>
      </c>
      <c r="G455" s="29">
        <f t="shared" si="57"/>
        <v>1.9500000000000002</v>
      </c>
      <c r="H455" s="29">
        <f>IF(Dataset!G455&lt;=3,0.25,IF(Dataset!G455&lt;=6,0.45,IF(Dataset!G455&lt;=9,0.65,0.85)))</f>
        <v>0.65</v>
      </c>
      <c r="I455" s="29">
        <f>IF(Dataset!G455&lt;=3,1,IF(Dataset!G455&lt;=6,2,IF(Dataset!G455&lt;=9,3,4)))</f>
        <v>3</v>
      </c>
      <c r="J455" s="29">
        <f t="shared" si="58"/>
        <v>1.9500000000000002</v>
      </c>
      <c r="K455" s="29">
        <f>IF(Dataset!H455&lt;1,0.2,IF(Dataset!H455&lt;1.3,0.45,IF(Dataset!H455&lt;1.8,0.7,0.9)))</f>
        <v>0.45</v>
      </c>
      <c r="L455" s="29">
        <f>IF(Dataset!H455&lt;1,1,IF(Dataset!H455&lt;1.3,2,IF(Dataset!H455&lt;1.8,3,4)))</f>
        <v>2</v>
      </c>
      <c r="M455" s="29">
        <f t="shared" si="59"/>
        <v>0.9</v>
      </c>
      <c r="N455" s="29">
        <f>IF(Dataset!F455=1,0.75,IF(Dataset!F455=2,0.45,0.2))</f>
        <v>0.2</v>
      </c>
      <c r="O455" s="29">
        <f>IF(Dataset!F455=1,3,IF(Dataset!F455=2,2,1))</f>
        <v>1</v>
      </c>
      <c r="P455" s="29">
        <f t="shared" si="60"/>
        <v>0.2</v>
      </c>
      <c r="Q455" s="29">
        <f>IF(Dataset!K455&lt;5,0.2,IF(Dataset!K455&lt;10,0.45,IF(Dataset!K455&lt;18,0.7,0.9)))</f>
        <v>0.45</v>
      </c>
      <c r="R455" s="29">
        <f>IF(Dataset!K455&lt;5,1,IF(Dataset!K455&lt;10,2,IF(Dataset!K455&lt;18,3,4)))</f>
        <v>2</v>
      </c>
      <c r="S455" s="29">
        <f t="shared" si="61"/>
        <v>0.9</v>
      </c>
      <c r="T455" s="29">
        <f t="shared" si="62"/>
        <v>1.3760000000000003</v>
      </c>
      <c r="U455" s="29" t="str">
        <f t="shared" si="63"/>
        <v>Medium</v>
      </c>
    </row>
    <row r="456" spans="1:21" ht="15" customHeight="1" x14ac:dyDescent="0.25">
      <c r="A456" s="29">
        <f>Dataset!A456</f>
        <v>452</v>
      </c>
      <c r="B456" s="29">
        <f>IF(Dataset!B456&lt;25,0.3,IF(Dataset!B456&lt;75,0.5,IF(Dataset!B456&lt;120,0.65,0.8)))</f>
        <v>0.5</v>
      </c>
      <c r="C456" s="29">
        <f>IF(Dataset!B456&lt;25,1,IF(Dataset!B456&lt;75,2,IF(Dataset!B456&lt;120,3,4)))</f>
        <v>2</v>
      </c>
      <c r="D456" s="29">
        <f t="shared" si="56"/>
        <v>1</v>
      </c>
      <c r="E456" s="29">
        <f>IF(Dataset!C456&lt;=1,0.3,IF(Dataset!C456=2,0.4,IF(Dataset!C456=3,0.5,IF(Dataset!C456=4,0.65,0.8))))</f>
        <v>0.8</v>
      </c>
      <c r="F456" s="29">
        <f>IF(Dataset!C456&lt;=2,1,IF(Dataset!C456=3,2,IF(Dataset!C456=4,3,4)))</f>
        <v>4</v>
      </c>
      <c r="G456" s="29">
        <f t="shared" si="57"/>
        <v>3.2</v>
      </c>
      <c r="H456" s="29">
        <f>IF(Dataset!G456&lt;=3,0.25,IF(Dataset!G456&lt;=6,0.45,IF(Dataset!G456&lt;=9,0.65,0.85)))</f>
        <v>0.45</v>
      </c>
      <c r="I456" s="29">
        <f>IF(Dataset!G456&lt;=3,1,IF(Dataset!G456&lt;=6,2,IF(Dataset!G456&lt;=9,3,4)))</f>
        <v>2</v>
      </c>
      <c r="J456" s="29">
        <f t="shared" si="58"/>
        <v>0.9</v>
      </c>
      <c r="K456" s="29">
        <f>IF(Dataset!H456&lt;1,0.2,IF(Dataset!H456&lt;1.3,0.45,IF(Dataset!H456&lt;1.8,0.7,0.9)))</f>
        <v>0.7</v>
      </c>
      <c r="L456" s="29">
        <f>IF(Dataset!H456&lt;1,1,IF(Dataset!H456&lt;1.3,2,IF(Dataset!H456&lt;1.8,3,4)))</f>
        <v>3</v>
      </c>
      <c r="M456" s="29">
        <f t="shared" si="59"/>
        <v>2.0999999999999996</v>
      </c>
      <c r="N456" s="29">
        <f>IF(Dataset!F456=1,0.75,IF(Dataset!F456=2,0.45,0.2))</f>
        <v>0.45</v>
      </c>
      <c r="O456" s="29">
        <f>IF(Dataset!F456=1,3,IF(Dataset!F456=2,2,1))</f>
        <v>2</v>
      </c>
      <c r="P456" s="29">
        <f t="shared" si="60"/>
        <v>0.9</v>
      </c>
      <c r="Q456" s="29">
        <f>IF(Dataset!K456&lt;5,0.2,IF(Dataset!K456&lt;10,0.45,IF(Dataset!K456&lt;18,0.7,0.9)))</f>
        <v>0.9</v>
      </c>
      <c r="R456" s="29">
        <f>IF(Dataset!K456&lt;5,1,IF(Dataset!K456&lt;10,2,IF(Dataset!K456&lt;18,3,4)))</f>
        <v>4</v>
      </c>
      <c r="S456" s="29">
        <f t="shared" si="61"/>
        <v>3.6</v>
      </c>
      <c r="T456" s="29">
        <f t="shared" si="62"/>
        <v>1.9060000000000001</v>
      </c>
      <c r="U456" s="29" t="str">
        <f t="shared" si="63"/>
        <v>High</v>
      </c>
    </row>
    <row r="457" spans="1:21" ht="15" customHeight="1" x14ac:dyDescent="0.25">
      <c r="A457" s="29">
        <f>Dataset!A457</f>
        <v>453</v>
      </c>
      <c r="B457" s="29">
        <f>IF(Dataset!B457&lt;25,0.3,IF(Dataset!B457&lt;75,0.5,IF(Dataset!B457&lt;120,0.65,0.8)))</f>
        <v>0.5</v>
      </c>
      <c r="C457" s="29">
        <f>IF(Dataset!B457&lt;25,1,IF(Dataset!B457&lt;75,2,IF(Dataset!B457&lt;120,3,4)))</f>
        <v>2</v>
      </c>
      <c r="D457" s="29">
        <f t="shared" si="56"/>
        <v>1</v>
      </c>
      <c r="E457" s="29">
        <f>IF(Dataset!C457&lt;=1,0.3,IF(Dataset!C457=2,0.4,IF(Dataset!C457=3,0.5,IF(Dataset!C457=4,0.65,0.8))))</f>
        <v>0.5</v>
      </c>
      <c r="F457" s="29">
        <f>IF(Dataset!C457&lt;=2,1,IF(Dataset!C457=3,2,IF(Dataset!C457=4,3,4)))</f>
        <v>2</v>
      </c>
      <c r="G457" s="29">
        <f t="shared" si="57"/>
        <v>1</v>
      </c>
      <c r="H457" s="29">
        <f>IF(Dataset!G457&lt;=3,0.25,IF(Dataset!G457&lt;=6,0.45,IF(Dataset!G457&lt;=9,0.65,0.85)))</f>
        <v>0.45</v>
      </c>
      <c r="I457" s="29">
        <f>IF(Dataset!G457&lt;=3,1,IF(Dataset!G457&lt;=6,2,IF(Dataset!G457&lt;=9,3,4)))</f>
        <v>2</v>
      </c>
      <c r="J457" s="29">
        <f t="shared" si="58"/>
        <v>0.9</v>
      </c>
      <c r="K457" s="29">
        <f>IF(Dataset!H457&lt;1,0.2,IF(Dataset!H457&lt;1.3,0.45,IF(Dataset!H457&lt;1.8,0.7,0.9)))</f>
        <v>0.7</v>
      </c>
      <c r="L457" s="29">
        <f>IF(Dataset!H457&lt;1,1,IF(Dataset!H457&lt;1.3,2,IF(Dataset!H457&lt;1.8,3,4)))</f>
        <v>3</v>
      </c>
      <c r="M457" s="29">
        <f t="shared" si="59"/>
        <v>2.0999999999999996</v>
      </c>
      <c r="N457" s="29">
        <f>IF(Dataset!F457=1,0.75,IF(Dataset!F457=2,0.45,0.2))</f>
        <v>0.75</v>
      </c>
      <c r="O457" s="29">
        <f>IF(Dataset!F457=1,3,IF(Dataset!F457=2,2,1))</f>
        <v>3</v>
      </c>
      <c r="P457" s="29">
        <f t="shared" si="60"/>
        <v>2.25</v>
      </c>
      <c r="Q457" s="29">
        <f>IF(Dataset!K457&lt;5,0.2,IF(Dataset!K457&lt;10,0.45,IF(Dataset!K457&lt;18,0.7,0.9)))</f>
        <v>0.45</v>
      </c>
      <c r="R457" s="29">
        <f>IF(Dataset!K457&lt;5,1,IF(Dataset!K457&lt;10,2,IF(Dataset!K457&lt;18,3,4)))</f>
        <v>2</v>
      </c>
      <c r="S457" s="29">
        <f t="shared" si="61"/>
        <v>0.9</v>
      </c>
      <c r="T457" s="29">
        <f t="shared" si="62"/>
        <v>1.3550000000000002</v>
      </c>
      <c r="U457" s="29" t="str">
        <f t="shared" si="63"/>
        <v>Medium</v>
      </c>
    </row>
    <row r="458" spans="1:21" ht="15" customHeight="1" x14ac:dyDescent="0.25">
      <c r="A458" s="29">
        <f>Dataset!A458</f>
        <v>454</v>
      </c>
      <c r="B458" s="29">
        <f>IF(Dataset!B458&lt;25,0.3,IF(Dataset!B458&lt;75,0.5,IF(Dataset!B458&lt;120,0.65,0.8)))</f>
        <v>0.5</v>
      </c>
      <c r="C458" s="29">
        <f>IF(Dataset!B458&lt;25,1,IF(Dataset!B458&lt;75,2,IF(Dataset!B458&lt;120,3,4)))</f>
        <v>2</v>
      </c>
      <c r="D458" s="29">
        <f t="shared" si="56"/>
        <v>1</v>
      </c>
      <c r="E458" s="29">
        <f>IF(Dataset!C458&lt;=1,0.3,IF(Dataset!C458=2,0.4,IF(Dataset!C458=3,0.5,IF(Dataset!C458=4,0.65,0.8))))</f>
        <v>0.65</v>
      </c>
      <c r="F458" s="29">
        <f>IF(Dataset!C458&lt;=2,1,IF(Dataset!C458=3,2,IF(Dataset!C458=4,3,4)))</f>
        <v>3</v>
      </c>
      <c r="G458" s="29">
        <f t="shared" si="57"/>
        <v>1.9500000000000002</v>
      </c>
      <c r="H458" s="29">
        <f>IF(Dataset!G458&lt;=3,0.25,IF(Dataset!G458&lt;=6,0.45,IF(Dataset!G458&lt;=9,0.65,0.85)))</f>
        <v>0.65</v>
      </c>
      <c r="I458" s="29">
        <f>IF(Dataset!G458&lt;=3,1,IF(Dataset!G458&lt;=6,2,IF(Dataset!G458&lt;=9,3,4)))</f>
        <v>3</v>
      </c>
      <c r="J458" s="29">
        <f t="shared" si="58"/>
        <v>1.9500000000000002</v>
      </c>
      <c r="K458" s="29">
        <f>IF(Dataset!H458&lt;1,0.2,IF(Dataset!H458&lt;1.3,0.45,IF(Dataset!H458&lt;1.8,0.7,0.9)))</f>
        <v>0.9</v>
      </c>
      <c r="L458" s="29">
        <f>IF(Dataset!H458&lt;1,1,IF(Dataset!H458&lt;1.3,2,IF(Dataset!H458&lt;1.8,3,4)))</f>
        <v>4</v>
      </c>
      <c r="M458" s="29">
        <f t="shared" si="59"/>
        <v>3.6</v>
      </c>
      <c r="N458" s="29">
        <f>IF(Dataset!F458=1,0.75,IF(Dataset!F458=2,0.45,0.2))</f>
        <v>0.45</v>
      </c>
      <c r="O458" s="29">
        <f>IF(Dataset!F458=1,3,IF(Dataset!F458=2,2,1))</f>
        <v>2</v>
      </c>
      <c r="P458" s="29">
        <f t="shared" si="60"/>
        <v>0.9</v>
      </c>
      <c r="Q458" s="29">
        <f>IF(Dataset!K458&lt;5,0.2,IF(Dataset!K458&lt;10,0.45,IF(Dataset!K458&lt;18,0.7,0.9)))</f>
        <v>0.45</v>
      </c>
      <c r="R458" s="29">
        <f>IF(Dataset!K458&lt;5,1,IF(Dataset!K458&lt;10,2,IF(Dataset!K458&lt;18,3,4)))</f>
        <v>2</v>
      </c>
      <c r="S458" s="29">
        <f t="shared" si="61"/>
        <v>0.9</v>
      </c>
      <c r="T458" s="29">
        <f t="shared" si="62"/>
        <v>1.9230000000000005</v>
      </c>
      <c r="U458" s="29" t="str">
        <f t="shared" si="63"/>
        <v>High</v>
      </c>
    </row>
    <row r="459" spans="1:21" ht="15" customHeight="1" x14ac:dyDescent="0.25">
      <c r="A459" s="29">
        <f>Dataset!A459</f>
        <v>455</v>
      </c>
      <c r="B459" s="29">
        <f>IF(Dataset!B459&lt;25,0.3,IF(Dataset!B459&lt;75,0.5,IF(Dataset!B459&lt;120,0.65,0.8)))</f>
        <v>0.5</v>
      </c>
      <c r="C459" s="29">
        <f>IF(Dataset!B459&lt;25,1,IF(Dataset!B459&lt;75,2,IF(Dataset!B459&lt;120,3,4)))</f>
        <v>2</v>
      </c>
      <c r="D459" s="29">
        <f t="shared" si="56"/>
        <v>1</v>
      </c>
      <c r="E459" s="29">
        <f>IF(Dataset!C459&lt;=1,0.3,IF(Dataset!C459=2,0.4,IF(Dataset!C459=3,0.5,IF(Dataset!C459=4,0.65,0.8))))</f>
        <v>0.5</v>
      </c>
      <c r="F459" s="29">
        <f>IF(Dataset!C459&lt;=2,1,IF(Dataset!C459=3,2,IF(Dataset!C459=4,3,4)))</f>
        <v>2</v>
      </c>
      <c r="G459" s="29">
        <f t="shared" si="57"/>
        <v>1</v>
      </c>
      <c r="H459" s="29">
        <f>IF(Dataset!G459&lt;=3,0.25,IF(Dataset!G459&lt;=6,0.45,IF(Dataset!G459&lt;=9,0.65,0.85)))</f>
        <v>0.65</v>
      </c>
      <c r="I459" s="29">
        <f>IF(Dataset!G459&lt;=3,1,IF(Dataset!G459&lt;=6,2,IF(Dataset!G459&lt;=9,3,4)))</f>
        <v>3</v>
      </c>
      <c r="J459" s="29">
        <f t="shared" si="58"/>
        <v>1.9500000000000002</v>
      </c>
      <c r="K459" s="29">
        <f>IF(Dataset!H459&lt;1,0.2,IF(Dataset!H459&lt;1.3,0.45,IF(Dataset!H459&lt;1.8,0.7,0.9)))</f>
        <v>0.9</v>
      </c>
      <c r="L459" s="29">
        <f>IF(Dataset!H459&lt;1,1,IF(Dataset!H459&lt;1.3,2,IF(Dataset!H459&lt;1.8,3,4)))</f>
        <v>4</v>
      </c>
      <c r="M459" s="29">
        <f t="shared" si="59"/>
        <v>3.6</v>
      </c>
      <c r="N459" s="29">
        <f>IF(Dataset!F459=1,0.75,IF(Dataset!F459=2,0.45,0.2))</f>
        <v>0.45</v>
      </c>
      <c r="O459" s="29">
        <f>IF(Dataset!F459=1,3,IF(Dataset!F459=2,2,1))</f>
        <v>2</v>
      </c>
      <c r="P459" s="29">
        <f t="shared" si="60"/>
        <v>0.9</v>
      </c>
      <c r="Q459" s="29">
        <f>IF(Dataset!K459&lt;5,0.2,IF(Dataset!K459&lt;10,0.45,IF(Dataset!K459&lt;18,0.7,0.9)))</f>
        <v>0.45</v>
      </c>
      <c r="R459" s="29">
        <f>IF(Dataset!K459&lt;5,1,IF(Dataset!K459&lt;10,2,IF(Dataset!K459&lt;18,3,4)))</f>
        <v>2</v>
      </c>
      <c r="S459" s="29">
        <f t="shared" si="61"/>
        <v>0.9</v>
      </c>
      <c r="T459" s="29">
        <f t="shared" si="62"/>
        <v>1.7900000000000003</v>
      </c>
      <c r="U459" s="29" t="str">
        <f t="shared" si="63"/>
        <v>High</v>
      </c>
    </row>
    <row r="460" spans="1:21" ht="15" customHeight="1" x14ac:dyDescent="0.25">
      <c r="A460" s="29">
        <f>Dataset!A460</f>
        <v>456</v>
      </c>
      <c r="B460" s="29">
        <f>IF(Dataset!B460&lt;25,0.3,IF(Dataset!B460&lt;75,0.5,IF(Dataset!B460&lt;120,0.65,0.8)))</f>
        <v>0.5</v>
      </c>
      <c r="C460" s="29">
        <f>IF(Dataset!B460&lt;25,1,IF(Dataset!B460&lt;75,2,IF(Dataset!B460&lt;120,3,4)))</f>
        <v>2</v>
      </c>
      <c r="D460" s="29">
        <f t="shared" si="56"/>
        <v>1</v>
      </c>
      <c r="E460" s="29">
        <f>IF(Dataset!C460&lt;=1,0.3,IF(Dataset!C460=2,0.4,IF(Dataset!C460=3,0.5,IF(Dataset!C460=4,0.65,0.8))))</f>
        <v>0.65</v>
      </c>
      <c r="F460" s="29">
        <f>IF(Dataset!C460&lt;=2,1,IF(Dataset!C460=3,2,IF(Dataset!C460=4,3,4)))</f>
        <v>3</v>
      </c>
      <c r="G460" s="29">
        <f t="shared" si="57"/>
        <v>1.9500000000000002</v>
      </c>
      <c r="H460" s="29">
        <f>IF(Dataset!G460&lt;=3,0.25,IF(Dataset!G460&lt;=6,0.45,IF(Dataset!G460&lt;=9,0.65,0.85)))</f>
        <v>0.65</v>
      </c>
      <c r="I460" s="29">
        <f>IF(Dataset!G460&lt;=3,1,IF(Dataset!G460&lt;=6,2,IF(Dataset!G460&lt;=9,3,4)))</f>
        <v>3</v>
      </c>
      <c r="J460" s="29">
        <f t="shared" si="58"/>
        <v>1.9500000000000002</v>
      </c>
      <c r="K460" s="29">
        <f>IF(Dataset!H460&lt;1,0.2,IF(Dataset!H460&lt;1.3,0.45,IF(Dataset!H460&lt;1.8,0.7,0.9)))</f>
        <v>0.7</v>
      </c>
      <c r="L460" s="29">
        <f>IF(Dataset!H460&lt;1,1,IF(Dataset!H460&lt;1.3,2,IF(Dataset!H460&lt;1.8,3,4)))</f>
        <v>3</v>
      </c>
      <c r="M460" s="29">
        <f t="shared" si="59"/>
        <v>2.0999999999999996</v>
      </c>
      <c r="N460" s="29">
        <f>IF(Dataset!F460=1,0.75,IF(Dataset!F460=2,0.45,0.2))</f>
        <v>0.45</v>
      </c>
      <c r="O460" s="29">
        <f>IF(Dataset!F460=1,3,IF(Dataset!F460=2,2,1))</f>
        <v>2</v>
      </c>
      <c r="P460" s="29">
        <f t="shared" si="60"/>
        <v>0.9</v>
      </c>
      <c r="Q460" s="29">
        <f>IF(Dataset!K460&lt;5,0.2,IF(Dataset!K460&lt;10,0.45,IF(Dataset!K460&lt;18,0.7,0.9)))</f>
        <v>0.45</v>
      </c>
      <c r="R460" s="29">
        <f>IF(Dataset!K460&lt;5,1,IF(Dataset!K460&lt;10,2,IF(Dataset!K460&lt;18,3,4)))</f>
        <v>2</v>
      </c>
      <c r="S460" s="29">
        <f t="shared" si="61"/>
        <v>0.9</v>
      </c>
      <c r="T460" s="29">
        <f t="shared" si="62"/>
        <v>1.5630000000000002</v>
      </c>
      <c r="U460" s="29" t="str">
        <f t="shared" si="63"/>
        <v>Medium</v>
      </c>
    </row>
    <row r="461" spans="1:21" ht="15" customHeight="1" x14ac:dyDescent="0.25">
      <c r="A461" s="29">
        <f>Dataset!A461</f>
        <v>457</v>
      </c>
      <c r="B461" s="29">
        <f>IF(Dataset!B461&lt;25,0.3,IF(Dataset!B461&lt;75,0.5,IF(Dataset!B461&lt;120,0.65,0.8)))</f>
        <v>0.65</v>
      </c>
      <c r="C461" s="29">
        <f>IF(Dataset!B461&lt;25,1,IF(Dataset!B461&lt;75,2,IF(Dataset!B461&lt;120,3,4)))</f>
        <v>3</v>
      </c>
      <c r="D461" s="29">
        <f t="shared" si="56"/>
        <v>1.9500000000000002</v>
      </c>
      <c r="E461" s="29">
        <f>IF(Dataset!C461&lt;=1,0.3,IF(Dataset!C461=2,0.4,IF(Dataset!C461=3,0.5,IF(Dataset!C461=4,0.65,0.8))))</f>
        <v>0.4</v>
      </c>
      <c r="F461" s="29">
        <f>IF(Dataset!C461&lt;=2,1,IF(Dataset!C461=3,2,IF(Dataset!C461=4,3,4)))</f>
        <v>1</v>
      </c>
      <c r="G461" s="29">
        <f t="shared" si="57"/>
        <v>0.4</v>
      </c>
      <c r="H461" s="29">
        <f>IF(Dataset!G461&lt;=3,0.25,IF(Dataset!G461&lt;=6,0.45,IF(Dataset!G461&lt;=9,0.65,0.85)))</f>
        <v>0.45</v>
      </c>
      <c r="I461" s="29">
        <f>IF(Dataset!G461&lt;=3,1,IF(Dataset!G461&lt;=6,2,IF(Dataset!G461&lt;=9,3,4)))</f>
        <v>2</v>
      </c>
      <c r="J461" s="29">
        <f t="shared" si="58"/>
        <v>0.9</v>
      </c>
      <c r="K461" s="29">
        <f>IF(Dataset!H461&lt;1,0.2,IF(Dataset!H461&lt;1.3,0.45,IF(Dataset!H461&lt;1.8,0.7,0.9)))</f>
        <v>0.2</v>
      </c>
      <c r="L461" s="29">
        <f>IF(Dataset!H461&lt;1,1,IF(Dataset!H461&lt;1.3,2,IF(Dataset!H461&lt;1.8,3,4)))</f>
        <v>1</v>
      </c>
      <c r="M461" s="29">
        <f t="shared" si="59"/>
        <v>0.2</v>
      </c>
      <c r="N461" s="29">
        <f>IF(Dataset!F461=1,0.75,IF(Dataset!F461=2,0.45,0.2))</f>
        <v>0.2</v>
      </c>
      <c r="O461" s="29">
        <f>IF(Dataset!F461=1,3,IF(Dataset!F461=2,2,1))</f>
        <v>1</v>
      </c>
      <c r="P461" s="29">
        <f t="shared" si="60"/>
        <v>0.2</v>
      </c>
      <c r="Q461" s="29">
        <f>IF(Dataset!K461&lt;5,0.2,IF(Dataset!K461&lt;10,0.45,IF(Dataset!K461&lt;18,0.7,0.9)))</f>
        <v>0.45</v>
      </c>
      <c r="R461" s="29">
        <f>IF(Dataset!K461&lt;5,1,IF(Dataset!K461&lt;10,2,IF(Dataset!K461&lt;18,3,4)))</f>
        <v>2</v>
      </c>
      <c r="S461" s="29">
        <f t="shared" si="61"/>
        <v>0.9</v>
      </c>
      <c r="T461" s="29">
        <f t="shared" si="62"/>
        <v>0.78100000000000014</v>
      </c>
      <c r="U461" s="29" t="str">
        <f t="shared" si="63"/>
        <v>Low</v>
      </c>
    </row>
    <row r="462" spans="1:21" ht="15" customHeight="1" x14ac:dyDescent="0.25">
      <c r="A462" s="29">
        <f>Dataset!A462</f>
        <v>458</v>
      </c>
      <c r="B462" s="29">
        <f>IF(Dataset!B462&lt;25,0.3,IF(Dataset!B462&lt;75,0.5,IF(Dataset!B462&lt;120,0.65,0.8)))</f>
        <v>0.8</v>
      </c>
      <c r="C462" s="29">
        <f>IF(Dataset!B462&lt;25,1,IF(Dataset!B462&lt;75,2,IF(Dataset!B462&lt;120,3,4)))</f>
        <v>4</v>
      </c>
      <c r="D462" s="29">
        <f t="shared" si="56"/>
        <v>3.2</v>
      </c>
      <c r="E462" s="29">
        <f>IF(Dataset!C462&lt;=1,0.3,IF(Dataset!C462=2,0.4,IF(Dataset!C462=3,0.5,IF(Dataset!C462=4,0.65,0.8))))</f>
        <v>0.5</v>
      </c>
      <c r="F462" s="29">
        <f>IF(Dataset!C462&lt;=2,1,IF(Dataset!C462=3,2,IF(Dataset!C462=4,3,4)))</f>
        <v>2</v>
      </c>
      <c r="G462" s="29">
        <f t="shared" si="57"/>
        <v>1</v>
      </c>
      <c r="H462" s="29">
        <f>IF(Dataset!G462&lt;=3,0.25,IF(Dataset!G462&lt;=6,0.45,IF(Dataset!G462&lt;=9,0.65,0.85)))</f>
        <v>0.45</v>
      </c>
      <c r="I462" s="29">
        <f>IF(Dataset!G462&lt;=3,1,IF(Dataset!G462&lt;=6,2,IF(Dataset!G462&lt;=9,3,4)))</f>
        <v>2</v>
      </c>
      <c r="J462" s="29">
        <f t="shared" si="58"/>
        <v>0.9</v>
      </c>
      <c r="K462" s="29">
        <f>IF(Dataset!H462&lt;1,0.2,IF(Dataset!H462&lt;1.3,0.45,IF(Dataset!H462&lt;1.8,0.7,0.9)))</f>
        <v>0.9</v>
      </c>
      <c r="L462" s="29">
        <f>IF(Dataset!H462&lt;1,1,IF(Dataset!H462&lt;1.3,2,IF(Dataset!H462&lt;1.8,3,4)))</f>
        <v>4</v>
      </c>
      <c r="M462" s="29">
        <f t="shared" si="59"/>
        <v>3.6</v>
      </c>
      <c r="N462" s="29">
        <f>IF(Dataset!F462=1,0.75,IF(Dataset!F462=2,0.45,0.2))</f>
        <v>0.45</v>
      </c>
      <c r="O462" s="29">
        <f>IF(Dataset!F462=1,3,IF(Dataset!F462=2,2,1))</f>
        <v>2</v>
      </c>
      <c r="P462" s="29">
        <f t="shared" si="60"/>
        <v>0.9</v>
      </c>
      <c r="Q462" s="29">
        <f>IF(Dataset!K462&lt;5,0.2,IF(Dataset!K462&lt;10,0.45,IF(Dataset!K462&lt;18,0.7,0.9)))</f>
        <v>0.2</v>
      </c>
      <c r="R462" s="29">
        <f>IF(Dataset!K462&lt;5,1,IF(Dataset!K462&lt;10,2,IF(Dataset!K462&lt;18,3,4)))</f>
        <v>1</v>
      </c>
      <c r="S462" s="29">
        <f t="shared" si="61"/>
        <v>0.2</v>
      </c>
      <c r="T462" s="29">
        <f t="shared" si="62"/>
        <v>1.8780000000000001</v>
      </c>
      <c r="U462" s="29" t="str">
        <f t="shared" si="63"/>
        <v>High</v>
      </c>
    </row>
    <row r="463" spans="1:21" ht="15" customHeight="1" x14ac:dyDescent="0.25">
      <c r="A463" s="29">
        <f>Dataset!A463</f>
        <v>459</v>
      </c>
      <c r="B463" s="29">
        <f>IF(Dataset!B463&lt;25,0.3,IF(Dataset!B463&lt;75,0.5,IF(Dataset!B463&lt;120,0.65,0.8)))</f>
        <v>0.8</v>
      </c>
      <c r="C463" s="29">
        <f>IF(Dataset!B463&lt;25,1,IF(Dataset!B463&lt;75,2,IF(Dataset!B463&lt;120,3,4)))</f>
        <v>4</v>
      </c>
      <c r="D463" s="29">
        <f t="shared" si="56"/>
        <v>3.2</v>
      </c>
      <c r="E463" s="29">
        <f>IF(Dataset!C463&lt;=1,0.3,IF(Dataset!C463=2,0.4,IF(Dataset!C463=3,0.5,IF(Dataset!C463=4,0.65,0.8))))</f>
        <v>0.5</v>
      </c>
      <c r="F463" s="29">
        <f>IF(Dataset!C463&lt;=2,1,IF(Dataset!C463=3,2,IF(Dataset!C463=4,3,4)))</f>
        <v>2</v>
      </c>
      <c r="G463" s="29">
        <f t="shared" si="57"/>
        <v>1</v>
      </c>
      <c r="H463" s="29">
        <f>IF(Dataset!G463&lt;=3,0.25,IF(Dataset!G463&lt;=6,0.45,IF(Dataset!G463&lt;=9,0.65,0.85)))</f>
        <v>0.85</v>
      </c>
      <c r="I463" s="29">
        <f>IF(Dataset!G463&lt;=3,1,IF(Dataset!G463&lt;=6,2,IF(Dataset!G463&lt;=9,3,4)))</f>
        <v>4</v>
      </c>
      <c r="J463" s="29">
        <f t="shared" si="58"/>
        <v>3.4</v>
      </c>
      <c r="K463" s="29">
        <f>IF(Dataset!H463&lt;1,0.2,IF(Dataset!H463&lt;1.3,0.45,IF(Dataset!H463&lt;1.8,0.7,0.9)))</f>
        <v>0.9</v>
      </c>
      <c r="L463" s="29">
        <f>IF(Dataset!H463&lt;1,1,IF(Dataset!H463&lt;1.3,2,IF(Dataset!H463&lt;1.8,3,4)))</f>
        <v>4</v>
      </c>
      <c r="M463" s="29">
        <f t="shared" si="59"/>
        <v>3.6</v>
      </c>
      <c r="N463" s="29">
        <f>IF(Dataset!F463=1,0.75,IF(Dataset!F463=2,0.45,0.2))</f>
        <v>0.75</v>
      </c>
      <c r="O463" s="29">
        <f>IF(Dataset!F463=1,3,IF(Dataset!F463=2,2,1))</f>
        <v>3</v>
      </c>
      <c r="P463" s="29">
        <f t="shared" si="60"/>
        <v>2.25</v>
      </c>
      <c r="Q463" s="29">
        <f>IF(Dataset!K463&lt;5,0.2,IF(Dataset!K463&lt;10,0.45,IF(Dataset!K463&lt;18,0.7,0.9)))</f>
        <v>0.45</v>
      </c>
      <c r="R463" s="29">
        <f>IF(Dataset!K463&lt;5,1,IF(Dataset!K463&lt;10,2,IF(Dataset!K463&lt;18,3,4)))</f>
        <v>2</v>
      </c>
      <c r="S463" s="29">
        <f t="shared" si="61"/>
        <v>0.9</v>
      </c>
      <c r="T463" s="29">
        <f t="shared" si="62"/>
        <v>2.6109999999999998</v>
      </c>
      <c r="U463" s="29" t="str">
        <f t="shared" si="63"/>
        <v>High</v>
      </c>
    </row>
    <row r="464" spans="1:21" ht="15" customHeight="1" x14ac:dyDescent="0.25">
      <c r="A464" s="29">
        <f>Dataset!A464</f>
        <v>460</v>
      </c>
      <c r="B464" s="29">
        <f>IF(Dataset!B464&lt;25,0.3,IF(Dataset!B464&lt;75,0.5,IF(Dataset!B464&lt;120,0.65,0.8)))</f>
        <v>0.8</v>
      </c>
      <c r="C464" s="29">
        <f>IF(Dataset!B464&lt;25,1,IF(Dataset!B464&lt;75,2,IF(Dataset!B464&lt;120,3,4)))</f>
        <v>4</v>
      </c>
      <c r="D464" s="29">
        <f t="shared" si="56"/>
        <v>3.2</v>
      </c>
      <c r="E464" s="29">
        <f>IF(Dataset!C464&lt;=1,0.3,IF(Dataset!C464=2,0.4,IF(Dataset!C464=3,0.5,IF(Dataset!C464=4,0.65,0.8))))</f>
        <v>0.5</v>
      </c>
      <c r="F464" s="29">
        <f>IF(Dataset!C464&lt;=2,1,IF(Dataset!C464=3,2,IF(Dataset!C464=4,3,4)))</f>
        <v>2</v>
      </c>
      <c r="G464" s="29">
        <f t="shared" si="57"/>
        <v>1</v>
      </c>
      <c r="H464" s="29">
        <f>IF(Dataset!G464&lt;=3,0.25,IF(Dataset!G464&lt;=6,0.45,IF(Dataset!G464&lt;=9,0.65,0.85)))</f>
        <v>0.45</v>
      </c>
      <c r="I464" s="29">
        <f>IF(Dataset!G464&lt;=3,1,IF(Dataset!G464&lt;=6,2,IF(Dataset!G464&lt;=9,3,4)))</f>
        <v>2</v>
      </c>
      <c r="J464" s="29">
        <f t="shared" si="58"/>
        <v>0.9</v>
      </c>
      <c r="K464" s="29">
        <f>IF(Dataset!H464&lt;1,0.2,IF(Dataset!H464&lt;1.3,0.45,IF(Dataset!H464&lt;1.8,0.7,0.9)))</f>
        <v>0.45</v>
      </c>
      <c r="L464" s="29">
        <f>IF(Dataset!H464&lt;1,1,IF(Dataset!H464&lt;1.3,2,IF(Dataset!H464&lt;1.8,3,4)))</f>
        <v>2</v>
      </c>
      <c r="M464" s="29">
        <f t="shared" si="59"/>
        <v>0.9</v>
      </c>
      <c r="N464" s="29">
        <f>IF(Dataset!F464=1,0.75,IF(Dataset!F464=2,0.45,0.2))</f>
        <v>0.45</v>
      </c>
      <c r="O464" s="29">
        <f>IF(Dataset!F464=1,3,IF(Dataset!F464=2,2,1))</f>
        <v>2</v>
      </c>
      <c r="P464" s="29">
        <f t="shared" si="60"/>
        <v>0.9</v>
      </c>
      <c r="Q464" s="29">
        <f>IF(Dataset!K464&lt;5,0.2,IF(Dataset!K464&lt;10,0.45,IF(Dataset!K464&lt;18,0.7,0.9)))</f>
        <v>0.2</v>
      </c>
      <c r="R464" s="29">
        <f>IF(Dataset!K464&lt;5,1,IF(Dataset!K464&lt;10,2,IF(Dataset!K464&lt;18,3,4)))</f>
        <v>1</v>
      </c>
      <c r="S464" s="29">
        <f t="shared" si="61"/>
        <v>0.2</v>
      </c>
      <c r="T464" s="29">
        <f t="shared" si="62"/>
        <v>1.2300000000000002</v>
      </c>
      <c r="U464" s="29" t="str">
        <f t="shared" si="63"/>
        <v>Low</v>
      </c>
    </row>
    <row r="465" spans="1:21" ht="15" customHeight="1" x14ac:dyDescent="0.25">
      <c r="A465" s="29">
        <f>Dataset!A465</f>
        <v>461</v>
      </c>
      <c r="B465" s="29">
        <f>IF(Dataset!B465&lt;25,0.3,IF(Dataset!B465&lt;75,0.5,IF(Dataset!B465&lt;120,0.65,0.8)))</f>
        <v>0.5</v>
      </c>
      <c r="C465" s="29">
        <f>IF(Dataset!B465&lt;25,1,IF(Dataset!B465&lt;75,2,IF(Dataset!B465&lt;120,3,4)))</f>
        <v>2</v>
      </c>
      <c r="D465" s="29">
        <f t="shared" si="56"/>
        <v>1</v>
      </c>
      <c r="E465" s="29">
        <f>IF(Dataset!C465&lt;=1,0.3,IF(Dataset!C465=2,0.4,IF(Dataset!C465=3,0.5,IF(Dataset!C465=4,0.65,0.8))))</f>
        <v>0.5</v>
      </c>
      <c r="F465" s="29">
        <f>IF(Dataset!C465&lt;=2,1,IF(Dataset!C465=3,2,IF(Dataset!C465=4,3,4)))</f>
        <v>2</v>
      </c>
      <c r="G465" s="29">
        <f t="shared" si="57"/>
        <v>1</v>
      </c>
      <c r="H465" s="29">
        <f>IF(Dataset!G465&lt;=3,0.25,IF(Dataset!G465&lt;=6,0.45,IF(Dataset!G465&lt;=9,0.65,0.85)))</f>
        <v>0.45</v>
      </c>
      <c r="I465" s="29">
        <f>IF(Dataset!G465&lt;=3,1,IF(Dataset!G465&lt;=6,2,IF(Dataset!G465&lt;=9,3,4)))</f>
        <v>2</v>
      </c>
      <c r="J465" s="29">
        <f t="shared" si="58"/>
        <v>0.9</v>
      </c>
      <c r="K465" s="29">
        <f>IF(Dataset!H465&lt;1,0.2,IF(Dataset!H465&lt;1.3,0.45,IF(Dataset!H465&lt;1.8,0.7,0.9)))</f>
        <v>0.2</v>
      </c>
      <c r="L465" s="29">
        <f>IF(Dataset!H465&lt;1,1,IF(Dataset!H465&lt;1.3,2,IF(Dataset!H465&lt;1.8,3,4)))</f>
        <v>1</v>
      </c>
      <c r="M465" s="29">
        <f t="shared" si="59"/>
        <v>0.2</v>
      </c>
      <c r="N465" s="29">
        <f>IF(Dataset!F465=1,0.75,IF(Dataset!F465=2,0.45,0.2))</f>
        <v>0.75</v>
      </c>
      <c r="O465" s="29">
        <f>IF(Dataset!F465=1,3,IF(Dataset!F465=2,2,1))</f>
        <v>3</v>
      </c>
      <c r="P465" s="29">
        <f t="shared" si="60"/>
        <v>2.25</v>
      </c>
      <c r="Q465" s="29">
        <f>IF(Dataset!K465&lt;5,0.2,IF(Dataset!K465&lt;10,0.45,IF(Dataset!K465&lt;18,0.7,0.9)))</f>
        <v>0.45</v>
      </c>
      <c r="R465" s="29">
        <f>IF(Dataset!K465&lt;5,1,IF(Dataset!K465&lt;10,2,IF(Dataset!K465&lt;18,3,4)))</f>
        <v>2</v>
      </c>
      <c r="S465" s="29">
        <f t="shared" si="61"/>
        <v>0.9</v>
      </c>
      <c r="T465" s="29">
        <f t="shared" si="62"/>
        <v>0.89900000000000002</v>
      </c>
      <c r="U465" s="29" t="str">
        <f t="shared" si="63"/>
        <v>Low</v>
      </c>
    </row>
    <row r="466" spans="1:21" ht="15" customHeight="1" x14ac:dyDescent="0.25">
      <c r="A466" s="29">
        <f>Dataset!A466</f>
        <v>462</v>
      </c>
      <c r="B466" s="29">
        <f>IF(Dataset!B466&lt;25,0.3,IF(Dataset!B466&lt;75,0.5,IF(Dataset!B466&lt;120,0.65,0.8)))</f>
        <v>0.5</v>
      </c>
      <c r="C466" s="29">
        <f>IF(Dataset!B466&lt;25,1,IF(Dataset!B466&lt;75,2,IF(Dataset!B466&lt;120,3,4)))</f>
        <v>2</v>
      </c>
      <c r="D466" s="29">
        <f t="shared" si="56"/>
        <v>1</v>
      </c>
      <c r="E466" s="29">
        <f>IF(Dataset!C466&lt;=1,0.3,IF(Dataset!C466=2,0.4,IF(Dataset!C466=3,0.5,IF(Dataset!C466=4,0.65,0.8))))</f>
        <v>0.65</v>
      </c>
      <c r="F466" s="29">
        <f>IF(Dataset!C466&lt;=2,1,IF(Dataset!C466=3,2,IF(Dataset!C466=4,3,4)))</f>
        <v>3</v>
      </c>
      <c r="G466" s="29">
        <f t="shared" si="57"/>
        <v>1.9500000000000002</v>
      </c>
      <c r="H466" s="29">
        <f>IF(Dataset!G466&lt;=3,0.25,IF(Dataset!G466&lt;=6,0.45,IF(Dataset!G466&lt;=9,0.65,0.85)))</f>
        <v>0.25</v>
      </c>
      <c r="I466" s="29">
        <f>IF(Dataset!G466&lt;=3,1,IF(Dataset!G466&lt;=6,2,IF(Dataset!G466&lt;=9,3,4)))</f>
        <v>1</v>
      </c>
      <c r="J466" s="29">
        <f t="shared" si="58"/>
        <v>0.25</v>
      </c>
      <c r="K466" s="29">
        <f>IF(Dataset!H466&lt;1,0.2,IF(Dataset!H466&lt;1.3,0.45,IF(Dataset!H466&lt;1.8,0.7,0.9)))</f>
        <v>0.9</v>
      </c>
      <c r="L466" s="29">
        <f>IF(Dataset!H466&lt;1,1,IF(Dataset!H466&lt;1.3,2,IF(Dataset!H466&lt;1.8,3,4)))</f>
        <v>4</v>
      </c>
      <c r="M466" s="29">
        <f t="shared" si="59"/>
        <v>3.6</v>
      </c>
      <c r="N466" s="29">
        <f>IF(Dataset!F466=1,0.75,IF(Dataset!F466=2,0.45,0.2))</f>
        <v>0.45</v>
      </c>
      <c r="O466" s="29">
        <f>IF(Dataset!F466=1,3,IF(Dataset!F466=2,2,1))</f>
        <v>2</v>
      </c>
      <c r="P466" s="29">
        <f t="shared" si="60"/>
        <v>0.9</v>
      </c>
      <c r="Q466" s="29">
        <f>IF(Dataset!K466&lt;5,0.2,IF(Dataset!K466&lt;10,0.45,IF(Dataset!K466&lt;18,0.7,0.9)))</f>
        <v>0.7</v>
      </c>
      <c r="R466" s="29">
        <f>IF(Dataset!K466&lt;5,1,IF(Dataset!K466&lt;10,2,IF(Dataset!K466&lt;18,3,4)))</f>
        <v>3</v>
      </c>
      <c r="S466" s="29">
        <f t="shared" si="61"/>
        <v>2.0999999999999996</v>
      </c>
      <c r="T466" s="29">
        <f t="shared" si="62"/>
        <v>1.7510000000000001</v>
      </c>
      <c r="U466" s="29" t="str">
        <f t="shared" si="63"/>
        <v>Medium</v>
      </c>
    </row>
    <row r="467" spans="1:21" ht="15" customHeight="1" x14ac:dyDescent="0.25">
      <c r="A467" s="29">
        <f>Dataset!A467</f>
        <v>463</v>
      </c>
      <c r="B467" s="29">
        <f>IF(Dataset!B467&lt;25,0.3,IF(Dataset!B467&lt;75,0.5,IF(Dataset!B467&lt;120,0.65,0.8)))</f>
        <v>0.5</v>
      </c>
      <c r="C467" s="29">
        <f>IF(Dataset!B467&lt;25,1,IF(Dataset!B467&lt;75,2,IF(Dataset!B467&lt;120,3,4)))</f>
        <v>2</v>
      </c>
      <c r="D467" s="29">
        <f t="shared" si="56"/>
        <v>1</v>
      </c>
      <c r="E467" s="29">
        <f>IF(Dataset!C467&lt;=1,0.3,IF(Dataset!C467=2,0.4,IF(Dataset!C467=3,0.5,IF(Dataset!C467=4,0.65,0.8))))</f>
        <v>0.5</v>
      </c>
      <c r="F467" s="29">
        <f>IF(Dataset!C467&lt;=2,1,IF(Dataset!C467=3,2,IF(Dataset!C467=4,3,4)))</f>
        <v>2</v>
      </c>
      <c r="G467" s="29">
        <f t="shared" si="57"/>
        <v>1</v>
      </c>
      <c r="H467" s="29">
        <f>IF(Dataset!G467&lt;=3,0.25,IF(Dataset!G467&lt;=6,0.45,IF(Dataset!G467&lt;=9,0.65,0.85)))</f>
        <v>0.25</v>
      </c>
      <c r="I467" s="29">
        <f>IF(Dataset!G467&lt;=3,1,IF(Dataset!G467&lt;=6,2,IF(Dataset!G467&lt;=9,3,4)))</f>
        <v>1</v>
      </c>
      <c r="J467" s="29">
        <f t="shared" si="58"/>
        <v>0.25</v>
      </c>
      <c r="K467" s="29">
        <f>IF(Dataset!H467&lt;1,0.2,IF(Dataset!H467&lt;1.3,0.45,IF(Dataset!H467&lt;1.8,0.7,0.9)))</f>
        <v>0.7</v>
      </c>
      <c r="L467" s="29">
        <f>IF(Dataset!H467&lt;1,1,IF(Dataset!H467&lt;1.3,2,IF(Dataset!H467&lt;1.8,3,4)))</f>
        <v>3</v>
      </c>
      <c r="M467" s="29">
        <f t="shared" si="59"/>
        <v>2.0999999999999996</v>
      </c>
      <c r="N467" s="29">
        <f>IF(Dataset!F467=1,0.75,IF(Dataset!F467=2,0.45,0.2))</f>
        <v>0.75</v>
      </c>
      <c r="O467" s="29">
        <f>IF(Dataset!F467=1,3,IF(Dataset!F467=2,2,1))</f>
        <v>3</v>
      </c>
      <c r="P467" s="29">
        <f t="shared" si="60"/>
        <v>2.25</v>
      </c>
      <c r="Q467" s="29">
        <f>IF(Dataset!K467&lt;5,0.2,IF(Dataset!K467&lt;10,0.45,IF(Dataset!K467&lt;18,0.7,0.9)))</f>
        <v>0.2</v>
      </c>
      <c r="R467" s="29">
        <f>IF(Dataset!K467&lt;5,1,IF(Dataset!K467&lt;10,2,IF(Dataset!K467&lt;18,3,4)))</f>
        <v>1</v>
      </c>
      <c r="S467" s="29">
        <f t="shared" si="61"/>
        <v>0.2</v>
      </c>
      <c r="T467" s="29">
        <f t="shared" si="62"/>
        <v>1.127</v>
      </c>
      <c r="U467" s="29" t="str">
        <f t="shared" si="63"/>
        <v>Low</v>
      </c>
    </row>
    <row r="468" spans="1:21" ht="15" customHeight="1" x14ac:dyDescent="0.25">
      <c r="A468" s="29">
        <f>Dataset!A468</f>
        <v>464</v>
      </c>
      <c r="B468" s="29">
        <f>IF(Dataset!B468&lt;25,0.3,IF(Dataset!B468&lt;75,0.5,IF(Dataset!B468&lt;120,0.65,0.8)))</f>
        <v>0.5</v>
      </c>
      <c r="C468" s="29">
        <f>IF(Dataset!B468&lt;25,1,IF(Dataset!B468&lt;75,2,IF(Dataset!B468&lt;120,3,4)))</f>
        <v>2</v>
      </c>
      <c r="D468" s="29">
        <f t="shared" si="56"/>
        <v>1</v>
      </c>
      <c r="E468" s="29">
        <f>IF(Dataset!C468&lt;=1,0.3,IF(Dataset!C468=2,0.4,IF(Dataset!C468=3,0.5,IF(Dataset!C468=4,0.65,0.8))))</f>
        <v>0.65</v>
      </c>
      <c r="F468" s="29">
        <f>IF(Dataset!C468&lt;=2,1,IF(Dataset!C468=3,2,IF(Dataset!C468=4,3,4)))</f>
        <v>3</v>
      </c>
      <c r="G468" s="29">
        <f t="shared" si="57"/>
        <v>1.9500000000000002</v>
      </c>
      <c r="H468" s="29">
        <f>IF(Dataset!G468&lt;=3,0.25,IF(Dataset!G468&lt;=6,0.45,IF(Dataset!G468&lt;=9,0.65,0.85)))</f>
        <v>0.45</v>
      </c>
      <c r="I468" s="29">
        <f>IF(Dataset!G468&lt;=3,1,IF(Dataset!G468&lt;=6,2,IF(Dataset!G468&lt;=9,3,4)))</f>
        <v>2</v>
      </c>
      <c r="J468" s="29">
        <f t="shared" si="58"/>
        <v>0.9</v>
      </c>
      <c r="K468" s="29">
        <f>IF(Dataset!H468&lt;1,0.2,IF(Dataset!H468&lt;1.3,0.45,IF(Dataset!H468&lt;1.8,0.7,0.9)))</f>
        <v>0.9</v>
      </c>
      <c r="L468" s="29">
        <f>IF(Dataset!H468&lt;1,1,IF(Dataset!H468&lt;1.3,2,IF(Dataset!H468&lt;1.8,3,4)))</f>
        <v>4</v>
      </c>
      <c r="M468" s="29">
        <f t="shared" si="59"/>
        <v>3.6</v>
      </c>
      <c r="N468" s="29">
        <f>IF(Dataset!F468=1,0.75,IF(Dataset!F468=2,0.45,0.2))</f>
        <v>0.45</v>
      </c>
      <c r="O468" s="29">
        <f>IF(Dataset!F468=1,3,IF(Dataset!F468=2,2,1))</f>
        <v>2</v>
      </c>
      <c r="P468" s="29">
        <f t="shared" si="60"/>
        <v>0.9</v>
      </c>
      <c r="Q468" s="29">
        <f>IF(Dataset!K468&lt;5,0.2,IF(Dataset!K468&lt;10,0.45,IF(Dataset!K468&lt;18,0.7,0.9)))</f>
        <v>0.7</v>
      </c>
      <c r="R468" s="29">
        <f>IF(Dataset!K468&lt;5,1,IF(Dataset!K468&lt;10,2,IF(Dataset!K468&lt;18,3,4)))</f>
        <v>3</v>
      </c>
      <c r="S468" s="29">
        <f t="shared" si="61"/>
        <v>2.0999999999999996</v>
      </c>
      <c r="T468" s="29">
        <f t="shared" si="62"/>
        <v>1.8810000000000002</v>
      </c>
      <c r="U468" s="29" t="str">
        <f t="shared" si="63"/>
        <v>High</v>
      </c>
    </row>
    <row r="469" spans="1:21" ht="15" customHeight="1" x14ac:dyDescent="0.25">
      <c r="A469" s="29">
        <f>Dataset!A469</f>
        <v>465</v>
      </c>
      <c r="B469" s="29">
        <f>IF(Dataset!B469&lt;25,0.3,IF(Dataset!B469&lt;75,0.5,IF(Dataset!B469&lt;120,0.65,0.8)))</f>
        <v>0.5</v>
      </c>
      <c r="C469" s="29">
        <f>IF(Dataset!B469&lt;25,1,IF(Dataset!B469&lt;75,2,IF(Dataset!B469&lt;120,3,4)))</f>
        <v>2</v>
      </c>
      <c r="D469" s="29">
        <f t="shared" si="56"/>
        <v>1</v>
      </c>
      <c r="E469" s="29">
        <f>IF(Dataset!C469&lt;=1,0.3,IF(Dataset!C469=2,0.4,IF(Dataset!C469=3,0.5,IF(Dataset!C469=4,0.65,0.8))))</f>
        <v>0.3</v>
      </c>
      <c r="F469" s="29">
        <f>IF(Dataset!C469&lt;=2,1,IF(Dataset!C469=3,2,IF(Dataset!C469=4,3,4)))</f>
        <v>1</v>
      </c>
      <c r="G469" s="29">
        <f t="shared" si="57"/>
        <v>0.3</v>
      </c>
      <c r="H469" s="29">
        <f>IF(Dataset!G469&lt;=3,0.25,IF(Dataset!G469&lt;=6,0.45,IF(Dataset!G469&lt;=9,0.65,0.85)))</f>
        <v>0.45</v>
      </c>
      <c r="I469" s="29">
        <f>IF(Dataset!G469&lt;=3,1,IF(Dataset!G469&lt;=6,2,IF(Dataset!G469&lt;=9,3,4)))</f>
        <v>2</v>
      </c>
      <c r="J469" s="29">
        <f t="shared" si="58"/>
        <v>0.9</v>
      </c>
      <c r="K469" s="29">
        <f>IF(Dataset!H469&lt;1,0.2,IF(Dataset!H469&lt;1.3,0.45,IF(Dataset!H469&lt;1.8,0.7,0.9)))</f>
        <v>0.9</v>
      </c>
      <c r="L469" s="29">
        <f>IF(Dataset!H469&lt;1,1,IF(Dataset!H469&lt;1.3,2,IF(Dataset!H469&lt;1.8,3,4)))</f>
        <v>4</v>
      </c>
      <c r="M469" s="29">
        <f t="shared" si="59"/>
        <v>3.6</v>
      </c>
      <c r="N469" s="29">
        <f>IF(Dataset!F469=1,0.75,IF(Dataset!F469=2,0.45,0.2))</f>
        <v>0.2</v>
      </c>
      <c r="O469" s="29">
        <f>IF(Dataset!F469=1,3,IF(Dataset!F469=2,2,1))</f>
        <v>1</v>
      </c>
      <c r="P469" s="29">
        <f t="shared" si="60"/>
        <v>0.2</v>
      </c>
      <c r="Q469" s="29">
        <f>IF(Dataset!K469&lt;5,0.2,IF(Dataset!K469&lt;10,0.45,IF(Dataset!K469&lt;18,0.7,0.9)))</f>
        <v>0.2</v>
      </c>
      <c r="R469" s="29">
        <f>IF(Dataset!K469&lt;5,1,IF(Dataset!K469&lt;10,2,IF(Dataset!K469&lt;18,3,4)))</f>
        <v>1</v>
      </c>
      <c r="S469" s="29">
        <f t="shared" si="61"/>
        <v>0.2</v>
      </c>
      <c r="T469" s="29">
        <f t="shared" si="62"/>
        <v>1.3140000000000001</v>
      </c>
      <c r="U469" s="29" t="str">
        <f t="shared" si="63"/>
        <v>Low</v>
      </c>
    </row>
    <row r="470" spans="1:21" ht="15" customHeight="1" x14ac:dyDescent="0.25">
      <c r="A470" s="29">
        <f>Dataset!A470</f>
        <v>466</v>
      </c>
      <c r="B470" s="29">
        <f>IF(Dataset!B470&lt;25,0.3,IF(Dataset!B470&lt;75,0.5,IF(Dataset!B470&lt;120,0.65,0.8)))</f>
        <v>0.5</v>
      </c>
      <c r="C470" s="29">
        <f>IF(Dataset!B470&lt;25,1,IF(Dataset!B470&lt;75,2,IF(Dataset!B470&lt;120,3,4)))</f>
        <v>2</v>
      </c>
      <c r="D470" s="29">
        <f t="shared" si="56"/>
        <v>1</v>
      </c>
      <c r="E470" s="29">
        <f>IF(Dataset!C470&lt;=1,0.3,IF(Dataset!C470=2,0.4,IF(Dataset!C470=3,0.5,IF(Dataset!C470=4,0.65,0.8))))</f>
        <v>0.65</v>
      </c>
      <c r="F470" s="29">
        <f>IF(Dataset!C470&lt;=2,1,IF(Dataset!C470=3,2,IF(Dataset!C470=4,3,4)))</f>
        <v>3</v>
      </c>
      <c r="G470" s="29">
        <f t="shared" si="57"/>
        <v>1.9500000000000002</v>
      </c>
      <c r="H470" s="29">
        <f>IF(Dataset!G470&lt;=3,0.25,IF(Dataset!G470&lt;=6,0.45,IF(Dataset!G470&lt;=9,0.65,0.85)))</f>
        <v>0.45</v>
      </c>
      <c r="I470" s="29">
        <f>IF(Dataset!G470&lt;=3,1,IF(Dataset!G470&lt;=6,2,IF(Dataset!G470&lt;=9,3,4)))</f>
        <v>2</v>
      </c>
      <c r="J470" s="29">
        <f t="shared" si="58"/>
        <v>0.9</v>
      </c>
      <c r="K470" s="29">
        <f>IF(Dataset!H470&lt;1,0.2,IF(Dataset!H470&lt;1.3,0.45,IF(Dataset!H470&lt;1.8,0.7,0.9)))</f>
        <v>0.45</v>
      </c>
      <c r="L470" s="29">
        <f>IF(Dataset!H470&lt;1,1,IF(Dataset!H470&lt;1.3,2,IF(Dataset!H470&lt;1.8,3,4)))</f>
        <v>2</v>
      </c>
      <c r="M470" s="29">
        <f t="shared" si="59"/>
        <v>0.9</v>
      </c>
      <c r="N470" s="29">
        <f>IF(Dataset!F470=1,0.75,IF(Dataset!F470=2,0.45,0.2))</f>
        <v>0.45</v>
      </c>
      <c r="O470" s="29">
        <f>IF(Dataset!F470=1,3,IF(Dataset!F470=2,2,1))</f>
        <v>2</v>
      </c>
      <c r="P470" s="29">
        <f t="shared" si="60"/>
        <v>0.9</v>
      </c>
      <c r="Q470" s="29">
        <f>IF(Dataset!K470&lt;5,0.2,IF(Dataset!K470&lt;10,0.45,IF(Dataset!K470&lt;18,0.7,0.9)))</f>
        <v>0.7</v>
      </c>
      <c r="R470" s="29">
        <f>IF(Dataset!K470&lt;5,1,IF(Dataset!K470&lt;10,2,IF(Dataset!K470&lt;18,3,4)))</f>
        <v>3</v>
      </c>
      <c r="S470" s="29">
        <f t="shared" si="61"/>
        <v>2.0999999999999996</v>
      </c>
      <c r="T470" s="29">
        <f t="shared" si="62"/>
        <v>1.2330000000000001</v>
      </c>
      <c r="U470" s="29" t="str">
        <f t="shared" si="63"/>
        <v>Low</v>
      </c>
    </row>
    <row r="471" spans="1:21" ht="15" customHeight="1" x14ac:dyDescent="0.25">
      <c r="A471" s="29">
        <f>Dataset!A471</f>
        <v>467</v>
      </c>
      <c r="B471" s="29">
        <f>IF(Dataset!B471&lt;25,0.3,IF(Dataset!B471&lt;75,0.5,IF(Dataset!B471&lt;120,0.65,0.8)))</f>
        <v>0.8</v>
      </c>
      <c r="C471" s="29">
        <f>IF(Dataset!B471&lt;25,1,IF(Dataset!B471&lt;75,2,IF(Dataset!B471&lt;120,3,4)))</f>
        <v>4</v>
      </c>
      <c r="D471" s="29">
        <f t="shared" si="56"/>
        <v>3.2</v>
      </c>
      <c r="E471" s="29">
        <f>IF(Dataset!C471&lt;=1,0.3,IF(Dataset!C471=2,0.4,IF(Dataset!C471=3,0.5,IF(Dataset!C471=4,0.65,0.8))))</f>
        <v>0.65</v>
      </c>
      <c r="F471" s="29">
        <f>IF(Dataset!C471&lt;=2,1,IF(Dataset!C471=3,2,IF(Dataset!C471=4,3,4)))</f>
        <v>3</v>
      </c>
      <c r="G471" s="29">
        <f t="shared" si="57"/>
        <v>1.9500000000000002</v>
      </c>
      <c r="H471" s="29">
        <f>IF(Dataset!G471&lt;=3,0.25,IF(Dataset!G471&lt;=6,0.45,IF(Dataset!G471&lt;=9,0.65,0.85)))</f>
        <v>0.45</v>
      </c>
      <c r="I471" s="29">
        <f>IF(Dataset!G471&lt;=3,1,IF(Dataset!G471&lt;=6,2,IF(Dataset!G471&lt;=9,3,4)))</f>
        <v>2</v>
      </c>
      <c r="J471" s="29">
        <f t="shared" si="58"/>
        <v>0.9</v>
      </c>
      <c r="K471" s="29">
        <f>IF(Dataset!H471&lt;1,0.2,IF(Dataset!H471&lt;1.3,0.45,IF(Dataset!H471&lt;1.8,0.7,0.9)))</f>
        <v>0.45</v>
      </c>
      <c r="L471" s="29">
        <f>IF(Dataset!H471&lt;1,1,IF(Dataset!H471&lt;1.3,2,IF(Dataset!H471&lt;1.8,3,4)))</f>
        <v>2</v>
      </c>
      <c r="M471" s="29">
        <f t="shared" si="59"/>
        <v>0.9</v>
      </c>
      <c r="N471" s="29">
        <f>IF(Dataset!F471=1,0.75,IF(Dataset!F471=2,0.45,0.2))</f>
        <v>0.75</v>
      </c>
      <c r="O471" s="29">
        <f>IF(Dataset!F471=1,3,IF(Dataset!F471=2,2,1))</f>
        <v>3</v>
      </c>
      <c r="P471" s="29">
        <f t="shared" si="60"/>
        <v>2.25</v>
      </c>
      <c r="Q471" s="29">
        <f>IF(Dataset!K471&lt;5,0.2,IF(Dataset!K471&lt;10,0.45,IF(Dataset!K471&lt;18,0.7,0.9)))</f>
        <v>0.7</v>
      </c>
      <c r="R471" s="29">
        <f>IF(Dataset!K471&lt;5,1,IF(Dataset!K471&lt;10,2,IF(Dataset!K471&lt;18,3,4)))</f>
        <v>3</v>
      </c>
      <c r="S471" s="29">
        <f t="shared" si="61"/>
        <v>2.0999999999999996</v>
      </c>
      <c r="T471" s="29">
        <f t="shared" si="62"/>
        <v>1.764</v>
      </c>
      <c r="U471" s="29" t="str">
        <f t="shared" si="63"/>
        <v>High</v>
      </c>
    </row>
    <row r="472" spans="1:21" ht="15" customHeight="1" x14ac:dyDescent="0.25">
      <c r="A472" s="29">
        <f>Dataset!A472</f>
        <v>468</v>
      </c>
      <c r="B472" s="29">
        <f>IF(Dataset!B472&lt;25,0.3,IF(Dataset!B472&lt;75,0.5,IF(Dataset!B472&lt;120,0.65,0.8)))</f>
        <v>0.65</v>
      </c>
      <c r="C472" s="29">
        <f>IF(Dataset!B472&lt;25,1,IF(Dataset!B472&lt;75,2,IF(Dataset!B472&lt;120,3,4)))</f>
        <v>3</v>
      </c>
      <c r="D472" s="29">
        <f t="shared" si="56"/>
        <v>1.9500000000000002</v>
      </c>
      <c r="E472" s="29">
        <f>IF(Dataset!C472&lt;=1,0.3,IF(Dataset!C472=2,0.4,IF(Dataset!C472=3,0.5,IF(Dataset!C472=4,0.65,0.8))))</f>
        <v>0.5</v>
      </c>
      <c r="F472" s="29">
        <f>IF(Dataset!C472&lt;=2,1,IF(Dataset!C472=3,2,IF(Dataset!C472=4,3,4)))</f>
        <v>2</v>
      </c>
      <c r="G472" s="29">
        <f t="shared" si="57"/>
        <v>1</v>
      </c>
      <c r="H472" s="29">
        <f>IF(Dataset!G472&lt;=3,0.25,IF(Dataset!G472&lt;=6,0.45,IF(Dataset!G472&lt;=9,0.65,0.85)))</f>
        <v>0.65</v>
      </c>
      <c r="I472" s="29">
        <f>IF(Dataset!G472&lt;=3,1,IF(Dataset!G472&lt;=6,2,IF(Dataset!G472&lt;=9,3,4)))</f>
        <v>3</v>
      </c>
      <c r="J472" s="29">
        <f t="shared" si="58"/>
        <v>1.9500000000000002</v>
      </c>
      <c r="K472" s="29">
        <f>IF(Dataset!H472&lt;1,0.2,IF(Dataset!H472&lt;1.3,0.45,IF(Dataset!H472&lt;1.8,0.7,0.9)))</f>
        <v>0.7</v>
      </c>
      <c r="L472" s="29">
        <f>IF(Dataset!H472&lt;1,1,IF(Dataset!H472&lt;1.3,2,IF(Dataset!H472&lt;1.8,3,4)))</f>
        <v>3</v>
      </c>
      <c r="M472" s="29">
        <f t="shared" si="59"/>
        <v>2.0999999999999996</v>
      </c>
      <c r="N472" s="29">
        <f>IF(Dataset!F472=1,0.75,IF(Dataset!F472=2,0.45,0.2))</f>
        <v>0.45</v>
      </c>
      <c r="O472" s="29">
        <f>IF(Dataset!F472=1,3,IF(Dataset!F472=2,2,1))</f>
        <v>2</v>
      </c>
      <c r="P472" s="29">
        <f t="shared" si="60"/>
        <v>0.9</v>
      </c>
      <c r="Q472" s="29">
        <f>IF(Dataset!K472&lt;5,0.2,IF(Dataset!K472&lt;10,0.45,IF(Dataset!K472&lt;18,0.7,0.9)))</f>
        <v>0.2</v>
      </c>
      <c r="R472" s="29">
        <f>IF(Dataset!K472&lt;5,1,IF(Dataset!K472&lt;10,2,IF(Dataset!K472&lt;18,3,4)))</f>
        <v>1</v>
      </c>
      <c r="S472" s="29">
        <f t="shared" si="61"/>
        <v>0.2</v>
      </c>
      <c r="T472" s="29">
        <f t="shared" si="62"/>
        <v>1.5030000000000001</v>
      </c>
      <c r="U472" s="29" t="str">
        <f t="shared" si="63"/>
        <v>Medium</v>
      </c>
    </row>
    <row r="473" spans="1:21" ht="15" customHeight="1" x14ac:dyDescent="0.25">
      <c r="A473" s="29">
        <f>Dataset!A473</f>
        <v>469</v>
      </c>
      <c r="B473" s="29">
        <f>IF(Dataset!B473&lt;25,0.3,IF(Dataset!B473&lt;75,0.5,IF(Dataset!B473&lt;120,0.65,0.8)))</f>
        <v>0.3</v>
      </c>
      <c r="C473" s="29">
        <f>IF(Dataset!B473&lt;25,1,IF(Dataset!B473&lt;75,2,IF(Dataset!B473&lt;120,3,4)))</f>
        <v>1</v>
      </c>
      <c r="D473" s="29">
        <f t="shared" si="56"/>
        <v>0.3</v>
      </c>
      <c r="E473" s="29">
        <f>IF(Dataset!C473&lt;=1,0.3,IF(Dataset!C473=2,0.4,IF(Dataset!C473=3,0.5,IF(Dataset!C473=4,0.65,0.8))))</f>
        <v>0.65</v>
      </c>
      <c r="F473" s="29">
        <f>IF(Dataset!C473&lt;=2,1,IF(Dataset!C473=3,2,IF(Dataset!C473=4,3,4)))</f>
        <v>3</v>
      </c>
      <c r="G473" s="29">
        <f t="shared" si="57"/>
        <v>1.9500000000000002</v>
      </c>
      <c r="H473" s="29">
        <f>IF(Dataset!G473&lt;=3,0.25,IF(Dataset!G473&lt;=6,0.45,IF(Dataset!G473&lt;=9,0.65,0.85)))</f>
        <v>0.65</v>
      </c>
      <c r="I473" s="29">
        <f>IF(Dataset!G473&lt;=3,1,IF(Dataset!G473&lt;=6,2,IF(Dataset!G473&lt;=9,3,4)))</f>
        <v>3</v>
      </c>
      <c r="J473" s="29">
        <f t="shared" si="58"/>
        <v>1.9500000000000002</v>
      </c>
      <c r="K473" s="29">
        <f>IF(Dataset!H473&lt;1,0.2,IF(Dataset!H473&lt;1.3,0.45,IF(Dataset!H473&lt;1.8,0.7,0.9)))</f>
        <v>0.2</v>
      </c>
      <c r="L473" s="29">
        <f>IF(Dataset!H473&lt;1,1,IF(Dataset!H473&lt;1.3,2,IF(Dataset!H473&lt;1.8,3,4)))</f>
        <v>1</v>
      </c>
      <c r="M473" s="29">
        <f t="shared" si="59"/>
        <v>0.2</v>
      </c>
      <c r="N473" s="29">
        <f>IF(Dataset!F473=1,0.75,IF(Dataset!F473=2,0.45,0.2))</f>
        <v>0.45</v>
      </c>
      <c r="O473" s="29">
        <f>IF(Dataset!F473=1,3,IF(Dataset!F473=2,2,1))</f>
        <v>2</v>
      </c>
      <c r="P473" s="29">
        <f t="shared" si="60"/>
        <v>0.9</v>
      </c>
      <c r="Q473" s="29">
        <f>IF(Dataset!K473&lt;5,0.2,IF(Dataset!K473&lt;10,0.45,IF(Dataset!K473&lt;18,0.7,0.9)))</f>
        <v>0.7</v>
      </c>
      <c r="R473" s="29">
        <f>IF(Dataset!K473&lt;5,1,IF(Dataset!K473&lt;10,2,IF(Dataset!K473&lt;18,3,4)))</f>
        <v>3</v>
      </c>
      <c r="S473" s="29">
        <f t="shared" si="61"/>
        <v>2.0999999999999996</v>
      </c>
      <c r="T473" s="29">
        <f t="shared" si="62"/>
        <v>1.149</v>
      </c>
      <c r="U473" s="29" t="str">
        <f t="shared" si="63"/>
        <v>Low</v>
      </c>
    </row>
    <row r="474" spans="1:21" ht="15" customHeight="1" x14ac:dyDescent="0.25">
      <c r="A474" s="29">
        <f>Dataset!A474</f>
        <v>470</v>
      </c>
      <c r="B474" s="29">
        <f>IF(Dataset!B474&lt;25,0.3,IF(Dataset!B474&lt;75,0.5,IF(Dataset!B474&lt;120,0.65,0.8)))</f>
        <v>0.8</v>
      </c>
      <c r="C474" s="29">
        <f>IF(Dataset!B474&lt;25,1,IF(Dataset!B474&lt;75,2,IF(Dataset!B474&lt;120,3,4)))</f>
        <v>4</v>
      </c>
      <c r="D474" s="29">
        <f t="shared" si="56"/>
        <v>3.2</v>
      </c>
      <c r="E474" s="29">
        <f>IF(Dataset!C474&lt;=1,0.3,IF(Dataset!C474=2,0.4,IF(Dataset!C474=3,0.5,IF(Dataset!C474=4,0.65,0.8))))</f>
        <v>0.8</v>
      </c>
      <c r="F474" s="29">
        <f>IF(Dataset!C474&lt;=2,1,IF(Dataset!C474=3,2,IF(Dataset!C474=4,3,4)))</f>
        <v>4</v>
      </c>
      <c r="G474" s="29">
        <f t="shared" si="57"/>
        <v>3.2</v>
      </c>
      <c r="H474" s="29">
        <f>IF(Dataset!G474&lt;=3,0.25,IF(Dataset!G474&lt;=6,0.45,IF(Dataset!G474&lt;=9,0.65,0.85)))</f>
        <v>0.45</v>
      </c>
      <c r="I474" s="29">
        <f>IF(Dataset!G474&lt;=3,1,IF(Dataset!G474&lt;=6,2,IF(Dataset!G474&lt;=9,3,4)))</f>
        <v>2</v>
      </c>
      <c r="J474" s="29">
        <f t="shared" si="58"/>
        <v>0.9</v>
      </c>
      <c r="K474" s="29">
        <f>IF(Dataset!H474&lt;1,0.2,IF(Dataset!H474&lt;1.3,0.45,IF(Dataset!H474&lt;1.8,0.7,0.9)))</f>
        <v>0.2</v>
      </c>
      <c r="L474" s="29">
        <f>IF(Dataset!H474&lt;1,1,IF(Dataset!H474&lt;1.3,2,IF(Dataset!H474&lt;1.8,3,4)))</f>
        <v>1</v>
      </c>
      <c r="M474" s="29">
        <f t="shared" si="59"/>
        <v>0.2</v>
      </c>
      <c r="N474" s="29">
        <f>IF(Dataset!F474=1,0.75,IF(Dataset!F474=2,0.45,0.2))</f>
        <v>0.45</v>
      </c>
      <c r="O474" s="29">
        <f>IF(Dataset!F474=1,3,IF(Dataset!F474=2,2,1))</f>
        <v>2</v>
      </c>
      <c r="P474" s="29">
        <f t="shared" si="60"/>
        <v>0.9</v>
      </c>
      <c r="Q474" s="29">
        <f>IF(Dataset!K474&lt;5,0.2,IF(Dataset!K474&lt;10,0.45,IF(Dataset!K474&lt;18,0.7,0.9)))</f>
        <v>0.9</v>
      </c>
      <c r="R474" s="29">
        <f>IF(Dataset!K474&lt;5,1,IF(Dataset!K474&lt;10,2,IF(Dataset!K474&lt;18,3,4)))</f>
        <v>4</v>
      </c>
      <c r="S474" s="29">
        <f t="shared" si="61"/>
        <v>3.6</v>
      </c>
      <c r="T474" s="29">
        <f t="shared" si="62"/>
        <v>1.8460000000000001</v>
      </c>
      <c r="U474" s="29" t="str">
        <f t="shared" si="63"/>
        <v>High</v>
      </c>
    </row>
    <row r="475" spans="1:21" ht="15" customHeight="1" x14ac:dyDescent="0.25">
      <c r="A475" s="29">
        <f>Dataset!A475</f>
        <v>471</v>
      </c>
      <c r="B475" s="29">
        <f>IF(Dataset!B475&lt;25,0.3,IF(Dataset!B475&lt;75,0.5,IF(Dataset!B475&lt;120,0.65,0.8)))</f>
        <v>0.5</v>
      </c>
      <c r="C475" s="29">
        <f>IF(Dataset!B475&lt;25,1,IF(Dataset!B475&lt;75,2,IF(Dataset!B475&lt;120,3,4)))</f>
        <v>2</v>
      </c>
      <c r="D475" s="29">
        <f t="shared" si="56"/>
        <v>1</v>
      </c>
      <c r="E475" s="29">
        <f>IF(Dataset!C475&lt;=1,0.3,IF(Dataset!C475=2,0.4,IF(Dataset!C475=3,0.5,IF(Dataset!C475=4,0.65,0.8))))</f>
        <v>0.65</v>
      </c>
      <c r="F475" s="29">
        <f>IF(Dataset!C475&lt;=2,1,IF(Dataset!C475=3,2,IF(Dataset!C475=4,3,4)))</f>
        <v>3</v>
      </c>
      <c r="G475" s="29">
        <f t="shared" si="57"/>
        <v>1.9500000000000002</v>
      </c>
      <c r="H475" s="29">
        <f>IF(Dataset!G475&lt;=3,0.25,IF(Dataset!G475&lt;=6,0.45,IF(Dataset!G475&lt;=9,0.65,0.85)))</f>
        <v>0.45</v>
      </c>
      <c r="I475" s="29">
        <f>IF(Dataset!G475&lt;=3,1,IF(Dataset!G475&lt;=6,2,IF(Dataset!G475&lt;=9,3,4)))</f>
        <v>2</v>
      </c>
      <c r="J475" s="29">
        <f t="shared" si="58"/>
        <v>0.9</v>
      </c>
      <c r="K475" s="29">
        <f>IF(Dataset!H475&lt;1,0.2,IF(Dataset!H475&lt;1.3,0.45,IF(Dataset!H475&lt;1.8,0.7,0.9)))</f>
        <v>0.45</v>
      </c>
      <c r="L475" s="29">
        <f>IF(Dataset!H475&lt;1,1,IF(Dataset!H475&lt;1.3,2,IF(Dataset!H475&lt;1.8,3,4)))</f>
        <v>2</v>
      </c>
      <c r="M475" s="29">
        <f t="shared" si="59"/>
        <v>0.9</v>
      </c>
      <c r="N475" s="29">
        <f>IF(Dataset!F475=1,0.75,IF(Dataset!F475=2,0.45,0.2))</f>
        <v>0.75</v>
      </c>
      <c r="O475" s="29">
        <f>IF(Dataset!F475=1,3,IF(Dataset!F475=2,2,1))</f>
        <v>3</v>
      </c>
      <c r="P475" s="29">
        <f t="shared" si="60"/>
        <v>2.25</v>
      </c>
      <c r="Q475" s="29">
        <f>IF(Dataset!K475&lt;5,0.2,IF(Dataset!K475&lt;10,0.45,IF(Dataset!K475&lt;18,0.7,0.9)))</f>
        <v>0.7</v>
      </c>
      <c r="R475" s="29">
        <f>IF(Dataset!K475&lt;5,1,IF(Dataset!K475&lt;10,2,IF(Dataset!K475&lt;18,3,4)))</f>
        <v>3</v>
      </c>
      <c r="S475" s="29">
        <f t="shared" si="61"/>
        <v>2.0999999999999996</v>
      </c>
      <c r="T475" s="29">
        <f t="shared" si="62"/>
        <v>1.3680000000000001</v>
      </c>
      <c r="U475" s="29" t="str">
        <f t="shared" si="63"/>
        <v>Medium</v>
      </c>
    </row>
    <row r="476" spans="1:21" ht="15" customHeight="1" x14ac:dyDescent="0.25">
      <c r="A476" s="29">
        <f>Dataset!A476</f>
        <v>472</v>
      </c>
      <c r="B476" s="29">
        <f>IF(Dataset!B476&lt;25,0.3,IF(Dataset!B476&lt;75,0.5,IF(Dataset!B476&lt;120,0.65,0.8)))</f>
        <v>0.65</v>
      </c>
      <c r="C476" s="29">
        <f>IF(Dataset!B476&lt;25,1,IF(Dataset!B476&lt;75,2,IF(Dataset!B476&lt;120,3,4)))</f>
        <v>3</v>
      </c>
      <c r="D476" s="29">
        <f t="shared" si="56"/>
        <v>1.9500000000000002</v>
      </c>
      <c r="E476" s="29">
        <f>IF(Dataset!C476&lt;=1,0.3,IF(Dataset!C476=2,0.4,IF(Dataset!C476=3,0.5,IF(Dataset!C476=4,0.65,0.8))))</f>
        <v>0.5</v>
      </c>
      <c r="F476" s="29">
        <f>IF(Dataset!C476&lt;=2,1,IF(Dataset!C476=3,2,IF(Dataset!C476=4,3,4)))</f>
        <v>2</v>
      </c>
      <c r="G476" s="29">
        <f t="shared" si="57"/>
        <v>1</v>
      </c>
      <c r="H476" s="29">
        <f>IF(Dataset!G476&lt;=3,0.25,IF(Dataset!G476&lt;=6,0.45,IF(Dataset!G476&lt;=9,0.65,0.85)))</f>
        <v>0.25</v>
      </c>
      <c r="I476" s="29">
        <f>IF(Dataset!G476&lt;=3,1,IF(Dataset!G476&lt;=6,2,IF(Dataset!G476&lt;=9,3,4)))</f>
        <v>1</v>
      </c>
      <c r="J476" s="29">
        <f t="shared" si="58"/>
        <v>0.25</v>
      </c>
      <c r="K476" s="29">
        <f>IF(Dataset!H476&lt;1,0.2,IF(Dataset!H476&lt;1.3,0.45,IF(Dataset!H476&lt;1.8,0.7,0.9)))</f>
        <v>0.45</v>
      </c>
      <c r="L476" s="29">
        <f>IF(Dataset!H476&lt;1,1,IF(Dataset!H476&lt;1.3,2,IF(Dataset!H476&lt;1.8,3,4)))</f>
        <v>2</v>
      </c>
      <c r="M476" s="29">
        <f t="shared" si="59"/>
        <v>0.9</v>
      </c>
      <c r="N476" s="29">
        <f>IF(Dataset!F476=1,0.75,IF(Dataset!F476=2,0.45,0.2))</f>
        <v>0.2</v>
      </c>
      <c r="O476" s="29">
        <f>IF(Dataset!F476=1,3,IF(Dataset!F476=2,2,1))</f>
        <v>1</v>
      </c>
      <c r="P476" s="29">
        <f t="shared" si="60"/>
        <v>0.2</v>
      </c>
      <c r="Q476" s="29">
        <f>IF(Dataset!K476&lt;5,0.2,IF(Dataset!K476&lt;10,0.45,IF(Dataset!K476&lt;18,0.7,0.9)))</f>
        <v>0.45</v>
      </c>
      <c r="R476" s="29">
        <f>IF(Dataset!K476&lt;5,1,IF(Dataset!K476&lt;10,2,IF(Dataset!K476&lt;18,3,4)))</f>
        <v>2</v>
      </c>
      <c r="S476" s="29">
        <f t="shared" si="61"/>
        <v>0.9</v>
      </c>
      <c r="T476" s="29">
        <f t="shared" si="62"/>
        <v>0.90300000000000002</v>
      </c>
      <c r="U476" s="29" t="str">
        <f t="shared" si="63"/>
        <v>Low</v>
      </c>
    </row>
    <row r="477" spans="1:21" ht="15" customHeight="1" x14ac:dyDescent="0.25">
      <c r="A477" s="29">
        <f>Dataset!A477</f>
        <v>473</v>
      </c>
      <c r="B477" s="29">
        <f>IF(Dataset!B477&lt;25,0.3,IF(Dataset!B477&lt;75,0.5,IF(Dataset!B477&lt;120,0.65,0.8)))</f>
        <v>0.65</v>
      </c>
      <c r="C477" s="29">
        <f>IF(Dataset!B477&lt;25,1,IF(Dataset!B477&lt;75,2,IF(Dataset!B477&lt;120,3,4)))</f>
        <v>3</v>
      </c>
      <c r="D477" s="29">
        <f t="shared" si="56"/>
        <v>1.9500000000000002</v>
      </c>
      <c r="E477" s="29">
        <f>IF(Dataset!C477&lt;=1,0.3,IF(Dataset!C477=2,0.4,IF(Dataset!C477=3,0.5,IF(Dataset!C477=4,0.65,0.8))))</f>
        <v>0.5</v>
      </c>
      <c r="F477" s="29">
        <f>IF(Dataset!C477&lt;=2,1,IF(Dataset!C477=3,2,IF(Dataset!C477=4,3,4)))</f>
        <v>2</v>
      </c>
      <c r="G477" s="29">
        <f t="shared" si="57"/>
        <v>1</v>
      </c>
      <c r="H477" s="29">
        <f>IF(Dataset!G477&lt;=3,0.25,IF(Dataset!G477&lt;=6,0.45,IF(Dataset!G477&lt;=9,0.65,0.85)))</f>
        <v>0.45</v>
      </c>
      <c r="I477" s="29">
        <f>IF(Dataset!G477&lt;=3,1,IF(Dataset!G477&lt;=6,2,IF(Dataset!G477&lt;=9,3,4)))</f>
        <v>2</v>
      </c>
      <c r="J477" s="29">
        <f t="shared" si="58"/>
        <v>0.9</v>
      </c>
      <c r="K477" s="29">
        <f>IF(Dataset!H477&lt;1,0.2,IF(Dataset!H477&lt;1.3,0.45,IF(Dataset!H477&lt;1.8,0.7,0.9)))</f>
        <v>0.7</v>
      </c>
      <c r="L477" s="29">
        <f>IF(Dataset!H477&lt;1,1,IF(Dataset!H477&lt;1.3,2,IF(Dataset!H477&lt;1.8,3,4)))</f>
        <v>3</v>
      </c>
      <c r="M477" s="29">
        <f t="shared" si="59"/>
        <v>2.0999999999999996</v>
      </c>
      <c r="N477" s="29">
        <f>IF(Dataset!F477=1,0.75,IF(Dataset!F477=2,0.45,0.2))</f>
        <v>0.45</v>
      </c>
      <c r="O477" s="29">
        <f>IF(Dataset!F477=1,3,IF(Dataset!F477=2,2,1))</f>
        <v>2</v>
      </c>
      <c r="P477" s="29">
        <f t="shared" si="60"/>
        <v>0.9</v>
      </c>
      <c r="Q477" s="29">
        <f>IF(Dataset!K477&lt;5,0.2,IF(Dataset!K477&lt;10,0.45,IF(Dataset!K477&lt;18,0.7,0.9)))</f>
        <v>0.45</v>
      </c>
      <c r="R477" s="29">
        <f>IF(Dataset!K477&lt;5,1,IF(Dataset!K477&lt;10,2,IF(Dataset!K477&lt;18,3,4)))</f>
        <v>2</v>
      </c>
      <c r="S477" s="29">
        <f t="shared" si="61"/>
        <v>0.9</v>
      </c>
      <c r="T477" s="29">
        <f t="shared" si="62"/>
        <v>1.391</v>
      </c>
      <c r="U477" s="29" t="str">
        <f t="shared" si="63"/>
        <v>Medium</v>
      </c>
    </row>
    <row r="478" spans="1:21" ht="15" customHeight="1" x14ac:dyDescent="0.25">
      <c r="A478" s="29">
        <f>Dataset!A478</f>
        <v>474</v>
      </c>
      <c r="B478" s="29">
        <f>IF(Dataset!B478&lt;25,0.3,IF(Dataset!B478&lt;75,0.5,IF(Dataset!B478&lt;120,0.65,0.8)))</f>
        <v>0.65</v>
      </c>
      <c r="C478" s="29">
        <f>IF(Dataset!B478&lt;25,1,IF(Dataset!B478&lt;75,2,IF(Dataset!B478&lt;120,3,4)))</f>
        <v>3</v>
      </c>
      <c r="D478" s="29">
        <f t="shared" si="56"/>
        <v>1.9500000000000002</v>
      </c>
      <c r="E478" s="29">
        <f>IF(Dataset!C478&lt;=1,0.3,IF(Dataset!C478=2,0.4,IF(Dataset!C478=3,0.5,IF(Dataset!C478=4,0.65,0.8))))</f>
        <v>0.65</v>
      </c>
      <c r="F478" s="29">
        <f>IF(Dataset!C478&lt;=2,1,IF(Dataset!C478=3,2,IF(Dataset!C478=4,3,4)))</f>
        <v>3</v>
      </c>
      <c r="G478" s="29">
        <f t="shared" si="57"/>
        <v>1.9500000000000002</v>
      </c>
      <c r="H478" s="29">
        <f>IF(Dataset!G478&lt;=3,0.25,IF(Dataset!G478&lt;=6,0.45,IF(Dataset!G478&lt;=9,0.65,0.85)))</f>
        <v>0.25</v>
      </c>
      <c r="I478" s="29">
        <f>IF(Dataset!G478&lt;=3,1,IF(Dataset!G478&lt;=6,2,IF(Dataset!G478&lt;=9,3,4)))</f>
        <v>1</v>
      </c>
      <c r="J478" s="29">
        <f t="shared" si="58"/>
        <v>0.25</v>
      </c>
      <c r="K478" s="29">
        <f>IF(Dataset!H478&lt;1,0.2,IF(Dataset!H478&lt;1.3,0.45,IF(Dataset!H478&lt;1.8,0.7,0.9)))</f>
        <v>0.9</v>
      </c>
      <c r="L478" s="29">
        <f>IF(Dataset!H478&lt;1,1,IF(Dataset!H478&lt;1.3,2,IF(Dataset!H478&lt;1.8,3,4)))</f>
        <v>4</v>
      </c>
      <c r="M478" s="29">
        <f t="shared" si="59"/>
        <v>3.6</v>
      </c>
      <c r="N478" s="29">
        <f>IF(Dataset!F478=1,0.75,IF(Dataset!F478=2,0.45,0.2))</f>
        <v>0.45</v>
      </c>
      <c r="O478" s="29">
        <f>IF(Dataset!F478=1,3,IF(Dataset!F478=2,2,1))</f>
        <v>2</v>
      </c>
      <c r="P478" s="29">
        <f t="shared" si="60"/>
        <v>0.9</v>
      </c>
      <c r="Q478" s="29">
        <f>IF(Dataset!K478&lt;5,0.2,IF(Dataset!K478&lt;10,0.45,IF(Dataset!K478&lt;18,0.7,0.9)))</f>
        <v>0.45</v>
      </c>
      <c r="R478" s="29">
        <f>IF(Dataset!K478&lt;5,1,IF(Dataset!K478&lt;10,2,IF(Dataset!K478&lt;18,3,4)))</f>
        <v>2</v>
      </c>
      <c r="S478" s="29">
        <f t="shared" si="61"/>
        <v>0.9</v>
      </c>
      <c r="T478" s="29">
        <f t="shared" si="62"/>
        <v>1.7540000000000004</v>
      </c>
      <c r="U478" s="29" t="str">
        <f t="shared" si="63"/>
        <v>Medium</v>
      </c>
    </row>
    <row r="479" spans="1:21" ht="15" customHeight="1" x14ac:dyDescent="0.25">
      <c r="A479" s="29">
        <f>Dataset!A479</f>
        <v>475</v>
      </c>
      <c r="B479" s="29">
        <f>IF(Dataset!B479&lt;25,0.3,IF(Dataset!B479&lt;75,0.5,IF(Dataset!B479&lt;120,0.65,0.8)))</f>
        <v>0.65</v>
      </c>
      <c r="C479" s="29">
        <f>IF(Dataset!B479&lt;25,1,IF(Dataset!B479&lt;75,2,IF(Dataset!B479&lt;120,3,4)))</f>
        <v>3</v>
      </c>
      <c r="D479" s="29">
        <f t="shared" si="56"/>
        <v>1.9500000000000002</v>
      </c>
      <c r="E479" s="29">
        <f>IF(Dataset!C479&lt;=1,0.3,IF(Dataset!C479=2,0.4,IF(Dataset!C479=3,0.5,IF(Dataset!C479=4,0.65,0.8))))</f>
        <v>0.5</v>
      </c>
      <c r="F479" s="29">
        <f>IF(Dataset!C479&lt;=2,1,IF(Dataset!C479=3,2,IF(Dataset!C479=4,3,4)))</f>
        <v>2</v>
      </c>
      <c r="G479" s="29">
        <f t="shared" si="57"/>
        <v>1</v>
      </c>
      <c r="H479" s="29">
        <f>IF(Dataset!G479&lt;=3,0.25,IF(Dataset!G479&lt;=6,0.45,IF(Dataset!G479&lt;=9,0.65,0.85)))</f>
        <v>0.65</v>
      </c>
      <c r="I479" s="29">
        <f>IF(Dataset!G479&lt;=3,1,IF(Dataset!G479&lt;=6,2,IF(Dataset!G479&lt;=9,3,4)))</f>
        <v>3</v>
      </c>
      <c r="J479" s="29">
        <f t="shared" si="58"/>
        <v>1.9500000000000002</v>
      </c>
      <c r="K479" s="29">
        <f>IF(Dataset!H479&lt;1,0.2,IF(Dataset!H479&lt;1.3,0.45,IF(Dataset!H479&lt;1.8,0.7,0.9)))</f>
        <v>0.9</v>
      </c>
      <c r="L479" s="29">
        <f>IF(Dataset!H479&lt;1,1,IF(Dataset!H479&lt;1.3,2,IF(Dataset!H479&lt;1.8,3,4)))</f>
        <v>4</v>
      </c>
      <c r="M479" s="29">
        <f t="shared" si="59"/>
        <v>3.6</v>
      </c>
      <c r="N479" s="29">
        <f>IF(Dataset!F479=1,0.75,IF(Dataset!F479=2,0.45,0.2))</f>
        <v>0.75</v>
      </c>
      <c r="O479" s="29">
        <f>IF(Dataset!F479=1,3,IF(Dataset!F479=2,2,1))</f>
        <v>3</v>
      </c>
      <c r="P479" s="29">
        <f t="shared" si="60"/>
        <v>2.25</v>
      </c>
      <c r="Q479" s="29">
        <f>IF(Dataset!K479&lt;5,0.2,IF(Dataset!K479&lt;10,0.45,IF(Dataset!K479&lt;18,0.7,0.9)))</f>
        <v>0.2</v>
      </c>
      <c r="R479" s="29">
        <f>IF(Dataset!K479&lt;5,1,IF(Dataset!K479&lt;10,2,IF(Dataset!K479&lt;18,3,4)))</f>
        <v>1</v>
      </c>
      <c r="S479" s="29">
        <f t="shared" si="61"/>
        <v>0.2</v>
      </c>
      <c r="T479" s="29">
        <f t="shared" si="62"/>
        <v>1.9980000000000002</v>
      </c>
      <c r="U479" s="29" t="str">
        <f t="shared" si="63"/>
        <v>High</v>
      </c>
    </row>
    <row r="480" spans="1:21" ht="15" customHeight="1" x14ac:dyDescent="0.25">
      <c r="A480" s="29">
        <f>Dataset!A480</f>
        <v>476</v>
      </c>
      <c r="B480" s="29">
        <f>IF(Dataset!B480&lt;25,0.3,IF(Dataset!B480&lt;75,0.5,IF(Dataset!B480&lt;120,0.65,0.8)))</f>
        <v>0.3</v>
      </c>
      <c r="C480" s="29">
        <f>IF(Dataset!B480&lt;25,1,IF(Dataset!B480&lt;75,2,IF(Dataset!B480&lt;120,3,4)))</f>
        <v>1</v>
      </c>
      <c r="D480" s="29">
        <f t="shared" si="56"/>
        <v>0.3</v>
      </c>
      <c r="E480" s="29">
        <f>IF(Dataset!C480&lt;=1,0.3,IF(Dataset!C480=2,0.4,IF(Dataset!C480=3,0.5,IF(Dataset!C480=4,0.65,0.8))))</f>
        <v>0.65</v>
      </c>
      <c r="F480" s="29">
        <f>IF(Dataset!C480&lt;=2,1,IF(Dataset!C480=3,2,IF(Dataset!C480=4,3,4)))</f>
        <v>3</v>
      </c>
      <c r="G480" s="29">
        <f t="shared" si="57"/>
        <v>1.9500000000000002</v>
      </c>
      <c r="H480" s="29">
        <f>IF(Dataset!G480&lt;=3,0.25,IF(Dataset!G480&lt;=6,0.45,IF(Dataset!G480&lt;=9,0.65,0.85)))</f>
        <v>0.45</v>
      </c>
      <c r="I480" s="29">
        <f>IF(Dataset!G480&lt;=3,1,IF(Dataset!G480&lt;=6,2,IF(Dataset!G480&lt;=9,3,4)))</f>
        <v>2</v>
      </c>
      <c r="J480" s="29">
        <f t="shared" si="58"/>
        <v>0.9</v>
      </c>
      <c r="K480" s="29">
        <f>IF(Dataset!H480&lt;1,0.2,IF(Dataset!H480&lt;1.3,0.45,IF(Dataset!H480&lt;1.8,0.7,0.9)))</f>
        <v>0.9</v>
      </c>
      <c r="L480" s="29">
        <f>IF(Dataset!H480&lt;1,1,IF(Dataset!H480&lt;1.3,2,IF(Dataset!H480&lt;1.8,3,4)))</f>
        <v>4</v>
      </c>
      <c r="M480" s="29">
        <f t="shared" si="59"/>
        <v>3.6</v>
      </c>
      <c r="N480" s="29">
        <f>IF(Dataset!F480=1,0.75,IF(Dataset!F480=2,0.45,0.2))</f>
        <v>0.45</v>
      </c>
      <c r="O480" s="29">
        <f>IF(Dataset!F480=1,3,IF(Dataset!F480=2,2,1))</f>
        <v>2</v>
      </c>
      <c r="P480" s="29">
        <f t="shared" si="60"/>
        <v>0.9</v>
      </c>
      <c r="Q480" s="29">
        <f>IF(Dataset!K480&lt;5,0.2,IF(Dataset!K480&lt;10,0.45,IF(Dataset!K480&lt;18,0.7,0.9)))</f>
        <v>0.7</v>
      </c>
      <c r="R480" s="29">
        <f>IF(Dataset!K480&lt;5,1,IF(Dataset!K480&lt;10,2,IF(Dataset!K480&lt;18,3,4)))</f>
        <v>3</v>
      </c>
      <c r="S480" s="29">
        <f t="shared" si="61"/>
        <v>2.0999999999999996</v>
      </c>
      <c r="T480" s="29">
        <f t="shared" si="62"/>
        <v>1.7550000000000001</v>
      </c>
      <c r="U480" s="29" t="str">
        <f t="shared" si="63"/>
        <v>Medium</v>
      </c>
    </row>
    <row r="481" spans="1:21" ht="15" customHeight="1" x14ac:dyDescent="0.25">
      <c r="A481" s="29">
        <f>Dataset!A481</f>
        <v>477</v>
      </c>
      <c r="B481" s="29">
        <f>IF(Dataset!B481&lt;25,0.3,IF(Dataset!B481&lt;75,0.5,IF(Dataset!B481&lt;120,0.65,0.8)))</f>
        <v>0.65</v>
      </c>
      <c r="C481" s="29">
        <f>IF(Dataset!B481&lt;25,1,IF(Dataset!B481&lt;75,2,IF(Dataset!B481&lt;120,3,4)))</f>
        <v>3</v>
      </c>
      <c r="D481" s="29">
        <f t="shared" si="56"/>
        <v>1.9500000000000002</v>
      </c>
      <c r="E481" s="29">
        <f>IF(Dataset!C481&lt;=1,0.3,IF(Dataset!C481=2,0.4,IF(Dataset!C481=3,0.5,IF(Dataset!C481=4,0.65,0.8))))</f>
        <v>0.5</v>
      </c>
      <c r="F481" s="29">
        <f>IF(Dataset!C481&lt;=2,1,IF(Dataset!C481=3,2,IF(Dataset!C481=4,3,4)))</f>
        <v>2</v>
      </c>
      <c r="G481" s="29">
        <f t="shared" si="57"/>
        <v>1</v>
      </c>
      <c r="H481" s="29">
        <f>IF(Dataset!G481&lt;=3,0.25,IF(Dataset!G481&lt;=6,0.45,IF(Dataset!G481&lt;=9,0.65,0.85)))</f>
        <v>0.25</v>
      </c>
      <c r="I481" s="29">
        <f>IF(Dataset!G481&lt;=3,1,IF(Dataset!G481&lt;=6,2,IF(Dataset!G481&lt;=9,3,4)))</f>
        <v>1</v>
      </c>
      <c r="J481" s="29">
        <f t="shared" si="58"/>
        <v>0.25</v>
      </c>
      <c r="K481" s="29">
        <f>IF(Dataset!H481&lt;1,0.2,IF(Dataset!H481&lt;1.3,0.45,IF(Dataset!H481&lt;1.8,0.7,0.9)))</f>
        <v>0.9</v>
      </c>
      <c r="L481" s="29">
        <f>IF(Dataset!H481&lt;1,1,IF(Dataset!H481&lt;1.3,2,IF(Dataset!H481&lt;1.8,3,4)))</f>
        <v>4</v>
      </c>
      <c r="M481" s="29">
        <f t="shared" si="59"/>
        <v>3.6</v>
      </c>
      <c r="N481" s="29">
        <f>IF(Dataset!F481=1,0.75,IF(Dataset!F481=2,0.45,0.2))</f>
        <v>0.45</v>
      </c>
      <c r="O481" s="29">
        <f>IF(Dataset!F481=1,3,IF(Dataset!F481=2,2,1))</f>
        <v>2</v>
      </c>
      <c r="P481" s="29">
        <f t="shared" si="60"/>
        <v>0.9</v>
      </c>
      <c r="Q481" s="29">
        <f>IF(Dataset!K481&lt;5,0.2,IF(Dataset!K481&lt;10,0.45,IF(Dataset!K481&lt;18,0.7,0.9)))</f>
        <v>0.45</v>
      </c>
      <c r="R481" s="29">
        <f>IF(Dataset!K481&lt;5,1,IF(Dataset!K481&lt;10,2,IF(Dataset!K481&lt;18,3,4)))</f>
        <v>2</v>
      </c>
      <c r="S481" s="29">
        <f t="shared" si="61"/>
        <v>0.9</v>
      </c>
      <c r="T481" s="29">
        <f t="shared" si="62"/>
        <v>1.6210000000000002</v>
      </c>
      <c r="U481" s="29" t="str">
        <f t="shared" si="63"/>
        <v>Medium</v>
      </c>
    </row>
    <row r="482" spans="1:21" ht="15" customHeight="1" x14ac:dyDescent="0.25">
      <c r="A482" s="29">
        <f>Dataset!A482</f>
        <v>478</v>
      </c>
      <c r="B482" s="29">
        <f>IF(Dataset!B482&lt;25,0.3,IF(Dataset!B482&lt;75,0.5,IF(Dataset!B482&lt;120,0.65,0.8)))</f>
        <v>0.5</v>
      </c>
      <c r="C482" s="29">
        <f>IF(Dataset!B482&lt;25,1,IF(Dataset!B482&lt;75,2,IF(Dataset!B482&lt;120,3,4)))</f>
        <v>2</v>
      </c>
      <c r="D482" s="29">
        <f t="shared" si="56"/>
        <v>1</v>
      </c>
      <c r="E482" s="29">
        <f>IF(Dataset!C482&lt;=1,0.3,IF(Dataset!C482=2,0.4,IF(Dataset!C482=3,0.5,IF(Dataset!C482=4,0.65,0.8))))</f>
        <v>0.65</v>
      </c>
      <c r="F482" s="29">
        <f>IF(Dataset!C482&lt;=2,1,IF(Dataset!C482=3,2,IF(Dataset!C482=4,3,4)))</f>
        <v>3</v>
      </c>
      <c r="G482" s="29">
        <f t="shared" si="57"/>
        <v>1.9500000000000002</v>
      </c>
      <c r="H482" s="29">
        <f>IF(Dataset!G482&lt;=3,0.25,IF(Dataset!G482&lt;=6,0.45,IF(Dataset!G482&lt;=9,0.65,0.85)))</f>
        <v>0.45</v>
      </c>
      <c r="I482" s="29">
        <f>IF(Dataset!G482&lt;=3,1,IF(Dataset!G482&lt;=6,2,IF(Dataset!G482&lt;=9,3,4)))</f>
        <v>2</v>
      </c>
      <c r="J482" s="29">
        <f t="shared" si="58"/>
        <v>0.9</v>
      </c>
      <c r="K482" s="29">
        <f>IF(Dataset!H482&lt;1,0.2,IF(Dataset!H482&lt;1.3,0.45,IF(Dataset!H482&lt;1.8,0.7,0.9)))</f>
        <v>0.7</v>
      </c>
      <c r="L482" s="29">
        <f>IF(Dataset!H482&lt;1,1,IF(Dataset!H482&lt;1.3,2,IF(Dataset!H482&lt;1.8,3,4)))</f>
        <v>3</v>
      </c>
      <c r="M482" s="29">
        <f t="shared" si="59"/>
        <v>2.0999999999999996</v>
      </c>
      <c r="N482" s="29">
        <f>IF(Dataset!F482=1,0.75,IF(Dataset!F482=2,0.45,0.2))</f>
        <v>0.75</v>
      </c>
      <c r="O482" s="29">
        <f>IF(Dataset!F482=1,3,IF(Dataset!F482=2,2,1))</f>
        <v>3</v>
      </c>
      <c r="P482" s="29">
        <f t="shared" si="60"/>
        <v>2.25</v>
      </c>
      <c r="Q482" s="29">
        <f>IF(Dataset!K482&lt;5,0.2,IF(Dataset!K482&lt;10,0.45,IF(Dataset!K482&lt;18,0.7,0.9)))</f>
        <v>0.45</v>
      </c>
      <c r="R482" s="29">
        <f>IF(Dataset!K482&lt;5,1,IF(Dataset!K482&lt;10,2,IF(Dataset!K482&lt;18,3,4)))</f>
        <v>2</v>
      </c>
      <c r="S482" s="29">
        <f t="shared" si="61"/>
        <v>0.9</v>
      </c>
      <c r="T482" s="29">
        <f t="shared" si="62"/>
        <v>1.4880000000000002</v>
      </c>
      <c r="U482" s="29" t="str">
        <f t="shared" si="63"/>
        <v>Medium</v>
      </c>
    </row>
    <row r="483" spans="1:21" ht="15" customHeight="1" x14ac:dyDescent="0.25">
      <c r="A483" s="29">
        <f>Dataset!A483</f>
        <v>479</v>
      </c>
      <c r="B483" s="29">
        <f>IF(Dataset!B483&lt;25,0.3,IF(Dataset!B483&lt;75,0.5,IF(Dataset!B483&lt;120,0.65,0.8)))</f>
        <v>0.5</v>
      </c>
      <c r="C483" s="29">
        <f>IF(Dataset!B483&lt;25,1,IF(Dataset!B483&lt;75,2,IF(Dataset!B483&lt;120,3,4)))</f>
        <v>2</v>
      </c>
      <c r="D483" s="29">
        <f t="shared" si="56"/>
        <v>1</v>
      </c>
      <c r="E483" s="29">
        <f>IF(Dataset!C483&lt;=1,0.3,IF(Dataset!C483=2,0.4,IF(Dataset!C483=3,0.5,IF(Dataset!C483=4,0.65,0.8))))</f>
        <v>0.4</v>
      </c>
      <c r="F483" s="29">
        <f>IF(Dataset!C483&lt;=2,1,IF(Dataset!C483=3,2,IF(Dataset!C483=4,3,4)))</f>
        <v>1</v>
      </c>
      <c r="G483" s="29">
        <f t="shared" si="57"/>
        <v>0.4</v>
      </c>
      <c r="H483" s="29">
        <f>IF(Dataset!G483&lt;=3,0.25,IF(Dataset!G483&lt;=6,0.45,IF(Dataset!G483&lt;=9,0.65,0.85)))</f>
        <v>0.65</v>
      </c>
      <c r="I483" s="29">
        <f>IF(Dataset!G483&lt;=3,1,IF(Dataset!G483&lt;=6,2,IF(Dataset!G483&lt;=9,3,4)))</f>
        <v>3</v>
      </c>
      <c r="J483" s="29">
        <f t="shared" si="58"/>
        <v>1.9500000000000002</v>
      </c>
      <c r="K483" s="29">
        <f>IF(Dataset!H483&lt;1,0.2,IF(Dataset!H483&lt;1.3,0.45,IF(Dataset!H483&lt;1.8,0.7,0.9)))</f>
        <v>0.45</v>
      </c>
      <c r="L483" s="29">
        <f>IF(Dataset!H483&lt;1,1,IF(Dataset!H483&lt;1.3,2,IF(Dataset!H483&lt;1.8,3,4)))</f>
        <v>2</v>
      </c>
      <c r="M483" s="29">
        <f t="shared" si="59"/>
        <v>0.9</v>
      </c>
      <c r="N483" s="29">
        <f>IF(Dataset!F483=1,0.75,IF(Dataset!F483=2,0.45,0.2))</f>
        <v>0.45</v>
      </c>
      <c r="O483" s="29">
        <f>IF(Dataset!F483=1,3,IF(Dataset!F483=2,2,1))</f>
        <v>2</v>
      </c>
      <c r="P483" s="29">
        <f t="shared" si="60"/>
        <v>0.9</v>
      </c>
      <c r="Q483" s="29">
        <f>IF(Dataset!K483&lt;5,0.2,IF(Dataset!K483&lt;10,0.45,IF(Dataset!K483&lt;18,0.7,0.9)))</f>
        <v>0.2</v>
      </c>
      <c r="R483" s="29">
        <f>IF(Dataset!K483&lt;5,1,IF(Dataset!K483&lt;10,2,IF(Dataset!K483&lt;18,3,4)))</f>
        <v>1</v>
      </c>
      <c r="S483" s="29">
        <f t="shared" si="61"/>
        <v>0.2</v>
      </c>
      <c r="T483" s="29">
        <f t="shared" si="62"/>
        <v>0.96000000000000008</v>
      </c>
      <c r="U483" s="29" t="str">
        <f t="shared" si="63"/>
        <v>Low</v>
      </c>
    </row>
    <row r="484" spans="1:21" ht="15" customHeight="1" x14ac:dyDescent="0.25">
      <c r="A484" s="29">
        <f>Dataset!A484</f>
        <v>480</v>
      </c>
      <c r="B484" s="29">
        <f>IF(Dataset!B484&lt;25,0.3,IF(Dataset!B484&lt;75,0.5,IF(Dataset!B484&lt;120,0.65,0.8)))</f>
        <v>0.5</v>
      </c>
      <c r="C484" s="29">
        <f>IF(Dataset!B484&lt;25,1,IF(Dataset!B484&lt;75,2,IF(Dataset!B484&lt;120,3,4)))</f>
        <v>2</v>
      </c>
      <c r="D484" s="29">
        <f t="shared" si="56"/>
        <v>1</v>
      </c>
      <c r="E484" s="29">
        <f>IF(Dataset!C484&lt;=1,0.3,IF(Dataset!C484=2,0.4,IF(Dataset!C484=3,0.5,IF(Dataset!C484=4,0.65,0.8))))</f>
        <v>0.3</v>
      </c>
      <c r="F484" s="29">
        <f>IF(Dataset!C484&lt;=2,1,IF(Dataset!C484=3,2,IF(Dataset!C484=4,3,4)))</f>
        <v>1</v>
      </c>
      <c r="G484" s="29">
        <f t="shared" si="57"/>
        <v>0.3</v>
      </c>
      <c r="H484" s="29">
        <f>IF(Dataset!G484&lt;=3,0.25,IF(Dataset!G484&lt;=6,0.45,IF(Dataset!G484&lt;=9,0.65,0.85)))</f>
        <v>0.45</v>
      </c>
      <c r="I484" s="29">
        <f>IF(Dataset!G484&lt;=3,1,IF(Dataset!G484&lt;=6,2,IF(Dataset!G484&lt;=9,3,4)))</f>
        <v>2</v>
      </c>
      <c r="J484" s="29">
        <f t="shared" si="58"/>
        <v>0.9</v>
      </c>
      <c r="K484" s="29">
        <f>IF(Dataset!H484&lt;1,0.2,IF(Dataset!H484&lt;1.3,0.45,IF(Dataset!H484&lt;1.8,0.7,0.9)))</f>
        <v>0.9</v>
      </c>
      <c r="L484" s="29">
        <f>IF(Dataset!H484&lt;1,1,IF(Dataset!H484&lt;1.3,2,IF(Dataset!H484&lt;1.8,3,4)))</f>
        <v>4</v>
      </c>
      <c r="M484" s="29">
        <f t="shared" si="59"/>
        <v>3.6</v>
      </c>
      <c r="N484" s="29">
        <f>IF(Dataset!F484=1,0.75,IF(Dataset!F484=2,0.45,0.2))</f>
        <v>0.45</v>
      </c>
      <c r="O484" s="29">
        <f>IF(Dataset!F484=1,3,IF(Dataset!F484=2,2,1))</f>
        <v>2</v>
      </c>
      <c r="P484" s="29">
        <f t="shared" si="60"/>
        <v>0.9</v>
      </c>
      <c r="Q484" s="29">
        <f>IF(Dataset!K484&lt;5,0.2,IF(Dataset!K484&lt;10,0.45,IF(Dataset!K484&lt;18,0.7,0.9)))</f>
        <v>0.2</v>
      </c>
      <c r="R484" s="29">
        <f>IF(Dataset!K484&lt;5,1,IF(Dataset!K484&lt;10,2,IF(Dataset!K484&lt;18,3,4)))</f>
        <v>1</v>
      </c>
      <c r="S484" s="29">
        <f t="shared" si="61"/>
        <v>0.2</v>
      </c>
      <c r="T484" s="29">
        <f t="shared" si="62"/>
        <v>1.3840000000000001</v>
      </c>
      <c r="U484" s="29" t="str">
        <f t="shared" si="63"/>
        <v>Medium</v>
      </c>
    </row>
    <row r="485" spans="1:21" ht="15" customHeight="1" x14ac:dyDescent="0.25">
      <c r="A485" s="29">
        <f>Dataset!A485</f>
        <v>481</v>
      </c>
      <c r="B485" s="29">
        <f>IF(Dataset!B485&lt;25,0.3,IF(Dataset!B485&lt;75,0.5,IF(Dataset!B485&lt;120,0.65,0.8)))</f>
        <v>0.8</v>
      </c>
      <c r="C485" s="29">
        <f>IF(Dataset!B485&lt;25,1,IF(Dataset!B485&lt;75,2,IF(Dataset!B485&lt;120,3,4)))</f>
        <v>4</v>
      </c>
      <c r="D485" s="29">
        <f t="shared" si="56"/>
        <v>3.2</v>
      </c>
      <c r="E485" s="29">
        <f>IF(Dataset!C485&lt;=1,0.3,IF(Dataset!C485=2,0.4,IF(Dataset!C485=3,0.5,IF(Dataset!C485=4,0.65,0.8))))</f>
        <v>0.8</v>
      </c>
      <c r="F485" s="29">
        <f>IF(Dataset!C485&lt;=2,1,IF(Dataset!C485=3,2,IF(Dataset!C485=4,3,4)))</f>
        <v>4</v>
      </c>
      <c r="G485" s="29">
        <f t="shared" si="57"/>
        <v>3.2</v>
      </c>
      <c r="H485" s="29">
        <f>IF(Dataset!G485&lt;=3,0.25,IF(Dataset!G485&lt;=6,0.45,IF(Dataset!G485&lt;=9,0.65,0.85)))</f>
        <v>0.45</v>
      </c>
      <c r="I485" s="29">
        <f>IF(Dataset!G485&lt;=3,1,IF(Dataset!G485&lt;=6,2,IF(Dataset!G485&lt;=9,3,4)))</f>
        <v>2</v>
      </c>
      <c r="J485" s="29">
        <f t="shared" si="58"/>
        <v>0.9</v>
      </c>
      <c r="K485" s="29">
        <f>IF(Dataset!H485&lt;1,0.2,IF(Dataset!H485&lt;1.3,0.45,IF(Dataset!H485&lt;1.8,0.7,0.9)))</f>
        <v>0.9</v>
      </c>
      <c r="L485" s="29">
        <f>IF(Dataset!H485&lt;1,1,IF(Dataset!H485&lt;1.3,2,IF(Dataset!H485&lt;1.8,3,4)))</f>
        <v>4</v>
      </c>
      <c r="M485" s="29">
        <f t="shared" si="59"/>
        <v>3.6</v>
      </c>
      <c r="N485" s="29">
        <f>IF(Dataset!F485=1,0.75,IF(Dataset!F485=2,0.45,0.2))</f>
        <v>0.2</v>
      </c>
      <c r="O485" s="29">
        <f>IF(Dataset!F485=1,3,IF(Dataset!F485=2,2,1))</f>
        <v>1</v>
      </c>
      <c r="P485" s="29">
        <f t="shared" si="60"/>
        <v>0.2</v>
      </c>
      <c r="Q485" s="29">
        <f>IF(Dataset!K485&lt;5,0.2,IF(Dataset!K485&lt;10,0.45,IF(Dataset!K485&lt;18,0.7,0.9)))</f>
        <v>0.9</v>
      </c>
      <c r="R485" s="29">
        <f>IF(Dataset!K485&lt;5,1,IF(Dataset!K485&lt;10,2,IF(Dataset!K485&lt;18,3,4)))</f>
        <v>4</v>
      </c>
      <c r="S485" s="29">
        <f t="shared" si="61"/>
        <v>3.6</v>
      </c>
      <c r="T485" s="29">
        <f t="shared" si="62"/>
        <v>2.5920000000000001</v>
      </c>
      <c r="U485" s="29" t="str">
        <f t="shared" si="63"/>
        <v>High</v>
      </c>
    </row>
    <row r="486" spans="1:21" ht="15" customHeight="1" x14ac:dyDescent="0.25">
      <c r="A486" s="29">
        <f>Dataset!A486</f>
        <v>482</v>
      </c>
      <c r="B486" s="29">
        <f>IF(Dataset!B486&lt;25,0.3,IF(Dataset!B486&lt;75,0.5,IF(Dataset!B486&lt;120,0.65,0.8)))</f>
        <v>0.3</v>
      </c>
      <c r="C486" s="29">
        <f>IF(Dataset!B486&lt;25,1,IF(Dataset!B486&lt;75,2,IF(Dataset!B486&lt;120,3,4)))</f>
        <v>1</v>
      </c>
      <c r="D486" s="29">
        <f t="shared" si="56"/>
        <v>0.3</v>
      </c>
      <c r="E486" s="29">
        <f>IF(Dataset!C486&lt;=1,0.3,IF(Dataset!C486=2,0.4,IF(Dataset!C486=3,0.5,IF(Dataset!C486=4,0.65,0.8))))</f>
        <v>0.8</v>
      </c>
      <c r="F486" s="29">
        <f>IF(Dataset!C486&lt;=2,1,IF(Dataset!C486=3,2,IF(Dataset!C486=4,3,4)))</f>
        <v>4</v>
      </c>
      <c r="G486" s="29">
        <f t="shared" si="57"/>
        <v>3.2</v>
      </c>
      <c r="H486" s="29">
        <f>IF(Dataset!G486&lt;=3,0.25,IF(Dataset!G486&lt;=6,0.45,IF(Dataset!G486&lt;=9,0.65,0.85)))</f>
        <v>0.25</v>
      </c>
      <c r="I486" s="29">
        <f>IF(Dataset!G486&lt;=3,1,IF(Dataset!G486&lt;=6,2,IF(Dataset!G486&lt;=9,3,4)))</f>
        <v>1</v>
      </c>
      <c r="J486" s="29">
        <f t="shared" si="58"/>
        <v>0.25</v>
      </c>
      <c r="K486" s="29">
        <f>IF(Dataset!H486&lt;1,0.2,IF(Dataset!H486&lt;1.3,0.45,IF(Dataset!H486&lt;1.8,0.7,0.9)))</f>
        <v>0.45</v>
      </c>
      <c r="L486" s="29">
        <f>IF(Dataset!H486&lt;1,1,IF(Dataset!H486&lt;1.3,2,IF(Dataset!H486&lt;1.8,3,4)))</f>
        <v>2</v>
      </c>
      <c r="M486" s="29">
        <f t="shared" si="59"/>
        <v>0.9</v>
      </c>
      <c r="N486" s="29">
        <f>IF(Dataset!F486=1,0.75,IF(Dataset!F486=2,0.45,0.2))</f>
        <v>0.2</v>
      </c>
      <c r="O486" s="29">
        <f>IF(Dataset!F486=1,3,IF(Dataset!F486=2,2,1))</f>
        <v>1</v>
      </c>
      <c r="P486" s="29">
        <f t="shared" si="60"/>
        <v>0.2</v>
      </c>
      <c r="Q486" s="29">
        <f>IF(Dataset!K486&lt;5,0.2,IF(Dataset!K486&lt;10,0.45,IF(Dataset!K486&lt;18,0.7,0.9)))</f>
        <v>0.7</v>
      </c>
      <c r="R486" s="29">
        <f>IF(Dataset!K486&lt;5,1,IF(Dataset!K486&lt;10,2,IF(Dataset!K486&lt;18,3,4)))</f>
        <v>3</v>
      </c>
      <c r="S486" s="29">
        <f t="shared" si="61"/>
        <v>2.0999999999999996</v>
      </c>
      <c r="T486" s="29">
        <f t="shared" si="62"/>
        <v>1.0820000000000001</v>
      </c>
      <c r="U486" s="29" t="str">
        <f t="shared" si="63"/>
        <v>Low</v>
      </c>
    </row>
    <row r="487" spans="1:21" ht="15" customHeight="1" x14ac:dyDescent="0.25">
      <c r="A487" s="29">
        <f>Dataset!A487</f>
        <v>483</v>
      </c>
      <c r="B487" s="29">
        <f>IF(Dataset!B487&lt;25,0.3,IF(Dataset!B487&lt;75,0.5,IF(Dataset!B487&lt;120,0.65,0.8)))</f>
        <v>0.5</v>
      </c>
      <c r="C487" s="29">
        <f>IF(Dataset!B487&lt;25,1,IF(Dataset!B487&lt;75,2,IF(Dataset!B487&lt;120,3,4)))</f>
        <v>2</v>
      </c>
      <c r="D487" s="29">
        <f t="shared" si="56"/>
        <v>1</v>
      </c>
      <c r="E487" s="29">
        <f>IF(Dataset!C487&lt;=1,0.3,IF(Dataset!C487=2,0.4,IF(Dataset!C487=3,0.5,IF(Dataset!C487=4,0.65,0.8))))</f>
        <v>0.8</v>
      </c>
      <c r="F487" s="29">
        <f>IF(Dataset!C487&lt;=2,1,IF(Dataset!C487=3,2,IF(Dataset!C487=4,3,4)))</f>
        <v>4</v>
      </c>
      <c r="G487" s="29">
        <f t="shared" si="57"/>
        <v>3.2</v>
      </c>
      <c r="H487" s="29">
        <f>IF(Dataset!G487&lt;=3,0.25,IF(Dataset!G487&lt;=6,0.45,IF(Dataset!G487&lt;=9,0.65,0.85)))</f>
        <v>0.45</v>
      </c>
      <c r="I487" s="29">
        <f>IF(Dataset!G487&lt;=3,1,IF(Dataset!G487&lt;=6,2,IF(Dataset!G487&lt;=9,3,4)))</f>
        <v>2</v>
      </c>
      <c r="J487" s="29">
        <f t="shared" si="58"/>
        <v>0.9</v>
      </c>
      <c r="K487" s="29">
        <f>IF(Dataset!H487&lt;1,0.2,IF(Dataset!H487&lt;1.3,0.45,IF(Dataset!H487&lt;1.8,0.7,0.9)))</f>
        <v>0.7</v>
      </c>
      <c r="L487" s="29">
        <f>IF(Dataset!H487&lt;1,1,IF(Dataset!H487&lt;1.3,2,IF(Dataset!H487&lt;1.8,3,4)))</f>
        <v>3</v>
      </c>
      <c r="M487" s="29">
        <f t="shared" si="59"/>
        <v>2.0999999999999996</v>
      </c>
      <c r="N487" s="29">
        <f>IF(Dataset!F487=1,0.75,IF(Dataset!F487=2,0.45,0.2))</f>
        <v>0.75</v>
      </c>
      <c r="O487" s="29">
        <f>IF(Dataset!F487=1,3,IF(Dataset!F487=2,2,1))</f>
        <v>3</v>
      </c>
      <c r="P487" s="29">
        <f t="shared" si="60"/>
        <v>2.25</v>
      </c>
      <c r="Q487" s="29">
        <f>IF(Dataset!K487&lt;5,0.2,IF(Dataset!K487&lt;10,0.45,IF(Dataset!K487&lt;18,0.7,0.9)))</f>
        <v>0.9</v>
      </c>
      <c r="R487" s="29">
        <f>IF(Dataset!K487&lt;5,1,IF(Dataset!K487&lt;10,2,IF(Dataset!K487&lt;18,3,4)))</f>
        <v>4</v>
      </c>
      <c r="S487" s="29">
        <f t="shared" si="61"/>
        <v>3.6</v>
      </c>
      <c r="T487" s="29">
        <f t="shared" si="62"/>
        <v>2.0410000000000004</v>
      </c>
      <c r="U487" s="29" t="str">
        <f t="shared" si="63"/>
        <v>High</v>
      </c>
    </row>
    <row r="488" spans="1:21" ht="15" customHeight="1" x14ac:dyDescent="0.25">
      <c r="A488" s="29">
        <f>Dataset!A488</f>
        <v>484</v>
      </c>
      <c r="B488" s="29">
        <f>IF(Dataset!B488&lt;25,0.3,IF(Dataset!B488&lt;75,0.5,IF(Dataset!B488&lt;120,0.65,0.8)))</f>
        <v>0.5</v>
      </c>
      <c r="C488" s="29">
        <f>IF(Dataset!B488&lt;25,1,IF(Dataset!B488&lt;75,2,IF(Dataset!B488&lt;120,3,4)))</f>
        <v>2</v>
      </c>
      <c r="D488" s="29">
        <f t="shared" si="56"/>
        <v>1</v>
      </c>
      <c r="E488" s="29">
        <f>IF(Dataset!C488&lt;=1,0.3,IF(Dataset!C488=2,0.4,IF(Dataset!C488=3,0.5,IF(Dataset!C488=4,0.65,0.8))))</f>
        <v>0.8</v>
      </c>
      <c r="F488" s="29">
        <f>IF(Dataset!C488&lt;=2,1,IF(Dataset!C488=3,2,IF(Dataset!C488=4,3,4)))</f>
        <v>4</v>
      </c>
      <c r="G488" s="29">
        <f t="shared" si="57"/>
        <v>3.2</v>
      </c>
      <c r="H488" s="29">
        <f>IF(Dataset!G488&lt;=3,0.25,IF(Dataset!G488&lt;=6,0.45,IF(Dataset!G488&lt;=9,0.65,0.85)))</f>
        <v>0.65</v>
      </c>
      <c r="I488" s="29">
        <f>IF(Dataset!G488&lt;=3,1,IF(Dataset!G488&lt;=6,2,IF(Dataset!G488&lt;=9,3,4)))</f>
        <v>3</v>
      </c>
      <c r="J488" s="29">
        <f t="shared" si="58"/>
        <v>1.9500000000000002</v>
      </c>
      <c r="K488" s="29">
        <f>IF(Dataset!H488&lt;1,0.2,IF(Dataset!H488&lt;1.3,0.45,IF(Dataset!H488&lt;1.8,0.7,0.9)))</f>
        <v>0.45</v>
      </c>
      <c r="L488" s="29">
        <f>IF(Dataset!H488&lt;1,1,IF(Dataset!H488&lt;1.3,2,IF(Dataset!H488&lt;1.8,3,4)))</f>
        <v>2</v>
      </c>
      <c r="M488" s="29">
        <f t="shared" si="59"/>
        <v>0.9</v>
      </c>
      <c r="N488" s="29">
        <f>IF(Dataset!F488=1,0.75,IF(Dataset!F488=2,0.45,0.2))</f>
        <v>0.75</v>
      </c>
      <c r="O488" s="29">
        <f>IF(Dataset!F488=1,3,IF(Dataset!F488=2,2,1))</f>
        <v>3</v>
      </c>
      <c r="P488" s="29">
        <f t="shared" si="60"/>
        <v>2.25</v>
      </c>
      <c r="Q488" s="29">
        <f>IF(Dataset!K488&lt;5,0.2,IF(Dataset!K488&lt;10,0.45,IF(Dataset!K488&lt;18,0.7,0.9)))</f>
        <v>0.9</v>
      </c>
      <c r="R488" s="29">
        <f>IF(Dataset!K488&lt;5,1,IF(Dataset!K488&lt;10,2,IF(Dataset!K488&lt;18,3,4)))</f>
        <v>4</v>
      </c>
      <c r="S488" s="29">
        <f t="shared" si="61"/>
        <v>3.6</v>
      </c>
      <c r="T488" s="29">
        <f t="shared" si="62"/>
        <v>1.9630000000000005</v>
      </c>
      <c r="U488" s="29" t="str">
        <f t="shared" si="63"/>
        <v>High</v>
      </c>
    </row>
    <row r="489" spans="1:21" ht="15" customHeight="1" x14ac:dyDescent="0.25">
      <c r="A489" s="29">
        <f>Dataset!A489</f>
        <v>485</v>
      </c>
      <c r="B489" s="29">
        <f>IF(Dataset!B489&lt;25,0.3,IF(Dataset!B489&lt;75,0.5,IF(Dataset!B489&lt;120,0.65,0.8)))</f>
        <v>0.8</v>
      </c>
      <c r="C489" s="29">
        <f>IF(Dataset!B489&lt;25,1,IF(Dataset!B489&lt;75,2,IF(Dataset!B489&lt;120,3,4)))</f>
        <v>4</v>
      </c>
      <c r="D489" s="29">
        <f t="shared" si="56"/>
        <v>3.2</v>
      </c>
      <c r="E489" s="29">
        <f>IF(Dataset!C489&lt;=1,0.3,IF(Dataset!C489=2,0.4,IF(Dataset!C489=3,0.5,IF(Dataset!C489=4,0.65,0.8))))</f>
        <v>0.5</v>
      </c>
      <c r="F489" s="29">
        <f>IF(Dataset!C489&lt;=2,1,IF(Dataset!C489=3,2,IF(Dataset!C489=4,3,4)))</f>
        <v>2</v>
      </c>
      <c r="G489" s="29">
        <f t="shared" si="57"/>
        <v>1</v>
      </c>
      <c r="H489" s="29">
        <f>IF(Dataset!G489&lt;=3,0.25,IF(Dataset!G489&lt;=6,0.45,IF(Dataset!G489&lt;=9,0.65,0.85)))</f>
        <v>0.65</v>
      </c>
      <c r="I489" s="29">
        <f>IF(Dataset!G489&lt;=3,1,IF(Dataset!G489&lt;=6,2,IF(Dataset!G489&lt;=9,3,4)))</f>
        <v>3</v>
      </c>
      <c r="J489" s="29">
        <f t="shared" si="58"/>
        <v>1.9500000000000002</v>
      </c>
      <c r="K489" s="29">
        <f>IF(Dataset!H489&lt;1,0.2,IF(Dataset!H489&lt;1.3,0.45,IF(Dataset!H489&lt;1.8,0.7,0.9)))</f>
        <v>0.2</v>
      </c>
      <c r="L489" s="29">
        <f>IF(Dataset!H489&lt;1,1,IF(Dataset!H489&lt;1.3,2,IF(Dataset!H489&lt;1.8,3,4)))</f>
        <v>1</v>
      </c>
      <c r="M489" s="29">
        <f t="shared" si="59"/>
        <v>0.2</v>
      </c>
      <c r="N489" s="29">
        <f>IF(Dataset!F489=1,0.75,IF(Dataset!F489=2,0.45,0.2))</f>
        <v>0.2</v>
      </c>
      <c r="O489" s="29">
        <f>IF(Dataset!F489=1,3,IF(Dataset!F489=2,2,1))</f>
        <v>1</v>
      </c>
      <c r="P489" s="29">
        <f t="shared" si="60"/>
        <v>0.2</v>
      </c>
      <c r="Q489" s="29">
        <f>IF(Dataset!K489&lt;5,0.2,IF(Dataset!K489&lt;10,0.45,IF(Dataset!K489&lt;18,0.7,0.9)))</f>
        <v>0.45</v>
      </c>
      <c r="R489" s="29">
        <f>IF(Dataset!K489&lt;5,1,IF(Dataset!K489&lt;10,2,IF(Dataset!K489&lt;18,3,4)))</f>
        <v>2</v>
      </c>
      <c r="S489" s="29">
        <f t="shared" si="61"/>
        <v>0.9</v>
      </c>
      <c r="T489" s="29">
        <f t="shared" si="62"/>
        <v>1.3000000000000003</v>
      </c>
      <c r="U489" s="29" t="str">
        <f t="shared" si="63"/>
        <v>Low</v>
      </c>
    </row>
    <row r="490" spans="1:21" ht="15" customHeight="1" x14ac:dyDescent="0.25">
      <c r="A490" s="29">
        <f>Dataset!A490</f>
        <v>486</v>
      </c>
      <c r="B490" s="29">
        <f>IF(Dataset!B490&lt;25,0.3,IF(Dataset!B490&lt;75,0.5,IF(Dataset!B490&lt;120,0.65,0.8)))</f>
        <v>0.5</v>
      </c>
      <c r="C490" s="29">
        <f>IF(Dataset!B490&lt;25,1,IF(Dataset!B490&lt;75,2,IF(Dataset!B490&lt;120,3,4)))</f>
        <v>2</v>
      </c>
      <c r="D490" s="29">
        <f t="shared" si="56"/>
        <v>1</v>
      </c>
      <c r="E490" s="29">
        <f>IF(Dataset!C490&lt;=1,0.3,IF(Dataset!C490=2,0.4,IF(Dataset!C490=3,0.5,IF(Dataset!C490=4,0.65,0.8))))</f>
        <v>0.5</v>
      </c>
      <c r="F490" s="29">
        <f>IF(Dataset!C490&lt;=2,1,IF(Dataset!C490=3,2,IF(Dataset!C490=4,3,4)))</f>
        <v>2</v>
      </c>
      <c r="G490" s="29">
        <f t="shared" si="57"/>
        <v>1</v>
      </c>
      <c r="H490" s="29">
        <f>IF(Dataset!G490&lt;=3,0.25,IF(Dataset!G490&lt;=6,0.45,IF(Dataset!G490&lt;=9,0.65,0.85)))</f>
        <v>0.45</v>
      </c>
      <c r="I490" s="29">
        <f>IF(Dataset!G490&lt;=3,1,IF(Dataset!G490&lt;=6,2,IF(Dataset!G490&lt;=9,3,4)))</f>
        <v>2</v>
      </c>
      <c r="J490" s="29">
        <f t="shared" si="58"/>
        <v>0.9</v>
      </c>
      <c r="K490" s="29">
        <f>IF(Dataset!H490&lt;1,0.2,IF(Dataset!H490&lt;1.3,0.45,IF(Dataset!H490&lt;1.8,0.7,0.9)))</f>
        <v>0.7</v>
      </c>
      <c r="L490" s="29">
        <f>IF(Dataset!H490&lt;1,1,IF(Dataset!H490&lt;1.3,2,IF(Dataset!H490&lt;1.8,3,4)))</f>
        <v>3</v>
      </c>
      <c r="M490" s="29">
        <f t="shared" si="59"/>
        <v>2.0999999999999996</v>
      </c>
      <c r="N490" s="29">
        <f>IF(Dataset!F490=1,0.75,IF(Dataset!F490=2,0.45,0.2))</f>
        <v>0.2</v>
      </c>
      <c r="O490" s="29">
        <f>IF(Dataset!F490=1,3,IF(Dataset!F490=2,2,1))</f>
        <v>1</v>
      </c>
      <c r="P490" s="29">
        <f t="shared" si="60"/>
        <v>0.2</v>
      </c>
      <c r="Q490" s="29">
        <f>IF(Dataset!K490&lt;5,0.2,IF(Dataset!K490&lt;10,0.45,IF(Dataset!K490&lt;18,0.7,0.9)))</f>
        <v>0.45</v>
      </c>
      <c r="R490" s="29">
        <f>IF(Dataset!K490&lt;5,1,IF(Dataset!K490&lt;10,2,IF(Dataset!K490&lt;18,3,4)))</f>
        <v>2</v>
      </c>
      <c r="S490" s="29">
        <f t="shared" si="61"/>
        <v>0.9</v>
      </c>
      <c r="T490" s="29">
        <f t="shared" si="62"/>
        <v>1.1500000000000001</v>
      </c>
      <c r="U490" s="29" t="str">
        <f t="shared" si="63"/>
        <v>Low</v>
      </c>
    </row>
    <row r="491" spans="1:21" ht="15" customHeight="1" x14ac:dyDescent="0.25">
      <c r="A491" s="29">
        <f>Dataset!A491</f>
        <v>487</v>
      </c>
      <c r="B491" s="29">
        <f>IF(Dataset!B491&lt;25,0.3,IF(Dataset!B491&lt;75,0.5,IF(Dataset!B491&lt;120,0.65,0.8)))</f>
        <v>0.5</v>
      </c>
      <c r="C491" s="29">
        <f>IF(Dataset!B491&lt;25,1,IF(Dataset!B491&lt;75,2,IF(Dataset!B491&lt;120,3,4)))</f>
        <v>2</v>
      </c>
      <c r="D491" s="29">
        <f t="shared" si="56"/>
        <v>1</v>
      </c>
      <c r="E491" s="29">
        <f>IF(Dataset!C491&lt;=1,0.3,IF(Dataset!C491=2,0.4,IF(Dataset!C491=3,0.5,IF(Dataset!C491=4,0.65,0.8))))</f>
        <v>0.4</v>
      </c>
      <c r="F491" s="29">
        <f>IF(Dataset!C491&lt;=2,1,IF(Dataset!C491=3,2,IF(Dataset!C491=4,3,4)))</f>
        <v>1</v>
      </c>
      <c r="G491" s="29">
        <f t="shared" si="57"/>
        <v>0.4</v>
      </c>
      <c r="H491" s="29">
        <f>IF(Dataset!G491&lt;=3,0.25,IF(Dataset!G491&lt;=6,0.45,IF(Dataset!G491&lt;=9,0.65,0.85)))</f>
        <v>0.45</v>
      </c>
      <c r="I491" s="29">
        <f>IF(Dataset!G491&lt;=3,1,IF(Dataset!G491&lt;=6,2,IF(Dataset!G491&lt;=9,3,4)))</f>
        <v>2</v>
      </c>
      <c r="J491" s="29">
        <f t="shared" si="58"/>
        <v>0.9</v>
      </c>
      <c r="K491" s="29">
        <f>IF(Dataset!H491&lt;1,0.2,IF(Dataset!H491&lt;1.3,0.45,IF(Dataset!H491&lt;1.8,0.7,0.9)))</f>
        <v>0.9</v>
      </c>
      <c r="L491" s="29">
        <f>IF(Dataset!H491&lt;1,1,IF(Dataset!H491&lt;1.3,2,IF(Dataset!H491&lt;1.8,3,4)))</f>
        <v>4</v>
      </c>
      <c r="M491" s="29">
        <f t="shared" si="59"/>
        <v>3.6</v>
      </c>
      <c r="N491" s="29">
        <f>IF(Dataset!F491=1,0.75,IF(Dataset!F491=2,0.45,0.2))</f>
        <v>0.2</v>
      </c>
      <c r="O491" s="29">
        <f>IF(Dataset!F491=1,3,IF(Dataset!F491=2,2,1))</f>
        <v>1</v>
      </c>
      <c r="P491" s="29">
        <f t="shared" si="60"/>
        <v>0.2</v>
      </c>
      <c r="Q491" s="29">
        <f>IF(Dataset!K491&lt;5,0.2,IF(Dataset!K491&lt;10,0.45,IF(Dataset!K491&lt;18,0.7,0.9)))</f>
        <v>0.2</v>
      </c>
      <c r="R491" s="29">
        <f>IF(Dataset!K491&lt;5,1,IF(Dataset!K491&lt;10,2,IF(Dataset!K491&lt;18,3,4)))</f>
        <v>1</v>
      </c>
      <c r="S491" s="29">
        <f t="shared" si="61"/>
        <v>0.2</v>
      </c>
      <c r="T491" s="29">
        <f t="shared" si="62"/>
        <v>1.3280000000000001</v>
      </c>
      <c r="U491" s="29" t="str">
        <f t="shared" si="63"/>
        <v>Low</v>
      </c>
    </row>
    <row r="492" spans="1:21" ht="15" customHeight="1" x14ac:dyDescent="0.25">
      <c r="A492" s="29">
        <f>Dataset!A492</f>
        <v>488</v>
      </c>
      <c r="B492" s="29">
        <f>IF(Dataset!B492&lt;25,0.3,IF(Dataset!B492&lt;75,0.5,IF(Dataset!B492&lt;120,0.65,0.8)))</f>
        <v>0.3</v>
      </c>
      <c r="C492" s="29">
        <f>IF(Dataset!B492&lt;25,1,IF(Dataset!B492&lt;75,2,IF(Dataset!B492&lt;120,3,4)))</f>
        <v>1</v>
      </c>
      <c r="D492" s="29">
        <f t="shared" si="56"/>
        <v>0.3</v>
      </c>
      <c r="E492" s="29">
        <f>IF(Dataset!C492&lt;=1,0.3,IF(Dataset!C492=2,0.4,IF(Dataset!C492=3,0.5,IF(Dataset!C492=4,0.65,0.8))))</f>
        <v>0.5</v>
      </c>
      <c r="F492" s="29">
        <f>IF(Dataset!C492&lt;=2,1,IF(Dataset!C492=3,2,IF(Dataset!C492=4,3,4)))</f>
        <v>2</v>
      </c>
      <c r="G492" s="29">
        <f t="shared" si="57"/>
        <v>1</v>
      </c>
      <c r="H492" s="29">
        <f>IF(Dataset!G492&lt;=3,0.25,IF(Dataset!G492&lt;=6,0.45,IF(Dataset!G492&lt;=9,0.65,0.85)))</f>
        <v>0.45</v>
      </c>
      <c r="I492" s="29">
        <f>IF(Dataset!G492&lt;=3,1,IF(Dataset!G492&lt;=6,2,IF(Dataset!G492&lt;=9,3,4)))</f>
        <v>2</v>
      </c>
      <c r="J492" s="29">
        <f t="shared" si="58"/>
        <v>0.9</v>
      </c>
      <c r="K492" s="29">
        <f>IF(Dataset!H492&lt;1,0.2,IF(Dataset!H492&lt;1.3,0.45,IF(Dataset!H492&lt;1.8,0.7,0.9)))</f>
        <v>0.9</v>
      </c>
      <c r="L492" s="29">
        <f>IF(Dataset!H492&lt;1,1,IF(Dataset!H492&lt;1.3,2,IF(Dataset!H492&lt;1.8,3,4)))</f>
        <v>4</v>
      </c>
      <c r="M492" s="29">
        <f t="shared" si="59"/>
        <v>3.6</v>
      </c>
      <c r="N492" s="29">
        <f>IF(Dataset!F492=1,0.75,IF(Dataset!F492=2,0.45,0.2))</f>
        <v>0.75</v>
      </c>
      <c r="O492" s="29">
        <f>IF(Dataset!F492=1,3,IF(Dataset!F492=2,2,1))</f>
        <v>3</v>
      </c>
      <c r="P492" s="29">
        <f t="shared" si="60"/>
        <v>2.25</v>
      </c>
      <c r="Q492" s="29">
        <f>IF(Dataset!K492&lt;5,0.2,IF(Dataset!K492&lt;10,0.45,IF(Dataset!K492&lt;18,0.7,0.9)))</f>
        <v>0.2</v>
      </c>
      <c r="R492" s="29">
        <f>IF(Dataset!K492&lt;5,1,IF(Dataset!K492&lt;10,2,IF(Dataset!K492&lt;18,3,4)))</f>
        <v>1</v>
      </c>
      <c r="S492" s="29">
        <f t="shared" si="61"/>
        <v>0.2</v>
      </c>
      <c r="T492" s="29">
        <f t="shared" si="62"/>
        <v>1.4910000000000001</v>
      </c>
      <c r="U492" s="29" t="str">
        <f t="shared" si="63"/>
        <v>Medium</v>
      </c>
    </row>
    <row r="493" spans="1:21" ht="15" customHeight="1" x14ac:dyDescent="0.25">
      <c r="A493" s="29">
        <f>Dataset!A493</f>
        <v>489</v>
      </c>
      <c r="B493" s="29">
        <f>IF(Dataset!B493&lt;25,0.3,IF(Dataset!B493&lt;75,0.5,IF(Dataset!B493&lt;120,0.65,0.8)))</f>
        <v>0.8</v>
      </c>
      <c r="C493" s="29">
        <f>IF(Dataset!B493&lt;25,1,IF(Dataset!B493&lt;75,2,IF(Dataset!B493&lt;120,3,4)))</f>
        <v>4</v>
      </c>
      <c r="D493" s="29">
        <f t="shared" si="56"/>
        <v>3.2</v>
      </c>
      <c r="E493" s="29">
        <f>IF(Dataset!C493&lt;=1,0.3,IF(Dataset!C493=2,0.4,IF(Dataset!C493=3,0.5,IF(Dataset!C493=4,0.65,0.8))))</f>
        <v>0.4</v>
      </c>
      <c r="F493" s="29">
        <f>IF(Dataset!C493&lt;=2,1,IF(Dataset!C493=3,2,IF(Dataset!C493=4,3,4)))</f>
        <v>1</v>
      </c>
      <c r="G493" s="29">
        <f t="shared" si="57"/>
        <v>0.4</v>
      </c>
      <c r="H493" s="29">
        <f>IF(Dataset!G493&lt;=3,0.25,IF(Dataset!G493&lt;=6,0.45,IF(Dataset!G493&lt;=9,0.65,0.85)))</f>
        <v>0.45</v>
      </c>
      <c r="I493" s="29">
        <f>IF(Dataset!G493&lt;=3,1,IF(Dataset!G493&lt;=6,2,IF(Dataset!G493&lt;=9,3,4)))</f>
        <v>2</v>
      </c>
      <c r="J493" s="29">
        <f t="shared" si="58"/>
        <v>0.9</v>
      </c>
      <c r="K493" s="29">
        <f>IF(Dataset!H493&lt;1,0.2,IF(Dataset!H493&lt;1.3,0.45,IF(Dataset!H493&lt;1.8,0.7,0.9)))</f>
        <v>0.7</v>
      </c>
      <c r="L493" s="29">
        <f>IF(Dataset!H493&lt;1,1,IF(Dataset!H493&lt;1.3,2,IF(Dataset!H493&lt;1.8,3,4)))</f>
        <v>3</v>
      </c>
      <c r="M493" s="29">
        <f t="shared" si="59"/>
        <v>2.0999999999999996</v>
      </c>
      <c r="N493" s="29">
        <f>IF(Dataset!F493=1,0.75,IF(Dataset!F493=2,0.45,0.2))</f>
        <v>0.75</v>
      </c>
      <c r="O493" s="29">
        <f>IF(Dataset!F493=1,3,IF(Dataset!F493=2,2,1))</f>
        <v>3</v>
      </c>
      <c r="P493" s="29">
        <f t="shared" si="60"/>
        <v>2.25</v>
      </c>
      <c r="Q493" s="29">
        <f>IF(Dataset!K493&lt;5,0.2,IF(Dataset!K493&lt;10,0.45,IF(Dataset!K493&lt;18,0.7,0.9)))</f>
        <v>0.2</v>
      </c>
      <c r="R493" s="29">
        <f>IF(Dataset!K493&lt;5,1,IF(Dataset!K493&lt;10,2,IF(Dataset!K493&lt;18,3,4)))</f>
        <v>1</v>
      </c>
      <c r="S493" s="29">
        <f t="shared" si="61"/>
        <v>0.2</v>
      </c>
      <c r="T493" s="29">
        <f t="shared" si="62"/>
        <v>1.569</v>
      </c>
      <c r="U493" s="29" t="str">
        <f t="shared" si="63"/>
        <v>Medium</v>
      </c>
    </row>
    <row r="494" spans="1:21" ht="15" customHeight="1" x14ac:dyDescent="0.25">
      <c r="A494" s="29">
        <f>Dataset!A494</f>
        <v>490</v>
      </c>
      <c r="B494" s="29">
        <f>IF(Dataset!B494&lt;25,0.3,IF(Dataset!B494&lt;75,0.5,IF(Dataset!B494&lt;120,0.65,0.8)))</f>
        <v>0.3</v>
      </c>
      <c r="C494" s="29">
        <f>IF(Dataset!B494&lt;25,1,IF(Dataset!B494&lt;75,2,IF(Dataset!B494&lt;120,3,4)))</f>
        <v>1</v>
      </c>
      <c r="D494" s="29">
        <f t="shared" si="56"/>
        <v>0.3</v>
      </c>
      <c r="E494" s="29">
        <f>IF(Dataset!C494&lt;=1,0.3,IF(Dataset!C494=2,0.4,IF(Dataset!C494=3,0.5,IF(Dataset!C494=4,0.65,0.8))))</f>
        <v>0.8</v>
      </c>
      <c r="F494" s="29">
        <f>IF(Dataset!C494&lt;=2,1,IF(Dataset!C494=3,2,IF(Dataset!C494=4,3,4)))</f>
        <v>4</v>
      </c>
      <c r="G494" s="29">
        <f t="shared" si="57"/>
        <v>3.2</v>
      </c>
      <c r="H494" s="29">
        <f>IF(Dataset!G494&lt;=3,0.25,IF(Dataset!G494&lt;=6,0.45,IF(Dataset!G494&lt;=9,0.65,0.85)))</f>
        <v>0.45</v>
      </c>
      <c r="I494" s="29">
        <f>IF(Dataset!G494&lt;=3,1,IF(Dataset!G494&lt;=6,2,IF(Dataset!G494&lt;=9,3,4)))</f>
        <v>2</v>
      </c>
      <c r="J494" s="29">
        <f t="shared" si="58"/>
        <v>0.9</v>
      </c>
      <c r="K494" s="29">
        <f>IF(Dataset!H494&lt;1,0.2,IF(Dataset!H494&lt;1.3,0.45,IF(Dataset!H494&lt;1.8,0.7,0.9)))</f>
        <v>0.2</v>
      </c>
      <c r="L494" s="29">
        <f>IF(Dataset!H494&lt;1,1,IF(Dataset!H494&lt;1.3,2,IF(Dataset!H494&lt;1.8,3,4)))</f>
        <v>1</v>
      </c>
      <c r="M494" s="29">
        <f t="shared" si="59"/>
        <v>0.2</v>
      </c>
      <c r="N494" s="29">
        <f>IF(Dataset!F494=1,0.75,IF(Dataset!F494=2,0.45,0.2))</f>
        <v>0.75</v>
      </c>
      <c r="O494" s="29">
        <f>IF(Dataset!F494=1,3,IF(Dataset!F494=2,2,1))</f>
        <v>3</v>
      </c>
      <c r="P494" s="29">
        <f t="shared" si="60"/>
        <v>2.25</v>
      </c>
      <c r="Q494" s="29">
        <f>IF(Dataset!K494&lt;5,0.2,IF(Dataset!K494&lt;10,0.45,IF(Dataset!K494&lt;18,0.7,0.9)))</f>
        <v>0.9</v>
      </c>
      <c r="R494" s="29">
        <f>IF(Dataset!K494&lt;5,1,IF(Dataset!K494&lt;10,2,IF(Dataset!K494&lt;18,3,4)))</f>
        <v>4</v>
      </c>
      <c r="S494" s="29">
        <f t="shared" si="61"/>
        <v>3.6</v>
      </c>
      <c r="T494" s="29">
        <f t="shared" si="62"/>
        <v>1.4590000000000003</v>
      </c>
      <c r="U494" s="29" t="str">
        <f t="shared" si="63"/>
        <v>Medium</v>
      </c>
    </row>
    <row r="495" spans="1:21" ht="15" customHeight="1" x14ac:dyDescent="0.25">
      <c r="A495" s="29">
        <f>Dataset!A495</f>
        <v>491</v>
      </c>
      <c r="B495" s="29">
        <f>IF(Dataset!B495&lt;25,0.3,IF(Dataset!B495&lt;75,0.5,IF(Dataset!B495&lt;120,0.65,0.8)))</f>
        <v>0.65</v>
      </c>
      <c r="C495" s="29">
        <f>IF(Dataset!B495&lt;25,1,IF(Dataset!B495&lt;75,2,IF(Dataset!B495&lt;120,3,4)))</f>
        <v>3</v>
      </c>
      <c r="D495" s="29">
        <f t="shared" si="56"/>
        <v>1.9500000000000002</v>
      </c>
      <c r="E495" s="29">
        <f>IF(Dataset!C495&lt;=1,0.3,IF(Dataset!C495=2,0.4,IF(Dataset!C495=3,0.5,IF(Dataset!C495=4,0.65,0.8))))</f>
        <v>0.3</v>
      </c>
      <c r="F495" s="29">
        <f>IF(Dataset!C495&lt;=2,1,IF(Dataset!C495=3,2,IF(Dataset!C495=4,3,4)))</f>
        <v>1</v>
      </c>
      <c r="G495" s="29">
        <f t="shared" si="57"/>
        <v>0.3</v>
      </c>
      <c r="H495" s="29">
        <f>IF(Dataset!G495&lt;=3,0.25,IF(Dataset!G495&lt;=6,0.45,IF(Dataset!G495&lt;=9,0.65,0.85)))</f>
        <v>0.65</v>
      </c>
      <c r="I495" s="29">
        <f>IF(Dataset!G495&lt;=3,1,IF(Dataset!G495&lt;=6,2,IF(Dataset!G495&lt;=9,3,4)))</f>
        <v>3</v>
      </c>
      <c r="J495" s="29">
        <f t="shared" si="58"/>
        <v>1.9500000000000002</v>
      </c>
      <c r="K495" s="29">
        <f>IF(Dataset!H495&lt;1,0.2,IF(Dataset!H495&lt;1.3,0.45,IF(Dataset!H495&lt;1.8,0.7,0.9)))</f>
        <v>0.9</v>
      </c>
      <c r="L495" s="29">
        <f>IF(Dataset!H495&lt;1,1,IF(Dataset!H495&lt;1.3,2,IF(Dataset!H495&lt;1.8,3,4)))</f>
        <v>4</v>
      </c>
      <c r="M495" s="29">
        <f t="shared" si="59"/>
        <v>3.6</v>
      </c>
      <c r="N495" s="29">
        <f>IF(Dataset!F495=1,0.75,IF(Dataset!F495=2,0.45,0.2))</f>
        <v>0.2</v>
      </c>
      <c r="O495" s="29">
        <f>IF(Dataset!F495=1,3,IF(Dataset!F495=2,2,1))</f>
        <v>1</v>
      </c>
      <c r="P495" s="29">
        <f t="shared" si="60"/>
        <v>0.2</v>
      </c>
      <c r="Q495" s="29">
        <f>IF(Dataset!K495&lt;5,0.2,IF(Dataset!K495&lt;10,0.45,IF(Dataset!K495&lt;18,0.7,0.9)))</f>
        <v>0.2</v>
      </c>
      <c r="R495" s="29">
        <f>IF(Dataset!K495&lt;5,1,IF(Dataset!K495&lt;10,2,IF(Dataset!K495&lt;18,3,4)))</f>
        <v>1</v>
      </c>
      <c r="S495" s="29">
        <f t="shared" si="61"/>
        <v>0.2</v>
      </c>
      <c r="T495" s="29">
        <f t="shared" si="62"/>
        <v>1.6950000000000003</v>
      </c>
      <c r="U495" s="29" t="str">
        <f t="shared" si="63"/>
        <v>Medium</v>
      </c>
    </row>
    <row r="496" spans="1:21" ht="15" customHeight="1" x14ac:dyDescent="0.25">
      <c r="A496" s="29">
        <f>Dataset!A496</f>
        <v>492</v>
      </c>
      <c r="B496" s="29">
        <f>IF(Dataset!B496&lt;25,0.3,IF(Dataset!B496&lt;75,0.5,IF(Dataset!B496&lt;120,0.65,0.8)))</f>
        <v>0.5</v>
      </c>
      <c r="C496" s="29">
        <f>IF(Dataset!B496&lt;25,1,IF(Dataset!B496&lt;75,2,IF(Dataset!B496&lt;120,3,4)))</f>
        <v>2</v>
      </c>
      <c r="D496" s="29">
        <f t="shared" si="56"/>
        <v>1</v>
      </c>
      <c r="E496" s="29">
        <f>IF(Dataset!C496&lt;=1,0.3,IF(Dataset!C496=2,0.4,IF(Dataset!C496=3,0.5,IF(Dataset!C496=4,0.65,0.8))))</f>
        <v>0.4</v>
      </c>
      <c r="F496" s="29">
        <f>IF(Dataset!C496&lt;=2,1,IF(Dataset!C496=3,2,IF(Dataset!C496=4,3,4)))</f>
        <v>1</v>
      </c>
      <c r="G496" s="29">
        <f t="shared" si="57"/>
        <v>0.4</v>
      </c>
      <c r="H496" s="29">
        <f>IF(Dataset!G496&lt;=3,0.25,IF(Dataset!G496&lt;=6,0.45,IF(Dataset!G496&lt;=9,0.65,0.85)))</f>
        <v>0.25</v>
      </c>
      <c r="I496" s="29">
        <f>IF(Dataset!G496&lt;=3,1,IF(Dataset!G496&lt;=6,2,IF(Dataset!G496&lt;=9,3,4)))</f>
        <v>1</v>
      </c>
      <c r="J496" s="29">
        <f t="shared" si="58"/>
        <v>0.25</v>
      </c>
      <c r="K496" s="29">
        <f>IF(Dataset!H496&lt;1,0.2,IF(Dataset!H496&lt;1.3,0.45,IF(Dataset!H496&lt;1.8,0.7,0.9)))</f>
        <v>0.9</v>
      </c>
      <c r="L496" s="29">
        <f>IF(Dataset!H496&lt;1,1,IF(Dataset!H496&lt;1.3,2,IF(Dataset!H496&lt;1.8,3,4)))</f>
        <v>4</v>
      </c>
      <c r="M496" s="29">
        <f t="shared" si="59"/>
        <v>3.6</v>
      </c>
      <c r="N496" s="29">
        <f>IF(Dataset!F496=1,0.75,IF(Dataset!F496=2,0.45,0.2))</f>
        <v>0.45</v>
      </c>
      <c r="O496" s="29">
        <f>IF(Dataset!F496=1,3,IF(Dataset!F496=2,2,1))</f>
        <v>2</v>
      </c>
      <c r="P496" s="29">
        <f t="shared" si="60"/>
        <v>0.9</v>
      </c>
      <c r="Q496" s="29">
        <f>IF(Dataset!K496&lt;5,0.2,IF(Dataset!K496&lt;10,0.45,IF(Dataset!K496&lt;18,0.7,0.9)))</f>
        <v>0.2</v>
      </c>
      <c r="R496" s="29">
        <f>IF(Dataset!K496&lt;5,1,IF(Dataset!K496&lt;10,2,IF(Dataset!K496&lt;18,3,4)))</f>
        <v>1</v>
      </c>
      <c r="S496" s="29">
        <f t="shared" si="61"/>
        <v>0.2</v>
      </c>
      <c r="T496" s="29">
        <f t="shared" si="62"/>
        <v>1.268</v>
      </c>
      <c r="U496" s="29" t="str">
        <f t="shared" si="63"/>
        <v>Low</v>
      </c>
    </row>
    <row r="497" spans="1:21" ht="15" customHeight="1" x14ac:dyDescent="0.25">
      <c r="A497" s="29">
        <f>Dataset!A497</f>
        <v>493</v>
      </c>
      <c r="B497" s="29">
        <f>IF(Dataset!B497&lt;25,0.3,IF(Dataset!B497&lt;75,0.5,IF(Dataset!B497&lt;120,0.65,0.8)))</f>
        <v>0.65</v>
      </c>
      <c r="C497" s="29">
        <f>IF(Dataset!B497&lt;25,1,IF(Dataset!B497&lt;75,2,IF(Dataset!B497&lt;120,3,4)))</f>
        <v>3</v>
      </c>
      <c r="D497" s="29">
        <f t="shared" si="56"/>
        <v>1.9500000000000002</v>
      </c>
      <c r="E497" s="29">
        <f>IF(Dataset!C497&lt;=1,0.3,IF(Dataset!C497=2,0.4,IF(Dataset!C497=3,0.5,IF(Dataset!C497=4,0.65,0.8))))</f>
        <v>0.5</v>
      </c>
      <c r="F497" s="29">
        <f>IF(Dataset!C497&lt;=2,1,IF(Dataset!C497=3,2,IF(Dataset!C497=4,3,4)))</f>
        <v>2</v>
      </c>
      <c r="G497" s="29">
        <f t="shared" si="57"/>
        <v>1</v>
      </c>
      <c r="H497" s="29">
        <f>IF(Dataset!G497&lt;=3,0.25,IF(Dataset!G497&lt;=6,0.45,IF(Dataset!G497&lt;=9,0.65,0.85)))</f>
        <v>0.85</v>
      </c>
      <c r="I497" s="29">
        <f>IF(Dataset!G497&lt;=3,1,IF(Dataset!G497&lt;=6,2,IF(Dataset!G497&lt;=9,3,4)))</f>
        <v>4</v>
      </c>
      <c r="J497" s="29">
        <f t="shared" si="58"/>
        <v>3.4</v>
      </c>
      <c r="K497" s="29">
        <f>IF(Dataset!H497&lt;1,0.2,IF(Dataset!H497&lt;1.3,0.45,IF(Dataset!H497&lt;1.8,0.7,0.9)))</f>
        <v>0.9</v>
      </c>
      <c r="L497" s="29">
        <f>IF(Dataset!H497&lt;1,1,IF(Dataset!H497&lt;1.3,2,IF(Dataset!H497&lt;1.8,3,4)))</f>
        <v>4</v>
      </c>
      <c r="M497" s="29">
        <f t="shared" si="59"/>
        <v>3.6</v>
      </c>
      <c r="N497" s="29">
        <f>IF(Dataset!F497=1,0.75,IF(Dataset!F497=2,0.45,0.2))</f>
        <v>0.45</v>
      </c>
      <c r="O497" s="29">
        <f>IF(Dataset!F497=1,3,IF(Dataset!F497=2,2,1))</f>
        <v>2</v>
      </c>
      <c r="P497" s="29">
        <f t="shared" si="60"/>
        <v>0.9</v>
      </c>
      <c r="Q497" s="29">
        <f>IF(Dataset!K497&lt;5,0.2,IF(Dataset!K497&lt;10,0.45,IF(Dataset!K497&lt;18,0.7,0.9)))</f>
        <v>0.45</v>
      </c>
      <c r="R497" s="29">
        <f>IF(Dataset!K497&lt;5,1,IF(Dataset!K497&lt;10,2,IF(Dataset!K497&lt;18,3,4)))</f>
        <v>2</v>
      </c>
      <c r="S497" s="29">
        <f t="shared" si="61"/>
        <v>0.9</v>
      </c>
      <c r="T497" s="29">
        <f t="shared" si="62"/>
        <v>2.2509999999999999</v>
      </c>
      <c r="U497" s="29" t="str">
        <f t="shared" si="63"/>
        <v>High</v>
      </c>
    </row>
    <row r="498" spans="1:21" ht="15" customHeight="1" x14ac:dyDescent="0.25">
      <c r="A498" s="29">
        <f>Dataset!A498</f>
        <v>494</v>
      </c>
      <c r="B498" s="29">
        <f>IF(Dataset!B498&lt;25,0.3,IF(Dataset!B498&lt;75,0.5,IF(Dataset!B498&lt;120,0.65,0.8)))</f>
        <v>0.3</v>
      </c>
      <c r="C498" s="29">
        <f>IF(Dataset!B498&lt;25,1,IF(Dataset!B498&lt;75,2,IF(Dataset!B498&lt;120,3,4)))</f>
        <v>1</v>
      </c>
      <c r="D498" s="29">
        <f t="shared" si="56"/>
        <v>0.3</v>
      </c>
      <c r="E498" s="29">
        <f>IF(Dataset!C498&lt;=1,0.3,IF(Dataset!C498=2,0.4,IF(Dataset!C498=3,0.5,IF(Dataset!C498=4,0.65,0.8))))</f>
        <v>0.4</v>
      </c>
      <c r="F498" s="29">
        <f>IF(Dataset!C498&lt;=2,1,IF(Dataset!C498=3,2,IF(Dataset!C498=4,3,4)))</f>
        <v>1</v>
      </c>
      <c r="G498" s="29">
        <f t="shared" si="57"/>
        <v>0.4</v>
      </c>
      <c r="H498" s="29">
        <f>IF(Dataset!G498&lt;=3,0.25,IF(Dataset!G498&lt;=6,0.45,IF(Dataset!G498&lt;=9,0.65,0.85)))</f>
        <v>0.25</v>
      </c>
      <c r="I498" s="29">
        <f>IF(Dataset!G498&lt;=3,1,IF(Dataset!G498&lt;=6,2,IF(Dataset!G498&lt;=9,3,4)))</f>
        <v>1</v>
      </c>
      <c r="J498" s="29">
        <f t="shared" si="58"/>
        <v>0.25</v>
      </c>
      <c r="K498" s="29">
        <f>IF(Dataset!H498&lt;1,0.2,IF(Dataset!H498&lt;1.3,0.45,IF(Dataset!H498&lt;1.8,0.7,0.9)))</f>
        <v>0.9</v>
      </c>
      <c r="L498" s="29">
        <f>IF(Dataset!H498&lt;1,1,IF(Dataset!H498&lt;1.3,2,IF(Dataset!H498&lt;1.8,3,4)))</f>
        <v>4</v>
      </c>
      <c r="M498" s="29">
        <f t="shared" si="59"/>
        <v>3.6</v>
      </c>
      <c r="N498" s="29">
        <f>IF(Dataset!F498=1,0.75,IF(Dataset!F498=2,0.45,0.2))</f>
        <v>0.45</v>
      </c>
      <c r="O498" s="29">
        <f>IF(Dataset!F498=1,3,IF(Dataset!F498=2,2,1))</f>
        <v>2</v>
      </c>
      <c r="P498" s="29">
        <f t="shared" si="60"/>
        <v>0.9</v>
      </c>
      <c r="Q498" s="29">
        <f>IF(Dataset!K498&lt;5,0.2,IF(Dataset!K498&lt;10,0.45,IF(Dataset!K498&lt;18,0.7,0.9)))</f>
        <v>0.2</v>
      </c>
      <c r="R498" s="29">
        <f>IF(Dataset!K498&lt;5,1,IF(Dataset!K498&lt;10,2,IF(Dataset!K498&lt;18,3,4)))</f>
        <v>1</v>
      </c>
      <c r="S498" s="29">
        <f t="shared" si="61"/>
        <v>0.2</v>
      </c>
      <c r="T498" s="29">
        <f t="shared" si="62"/>
        <v>1.1420000000000001</v>
      </c>
      <c r="U498" s="29" t="str">
        <f t="shared" si="63"/>
        <v>Low</v>
      </c>
    </row>
    <row r="499" spans="1:21" ht="15" customHeight="1" x14ac:dyDescent="0.25">
      <c r="A499" s="29">
        <f>Dataset!A499</f>
        <v>495</v>
      </c>
      <c r="B499" s="29">
        <f>IF(Dataset!B499&lt;25,0.3,IF(Dataset!B499&lt;75,0.5,IF(Dataset!B499&lt;120,0.65,0.8)))</f>
        <v>0.5</v>
      </c>
      <c r="C499" s="29">
        <f>IF(Dataset!B499&lt;25,1,IF(Dataset!B499&lt;75,2,IF(Dataset!B499&lt;120,3,4)))</f>
        <v>2</v>
      </c>
      <c r="D499" s="29">
        <f t="shared" si="56"/>
        <v>1</v>
      </c>
      <c r="E499" s="29">
        <f>IF(Dataset!C499&lt;=1,0.3,IF(Dataset!C499=2,0.4,IF(Dataset!C499=3,0.5,IF(Dataset!C499=4,0.65,0.8))))</f>
        <v>0.4</v>
      </c>
      <c r="F499" s="29">
        <f>IF(Dataset!C499&lt;=2,1,IF(Dataset!C499=3,2,IF(Dataset!C499=4,3,4)))</f>
        <v>1</v>
      </c>
      <c r="G499" s="29">
        <f t="shared" si="57"/>
        <v>0.4</v>
      </c>
      <c r="H499" s="29">
        <f>IF(Dataset!G499&lt;=3,0.25,IF(Dataset!G499&lt;=6,0.45,IF(Dataset!G499&lt;=9,0.65,0.85)))</f>
        <v>0.65</v>
      </c>
      <c r="I499" s="29">
        <f>IF(Dataset!G499&lt;=3,1,IF(Dataset!G499&lt;=6,2,IF(Dataset!G499&lt;=9,3,4)))</f>
        <v>3</v>
      </c>
      <c r="J499" s="29">
        <f t="shared" si="58"/>
        <v>1.9500000000000002</v>
      </c>
      <c r="K499" s="29">
        <f>IF(Dataset!H499&lt;1,0.2,IF(Dataset!H499&lt;1.3,0.45,IF(Dataset!H499&lt;1.8,0.7,0.9)))</f>
        <v>0.7</v>
      </c>
      <c r="L499" s="29">
        <f>IF(Dataset!H499&lt;1,1,IF(Dataset!H499&lt;1.3,2,IF(Dataset!H499&lt;1.8,3,4)))</f>
        <v>3</v>
      </c>
      <c r="M499" s="29">
        <f t="shared" si="59"/>
        <v>2.0999999999999996</v>
      </c>
      <c r="N499" s="29">
        <f>IF(Dataset!F499=1,0.75,IF(Dataset!F499=2,0.45,0.2))</f>
        <v>0.75</v>
      </c>
      <c r="O499" s="29">
        <f>IF(Dataset!F499=1,3,IF(Dataset!F499=2,2,1))</f>
        <v>3</v>
      </c>
      <c r="P499" s="29">
        <f t="shared" si="60"/>
        <v>2.25</v>
      </c>
      <c r="Q499" s="29">
        <f>IF(Dataset!K499&lt;5,0.2,IF(Dataset!K499&lt;10,0.45,IF(Dataset!K499&lt;18,0.7,0.9)))</f>
        <v>0.2</v>
      </c>
      <c r="R499" s="29">
        <f>IF(Dataset!K499&lt;5,1,IF(Dataset!K499&lt;10,2,IF(Dataset!K499&lt;18,3,4)))</f>
        <v>1</v>
      </c>
      <c r="S499" s="29">
        <f t="shared" si="61"/>
        <v>0.2</v>
      </c>
      <c r="T499" s="29">
        <f t="shared" si="62"/>
        <v>1.383</v>
      </c>
      <c r="U499" s="29" t="str">
        <f t="shared" si="63"/>
        <v>Medium</v>
      </c>
    </row>
    <row r="500" spans="1:21" ht="15" customHeight="1" x14ac:dyDescent="0.25">
      <c r="A500" s="29">
        <f>Dataset!A500</f>
        <v>496</v>
      </c>
      <c r="B500" s="29">
        <f>IF(Dataset!B500&lt;25,0.3,IF(Dataset!B500&lt;75,0.5,IF(Dataset!B500&lt;120,0.65,0.8)))</f>
        <v>0.65</v>
      </c>
      <c r="C500" s="29">
        <f>IF(Dataset!B500&lt;25,1,IF(Dataset!B500&lt;75,2,IF(Dataset!B500&lt;120,3,4)))</f>
        <v>3</v>
      </c>
      <c r="D500" s="29">
        <f t="shared" si="56"/>
        <v>1.9500000000000002</v>
      </c>
      <c r="E500" s="29">
        <f>IF(Dataset!C500&lt;=1,0.3,IF(Dataset!C500=2,0.4,IF(Dataset!C500=3,0.5,IF(Dataset!C500=4,0.65,0.8))))</f>
        <v>0.65</v>
      </c>
      <c r="F500" s="29">
        <f>IF(Dataset!C500&lt;=2,1,IF(Dataset!C500=3,2,IF(Dataset!C500=4,3,4)))</f>
        <v>3</v>
      </c>
      <c r="G500" s="29">
        <f t="shared" si="57"/>
        <v>1.9500000000000002</v>
      </c>
      <c r="H500" s="29">
        <f>IF(Dataset!G500&lt;=3,0.25,IF(Dataset!G500&lt;=6,0.45,IF(Dataset!G500&lt;=9,0.65,0.85)))</f>
        <v>0.65</v>
      </c>
      <c r="I500" s="29">
        <f>IF(Dataset!G500&lt;=3,1,IF(Dataset!G500&lt;=6,2,IF(Dataset!G500&lt;=9,3,4)))</f>
        <v>3</v>
      </c>
      <c r="J500" s="29">
        <f t="shared" si="58"/>
        <v>1.9500000000000002</v>
      </c>
      <c r="K500" s="29">
        <f>IF(Dataset!H500&lt;1,0.2,IF(Dataset!H500&lt;1.3,0.45,IF(Dataset!H500&lt;1.8,0.7,0.9)))</f>
        <v>0.7</v>
      </c>
      <c r="L500" s="29">
        <f>IF(Dataset!H500&lt;1,1,IF(Dataset!H500&lt;1.3,2,IF(Dataset!H500&lt;1.8,3,4)))</f>
        <v>3</v>
      </c>
      <c r="M500" s="29">
        <f t="shared" si="59"/>
        <v>2.0999999999999996</v>
      </c>
      <c r="N500" s="29">
        <f>IF(Dataset!F500=1,0.75,IF(Dataset!F500=2,0.45,0.2))</f>
        <v>0.45</v>
      </c>
      <c r="O500" s="29">
        <f>IF(Dataset!F500=1,3,IF(Dataset!F500=2,2,1))</f>
        <v>2</v>
      </c>
      <c r="P500" s="29">
        <f t="shared" si="60"/>
        <v>0.9</v>
      </c>
      <c r="Q500" s="29">
        <f>IF(Dataset!K500&lt;5,0.2,IF(Dataset!K500&lt;10,0.45,IF(Dataset!K500&lt;18,0.7,0.9)))</f>
        <v>0.7</v>
      </c>
      <c r="R500" s="29">
        <f>IF(Dataset!K500&lt;5,1,IF(Dataset!K500&lt;10,2,IF(Dataset!K500&lt;18,3,4)))</f>
        <v>3</v>
      </c>
      <c r="S500" s="29">
        <f t="shared" si="61"/>
        <v>2.0999999999999996</v>
      </c>
      <c r="T500" s="29">
        <f t="shared" si="62"/>
        <v>1.9020000000000004</v>
      </c>
      <c r="U500" s="29" t="str">
        <f t="shared" si="63"/>
        <v>High</v>
      </c>
    </row>
    <row r="501" spans="1:21" ht="15" customHeight="1" x14ac:dyDescent="0.25">
      <c r="A501" s="29">
        <f>Dataset!A501</f>
        <v>497</v>
      </c>
      <c r="B501" s="29">
        <f>IF(Dataset!B501&lt;25,0.3,IF(Dataset!B501&lt;75,0.5,IF(Dataset!B501&lt;120,0.65,0.8)))</f>
        <v>0.8</v>
      </c>
      <c r="C501" s="29">
        <f>IF(Dataset!B501&lt;25,1,IF(Dataset!B501&lt;75,2,IF(Dataset!B501&lt;120,3,4)))</f>
        <v>4</v>
      </c>
      <c r="D501" s="29">
        <f t="shared" si="56"/>
        <v>3.2</v>
      </c>
      <c r="E501" s="29">
        <f>IF(Dataset!C501&lt;=1,0.3,IF(Dataset!C501=2,0.4,IF(Dataset!C501=3,0.5,IF(Dataset!C501=4,0.65,0.8))))</f>
        <v>0.5</v>
      </c>
      <c r="F501" s="29">
        <f>IF(Dataset!C501&lt;=2,1,IF(Dataset!C501=3,2,IF(Dataset!C501=4,3,4)))</f>
        <v>2</v>
      </c>
      <c r="G501" s="29">
        <f t="shared" si="57"/>
        <v>1</v>
      </c>
      <c r="H501" s="29">
        <f>IF(Dataset!G501&lt;=3,0.25,IF(Dataset!G501&lt;=6,0.45,IF(Dataset!G501&lt;=9,0.65,0.85)))</f>
        <v>0.65</v>
      </c>
      <c r="I501" s="29">
        <f>IF(Dataset!G501&lt;=3,1,IF(Dataset!G501&lt;=6,2,IF(Dataset!G501&lt;=9,3,4)))</f>
        <v>3</v>
      </c>
      <c r="J501" s="29">
        <f t="shared" si="58"/>
        <v>1.9500000000000002</v>
      </c>
      <c r="K501" s="29">
        <f>IF(Dataset!H501&lt;1,0.2,IF(Dataset!H501&lt;1.3,0.45,IF(Dataset!H501&lt;1.8,0.7,0.9)))</f>
        <v>0.9</v>
      </c>
      <c r="L501" s="29">
        <f>IF(Dataset!H501&lt;1,1,IF(Dataset!H501&lt;1.3,2,IF(Dataset!H501&lt;1.8,3,4)))</f>
        <v>4</v>
      </c>
      <c r="M501" s="29">
        <f t="shared" si="59"/>
        <v>3.6</v>
      </c>
      <c r="N501" s="29">
        <f>IF(Dataset!F501=1,0.75,IF(Dataset!F501=2,0.45,0.2))</f>
        <v>0.75</v>
      </c>
      <c r="O501" s="29">
        <f>IF(Dataset!F501=1,3,IF(Dataset!F501=2,2,1))</f>
        <v>3</v>
      </c>
      <c r="P501" s="29">
        <f t="shared" si="60"/>
        <v>2.25</v>
      </c>
      <c r="Q501" s="29">
        <f>IF(Dataset!K501&lt;5,0.2,IF(Dataset!K501&lt;10,0.45,IF(Dataset!K501&lt;18,0.7,0.9)))</f>
        <v>0.45</v>
      </c>
      <c r="R501" s="29">
        <f>IF(Dataset!K501&lt;5,1,IF(Dataset!K501&lt;10,2,IF(Dataset!K501&lt;18,3,4)))</f>
        <v>2</v>
      </c>
      <c r="S501" s="29">
        <f t="shared" si="61"/>
        <v>0.9</v>
      </c>
      <c r="T501" s="29">
        <f t="shared" si="62"/>
        <v>2.3210000000000002</v>
      </c>
      <c r="U501" s="29" t="str">
        <f t="shared" si="63"/>
        <v>High</v>
      </c>
    </row>
    <row r="502" spans="1:21" ht="15" customHeight="1" x14ac:dyDescent="0.25">
      <c r="A502" s="29">
        <f>Dataset!A502</f>
        <v>498</v>
      </c>
      <c r="B502" s="29">
        <f>IF(Dataset!B502&lt;25,0.3,IF(Dataset!B502&lt;75,0.5,IF(Dataset!B502&lt;120,0.65,0.8)))</f>
        <v>0.5</v>
      </c>
      <c r="C502" s="29">
        <f>IF(Dataset!B502&lt;25,1,IF(Dataset!B502&lt;75,2,IF(Dataset!B502&lt;120,3,4)))</f>
        <v>2</v>
      </c>
      <c r="D502" s="29">
        <f t="shared" si="56"/>
        <v>1</v>
      </c>
      <c r="E502" s="29">
        <f>IF(Dataset!C502&lt;=1,0.3,IF(Dataset!C502=2,0.4,IF(Dataset!C502=3,0.5,IF(Dataset!C502=4,0.65,0.8))))</f>
        <v>0.65</v>
      </c>
      <c r="F502" s="29">
        <f>IF(Dataset!C502&lt;=2,1,IF(Dataset!C502=3,2,IF(Dataset!C502=4,3,4)))</f>
        <v>3</v>
      </c>
      <c r="G502" s="29">
        <f t="shared" si="57"/>
        <v>1.9500000000000002</v>
      </c>
      <c r="H502" s="29">
        <f>IF(Dataset!G502&lt;=3,0.25,IF(Dataset!G502&lt;=6,0.45,IF(Dataset!G502&lt;=9,0.65,0.85)))</f>
        <v>0.85</v>
      </c>
      <c r="I502" s="29">
        <f>IF(Dataset!G502&lt;=3,1,IF(Dataset!G502&lt;=6,2,IF(Dataset!G502&lt;=9,3,4)))</f>
        <v>4</v>
      </c>
      <c r="J502" s="29">
        <f t="shared" si="58"/>
        <v>3.4</v>
      </c>
      <c r="K502" s="29">
        <f>IF(Dataset!H502&lt;1,0.2,IF(Dataset!H502&lt;1.3,0.45,IF(Dataset!H502&lt;1.8,0.7,0.9)))</f>
        <v>0.2</v>
      </c>
      <c r="L502" s="29">
        <f>IF(Dataset!H502&lt;1,1,IF(Dataset!H502&lt;1.3,2,IF(Dataset!H502&lt;1.8,3,4)))</f>
        <v>1</v>
      </c>
      <c r="M502" s="29">
        <f t="shared" si="59"/>
        <v>0.2</v>
      </c>
      <c r="N502" s="29">
        <f>IF(Dataset!F502=1,0.75,IF(Dataset!F502=2,0.45,0.2))</f>
        <v>0.45</v>
      </c>
      <c r="O502" s="29">
        <f>IF(Dataset!F502=1,3,IF(Dataset!F502=2,2,1))</f>
        <v>2</v>
      </c>
      <c r="P502" s="29">
        <f t="shared" si="60"/>
        <v>0.9</v>
      </c>
      <c r="Q502" s="29">
        <f>IF(Dataset!K502&lt;5,0.2,IF(Dataset!K502&lt;10,0.45,IF(Dataset!K502&lt;18,0.7,0.9)))</f>
        <v>0.7</v>
      </c>
      <c r="R502" s="29">
        <f>IF(Dataset!K502&lt;5,1,IF(Dataset!K502&lt;10,2,IF(Dataset!K502&lt;18,3,4)))</f>
        <v>3</v>
      </c>
      <c r="S502" s="29">
        <f t="shared" si="61"/>
        <v>2.0999999999999996</v>
      </c>
      <c r="T502" s="29">
        <f t="shared" si="62"/>
        <v>1.5650000000000002</v>
      </c>
      <c r="U502" s="29" t="str">
        <f t="shared" si="63"/>
        <v>Medium</v>
      </c>
    </row>
    <row r="503" spans="1:21" ht="15" customHeight="1" x14ac:dyDescent="0.25">
      <c r="A503" s="29">
        <f>Dataset!A503</f>
        <v>499</v>
      </c>
      <c r="B503" s="29">
        <f>IF(Dataset!B503&lt;25,0.3,IF(Dataset!B503&lt;75,0.5,IF(Dataset!B503&lt;120,0.65,0.8)))</f>
        <v>0.65</v>
      </c>
      <c r="C503" s="29">
        <f>IF(Dataset!B503&lt;25,1,IF(Dataset!B503&lt;75,2,IF(Dataset!B503&lt;120,3,4)))</f>
        <v>3</v>
      </c>
      <c r="D503" s="29">
        <f t="shared" si="56"/>
        <v>1.9500000000000002</v>
      </c>
      <c r="E503" s="29">
        <f>IF(Dataset!C503&lt;=1,0.3,IF(Dataset!C503=2,0.4,IF(Dataset!C503=3,0.5,IF(Dataset!C503=4,0.65,0.8))))</f>
        <v>0.8</v>
      </c>
      <c r="F503" s="29">
        <f>IF(Dataset!C503&lt;=2,1,IF(Dataset!C503=3,2,IF(Dataset!C503=4,3,4)))</f>
        <v>4</v>
      </c>
      <c r="G503" s="29">
        <f t="shared" si="57"/>
        <v>3.2</v>
      </c>
      <c r="H503" s="29">
        <f>IF(Dataset!G503&lt;=3,0.25,IF(Dataset!G503&lt;=6,0.45,IF(Dataset!G503&lt;=9,0.65,0.85)))</f>
        <v>0.45</v>
      </c>
      <c r="I503" s="29">
        <f>IF(Dataset!G503&lt;=3,1,IF(Dataset!G503&lt;=6,2,IF(Dataset!G503&lt;=9,3,4)))</f>
        <v>2</v>
      </c>
      <c r="J503" s="29">
        <f t="shared" si="58"/>
        <v>0.9</v>
      </c>
      <c r="K503" s="29">
        <f>IF(Dataset!H503&lt;1,0.2,IF(Dataset!H503&lt;1.3,0.45,IF(Dataset!H503&lt;1.8,0.7,0.9)))</f>
        <v>0.45</v>
      </c>
      <c r="L503" s="29">
        <f>IF(Dataset!H503&lt;1,1,IF(Dataset!H503&lt;1.3,2,IF(Dataset!H503&lt;1.8,3,4)))</f>
        <v>2</v>
      </c>
      <c r="M503" s="29">
        <f t="shared" si="59"/>
        <v>0.9</v>
      </c>
      <c r="N503" s="29">
        <f>IF(Dataset!F503=1,0.75,IF(Dataset!F503=2,0.45,0.2))</f>
        <v>0.45</v>
      </c>
      <c r="O503" s="29">
        <f>IF(Dataset!F503=1,3,IF(Dataset!F503=2,2,1))</f>
        <v>2</v>
      </c>
      <c r="P503" s="29">
        <f t="shared" si="60"/>
        <v>0.9</v>
      </c>
      <c r="Q503" s="29">
        <f>IF(Dataset!K503&lt;5,0.2,IF(Dataset!K503&lt;10,0.45,IF(Dataset!K503&lt;18,0.7,0.9)))</f>
        <v>0.9</v>
      </c>
      <c r="R503" s="29">
        <f>IF(Dataset!K503&lt;5,1,IF(Dataset!K503&lt;10,2,IF(Dataset!K503&lt;18,3,4)))</f>
        <v>4</v>
      </c>
      <c r="S503" s="29">
        <f t="shared" si="61"/>
        <v>3.6</v>
      </c>
      <c r="T503" s="29">
        <f t="shared" si="62"/>
        <v>1.7890000000000006</v>
      </c>
      <c r="U503" s="29" t="str">
        <f t="shared" si="63"/>
        <v>High</v>
      </c>
    </row>
    <row r="504" spans="1:21" ht="15" customHeight="1" x14ac:dyDescent="0.25">
      <c r="A504" s="29">
        <f>Dataset!A504</f>
        <v>500</v>
      </c>
      <c r="B504" s="29">
        <f>IF(Dataset!B504&lt;25,0.3,IF(Dataset!B504&lt;75,0.5,IF(Dataset!B504&lt;120,0.65,0.8)))</f>
        <v>0.5</v>
      </c>
      <c r="C504" s="29">
        <f>IF(Dataset!B504&lt;25,1,IF(Dataset!B504&lt;75,2,IF(Dataset!B504&lt;120,3,4)))</f>
        <v>2</v>
      </c>
      <c r="D504" s="29">
        <f t="shared" si="56"/>
        <v>1</v>
      </c>
      <c r="E504" s="29">
        <f>IF(Dataset!C504&lt;=1,0.3,IF(Dataset!C504=2,0.4,IF(Dataset!C504=3,0.5,IF(Dataset!C504=4,0.65,0.8))))</f>
        <v>0.65</v>
      </c>
      <c r="F504" s="29">
        <f>IF(Dataset!C504&lt;=2,1,IF(Dataset!C504=3,2,IF(Dataset!C504=4,3,4)))</f>
        <v>3</v>
      </c>
      <c r="G504" s="29">
        <f t="shared" si="57"/>
        <v>1.9500000000000002</v>
      </c>
      <c r="H504" s="29">
        <f>IF(Dataset!G504&lt;=3,0.25,IF(Dataset!G504&lt;=6,0.45,IF(Dataset!G504&lt;=9,0.65,0.85)))</f>
        <v>0.25</v>
      </c>
      <c r="I504" s="29">
        <f>IF(Dataset!G504&lt;=3,1,IF(Dataset!G504&lt;=6,2,IF(Dataset!G504&lt;=9,3,4)))</f>
        <v>1</v>
      </c>
      <c r="J504" s="29">
        <f t="shared" si="58"/>
        <v>0.25</v>
      </c>
      <c r="K504" s="29">
        <f>IF(Dataset!H504&lt;1,0.2,IF(Dataset!H504&lt;1.3,0.45,IF(Dataset!H504&lt;1.8,0.7,0.9)))</f>
        <v>0.7</v>
      </c>
      <c r="L504" s="29">
        <f>IF(Dataset!H504&lt;1,1,IF(Dataset!H504&lt;1.3,2,IF(Dataset!H504&lt;1.8,3,4)))</f>
        <v>3</v>
      </c>
      <c r="M504" s="29">
        <f t="shared" si="59"/>
        <v>2.0999999999999996</v>
      </c>
      <c r="N504" s="29">
        <f>IF(Dataset!F504=1,0.75,IF(Dataset!F504=2,0.45,0.2))</f>
        <v>0.45</v>
      </c>
      <c r="O504" s="29">
        <f>IF(Dataset!F504=1,3,IF(Dataset!F504=2,2,1))</f>
        <v>2</v>
      </c>
      <c r="P504" s="29">
        <f t="shared" si="60"/>
        <v>0.9</v>
      </c>
      <c r="Q504" s="29">
        <f>IF(Dataset!K504&lt;5,0.2,IF(Dataset!K504&lt;10,0.45,IF(Dataset!K504&lt;18,0.7,0.9)))</f>
        <v>0.45</v>
      </c>
      <c r="R504" s="29">
        <f>IF(Dataset!K504&lt;5,1,IF(Dataset!K504&lt;10,2,IF(Dataset!K504&lt;18,3,4)))</f>
        <v>2</v>
      </c>
      <c r="S504" s="29">
        <f t="shared" si="61"/>
        <v>0.9</v>
      </c>
      <c r="T504" s="29">
        <f t="shared" si="62"/>
        <v>1.2230000000000003</v>
      </c>
      <c r="U504" s="29" t="str">
        <f t="shared" si="63"/>
        <v>Low</v>
      </c>
    </row>
    <row r="505" spans="1:21" ht="15" customHeight="1" x14ac:dyDescent="0.25">
      <c r="A505" s="29">
        <f>Dataset!A505</f>
        <v>501</v>
      </c>
      <c r="B505" s="29">
        <f>IF(Dataset!B505&lt;25,0.3,IF(Dataset!B505&lt;75,0.5,IF(Dataset!B505&lt;120,0.65,0.8)))</f>
        <v>0.5</v>
      </c>
      <c r="C505" s="29">
        <f>IF(Dataset!B505&lt;25,1,IF(Dataset!B505&lt;75,2,IF(Dataset!B505&lt;120,3,4)))</f>
        <v>2</v>
      </c>
      <c r="D505" s="29">
        <f t="shared" si="56"/>
        <v>1</v>
      </c>
      <c r="E505" s="29">
        <f>IF(Dataset!C505&lt;=1,0.3,IF(Dataset!C505=2,0.4,IF(Dataset!C505=3,0.5,IF(Dataset!C505=4,0.65,0.8))))</f>
        <v>0.65</v>
      </c>
      <c r="F505" s="29">
        <f>IF(Dataset!C505&lt;=2,1,IF(Dataset!C505=3,2,IF(Dataset!C505=4,3,4)))</f>
        <v>3</v>
      </c>
      <c r="G505" s="29">
        <f t="shared" si="57"/>
        <v>1.9500000000000002</v>
      </c>
      <c r="H505" s="29">
        <f>IF(Dataset!G505&lt;=3,0.25,IF(Dataset!G505&lt;=6,0.45,IF(Dataset!G505&lt;=9,0.65,0.85)))</f>
        <v>0.45</v>
      </c>
      <c r="I505" s="29">
        <f>IF(Dataset!G505&lt;=3,1,IF(Dataset!G505&lt;=6,2,IF(Dataset!G505&lt;=9,3,4)))</f>
        <v>2</v>
      </c>
      <c r="J505" s="29">
        <f t="shared" si="58"/>
        <v>0.9</v>
      </c>
      <c r="K505" s="29">
        <f>IF(Dataset!H505&lt;1,0.2,IF(Dataset!H505&lt;1.3,0.45,IF(Dataset!H505&lt;1.8,0.7,0.9)))</f>
        <v>0.9</v>
      </c>
      <c r="L505" s="29">
        <f>IF(Dataset!H505&lt;1,1,IF(Dataset!H505&lt;1.3,2,IF(Dataset!H505&lt;1.8,3,4)))</f>
        <v>4</v>
      </c>
      <c r="M505" s="29">
        <f t="shared" si="59"/>
        <v>3.6</v>
      </c>
      <c r="N505" s="29">
        <f>IF(Dataset!F505=1,0.75,IF(Dataset!F505=2,0.45,0.2))</f>
        <v>0.45</v>
      </c>
      <c r="O505" s="29">
        <f>IF(Dataset!F505=1,3,IF(Dataset!F505=2,2,1))</f>
        <v>2</v>
      </c>
      <c r="P505" s="29">
        <f t="shared" si="60"/>
        <v>0.9</v>
      </c>
      <c r="Q505" s="29">
        <f>IF(Dataset!K505&lt;5,0.2,IF(Dataset!K505&lt;10,0.45,IF(Dataset!K505&lt;18,0.7,0.9)))</f>
        <v>0.7</v>
      </c>
      <c r="R505" s="29">
        <f>IF(Dataset!K505&lt;5,1,IF(Dataset!K505&lt;10,2,IF(Dataset!K505&lt;18,3,4)))</f>
        <v>3</v>
      </c>
      <c r="S505" s="29">
        <f t="shared" si="61"/>
        <v>2.0999999999999996</v>
      </c>
      <c r="T505" s="29">
        <f t="shared" si="62"/>
        <v>1.8810000000000002</v>
      </c>
      <c r="U505" s="29" t="str">
        <f t="shared" si="63"/>
        <v>High</v>
      </c>
    </row>
    <row r="506" spans="1:21" ht="15" customHeight="1" x14ac:dyDescent="0.25">
      <c r="A506" s="29">
        <f>Dataset!A506</f>
        <v>502</v>
      </c>
      <c r="B506" s="29">
        <f>IF(Dataset!B506&lt;25,0.3,IF(Dataset!B506&lt;75,0.5,IF(Dataset!B506&lt;120,0.65,0.8)))</f>
        <v>0.5</v>
      </c>
      <c r="C506" s="29">
        <f>IF(Dataset!B506&lt;25,1,IF(Dataset!B506&lt;75,2,IF(Dataset!B506&lt;120,3,4)))</f>
        <v>2</v>
      </c>
      <c r="D506" s="29">
        <f t="shared" si="56"/>
        <v>1</v>
      </c>
      <c r="E506" s="29">
        <f>IF(Dataset!C506&lt;=1,0.3,IF(Dataset!C506=2,0.4,IF(Dataset!C506=3,0.5,IF(Dataset!C506=4,0.65,0.8))))</f>
        <v>0.5</v>
      </c>
      <c r="F506" s="29">
        <f>IF(Dataset!C506&lt;=2,1,IF(Dataset!C506=3,2,IF(Dataset!C506=4,3,4)))</f>
        <v>2</v>
      </c>
      <c r="G506" s="29">
        <f t="shared" si="57"/>
        <v>1</v>
      </c>
      <c r="H506" s="29">
        <f>IF(Dataset!G506&lt;=3,0.25,IF(Dataset!G506&lt;=6,0.45,IF(Dataset!G506&lt;=9,0.65,0.85)))</f>
        <v>0.45</v>
      </c>
      <c r="I506" s="29">
        <f>IF(Dataset!G506&lt;=3,1,IF(Dataset!G506&lt;=6,2,IF(Dataset!G506&lt;=9,3,4)))</f>
        <v>2</v>
      </c>
      <c r="J506" s="29">
        <f t="shared" si="58"/>
        <v>0.9</v>
      </c>
      <c r="K506" s="29">
        <f>IF(Dataset!H506&lt;1,0.2,IF(Dataset!H506&lt;1.3,0.45,IF(Dataset!H506&lt;1.8,0.7,0.9)))</f>
        <v>0.9</v>
      </c>
      <c r="L506" s="29">
        <f>IF(Dataset!H506&lt;1,1,IF(Dataset!H506&lt;1.3,2,IF(Dataset!H506&lt;1.8,3,4)))</f>
        <v>4</v>
      </c>
      <c r="M506" s="29">
        <f t="shared" si="59"/>
        <v>3.6</v>
      </c>
      <c r="N506" s="29">
        <f>IF(Dataset!F506=1,0.75,IF(Dataset!F506=2,0.45,0.2))</f>
        <v>0.2</v>
      </c>
      <c r="O506" s="29">
        <f>IF(Dataset!F506=1,3,IF(Dataset!F506=2,2,1))</f>
        <v>1</v>
      </c>
      <c r="P506" s="29">
        <f t="shared" si="60"/>
        <v>0.2</v>
      </c>
      <c r="Q506" s="29">
        <f>IF(Dataset!K506&lt;5,0.2,IF(Dataset!K506&lt;10,0.45,IF(Dataset!K506&lt;18,0.7,0.9)))</f>
        <v>0.45</v>
      </c>
      <c r="R506" s="29">
        <f>IF(Dataset!K506&lt;5,1,IF(Dataset!K506&lt;10,2,IF(Dataset!K506&lt;18,3,4)))</f>
        <v>2</v>
      </c>
      <c r="S506" s="29">
        <f t="shared" si="61"/>
        <v>0.9</v>
      </c>
      <c r="T506" s="29">
        <f t="shared" si="62"/>
        <v>1.51</v>
      </c>
      <c r="U506" s="29" t="str">
        <f t="shared" si="63"/>
        <v>Medium</v>
      </c>
    </row>
    <row r="507" spans="1:21" ht="15" customHeight="1" x14ac:dyDescent="0.25">
      <c r="A507" s="29">
        <f>Dataset!A507</f>
        <v>503</v>
      </c>
      <c r="B507" s="29">
        <f>IF(Dataset!B507&lt;25,0.3,IF(Dataset!B507&lt;75,0.5,IF(Dataset!B507&lt;120,0.65,0.8)))</f>
        <v>0.5</v>
      </c>
      <c r="C507" s="29">
        <f>IF(Dataset!B507&lt;25,1,IF(Dataset!B507&lt;75,2,IF(Dataset!B507&lt;120,3,4)))</f>
        <v>2</v>
      </c>
      <c r="D507" s="29">
        <f t="shared" si="56"/>
        <v>1</v>
      </c>
      <c r="E507" s="29">
        <f>IF(Dataset!C507&lt;=1,0.3,IF(Dataset!C507=2,0.4,IF(Dataset!C507=3,0.5,IF(Dataset!C507=4,0.65,0.8))))</f>
        <v>0.4</v>
      </c>
      <c r="F507" s="29">
        <f>IF(Dataset!C507&lt;=2,1,IF(Dataset!C507=3,2,IF(Dataset!C507=4,3,4)))</f>
        <v>1</v>
      </c>
      <c r="G507" s="29">
        <f t="shared" si="57"/>
        <v>0.4</v>
      </c>
      <c r="H507" s="29">
        <f>IF(Dataset!G507&lt;=3,0.25,IF(Dataset!G507&lt;=6,0.45,IF(Dataset!G507&lt;=9,0.65,0.85)))</f>
        <v>0.65</v>
      </c>
      <c r="I507" s="29">
        <f>IF(Dataset!G507&lt;=3,1,IF(Dataset!G507&lt;=6,2,IF(Dataset!G507&lt;=9,3,4)))</f>
        <v>3</v>
      </c>
      <c r="J507" s="29">
        <f t="shared" si="58"/>
        <v>1.9500000000000002</v>
      </c>
      <c r="K507" s="29">
        <f>IF(Dataset!H507&lt;1,0.2,IF(Dataset!H507&lt;1.3,0.45,IF(Dataset!H507&lt;1.8,0.7,0.9)))</f>
        <v>0.7</v>
      </c>
      <c r="L507" s="29">
        <f>IF(Dataset!H507&lt;1,1,IF(Dataset!H507&lt;1.3,2,IF(Dataset!H507&lt;1.8,3,4)))</f>
        <v>3</v>
      </c>
      <c r="M507" s="29">
        <f t="shared" si="59"/>
        <v>2.0999999999999996</v>
      </c>
      <c r="N507" s="29">
        <f>IF(Dataset!F507=1,0.75,IF(Dataset!F507=2,0.45,0.2))</f>
        <v>0.45</v>
      </c>
      <c r="O507" s="29">
        <f>IF(Dataset!F507=1,3,IF(Dataset!F507=2,2,1))</f>
        <v>2</v>
      </c>
      <c r="P507" s="29">
        <f t="shared" si="60"/>
        <v>0.9</v>
      </c>
      <c r="Q507" s="29">
        <f>IF(Dataset!K507&lt;5,0.2,IF(Dataset!K507&lt;10,0.45,IF(Dataset!K507&lt;18,0.7,0.9)))</f>
        <v>0.45</v>
      </c>
      <c r="R507" s="29">
        <f>IF(Dataset!K507&lt;5,1,IF(Dataset!K507&lt;10,2,IF(Dataset!K507&lt;18,3,4)))</f>
        <v>2</v>
      </c>
      <c r="S507" s="29">
        <f t="shared" si="61"/>
        <v>0.9</v>
      </c>
      <c r="T507" s="29">
        <f t="shared" si="62"/>
        <v>1.3460000000000001</v>
      </c>
      <c r="U507" s="29" t="str">
        <f t="shared" si="63"/>
        <v>Low</v>
      </c>
    </row>
    <row r="508" spans="1:21" ht="15" customHeight="1" x14ac:dyDescent="0.25">
      <c r="A508" s="29">
        <f>Dataset!A508</f>
        <v>504</v>
      </c>
      <c r="B508" s="29">
        <f>IF(Dataset!B508&lt;25,0.3,IF(Dataset!B508&lt;75,0.5,IF(Dataset!B508&lt;120,0.65,0.8)))</f>
        <v>0.65</v>
      </c>
      <c r="C508" s="29">
        <f>IF(Dataset!B508&lt;25,1,IF(Dataset!B508&lt;75,2,IF(Dataset!B508&lt;120,3,4)))</f>
        <v>3</v>
      </c>
      <c r="D508" s="29">
        <f t="shared" si="56"/>
        <v>1.9500000000000002</v>
      </c>
      <c r="E508" s="29">
        <f>IF(Dataset!C508&lt;=1,0.3,IF(Dataset!C508=2,0.4,IF(Dataset!C508=3,0.5,IF(Dataset!C508=4,0.65,0.8))))</f>
        <v>0.5</v>
      </c>
      <c r="F508" s="29">
        <f>IF(Dataset!C508&lt;=2,1,IF(Dataset!C508=3,2,IF(Dataset!C508=4,3,4)))</f>
        <v>2</v>
      </c>
      <c r="G508" s="29">
        <f t="shared" si="57"/>
        <v>1</v>
      </c>
      <c r="H508" s="29">
        <f>IF(Dataset!G508&lt;=3,0.25,IF(Dataset!G508&lt;=6,0.45,IF(Dataset!G508&lt;=9,0.65,0.85)))</f>
        <v>0.65</v>
      </c>
      <c r="I508" s="29">
        <f>IF(Dataset!G508&lt;=3,1,IF(Dataset!G508&lt;=6,2,IF(Dataset!G508&lt;=9,3,4)))</f>
        <v>3</v>
      </c>
      <c r="J508" s="29">
        <f t="shared" si="58"/>
        <v>1.9500000000000002</v>
      </c>
      <c r="K508" s="29">
        <f>IF(Dataset!H508&lt;1,0.2,IF(Dataset!H508&lt;1.3,0.45,IF(Dataset!H508&lt;1.8,0.7,0.9)))</f>
        <v>0.2</v>
      </c>
      <c r="L508" s="29">
        <f>IF(Dataset!H508&lt;1,1,IF(Dataset!H508&lt;1.3,2,IF(Dataset!H508&lt;1.8,3,4)))</f>
        <v>1</v>
      </c>
      <c r="M508" s="29">
        <f t="shared" si="59"/>
        <v>0.2</v>
      </c>
      <c r="N508" s="29">
        <f>IF(Dataset!F508=1,0.75,IF(Dataset!F508=2,0.45,0.2))</f>
        <v>0.75</v>
      </c>
      <c r="O508" s="29">
        <f>IF(Dataset!F508=1,3,IF(Dataset!F508=2,2,1))</f>
        <v>3</v>
      </c>
      <c r="P508" s="29">
        <f t="shared" si="60"/>
        <v>2.25</v>
      </c>
      <c r="Q508" s="29">
        <f>IF(Dataset!K508&lt;5,0.2,IF(Dataset!K508&lt;10,0.45,IF(Dataset!K508&lt;18,0.7,0.9)))</f>
        <v>0.45</v>
      </c>
      <c r="R508" s="29">
        <f>IF(Dataset!K508&lt;5,1,IF(Dataset!K508&lt;10,2,IF(Dataset!K508&lt;18,3,4)))</f>
        <v>2</v>
      </c>
      <c r="S508" s="29">
        <f t="shared" si="61"/>
        <v>0.9</v>
      </c>
      <c r="T508" s="29">
        <f t="shared" si="62"/>
        <v>1.2800000000000002</v>
      </c>
      <c r="U508" s="29" t="str">
        <f t="shared" si="63"/>
        <v>Low</v>
      </c>
    </row>
    <row r="509" spans="1:21" ht="15" customHeight="1" x14ac:dyDescent="0.25">
      <c r="A509" s="29">
        <f>Dataset!A509</f>
        <v>505</v>
      </c>
      <c r="B509" s="29">
        <f>IF(Dataset!B509&lt;25,0.3,IF(Dataset!B509&lt;75,0.5,IF(Dataset!B509&lt;120,0.65,0.8)))</f>
        <v>0.65</v>
      </c>
      <c r="C509" s="29">
        <f>IF(Dataset!B509&lt;25,1,IF(Dataset!B509&lt;75,2,IF(Dataset!B509&lt;120,3,4)))</f>
        <v>3</v>
      </c>
      <c r="D509" s="29">
        <f t="shared" si="56"/>
        <v>1.9500000000000002</v>
      </c>
      <c r="E509" s="29">
        <f>IF(Dataset!C509&lt;=1,0.3,IF(Dataset!C509=2,0.4,IF(Dataset!C509=3,0.5,IF(Dataset!C509=4,0.65,0.8))))</f>
        <v>0.8</v>
      </c>
      <c r="F509" s="29">
        <f>IF(Dataset!C509&lt;=2,1,IF(Dataset!C509=3,2,IF(Dataset!C509=4,3,4)))</f>
        <v>4</v>
      </c>
      <c r="G509" s="29">
        <f t="shared" si="57"/>
        <v>3.2</v>
      </c>
      <c r="H509" s="29">
        <f>IF(Dataset!G509&lt;=3,0.25,IF(Dataset!G509&lt;=6,0.45,IF(Dataset!G509&lt;=9,0.65,0.85)))</f>
        <v>0.65</v>
      </c>
      <c r="I509" s="29">
        <f>IF(Dataset!G509&lt;=3,1,IF(Dataset!G509&lt;=6,2,IF(Dataset!G509&lt;=9,3,4)))</f>
        <v>3</v>
      </c>
      <c r="J509" s="29">
        <f t="shared" si="58"/>
        <v>1.9500000000000002</v>
      </c>
      <c r="K509" s="29">
        <f>IF(Dataset!H509&lt;1,0.2,IF(Dataset!H509&lt;1.3,0.45,IF(Dataset!H509&lt;1.8,0.7,0.9)))</f>
        <v>0.9</v>
      </c>
      <c r="L509" s="29">
        <f>IF(Dataset!H509&lt;1,1,IF(Dataset!H509&lt;1.3,2,IF(Dataset!H509&lt;1.8,3,4)))</f>
        <v>4</v>
      </c>
      <c r="M509" s="29">
        <f t="shared" si="59"/>
        <v>3.6</v>
      </c>
      <c r="N509" s="29">
        <f>IF(Dataset!F509=1,0.75,IF(Dataset!F509=2,0.45,0.2))</f>
        <v>0.75</v>
      </c>
      <c r="O509" s="29">
        <f>IF(Dataset!F509=1,3,IF(Dataset!F509=2,2,1))</f>
        <v>3</v>
      </c>
      <c r="P509" s="29">
        <f t="shared" si="60"/>
        <v>2.25</v>
      </c>
      <c r="Q509" s="29">
        <f>IF(Dataset!K509&lt;5,0.2,IF(Dataset!K509&lt;10,0.45,IF(Dataset!K509&lt;18,0.7,0.9)))</f>
        <v>0.7</v>
      </c>
      <c r="R509" s="29">
        <f>IF(Dataset!K509&lt;5,1,IF(Dataset!K509&lt;10,2,IF(Dataset!K509&lt;18,3,4)))</f>
        <v>3</v>
      </c>
      <c r="S509" s="29">
        <f t="shared" si="61"/>
        <v>2.0999999999999996</v>
      </c>
      <c r="T509" s="29">
        <f t="shared" si="62"/>
        <v>2.5720000000000005</v>
      </c>
      <c r="U509" s="29" t="str">
        <f t="shared" si="63"/>
        <v>High</v>
      </c>
    </row>
    <row r="510" spans="1:21" ht="15" customHeight="1" x14ac:dyDescent="0.25">
      <c r="A510" s="29">
        <f>Dataset!A510</f>
        <v>506</v>
      </c>
      <c r="B510" s="29">
        <f>IF(Dataset!B510&lt;25,0.3,IF(Dataset!B510&lt;75,0.5,IF(Dataset!B510&lt;120,0.65,0.8)))</f>
        <v>0.3</v>
      </c>
      <c r="C510" s="29">
        <f>IF(Dataset!B510&lt;25,1,IF(Dataset!B510&lt;75,2,IF(Dataset!B510&lt;120,3,4)))</f>
        <v>1</v>
      </c>
      <c r="D510" s="29">
        <f t="shared" si="56"/>
        <v>0.3</v>
      </c>
      <c r="E510" s="29">
        <f>IF(Dataset!C510&lt;=1,0.3,IF(Dataset!C510=2,0.4,IF(Dataset!C510=3,0.5,IF(Dataset!C510=4,0.65,0.8))))</f>
        <v>0.65</v>
      </c>
      <c r="F510" s="29">
        <f>IF(Dataset!C510&lt;=2,1,IF(Dataset!C510=3,2,IF(Dataset!C510=4,3,4)))</f>
        <v>3</v>
      </c>
      <c r="G510" s="29">
        <f t="shared" si="57"/>
        <v>1.9500000000000002</v>
      </c>
      <c r="H510" s="29">
        <f>IF(Dataset!G510&lt;=3,0.25,IF(Dataset!G510&lt;=6,0.45,IF(Dataset!G510&lt;=9,0.65,0.85)))</f>
        <v>0.25</v>
      </c>
      <c r="I510" s="29">
        <f>IF(Dataset!G510&lt;=3,1,IF(Dataset!G510&lt;=6,2,IF(Dataset!G510&lt;=9,3,4)))</f>
        <v>1</v>
      </c>
      <c r="J510" s="29">
        <f t="shared" si="58"/>
        <v>0.25</v>
      </c>
      <c r="K510" s="29">
        <f>IF(Dataset!H510&lt;1,0.2,IF(Dataset!H510&lt;1.3,0.45,IF(Dataset!H510&lt;1.8,0.7,0.9)))</f>
        <v>0.2</v>
      </c>
      <c r="L510" s="29">
        <f>IF(Dataset!H510&lt;1,1,IF(Dataset!H510&lt;1.3,2,IF(Dataset!H510&lt;1.8,3,4)))</f>
        <v>1</v>
      </c>
      <c r="M510" s="29">
        <f t="shared" si="59"/>
        <v>0.2</v>
      </c>
      <c r="N510" s="29">
        <f>IF(Dataset!F510=1,0.75,IF(Dataset!F510=2,0.45,0.2))</f>
        <v>0.45</v>
      </c>
      <c r="O510" s="29">
        <f>IF(Dataset!F510=1,3,IF(Dataset!F510=2,2,1))</f>
        <v>2</v>
      </c>
      <c r="P510" s="29">
        <f t="shared" si="60"/>
        <v>0.9</v>
      </c>
      <c r="Q510" s="29">
        <f>IF(Dataset!K510&lt;5,0.2,IF(Dataset!K510&lt;10,0.45,IF(Dataset!K510&lt;18,0.7,0.9)))</f>
        <v>0.45</v>
      </c>
      <c r="R510" s="29">
        <f>IF(Dataset!K510&lt;5,1,IF(Dataset!K510&lt;10,2,IF(Dataset!K510&lt;18,3,4)))</f>
        <v>2</v>
      </c>
      <c r="S510" s="29">
        <f t="shared" si="61"/>
        <v>0.9</v>
      </c>
      <c r="T510" s="29">
        <f t="shared" si="62"/>
        <v>0.64100000000000001</v>
      </c>
      <c r="U510" s="29" t="str">
        <f t="shared" si="63"/>
        <v>Low</v>
      </c>
    </row>
    <row r="511" spans="1:21" ht="15" customHeight="1" x14ac:dyDescent="0.25">
      <c r="A511" s="29">
        <f>Dataset!A511</f>
        <v>507</v>
      </c>
      <c r="B511" s="29">
        <f>IF(Dataset!B511&lt;25,0.3,IF(Dataset!B511&lt;75,0.5,IF(Dataset!B511&lt;120,0.65,0.8)))</f>
        <v>0.5</v>
      </c>
      <c r="C511" s="29">
        <f>IF(Dataset!B511&lt;25,1,IF(Dataset!B511&lt;75,2,IF(Dataset!B511&lt;120,3,4)))</f>
        <v>2</v>
      </c>
      <c r="D511" s="29">
        <f t="shared" si="56"/>
        <v>1</v>
      </c>
      <c r="E511" s="29">
        <f>IF(Dataset!C511&lt;=1,0.3,IF(Dataset!C511=2,0.4,IF(Dataset!C511=3,0.5,IF(Dataset!C511=4,0.65,0.8))))</f>
        <v>0.5</v>
      </c>
      <c r="F511" s="29">
        <f>IF(Dataset!C511&lt;=2,1,IF(Dataset!C511=3,2,IF(Dataset!C511=4,3,4)))</f>
        <v>2</v>
      </c>
      <c r="G511" s="29">
        <f t="shared" si="57"/>
        <v>1</v>
      </c>
      <c r="H511" s="29">
        <f>IF(Dataset!G511&lt;=3,0.25,IF(Dataset!G511&lt;=6,0.45,IF(Dataset!G511&lt;=9,0.65,0.85)))</f>
        <v>0.45</v>
      </c>
      <c r="I511" s="29">
        <f>IF(Dataset!G511&lt;=3,1,IF(Dataset!G511&lt;=6,2,IF(Dataset!G511&lt;=9,3,4)))</f>
        <v>2</v>
      </c>
      <c r="J511" s="29">
        <f t="shared" si="58"/>
        <v>0.9</v>
      </c>
      <c r="K511" s="29">
        <f>IF(Dataset!H511&lt;1,0.2,IF(Dataset!H511&lt;1.3,0.45,IF(Dataset!H511&lt;1.8,0.7,0.9)))</f>
        <v>0.45</v>
      </c>
      <c r="L511" s="29">
        <f>IF(Dataset!H511&lt;1,1,IF(Dataset!H511&lt;1.3,2,IF(Dataset!H511&lt;1.8,3,4)))</f>
        <v>2</v>
      </c>
      <c r="M511" s="29">
        <f t="shared" si="59"/>
        <v>0.9</v>
      </c>
      <c r="N511" s="29">
        <f>IF(Dataset!F511=1,0.75,IF(Dataset!F511=2,0.45,0.2))</f>
        <v>0.75</v>
      </c>
      <c r="O511" s="29">
        <f>IF(Dataset!F511=1,3,IF(Dataset!F511=2,2,1))</f>
        <v>3</v>
      </c>
      <c r="P511" s="29">
        <f t="shared" si="60"/>
        <v>2.25</v>
      </c>
      <c r="Q511" s="29">
        <f>IF(Dataset!K511&lt;5,0.2,IF(Dataset!K511&lt;10,0.45,IF(Dataset!K511&lt;18,0.7,0.9)))</f>
        <v>0.45</v>
      </c>
      <c r="R511" s="29">
        <f>IF(Dataset!K511&lt;5,1,IF(Dataset!K511&lt;10,2,IF(Dataset!K511&lt;18,3,4)))</f>
        <v>2</v>
      </c>
      <c r="S511" s="29">
        <f t="shared" si="61"/>
        <v>0.9</v>
      </c>
      <c r="T511" s="29">
        <f t="shared" si="62"/>
        <v>1.0669999999999999</v>
      </c>
      <c r="U511" s="29" t="str">
        <f t="shared" si="63"/>
        <v>Low</v>
      </c>
    </row>
    <row r="512" spans="1:21" ht="15" customHeight="1" x14ac:dyDescent="0.25">
      <c r="A512" s="29">
        <f>Dataset!A512</f>
        <v>508</v>
      </c>
      <c r="B512" s="29">
        <f>IF(Dataset!B512&lt;25,0.3,IF(Dataset!B512&lt;75,0.5,IF(Dataset!B512&lt;120,0.65,0.8)))</f>
        <v>0.3</v>
      </c>
      <c r="C512" s="29">
        <f>IF(Dataset!B512&lt;25,1,IF(Dataset!B512&lt;75,2,IF(Dataset!B512&lt;120,3,4)))</f>
        <v>1</v>
      </c>
      <c r="D512" s="29">
        <f t="shared" si="56"/>
        <v>0.3</v>
      </c>
      <c r="E512" s="29">
        <f>IF(Dataset!C512&lt;=1,0.3,IF(Dataset!C512=2,0.4,IF(Dataset!C512=3,0.5,IF(Dataset!C512=4,0.65,0.8))))</f>
        <v>0.5</v>
      </c>
      <c r="F512" s="29">
        <f>IF(Dataset!C512&lt;=2,1,IF(Dataset!C512=3,2,IF(Dataset!C512=4,3,4)))</f>
        <v>2</v>
      </c>
      <c r="G512" s="29">
        <f t="shared" si="57"/>
        <v>1</v>
      </c>
      <c r="H512" s="29">
        <f>IF(Dataset!G512&lt;=3,0.25,IF(Dataset!G512&lt;=6,0.45,IF(Dataset!G512&lt;=9,0.65,0.85)))</f>
        <v>0.45</v>
      </c>
      <c r="I512" s="29">
        <f>IF(Dataset!G512&lt;=3,1,IF(Dataset!G512&lt;=6,2,IF(Dataset!G512&lt;=9,3,4)))</f>
        <v>2</v>
      </c>
      <c r="J512" s="29">
        <f t="shared" si="58"/>
        <v>0.9</v>
      </c>
      <c r="K512" s="29">
        <f>IF(Dataset!H512&lt;1,0.2,IF(Dataset!H512&lt;1.3,0.45,IF(Dataset!H512&lt;1.8,0.7,0.9)))</f>
        <v>0.7</v>
      </c>
      <c r="L512" s="29">
        <f>IF(Dataset!H512&lt;1,1,IF(Dataset!H512&lt;1.3,2,IF(Dataset!H512&lt;1.8,3,4)))</f>
        <v>3</v>
      </c>
      <c r="M512" s="29">
        <f t="shared" si="59"/>
        <v>2.0999999999999996</v>
      </c>
      <c r="N512" s="29">
        <f>IF(Dataset!F512=1,0.75,IF(Dataset!F512=2,0.45,0.2))</f>
        <v>0.75</v>
      </c>
      <c r="O512" s="29">
        <f>IF(Dataset!F512=1,3,IF(Dataset!F512=2,2,1))</f>
        <v>3</v>
      </c>
      <c r="P512" s="29">
        <f t="shared" si="60"/>
        <v>2.25</v>
      </c>
      <c r="Q512" s="29">
        <f>IF(Dataset!K512&lt;5,0.2,IF(Dataset!K512&lt;10,0.45,IF(Dataset!K512&lt;18,0.7,0.9)))</f>
        <v>0.2</v>
      </c>
      <c r="R512" s="29">
        <f>IF(Dataset!K512&lt;5,1,IF(Dataset!K512&lt;10,2,IF(Dataset!K512&lt;18,3,4)))</f>
        <v>1</v>
      </c>
      <c r="S512" s="29">
        <f t="shared" si="61"/>
        <v>0.2</v>
      </c>
      <c r="T512" s="29">
        <f t="shared" si="62"/>
        <v>1.131</v>
      </c>
      <c r="U512" s="29" t="str">
        <f t="shared" si="63"/>
        <v>Low</v>
      </c>
    </row>
    <row r="513" spans="1:21" ht="15" customHeight="1" x14ac:dyDescent="0.25">
      <c r="A513" s="29">
        <f>Dataset!A513</f>
        <v>509</v>
      </c>
      <c r="B513" s="29">
        <f>IF(Dataset!B513&lt;25,0.3,IF(Dataset!B513&lt;75,0.5,IF(Dataset!B513&lt;120,0.65,0.8)))</f>
        <v>0.5</v>
      </c>
      <c r="C513" s="29">
        <f>IF(Dataset!B513&lt;25,1,IF(Dataset!B513&lt;75,2,IF(Dataset!B513&lt;120,3,4)))</f>
        <v>2</v>
      </c>
      <c r="D513" s="29">
        <f t="shared" si="56"/>
        <v>1</v>
      </c>
      <c r="E513" s="29">
        <f>IF(Dataset!C513&lt;=1,0.3,IF(Dataset!C513=2,0.4,IF(Dataset!C513=3,0.5,IF(Dataset!C513=4,0.65,0.8))))</f>
        <v>0.65</v>
      </c>
      <c r="F513" s="29">
        <f>IF(Dataset!C513&lt;=2,1,IF(Dataset!C513=3,2,IF(Dataset!C513=4,3,4)))</f>
        <v>3</v>
      </c>
      <c r="G513" s="29">
        <f t="shared" si="57"/>
        <v>1.9500000000000002</v>
      </c>
      <c r="H513" s="29">
        <f>IF(Dataset!G513&lt;=3,0.25,IF(Dataset!G513&lt;=6,0.45,IF(Dataset!G513&lt;=9,0.65,0.85)))</f>
        <v>0.45</v>
      </c>
      <c r="I513" s="29">
        <f>IF(Dataset!G513&lt;=3,1,IF(Dataset!G513&lt;=6,2,IF(Dataset!G513&lt;=9,3,4)))</f>
        <v>2</v>
      </c>
      <c r="J513" s="29">
        <f t="shared" si="58"/>
        <v>0.9</v>
      </c>
      <c r="K513" s="29">
        <f>IF(Dataset!H513&lt;1,0.2,IF(Dataset!H513&lt;1.3,0.45,IF(Dataset!H513&lt;1.8,0.7,0.9)))</f>
        <v>0.2</v>
      </c>
      <c r="L513" s="29">
        <f>IF(Dataset!H513&lt;1,1,IF(Dataset!H513&lt;1.3,2,IF(Dataset!H513&lt;1.8,3,4)))</f>
        <v>1</v>
      </c>
      <c r="M513" s="29">
        <f t="shared" si="59"/>
        <v>0.2</v>
      </c>
      <c r="N513" s="29">
        <f>IF(Dataset!F513=1,0.75,IF(Dataset!F513=2,0.45,0.2))</f>
        <v>0.75</v>
      </c>
      <c r="O513" s="29">
        <f>IF(Dataset!F513=1,3,IF(Dataset!F513=2,2,1))</f>
        <v>3</v>
      </c>
      <c r="P513" s="29">
        <f t="shared" si="60"/>
        <v>2.25</v>
      </c>
      <c r="Q513" s="29">
        <f>IF(Dataset!K513&lt;5,0.2,IF(Dataset!K513&lt;10,0.45,IF(Dataset!K513&lt;18,0.7,0.9)))</f>
        <v>0.45</v>
      </c>
      <c r="R513" s="29">
        <f>IF(Dataset!K513&lt;5,1,IF(Dataset!K513&lt;10,2,IF(Dataset!K513&lt;18,3,4)))</f>
        <v>2</v>
      </c>
      <c r="S513" s="29">
        <f t="shared" si="61"/>
        <v>0.9</v>
      </c>
      <c r="T513" s="29">
        <f t="shared" si="62"/>
        <v>1.0320000000000003</v>
      </c>
      <c r="U513" s="29" t="str">
        <f t="shared" si="63"/>
        <v>Low</v>
      </c>
    </row>
    <row r="514" spans="1:21" ht="15" customHeight="1" x14ac:dyDescent="0.25">
      <c r="A514" s="29">
        <f>Dataset!A514</f>
        <v>510</v>
      </c>
      <c r="B514" s="29">
        <f>IF(Dataset!B514&lt;25,0.3,IF(Dataset!B514&lt;75,0.5,IF(Dataset!B514&lt;120,0.65,0.8)))</f>
        <v>0.5</v>
      </c>
      <c r="C514" s="29">
        <f>IF(Dataset!B514&lt;25,1,IF(Dataset!B514&lt;75,2,IF(Dataset!B514&lt;120,3,4)))</f>
        <v>2</v>
      </c>
      <c r="D514" s="29">
        <f t="shared" si="56"/>
        <v>1</v>
      </c>
      <c r="E514" s="29">
        <f>IF(Dataset!C514&lt;=1,0.3,IF(Dataset!C514=2,0.4,IF(Dataset!C514=3,0.5,IF(Dataset!C514=4,0.65,0.8))))</f>
        <v>0.65</v>
      </c>
      <c r="F514" s="29">
        <f>IF(Dataset!C514&lt;=2,1,IF(Dataset!C514=3,2,IF(Dataset!C514=4,3,4)))</f>
        <v>3</v>
      </c>
      <c r="G514" s="29">
        <f t="shared" si="57"/>
        <v>1.9500000000000002</v>
      </c>
      <c r="H514" s="29">
        <f>IF(Dataset!G514&lt;=3,0.25,IF(Dataset!G514&lt;=6,0.45,IF(Dataset!G514&lt;=9,0.65,0.85)))</f>
        <v>0.65</v>
      </c>
      <c r="I514" s="29">
        <f>IF(Dataset!G514&lt;=3,1,IF(Dataset!G514&lt;=6,2,IF(Dataset!G514&lt;=9,3,4)))</f>
        <v>3</v>
      </c>
      <c r="J514" s="29">
        <f t="shared" si="58"/>
        <v>1.9500000000000002</v>
      </c>
      <c r="K514" s="29">
        <f>IF(Dataset!H514&lt;1,0.2,IF(Dataset!H514&lt;1.3,0.45,IF(Dataset!H514&lt;1.8,0.7,0.9)))</f>
        <v>0.45</v>
      </c>
      <c r="L514" s="29">
        <f>IF(Dataset!H514&lt;1,1,IF(Dataset!H514&lt;1.3,2,IF(Dataset!H514&lt;1.8,3,4)))</f>
        <v>2</v>
      </c>
      <c r="M514" s="29">
        <f t="shared" si="59"/>
        <v>0.9</v>
      </c>
      <c r="N514" s="29">
        <f>IF(Dataset!F514=1,0.75,IF(Dataset!F514=2,0.45,0.2))</f>
        <v>0.75</v>
      </c>
      <c r="O514" s="29">
        <f>IF(Dataset!F514=1,3,IF(Dataset!F514=2,2,1))</f>
        <v>3</v>
      </c>
      <c r="P514" s="29">
        <f t="shared" si="60"/>
        <v>2.25</v>
      </c>
      <c r="Q514" s="29">
        <f>IF(Dataset!K514&lt;5,0.2,IF(Dataset!K514&lt;10,0.45,IF(Dataset!K514&lt;18,0.7,0.9)))</f>
        <v>0.7</v>
      </c>
      <c r="R514" s="29">
        <f>IF(Dataset!K514&lt;5,1,IF(Dataset!K514&lt;10,2,IF(Dataset!K514&lt;18,3,4)))</f>
        <v>3</v>
      </c>
      <c r="S514" s="29">
        <f t="shared" si="61"/>
        <v>2.0999999999999996</v>
      </c>
      <c r="T514" s="29">
        <f t="shared" si="62"/>
        <v>1.5780000000000003</v>
      </c>
      <c r="U514" s="29" t="str">
        <f t="shared" si="63"/>
        <v>Medium</v>
      </c>
    </row>
    <row r="515" spans="1:21" ht="15" customHeight="1" x14ac:dyDescent="0.25">
      <c r="A515" s="29">
        <f>Dataset!A515</f>
        <v>511</v>
      </c>
      <c r="B515" s="29">
        <f>IF(Dataset!B515&lt;25,0.3,IF(Dataset!B515&lt;75,0.5,IF(Dataset!B515&lt;120,0.65,0.8)))</f>
        <v>0.65</v>
      </c>
      <c r="C515" s="29">
        <f>IF(Dataset!B515&lt;25,1,IF(Dataset!B515&lt;75,2,IF(Dataset!B515&lt;120,3,4)))</f>
        <v>3</v>
      </c>
      <c r="D515" s="29">
        <f t="shared" si="56"/>
        <v>1.9500000000000002</v>
      </c>
      <c r="E515" s="29">
        <f>IF(Dataset!C515&lt;=1,0.3,IF(Dataset!C515=2,0.4,IF(Dataset!C515=3,0.5,IF(Dataset!C515=4,0.65,0.8))))</f>
        <v>0.65</v>
      </c>
      <c r="F515" s="29">
        <f>IF(Dataset!C515&lt;=2,1,IF(Dataset!C515=3,2,IF(Dataset!C515=4,3,4)))</f>
        <v>3</v>
      </c>
      <c r="G515" s="29">
        <f t="shared" si="57"/>
        <v>1.9500000000000002</v>
      </c>
      <c r="H515" s="29">
        <f>IF(Dataset!G515&lt;=3,0.25,IF(Dataset!G515&lt;=6,0.45,IF(Dataset!G515&lt;=9,0.65,0.85)))</f>
        <v>0.45</v>
      </c>
      <c r="I515" s="29">
        <f>IF(Dataset!G515&lt;=3,1,IF(Dataset!G515&lt;=6,2,IF(Dataset!G515&lt;=9,3,4)))</f>
        <v>2</v>
      </c>
      <c r="J515" s="29">
        <f t="shared" si="58"/>
        <v>0.9</v>
      </c>
      <c r="K515" s="29">
        <f>IF(Dataset!H515&lt;1,0.2,IF(Dataset!H515&lt;1.3,0.45,IF(Dataset!H515&lt;1.8,0.7,0.9)))</f>
        <v>0.9</v>
      </c>
      <c r="L515" s="29">
        <f>IF(Dataset!H515&lt;1,1,IF(Dataset!H515&lt;1.3,2,IF(Dataset!H515&lt;1.8,3,4)))</f>
        <v>4</v>
      </c>
      <c r="M515" s="29">
        <f t="shared" si="59"/>
        <v>3.6</v>
      </c>
      <c r="N515" s="29">
        <f>IF(Dataset!F515=1,0.75,IF(Dataset!F515=2,0.45,0.2))</f>
        <v>0.45</v>
      </c>
      <c r="O515" s="29">
        <f>IF(Dataset!F515=1,3,IF(Dataset!F515=2,2,1))</f>
        <v>2</v>
      </c>
      <c r="P515" s="29">
        <f t="shared" si="60"/>
        <v>0.9</v>
      </c>
      <c r="Q515" s="29">
        <f>IF(Dataset!K515&lt;5,0.2,IF(Dataset!K515&lt;10,0.45,IF(Dataset!K515&lt;18,0.7,0.9)))</f>
        <v>0.45</v>
      </c>
      <c r="R515" s="29">
        <f>IF(Dataset!K515&lt;5,1,IF(Dataset!K515&lt;10,2,IF(Dataset!K515&lt;18,3,4)))</f>
        <v>2</v>
      </c>
      <c r="S515" s="29">
        <f t="shared" si="61"/>
        <v>0.9</v>
      </c>
      <c r="T515" s="29">
        <f t="shared" si="62"/>
        <v>1.8840000000000003</v>
      </c>
      <c r="U515" s="29" t="str">
        <f t="shared" si="63"/>
        <v>High</v>
      </c>
    </row>
    <row r="516" spans="1:21" ht="15" customHeight="1" x14ac:dyDescent="0.25">
      <c r="A516" s="29">
        <f>Dataset!A516</f>
        <v>512</v>
      </c>
      <c r="B516" s="29">
        <f>IF(Dataset!B516&lt;25,0.3,IF(Dataset!B516&lt;75,0.5,IF(Dataset!B516&lt;120,0.65,0.8)))</f>
        <v>0.65</v>
      </c>
      <c r="C516" s="29">
        <f>IF(Dataset!B516&lt;25,1,IF(Dataset!B516&lt;75,2,IF(Dataset!B516&lt;120,3,4)))</f>
        <v>3</v>
      </c>
      <c r="D516" s="29">
        <f t="shared" si="56"/>
        <v>1.9500000000000002</v>
      </c>
      <c r="E516" s="29">
        <f>IF(Dataset!C516&lt;=1,0.3,IF(Dataset!C516=2,0.4,IF(Dataset!C516=3,0.5,IF(Dataset!C516=4,0.65,0.8))))</f>
        <v>0.8</v>
      </c>
      <c r="F516" s="29">
        <f>IF(Dataset!C516&lt;=2,1,IF(Dataset!C516=3,2,IF(Dataset!C516=4,3,4)))</f>
        <v>4</v>
      </c>
      <c r="G516" s="29">
        <f t="shared" si="57"/>
        <v>3.2</v>
      </c>
      <c r="H516" s="29">
        <f>IF(Dataset!G516&lt;=3,0.25,IF(Dataset!G516&lt;=6,0.45,IF(Dataset!G516&lt;=9,0.65,0.85)))</f>
        <v>0.25</v>
      </c>
      <c r="I516" s="29">
        <f>IF(Dataset!G516&lt;=3,1,IF(Dataset!G516&lt;=6,2,IF(Dataset!G516&lt;=9,3,4)))</f>
        <v>1</v>
      </c>
      <c r="J516" s="29">
        <f t="shared" si="58"/>
        <v>0.25</v>
      </c>
      <c r="K516" s="29">
        <f>IF(Dataset!H516&lt;1,0.2,IF(Dataset!H516&lt;1.3,0.45,IF(Dataset!H516&lt;1.8,0.7,0.9)))</f>
        <v>0.9</v>
      </c>
      <c r="L516" s="29">
        <f>IF(Dataset!H516&lt;1,1,IF(Dataset!H516&lt;1.3,2,IF(Dataset!H516&lt;1.8,3,4)))</f>
        <v>4</v>
      </c>
      <c r="M516" s="29">
        <f t="shared" si="59"/>
        <v>3.6</v>
      </c>
      <c r="N516" s="29">
        <f>IF(Dataset!F516=1,0.75,IF(Dataset!F516=2,0.45,0.2))</f>
        <v>0.45</v>
      </c>
      <c r="O516" s="29">
        <f>IF(Dataset!F516=1,3,IF(Dataset!F516=2,2,1))</f>
        <v>2</v>
      </c>
      <c r="P516" s="29">
        <f t="shared" si="60"/>
        <v>0.9</v>
      </c>
      <c r="Q516" s="29">
        <f>IF(Dataset!K516&lt;5,0.2,IF(Dataset!K516&lt;10,0.45,IF(Dataset!K516&lt;18,0.7,0.9)))</f>
        <v>0.7</v>
      </c>
      <c r="R516" s="29">
        <f>IF(Dataset!K516&lt;5,1,IF(Dataset!K516&lt;10,2,IF(Dataset!K516&lt;18,3,4)))</f>
        <v>3</v>
      </c>
      <c r="S516" s="29">
        <f t="shared" si="61"/>
        <v>2.0999999999999996</v>
      </c>
      <c r="T516" s="29">
        <f t="shared" si="62"/>
        <v>2.097</v>
      </c>
      <c r="U516" s="29" t="str">
        <f t="shared" si="63"/>
        <v>High</v>
      </c>
    </row>
    <row r="517" spans="1:21" ht="15" customHeight="1" x14ac:dyDescent="0.25">
      <c r="A517" s="29">
        <f>Dataset!A517</f>
        <v>513</v>
      </c>
      <c r="B517" s="29">
        <f>IF(Dataset!B517&lt;25,0.3,IF(Dataset!B517&lt;75,0.5,IF(Dataset!B517&lt;120,0.65,0.8)))</f>
        <v>0.3</v>
      </c>
      <c r="C517" s="29">
        <f>IF(Dataset!B517&lt;25,1,IF(Dataset!B517&lt;75,2,IF(Dataset!B517&lt;120,3,4)))</f>
        <v>1</v>
      </c>
      <c r="D517" s="29">
        <f t="shared" ref="D517:D580" si="64">B517*C517</f>
        <v>0.3</v>
      </c>
      <c r="E517" s="29">
        <f>IF(Dataset!C517&lt;=1,0.3,IF(Dataset!C517=2,0.4,IF(Dataset!C517=3,0.5,IF(Dataset!C517=4,0.65,0.8))))</f>
        <v>0.65</v>
      </c>
      <c r="F517" s="29">
        <f>IF(Dataset!C517&lt;=2,1,IF(Dataset!C517=3,2,IF(Dataset!C517=4,3,4)))</f>
        <v>3</v>
      </c>
      <c r="G517" s="29">
        <f t="shared" ref="G517:G580" si="65">E517*F517</f>
        <v>1.9500000000000002</v>
      </c>
      <c r="H517" s="29">
        <f>IF(Dataset!G517&lt;=3,0.25,IF(Dataset!G517&lt;=6,0.45,IF(Dataset!G517&lt;=9,0.65,0.85)))</f>
        <v>0.65</v>
      </c>
      <c r="I517" s="29">
        <f>IF(Dataset!G517&lt;=3,1,IF(Dataset!G517&lt;=6,2,IF(Dataset!G517&lt;=9,3,4)))</f>
        <v>3</v>
      </c>
      <c r="J517" s="29">
        <f t="shared" ref="J517:J580" si="66">H517*I517</f>
        <v>1.9500000000000002</v>
      </c>
      <c r="K517" s="29">
        <f>IF(Dataset!H517&lt;1,0.2,IF(Dataset!H517&lt;1.3,0.45,IF(Dataset!H517&lt;1.8,0.7,0.9)))</f>
        <v>0.2</v>
      </c>
      <c r="L517" s="29">
        <f>IF(Dataset!H517&lt;1,1,IF(Dataset!H517&lt;1.3,2,IF(Dataset!H517&lt;1.8,3,4)))</f>
        <v>1</v>
      </c>
      <c r="M517" s="29">
        <f t="shared" ref="M517:M580" si="67">K517*L517</f>
        <v>0.2</v>
      </c>
      <c r="N517" s="29">
        <f>IF(Dataset!F517=1,0.75,IF(Dataset!F517=2,0.45,0.2))</f>
        <v>0.75</v>
      </c>
      <c r="O517" s="29">
        <f>IF(Dataset!F517=1,3,IF(Dataset!F517=2,2,1))</f>
        <v>3</v>
      </c>
      <c r="P517" s="29">
        <f t="shared" ref="P517:P580" si="68">N517*O517</f>
        <v>2.25</v>
      </c>
      <c r="Q517" s="29">
        <f>IF(Dataset!K517&lt;5,0.2,IF(Dataset!K517&lt;10,0.45,IF(Dataset!K517&lt;18,0.7,0.9)))</f>
        <v>0.7</v>
      </c>
      <c r="R517" s="29">
        <f>IF(Dataset!K517&lt;5,1,IF(Dataset!K517&lt;10,2,IF(Dataset!K517&lt;18,3,4)))</f>
        <v>3</v>
      </c>
      <c r="S517" s="29">
        <f t="shared" ref="S517:S580" si="69">Q517*R517</f>
        <v>2.0999999999999996</v>
      </c>
      <c r="T517" s="29">
        <f t="shared" ref="T517:T580" si="70">$Y$6*D517+$Y$7*G517+$Y$8*J517+$Y$9*M517+$Y$10*P517+$Y$11*S517</f>
        <v>1.284</v>
      </c>
      <c r="U517" s="29" t="str">
        <f t="shared" ref="U517:U580" si="71">IF(T517&lt;=$Y$15,"Low",IF(T517&lt;=$Y$16,"Medium","High"))</f>
        <v>Low</v>
      </c>
    </row>
    <row r="518" spans="1:21" ht="15" customHeight="1" x14ac:dyDescent="0.25">
      <c r="A518" s="29">
        <f>Dataset!A518</f>
        <v>514</v>
      </c>
      <c r="B518" s="29">
        <f>IF(Dataset!B518&lt;25,0.3,IF(Dataset!B518&lt;75,0.5,IF(Dataset!B518&lt;120,0.65,0.8)))</f>
        <v>0.5</v>
      </c>
      <c r="C518" s="29">
        <f>IF(Dataset!B518&lt;25,1,IF(Dataset!B518&lt;75,2,IF(Dataset!B518&lt;120,3,4)))</f>
        <v>2</v>
      </c>
      <c r="D518" s="29">
        <f t="shared" si="64"/>
        <v>1</v>
      </c>
      <c r="E518" s="29">
        <f>IF(Dataset!C518&lt;=1,0.3,IF(Dataset!C518=2,0.4,IF(Dataset!C518=3,0.5,IF(Dataset!C518=4,0.65,0.8))))</f>
        <v>0.65</v>
      </c>
      <c r="F518" s="29">
        <f>IF(Dataset!C518&lt;=2,1,IF(Dataset!C518=3,2,IF(Dataset!C518=4,3,4)))</f>
        <v>3</v>
      </c>
      <c r="G518" s="29">
        <f t="shared" si="65"/>
        <v>1.9500000000000002</v>
      </c>
      <c r="H518" s="29">
        <f>IF(Dataset!G518&lt;=3,0.25,IF(Dataset!G518&lt;=6,0.45,IF(Dataset!G518&lt;=9,0.65,0.85)))</f>
        <v>0.45</v>
      </c>
      <c r="I518" s="29">
        <f>IF(Dataset!G518&lt;=3,1,IF(Dataset!G518&lt;=6,2,IF(Dataset!G518&lt;=9,3,4)))</f>
        <v>2</v>
      </c>
      <c r="J518" s="29">
        <f t="shared" si="66"/>
        <v>0.9</v>
      </c>
      <c r="K518" s="29">
        <f>IF(Dataset!H518&lt;1,0.2,IF(Dataset!H518&lt;1.3,0.45,IF(Dataset!H518&lt;1.8,0.7,0.9)))</f>
        <v>0.9</v>
      </c>
      <c r="L518" s="29">
        <f>IF(Dataset!H518&lt;1,1,IF(Dataset!H518&lt;1.3,2,IF(Dataset!H518&lt;1.8,3,4)))</f>
        <v>4</v>
      </c>
      <c r="M518" s="29">
        <f t="shared" si="67"/>
        <v>3.6</v>
      </c>
      <c r="N518" s="29">
        <f>IF(Dataset!F518=1,0.75,IF(Dataset!F518=2,0.45,0.2))</f>
        <v>0.45</v>
      </c>
      <c r="O518" s="29">
        <f>IF(Dataset!F518=1,3,IF(Dataset!F518=2,2,1))</f>
        <v>2</v>
      </c>
      <c r="P518" s="29">
        <f t="shared" si="68"/>
        <v>0.9</v>
      </c>
      <c r="Q518" s="29">
        <f>IF(Dataset!K518&lt;5,0.2,IF(Dataset!K518&lt;10,0.45,IF(Dataset!K518&lt;18,0.7,0.9)))</f>
        <v>0.45</v>
      </c>
      <c r="R518" s="29">
        <f>IF(Dataset!K518&lt;5,1,IF(Dataset!K518&lt;10,2,IF(Dataset!K518&lt;18,3,4)))</f>
        <v>2</v>
      </c>
      <c r="S518" s="29">
        <f t="shared" si="69"/>
        <v>0.9</v>
      </c>
      <c r="T518" s="29">
        <f t="shared" si="70"/>
        <v>1.7130000000000003</v>
      </c>
      <c r="U518" s="29" t="str">
        <f t="shared" si="71"/>
        <v>Medium</v>
      </c>
    </row>
    <row r="519" spans="1:21" ht="15" customHeight="1" x14ac:dyDescent="0.25">
      <c r="A519" s="29">
        <f>Dataset!A519</f>
        <v>515</v>
      </c>
      <c r="B519" s="29">
        <f>IF(Dataset!B519&lt;25,0.3,IF(Dataset!B519&lt;75,0.5,IF(Dataset!B519&lt;120,0.65,0.8)))</f>
        <v>0.8</v>
      </c>
      <c r="C519" s="29">
        <f>IF(Dataset!B519&lt;25,1,IF(Dataset!B519&lt;75,2,IF(Dataset!B519&lt;120,3,4)))</f>
        <v>4</v>
      </c>
      <c r="D519" s="29">
        <f t="shared" si="64"/>
        <v>3.2</v>
      </c>
      <c r="E519" s="29">
        <f>IF(Dataset!C519&lt;=1,0.3,IF(Dataset!C519=2,0.4,IF(Dataset!C519=3,0.5,IF(Dataset!C519=4,0.65,0.8))))</f>
        <v>0.4</v>
      </c>
      <c r="F519" s="29">
        <f>IF(Dataset!C519&lt;=2,1,IF(Dataset!C519=3,2,IF(Dataset!C519=4,3,4)))</f>
        <v>1</v>
      </c>
      <c r="G519" s="29">
        <f t="shared" si="65"/>
        <v>0.4</v>
      </c>
      <c r="H519" s="29">
        <f>IF(Dataset!G519&lt;=3,0.25,IF(Dataset!G519&lt;=6,0.45,IF(Dataset!G519&lt;=9,0.65,0.85)))</f>
        <v>0.45</v>
      </c>
      <c r="I519" s="29">
        <f>IF(Dataset!G519&lt;=3,1,IF(Dataset!G519&lt;=6,2,IF(Dataset!G519&lt;=9,3,4)))</f>
        <v>2</v>
      </c>
      <c r="J519" s="29">
        <f t="shared" si="66"/>
        <v>0.9</v>
      </c>
      <c r="K519" s="29">
        <f>IF(Dataset!H519&lt;1,0.2,IF(Dataset!H519&lt;1.3,0.45,IF(Dataset!H519&lt;1.8,0.7,0.9)))</f>
        <v>0.2</v>
      </c>
      <c r="L519" s="29">
        <f>IF(Dataset!H519&lt;1,1,IF(Dataset!H519&lt;1.3,2,IF(Dataset!H519&lt;1.8,3,4)))</f>
        <v>1</v>
      </c>
      <c r="M519" s="29">
        <f t="shared" si="67"/>
        <v>0.2</v>
      </c>
      <c r="N519" s="29">
        <f>IF(Dataset!F519=1,0.75,IF(Dataset!F519=2,0.45,0.2))</f>
        <v>0.75</v>
      </c>
      <c r="O519" s="29">
        <f>IF(Dataset!F519=1,3,IF(Dataset!F519=2,2,1))</f>
        <v>3</v>
      </c>
      <c r="P519" s="29">
        <f t="shared" si="68"/>
        <v>2.25</v>
      </c>
      <c r="Q519" s="29">
        <f>IF(Dataset!K519&lt;5,0.2,IF(Dataset!K519&lt;10,0.45,IF(Dataset!K519&lt;18,0.7,0.9)))</f>
        <v>0.2</v>
      </c>
      <c r="R519" s="29">
        <f>IF(Dataset!K519&lt;5,1,IF(Dataset!K519&lt;10,2,IF(Dataset!K519&lt;18,3,4)))</f>
        <v>1</v>
      </c>
      <c r="S519" s="29">
        <f t="shared" si="69"/>
        <v>0.2</v>
      </c>
      <c r="T519" s="29">
        <f t="shared" si="70"/>
        <v>1.1130000000000002</v>
      </c>
      <c r="U519" s="29" t="str">
        <f t="shared" si="71"/>
        <v>Low</v>
      </c>
    </row>
    <row r="520" spans="1:21" ht="15" customHeight="1" x14ac:dyDescent="0.25">
      <c r="A520" s="29">
        <f>Dataset!A520</f>
        <v>516</v>
      </c>
      <c r="B520" s="29">
        <f>IF(Dataset!B520&lt;25,0.3,IF(Dataset!B520&lt;75,0.5,IF(Dataset!B520&lt;120,0.65,0.8)))</f>
        <v>0.5</v>
      </c>
      <c r="C520" s="29">
        <f>IF(Dataset!B520&lt;25,1,IF(Dataset!B520&lt;75,2,IF(Dataset!B520&lt;120,3,4)))</f>
        <v>2</v>
      </c>
      <c r="D520" s="29">
        <f t="shared" si="64"/>
        <v>1</v>
      </c>
      <c r="E520" s="29">
        <f>IF(Dataset!C520&lt;=1,0.3,IF(Dataset!C520=2,0.4,IF(Dataset!C520=3,0.5,IF(Dataset!C520=4,0.65,0.8))))</f>
        <v>0.4</v>
      </c>
      <c r="F520" s="29">
        <f>IF(Dataset!C520&lt;=2,1,IF(Dataset!C520=3,2,IF(Dataset!C520=4,3,4)))</f>
        <v>1</v>
      </c>
      <c r="G520" s="29">
        <f t="shared" si="65"/>
        <v>0.4</v>
      </c>
      <c r="H520" s="29">
        <f>IF(Dataset!G520&lt;=3,0.25,IF(Dataset!G520&lt;=6,0.45,IF(Dataset!G520&lt;=9,0.65,0.85)))</f>
        <v>0.45</v>
      </c>
      <c r="I520" s="29">
        <f>IF(Dataset!G520&lt;=3,1,IF(Dataset!G520&lt;=6,2,IF(Dataset!G520&lt;=9,3,4)))</f>
        <v>2</v>
      </c>
      <c r="J520" s="29">
        <f t="shared" si="66"/>
        <v>0.9</v>
      </c>
      <c r="K520" s="29">
        <f>IF(Dataset!H520&lt;1,0.2,IF(Dataset!H520&lt;1.3,0.45,IF(Dataset!H520&lt;1.8,0.7,0.9)))</f>
        <v>0.9</v>
      </c>
      <c r="L520" s="29">
        <f>IF(Dataset!H520&lt;1,1,IF(Dataset!H520&lt;1.3,2,IF(Dataset!H520&lt;1.8,3,4)))</f>
        <v>4</v>
      </c>
      <c r="M520" s="29">
        <f t="shared" si="67"/>
        <v>3.6</v>
      </c>
      <c r="N520" s="29">
        <f>IF(Dataset!F520=1,0.75,IF(Dataset!F520=2,0.45,0.2))</f>
        <v>0.45</v>
      </c>
      <c r="O520" s="29">
        <f>IF(Dataset!F520=1,3,IF(Dataset!F520=2,2,1))</f>
        <v>2</v>
      </c>
      <c r="P520" s="29">
        <f t="shared" si="68"/>
        <v>0.9</v>
      </c>
      <c r="Q520" s="29">
        <f>IF(Dataset!K520&lt;5,0.2,IF(Dataset!K520&lt;10,0.45,IF(Dataset!K520&lt;18,0.7,0.9)))</f>
        <v>0.2</v>
      </c>
      <c r="R520" s="29">
        <f>IF(Dataset!K520&lt;5,1,IF(Dataset!K520&lt;10,2,IF(Dataset!K520&lt;18,3,4)))</f>
        <v>1</v>
      </c>
      <c r="S520" s="29">
        <f t="shared" si="69"/>
        <v>0.2</v>
      </c>
      <c r="T520" s="29">
        <f t="shared" si="70"/>
        <v>1.3980000000000001</v>
      </c>
      <c r="U520" s="29" t="str">
        <f t="shared" si="71"/>
        <v>Medium</v>
      </c>
    </row>
    <row r="521" spans="1:21" ht="15" customHeight="1" x14ac:dyDescent="0.25">
      <c r="A521" s="29">
        <f>Dataset!A521</f>
        <v>517</v>
      </c>
      <c r="B521" s="29">
        <f>IF(Dataset!B521&lt;25,0.3,IF(Dataset!B521&lt;75,0.5,IF(Dataset!B521&lt;120,0.65,0.8)))</f>
        <v>0.5</v>
      </c>
      <c r="C521" s="29">
        <f>IF(Dataset!B521&lt;25,1,IF(Dataset!B521&lt;75,2,IF(Dataset!B521&lt;120,3,4)))</f>
        <v>2</v>
      </c>
      <c r="D521" s="29">
        <f t="shared" si="64"/>
        <v>1</v>
      </c>
      <c r="E521" s="29">
        <f>IF(Dataset!C521&lt;=1,0.3,IF(Dataset!C521=2,0.4,IF(Dataset!C521=3,0.5,IF(Dataset!C521=4,0.65,0.8))))</f>
        <v>0.8</v>
      </c>
      <c r="F521" s="29">
        <f>IF(Dataset!C521&lt;=2,1,IF(Dataset!C521=3,2,IF(Dataset!C521=4,3,4)))</f>
        <v>4</v>
      </c>
      <c r="G521" s="29">
        <f t="shared" si="65"/>
        <v>3.2</v>
      </c>
      <c r="H521" s="29">
        <f>IF(Dataset!G521&lt;=3,0.25,IF(Dataset!G521&lt;=6,0.45,IF(Dataset!G521&lt;=9,0.65,0.85)))</f>
        <v>0.45</v>
      </c>
      <c r="I521" s="29">
        <f>IF(Dataset!G521&lt;=3,1,IF(Dataset!G521&lt;=6,2,IF(Dataset!G521&lt;=9,3,4)))</f>
        <v>2</v>
      </c>
      <c r="J521" s="29">
        <f t="shared" si="66"/>
        <v>0.9</v>
      </c>
      <c r="K521" s="29">
        <f>IF(Dataset!H521&lt;1,0.2,IF(Dataset!H521&lt;1.3,0.45,IF(Dataset!H521&lt;1.8,0.7,0.9)))</f>
        <v>0.45</v>
      </c>
      <c r="L521" s="29">
        <f>IF(Dataset!H521&lt;1,1,IF(Dataset!H521&lt;1.3,2,IF(Dataset!H521&lt;1.8,3,4)))</f>
        <v>2</v>
      </c>
      <c r="M521" s="29">
        <f t="shared" si="67"/>
        <v>0.9</v>
      </c>
      <c r="N521" s="29">
        <f>IF(Dataset!F521=1,0.75,IF(Dataset!F521=2,0.45,0.2))</f>
        <v>0.75</v>
      </c>
      <c r="O521" s="29">
        <f>IF(Dataset!F521=1,3,IF(Dataset!F521=2,2,1))</f>
        <v>3</v>
      </c>
      <c r="P521" s="29">
        <f t="shared" si="68"/>
        <v>2.25</v>
      </c>
      <c r="Q521" s="29">
        <f>IF(Dataset!K521&lt;5,0.2,IF(Dataset!K521&lt;10,0.45,IF(Dataset!K521&lt;18,0.7,0.9)))</f>
        <v>0.7</v>
      </c>
      <c r="R521" s="29">
        <f>IF(Dataset!K521&lt;5,1,IF(Dataset!K521&lt;10,2,IF(Dataset!K521&lt;18,3,4)))</f>
        <v>3</v>
      </c>
      <c r="S521" s="29">
        <f t="shared" si="69"/>
        <v>2.0999999999999996</v>
      </c>
      <c r="T521" s="29">
        <f t="shared" si="70"/>
        <v>1.5430000000000004</v>
      </c>
      <c r="U521" s="29" t="str">
        <f t="shared" si="71"/>
        <v>Medium</v>
      </c>
    </row>
    <row r="522" spans="1:21" ht="15" customHeight="1" x14ac:dyDescent="0.25">
      <c r="A522" s="29">
        <f>Dataset!A522</f>
        <v>518</v>
      </c>
      <c r="B522" s="29">
        <f>IF(Dataset!B522&lt;25,0.3,IF(Dataset!B522&lt;75,0.5,IF(Dataset!B522&lt;120,0.65,0.8)))</f>
        <v>0.8</v>
      </c>
      <c r="C522" s="29">
        <f>IF(Dataset!B522&lt;25,1,IF(Dataset!B522&lt;75,2,IF(Dataset!B522&lt;120,3,4)))</f>
        <v>4</v>
      </c>
      <c r="D522" s="29">
        <f t="shared" si="64"/>
        <v>3.2</v>
      </c>
      <c r="E522" s="29">
        <f>IF(Dataset!C522&lt;=1,0.3,IF(Dataset!C522=2,0.4,IF(Dataset!C522=3,0.5,IF(Dataset!C522=4,0.65,0.8))))</f>
        <v>0.65</v>
      </c>
      <c r="F522" s="29">
        <f>IF(Dataset!C522&lt;=2,1,IF(Dataset!C522=3,2,IF(Dataset!C522=4,3,4)))</f>
        <v>3</v>
      </c>
      <c r="G522" s="29">
        <f t="shared" si="65"/>
        <v>1.9500000000000002</v>
      </c>
      <c r="H522" s="29">
        <f>IF(Dataset!G522&lt;=3,0.25,IF(Dataset!G522&lt;=6,0.45,IF(Dataset!G522&lt;=9,0.65,0.85)))</f>
        <v>0.45</v>
      </c>
      <c r="I522" s="29">
        <f>IF(Dataset!G522&lt;=3,1,IF(Dataset!G522&lt;=6,2,IF(Dataset!G522&lt;=9,3,4)))</f>
        <v>2</v>
      </c>
      <c r="J522" s="29">
        <f t="shared" si="66"/>
        <v>0.9</v>
      </c>
      <c r="K522" s="29">
        <f>IF(Dataset!H522&lt;1,0.2,IF(Dataset!H522&lt;1.3,0.45,IF(Dataset!H522&lt;1.8,0.7,0.9)))</f>
        <v>0.7</v>
      </c>
      <c r="L522" s="29">
        <f>IF(Dataset!H522&lt;1,1,IF(Dataset!H522&lt;1.3,2,IF(Dataset!H522&lt;1.8,3,4)))</f>
        <v>3</v>
      </c>
      <c r="M522" s="29">
        <f t="shared" si="67"/>
        <v>2.0999999999999996</v>
      </c>
      <c r="N522" s="29">
        <f>IF(Dataset!F522=1,0.75,IF(Dataset!F522=2,0.45,0.2))</f>
        <v>0.2</v>
      </c>
      <c r="O522" s="29">
        <f>IF(Dataset!F522=1,3,IF(Dataset!F522=2,2,1))</f>
        <v>1</v>
      </c>
      <c r="P522" s="29">
        <f t="shared" si="68"/>
        <v>0.2</v>
      </c>
      <c r="Q522" s="29">
        <f>IF(Dataset!K522&lt;5,0.2,IF(Dataset!K522&lt;10,0.45,IF(Dataset!K522&lt;18,0.7,0.9)))</f>
        <v>0.45</v>
      </c>
      <c r="R522" s="29">
        <f>IF(Dataset!K522&lt;5,1,IF(Dataset!K522&lt;10,2,IF(Dataset!K522&lt;18,3,4)))</f>
        <v>2</v>
      </c>
      <c r="S522" s="29">
        <f t="shared" si="69"/>
        <v>0.9</v>
      </c>
      <c r="T522" s="29">
        <f t="shared" si="70"/>
        <v>1.679</v>
      </c>
      <c r="U522" s="29" t="str">
        <f t="shared" si="71"/>
        <v>Medium</v>
      </c>
    </row>
    <row r="523" spans="1:21" ht="15" customHeight="1" x14ac:dyDescent="0.25">
      <c r="A523" s="29">
        <f>Dataset!A523</f>
        <v>519</v>
      </c>
      <c r="B523" s="29">
        <f>IF(Dataset!B523&lt;25,0.3,IF(Dataset!B523&lt;75,0.5,IF(Dataset!B523&lt;120,0.65,0.8)))</f>
        <v>0.65</v>
      </c>
      <c r="C523" s="29">
        <f>IF(Dataset!B523&lt;25,1,IF(Dataset!B523&lt;75,2,IF(Dataset!B523&lt;120,3,4)))</f>
        <v>3</v>
      </c>
      <c r="D523" s="29">
        <f t="shared" si="64"/>
        <v>1.9500000000000002</v>
      </c>
      <c r="E523" s="29">
        <f>IF(Dataset!C523&lt;=1,0.3,IF(Dataset!C523=2,0.4,IF(Dataset!C523=3,0.5,IF(Dataset!C523=4,0.65,0.8))))</f>
        <v>0.5</v>
      </c>
      <c r="F523" s="29">
        <f>IF(Dataset!C523&lt;=2,1,IF(Dataset!C523=3,2,IF(Dataset!C523=4,3,4)))</f>
        <v>2</v>
      </c>
      <c r="G523" s="29">
        <f t="shared" si="65"/>
        <v>1</v>
      </c>
      <c r="H523" s="29">
        <f>IF(Dataset!G523&lt;=3,0.25,IF(Dataset!G523&lt;=6,0.45,IF(Dataset!G523&lt;=9,0.65,0.85)))</f>
        <v>0.85</v>
      </c>
      <c r="I523" s="29">
        <f>IF(Dataset!G523&lt;=3,1,IF(Dataset!G523&lt;=6,2,IF(Dataset!G523&lt;=9,3,4)))</f>
        <v>4</v>
      </c>
      <c r="J523" s="29">
        <f t="shared" si="66"/>
        <v>3.4</v>
      </c>
      <c r="K523" s="29">
        <f>IF(Dataset!H523&lt;1,0.2,IF(Dataset!H523&lt;1.3,0.45,IF(Dataset!H523&lt;1.8,0.7,0.9)))</f>
        <v>0.7</v>
      </c>
      <c r="L523" s="29">
        <f>IF(Dataset!H523&lt;1,1,IF(Dataset!H523&lt;1.3,2,IF(Dataset!H523&lt;1.8,3,4)))</f>
        <v>3</v>
      </c>
      <c r="M523" s="29">
        <f t="shared" si="67"/>
        <v>2.0999999999999996</v>
      </c>
      <c r="N523" s="29">
        <f>IF(Dataset!F523=1,0.75,IF(Dataset!F523=2,0.45,0.2))</f>
        <v>0.2</v>
      </c>
      <c r="O523" s="29">
        <f>IF(Dataset!F523=1,3,IF(Dataset!F523=2,2,1))</f>
        <v>1</v>
      </c>
      <c r="P523" s="29">
        <f t="shared" si="68"/>
        <v>0.2</v>
      </c>
      <c r="Q523" s="29">
        <f>IF(Dataset!K523&lt;5,0.2,IF(Dataset!K523&lt;10,0.45,IF(Dataset!K523&lt;18,0.7,0.9)))</f>
        <v>0.45</v>
      </c>
      <c r="R523" s="29">
        <f>IF(Dataset!K523&lt;5,1,IF(Dataset!K523&lt;10,2,IF(Dataset!K523&lt;18,3,4)))</f>
        <v>2</v>
      </c>
      <c r="S523" s="29">
        <f t="shared" si="69"/>
        <v>0.9</v>
      </c>
      <c r="T523" s="29">
        <f t="shared" si="70"/>
        <v>1.821</v>
      </c>
      <c r="U523" s="29" t="str">
        <f t="shared" si="71"/>
        <v>High</v>
      </c>
    </row>
    <row r="524" spans="1:21" ht="15" customHeight="1" x14ac:dyDescent="0.25">
      <c r="A524" s="29">
        <f>Dataset!A524</f>
        <v>520</v>
      </c>
      <c r="B524" s="29">
        <f>IF(Dataset!B524&lt;25,0.3,IF(Dataset!B524&lt;75,0.5,IF(Dataset!B524&lt;120,0.65,0.8)))</f>
        <v>0.3</v>
      </c>
      <c r="C524" s="29">
        <f>IF(Dataset!B524&lt;25,1,IF(Dataset!B524&lt;75,2,IF(Dataset!B524&lt;120,3,4)))</f>
        <v>1</v>
      </c>
      <c r="D524" s="29">
        <f t="shared" si="64"/>
        <v>0.3</v>
      </c>
      <c r="E524" s="29">
        <f>IF(Dataset!C524&lt;=1,0.3,IF(Dataset!C524=2,0.4,IF(Dataset!C524=3,0.5,IF(Dataset!C524=4,0.65,0.8))))</f>
        <v>0.65</v>
      </c>
      <c r="F524" s="29">
        <f>IF(Dataset!C524&lt;=2,1,IF(Dataset!C524=3,2,IF(Dataset!C524=4,3,4)))</f>
        <v>3</v>
      </c>
      <c r="G524" s="29">
        <f t="shared" si="65"/>
        <v>1.9500000000000002</v>
      </c>
      <c r="H524" s="29">
        <f>IF(Dataset!G524&lt;=3,0.25,IF(Dataset!G524&lt;=6,0.45,IF(Dataset!G524&lt;=9,0.65,0.85)))</f>
        <v>0.45</v>
      </c>
      <c r="I524" s="29">
        <f>IF(Dataset!G524&lt;=3,1,IF(Dataset!G524&lt;=6,2,IF(Dataset!G524&lt;=9,3,4)))</f>
        <v>2</v>
      </c>
      <c r="J524" s="29">
        <f t="shared" si="66"/>
        <v>0.9</v>
      </c>
      <c r="K524" s="29">
        <f>IF(Dataset!H524&lt;1,0.2,IF(Dataset!H524&lt;1.3,0.45,IF(Dataset!H524&lt;1.8,0.7,0.9)))</f>
        <v>0.45</v>
      </c>
      <c r="L524" s="29">
        <f>IF(Dataset!H524&lt;1,1,IF(Dataset!H524&lt;1.3,2,IF(Dataset!H524&lt;1.8,3,4)))</f>
        <v>2</v>
      </c>
      <c r="M524" s="29">
        <f t="shared" si="67"/>
        <v>0.9</v>
      </c>
      <c r="N524" s="29">
        <f>IF(Dataset!F524=1,0.75,IF(Dataset!F524=2,0.45,0.2))</f>
        <v>0.45</v>
      </c>
      <c r="O524" s="29">
        <f>IF(Dataset!F524=1,3,IF(Dataset!F524=2,2,1))</f>
        <v>2</v>
      </c>
      <c r="P524" s="29">
        <f t="shared" si="68"/>
        <v>0.9</v>
      </c>
      <c r="Q524" s="29">
        <f>IF(Dataset!K524&lt;5,0.2,IF(Dataset!K524&lt;10,0.45,IF(Dataset!K524&lt;18,0.7,0.9)))</f>
        <v>0.45</v>
      </c>
      <c r="R524" s="29">
        <f>IF(Dataset!K524&lt;5,1,IF(Dataset!K524&lt;10,2,IF(Dataset!K524&lt;18,3,4)))</f>
        <v>2</v>
      </c>
      <c r="S524" s="29">
        <f t="shared" si="69"/>
        <v>0.9</v>
      </c>
      <c r="T524" s="29">
        <f t="shared" si="70"/>
        <v>0.93900000000000006</v>
      </c>
      <c r="U524" s="29" t="str">
        <f t="shared" si="71"/>
        <v>Low</v>
      </c>
    </row>
    <row r="525" spans="1:21" ht="15" customHeight="1" x14ac:dyDescent="0.25">
      <c r="A525" s="29">
        <f>Dataset!A525</f>
        <v>521</v>
      </c>
      <c r="B525" s="29">
        <f>IF(Dataset!B525&lt;25,0.3,IF(Dataset!B525&lt;75,0.5,IF(Dataset!B525&lt;120,0.65,0.8)))</f>
        <v>0.65</v>
      </c>
      <c r="C525" s="29">
        <f>IF(Dataset!B525&lt;25,1,IF(Dataset!B525&lt;75,2,IF(Dataset!B525&lt;120,3,4)))</f>
        <v>3</v>
      </c>
      <c r="D525" s="29">
        <f t="shared" si="64"/>
        <v>1.9500000000000002</v>
      </c>
      <c r="E525" s="29">
        <f>IF(Dataset!C525&lt;=1,0.3,IF(Dataset!C525=2,0.4,IF(Dataset!C525=3,0.5,IF(Dataset!C525=4,0.65,0.8))))</f>
        <v>0.3</v>
      </c>
      <c r="F525" s="29">
        <f>IF(Dataset!C525&lt;=2,1,IF(Dataset!C525=3,2,IF(Dataset!C525=4,3,4)))</f>
        <v>1</v>
      </c>
      <c r="G525" s="29">
        <f t="shared" si="65"/>
        <v>0.3</v>
      </c>
      <c r="H525" s="29">
        <f>IF(Dataset!G525&lt;=3,0.25,IF(Dataset!G525&lt;=6,0.45,IF(Dataset!G525&lt;=9,0.65,0.85)))</f>
        <v>0.25</v>
      </c>
      <c r="I525" s="29">
        <f>IF(Dataset!G525&lt;=3,1,IF(Dataset!G525&lt;=6,2,IF(Dataset!G525&lt;=9,3,4)))</f>
        <v>1</v>
      </c>
      <c r="J525" s="29">
        <f t="shared" si="66"/>
        <v>0.25</v>
      </c>
      <c r="K525" s="29">
        <f>IF(Dataset!H525&lt;1,0.2,IF(Dataset!H525&lt;1.3,0.45,IF(Dataset!H525&lt;1.8,0.7,0.9)))</f>
        <v>0.45</v>
      </c>
      <c r="L525" s="29">
        <f>IF(Dataset!H525&lt;1,1,IF(Dataset!H525&lt;1.3,2,IF(Dataset!H525&lt;1.8,3,4)))</f>
        <v>2</v>
      </c>
      <c r="M525" s="29">
        <f t="shared" si="67"/>
        <v>0.9</v>
      </c>
      <c r="N525" s="29">
        <f>IF(Dataset!F525=1,0.75,IF(Dataset!F525=2,0.45,0.2))</f>
        <v>0.75</v>
      </c>
      <c r="O525" s="29">
        <f>IF(Dataset!F525=1,3,IF(Dataset!F525=2,2,1))</f>
        <v>3</v>
      </c>
      <c r="P525" s="29">
        <f t="shared" si="68"/>
        <v>2.25</v>
      </c>
      <c r="Q525" s="29">
        <f>IF(Dataset!K525&lt;5,0.2,IF(Dataset!K525&lt;10,0.45,IF(Dataset!K525&lt;18,0.7,0.9)))</f>
        <v>0.2</v>
      </c>
      <c r="R525" s="29">
        <f>IF(Dataset!K525&lt;5,1,IF(Dataset!K525&lt;10,2,IF(Dataset!K525&lt;18,3,4)))</f>
        <v>1</v>
      </c>
      <c r="S525" s="29">
        <f t="shared" si="69"/>
        <v>0.2</v>
      </c>
      <c r="T525" s="29">
        <f t="shared" si="70"/>
        <v>0.91200000000000003</v>
      </c>
      <c r="U525" s="29" t="str">
        <f t="shared" si="71"/>
        <v>Low</v>
      </c>
    </row>
    <row r="526" spans="1:21" ht="15" customHeight="1" x14ac:dyDescent="0.25">
      <c r="A526" s="29">
        <f>Dataset!A526</f>
        <v>522</v>
      </c>
      <c r="B526" s="29">
        <f>IF(Dataset!B526&lt;25,0.3,IF(Dataset!B526&lt;75,0.5,IF(Dataset!B526&lt;120,0.65,0.8)))</f>
        <v>0.5</v>
      </c>
      <c r="C526" s="29">
        <f>IF(Dataset!B526&lt;25,1,IF(Dataset!B526&lt;75,2,IF(Dataset!B526&lt;120,3,4)))</f>
        <v>2</v>
      </c>
      <c r="D526" s="29">
        <f t="shared" si="64"/>
        <v>1</v>
      </c>
      <c r="E526" s="29">
        <f>IF(Dataset!C526&lt;=1,0.3,IF(Dataset!C526=2,0.4,IF(Dataset!C526=3,0.5,IF(Dataset!C526=4,0.65,0.8))))</f>
        <v>0.65</v>
      </c>
      <c r="F526" s="29">
        <f>IF(Dataset!C526&lt;=2,1,IF(Dataset!C526=3,2,IF(Dataset!C526=4,3,4)))</f>
        <v>3</v>
      </c>
      <c r="G526" s="29">
        <f t="shared" si="65"/>
        <v>1.9500000000000002</v>
      </c>
      <c r="H526" s="29">
        <f>IF(Dataset!G526&lt;=3,0.25,IF(Dataset!G526&lt;=6,0.45,IF(Dataset!G526&lt;=9,0.65,0.85)))</f>
        <v>0.65</v>
      </c>
      <c r="I526" s="29">
        <f>IF(Dataset!G526&lt;=3,1,IF(Dataset!G526&lt;=6,2,IF(Dataset!G526&lt;=9,3,4)))</f>
        <v>3</v>
      </c>
      <c r="J526" s="29">
        <f t="shared" si="66"/>
        <v>1.9500000000000002</v>
      </c>
      <c r="K526" s="29">
        <f>IF(Dataset!H526&lt;1,0.2,IF(Dataset!H526&lt;1.3,0.45,IF(Dataset!H526&lt;1.8,0.7,0.9)))</f>
        <v>0.9</v>
      </c>
      <c r="L526" s="29">
        <f>IF(Dataset!H526&lt;1,1,IF(Dataset!H526&lt;1.3,2,IF(Dataset!H526&lt;1.8,3,4)))</f>
        <v>4</v>
      </c>
      <c r="M526" s="29">
        <f t="shared" si="67"/>
        <v>3.6</v>
      </c>
      <c r="N526" s="29">
        <f>IF(Dataset!F526=1,0.75,IF(Dataset!F526=2,0.45,0.2))</f>
        <v>0.75</v>
      </c>
      <c r="O526" s="29">
        <f>IF(Dataset!F526=1,3,IF(Dataset!F526=2,2,1))</f>
        <v>3</v>
      </c>
      <c r="P526" s="29">
        <f t="shared" si="68"/>
        <v>2.25</v>
      </c>
      <c r="Q526" s="29">
        <f>IF(Dataset!K526&lt;5,0.2,IF(Dataset!K526&lt;10,0.45,IF(Dataset!K526&lt;18,0.7,0.9)))</f>
        <v>0.7</v>
      </c>
      <c r="R526" s="29">
        <f>IF(Dataset!K526&lt;5,1,IF(Dataset!K526&lt;10,2,IF(Dataset!K526&lt;18,3,4)))</f>
        <v>3</v>
      </c>
      <c r="S526" s="29">
        <f t="shared" si="69"/>
        <v>2.0999999999999996</v>
      </c>
      <c r="T526" s="29">
        <f t="shared" si="70"/>
        <v>2.2260000000000004</v>
      </c>
      <c r="U526" s="29" t="str">
        <f t="shared" si="71"/>
        <v>High</v>
      </c>
    </row>
    <row r="527" spans="1:21" ht="15" customHeight="1" x14ac:dyDescent="0.25">
      <c r="A527" s="29">
        <f>Dataset!A527</f>
        <v>523</v>
      </c>
      <c r="B527" s="29">
        <f>IF(Dataset!B527&lt;25,0.3,IF(Dataset!B527&lt;75,0.5,IF(Dataset!B527&lt;120,0.65,0.8)))</f>
        <v>0.5</v>
      </c>
      <c r="C527" s="29">
        <f>IF(Dataset!B527&lt;25,1,IF(Dataset!B527&lt;75,2,IF(Dataset!B527&lt;120,3,4)))</f>
        <v>2</v>
      </c>
      <c r="D527" s="29">
        <f t="shared" si="64"/>
        <v>1</v>
      </c>
      <c r="E527" s="29">
        <f>IF(Dataset!C527&lt;=1,0.3,IF(Dataset!C527=2,0.4,IF(Dataset!C527=3,0.5,IF(Dataset!C527=4,0.65,0.8))))</f>
        <v>0.4</v>
      </c>
      <c r="F527" s="29">
        <f>IF(Dataset!C527&lt;=2,1,IF(Dataset!C527=3,2,IF(Dataset!C527=4,3,4)))</f>
        <v>1</v>
      </c>
      <c r="G527" s="29">
        <f t="shared" si="65"/>
        <v>0.4</v>
      </c>
      <c r="H527" s="29">
        <f>IF(Dataset!G527&lt;=3,0.25,IF(Dataset!G527&lt;=6,0.45,IF(Dataset!G527&lt;=9,0.65,0.85)))</f>
        <v>0.45</v>
      </c>
      <c r="I527" s="29">
        <f>IF(Dataset!G527&lt;=3,1,IF(Dataset!G527&lt;=6,2,IF(Dataset!G527&lt;=9,3,4)))</f>
        <v>2</v>
      </c>
      <c r="J527" s="29">
        <f t="shared" si="66"/>
        <v>0.9</v>
      </c>
      <c r="K527" s="29">
        <f>IF(Dataset!H527&lt;1,0.2,IF(Dataset!H527&lt;1.3,0.45,IF(Dataset!H527&lt;1.8,0.7,0.9)))</f>
        <v>0.7</v>
      </c>
      <c r="L527" s="29">
        <f>IF(Dataset!H527&lt;1,1,IF(Dataset!H527&lt;1.3,2,IF(Dataset!H527&lt;1.8,3,4)))</f>
        <v>3</v>
      </c>
      <c r="M527" s="29">
        <f t="shared" si="67"/>
        <v>2.0999999999999996</v>
      </c>
      <c r="N527" s="29">
        <f>IF(Dataset!F527=1,0.75,IF(Dataset!F527=2,0.45,0.2))</f>
        <v>0.75</v>
      </c>
      <c r="O527" s="29">
        <f>IF(Dataset!F527=1,3,IF(Dataset!F527=2,2,1))</f>
        <v>3</v>
      </c>
      <c r="P527" s="29">
        <f t="shared" si="68"/>
        <v>2.25</v>
      </c>
      <c r="Q527" s="29">
        <f>IF(Dataset!K527&lt;5,0.2,IF(Dataset!K527&lt;10,0.45,IF(Dataset!K527&lt;18,0.7,0.9)))</f>
        <v>0.45</v>
      </c>
      <c r="R527" s="29">
        <f>IF(Dataset!K527&lt;5,1,IF(Dataset!K527&lt;10,2,IF(Dataset!K527&lt;18,3,4)))</f>
        <v>2</v>
      </c>
      <c r="S527" s="29">
        <f t="shared" si="69"/>
        <v>0.9</v>
      </c>
      <c r="T527" s="29">
        <f t="shared" si="70"/>
        <v>1.2710000000000001</v>
      </c>
      <c r="U527" s="29" t="str">
        <f t="shared" si="71"/>
        <v>Low</v>
      </c>
    </row>
    <row r="528" spans="1:21" ht="15" customHeight="1" x14ac:dyDescent="0.25">
      <c r="A528" s="29">
        <f>Dataset!A528</f>
        <v>524</v>
      </c>
      <c r="B528" s="29">
        <f>IF(Dataset!B528&lt;25,0.3,IF(Dataset!B528&lt;75,0.5,IF(Dataset!B528&lt;120,0.65,0.8)))</f>
        <v>0.3</v>
      </c>
      <c r="C528" s="29">
        <f>IF(Dataset!B528&lt;25,1,IF(Dataset!B528&lt;75,2,IF(Dataset!B528&lt;120,3,4)))</f>
        <v>1</v>
      </c>
      <c r="D528" s="29">
        <f t="shared" si="64"/>
        <v>0.3</v>
      </c>
      <c r="E528" s="29">
        <f>IF(Dataset!C528&lt;=1,0.3,IF(Dataset!C528=2,0.4,IF(Dataset!C528=3,0.5,IF(Dataset!C528=4,0.65,0.8))))</f>
        <v>0.65</v>
      </c>
      <c r="F528" s="29">
        <f>IF(Dataset!C528&lt;=2,1,IF(Dataset!C528=3,2,IF(Dataset!C528=4,3,4)))</f>
        <v>3</v>
      </c>
      <c r="G528" s="29">
        <f t="shared" si="65"/>
        <v>1.9500000000000002</v>
      </c>
      <c r="H528" s="29">
        <f>IF(Dataset!G528&lt;=3,0.25,IF(Dataset!G528&lt;=6,0.45,IF(Dataset!G528&lt;=9,0.65,0.85)))</f>
        <v>0.65</v>
      </c>
      <c r="I528" s="29">
        <f>IF(Dataset!G528&lt;=3,1,IF(Dataset!G528&lt;=6,2,IF(Dataset!G528&lt;=9,3,4)))</f>
        <v>3</v>
      </c>
      <c r="J528" s="29">
        <f t="shared" si="66"/>
        <v>1.9500000000000002</v>
      </c>
      <c r="K528" s="29">
        <f>IF(Dataset!H528&lt;1,0.2,IF(Dataset!H528&lt;1.3,0.45,IF(Dataset!H528&lt;1.8,0.7,0.9)))</f>
        <v>0.7</v>
      </c>
      <c r="L528" s="29">
        <f>IF(Dataset!H528&lt;1,1,IF(Dataset!H528&lt;1.3,2,IF(Dataset!H528&lt;1.8,3,4)))</f>
        <v>3</v>
      </c>
      <c r="M528" s="29">
        <f t="shared" si="67"/>
        <v>2.0999999999999996</v>
      </c>
      <c r="N528" s="29">
        <f>IF(Dataset!F528=1,0.75,IF(Dataset!F528=2,0.45,0.2))</f>
        <v>0.2</v>
      </c>
      <c r="O528" s="29">
        <f>IF(Dataset!F528=1,3,IF(Dataset!F528=2,2,1))</f>
        <v>1</v>
      </c>
      <c r="P528" s="29">
        <f t="shared" si="68"/>
        <v>0.2</v>
      </c>
      <c r="Q528" s="29">
        <f>IF(Dataset!K528&lt;5,0.2,IF(Dataset!K528&lt;10,0.45,IF(Dataset!K528&lt;18,0.7,0.9)))</f>
        <v>0.7</v>
      </c>
      <c r="R528" s="29">
        <f>IF(Dataset!K528&lt;5,1,IF(Dataset!K528&lt;10,2,IF(Dataset!K528&lt;18,3,4)))</f>
        <v>3</v>
      </c>
      <c r="S528" s="29">
        <f t="shared" si="69"/>
        <v>2.0999999999999996</v>
      </c>
      <c r="T528" s="29">
        <f t="shared" si="70"/>
        <v>1.5350000000000001</v>
      </c>
      <c r="U528" s="29" t="str">
        <f t="shared" si="71"/>
        <v>Medium</v>
      </c>
    </row>
    <row r="529" spans="1:21" ht="15" customHeight="1" x14ac:dyDescent="0.25">
      <c r="A529" s="29">
        <f>Dataset!A529</f>
        <v>525</v>
      </c>
      <c r="B529" s="29">
        <f>IF(Dataset!B529&lt;25,0.3,IF(Dataset!B529&lt;75,0.5,IF(Dataset!B529&lt;120,0.65,0.8)))</f>
        <v>0.3</v>
      </c>
      <c r="C529" s="29">
        <f>IF(Dataset!B529&lt;25,1,IF(Dataset!B529&lt;75,2,IF(Dataset!B529&lt;120,3,4)))</f>
        <v>1</v>
      </c>
      <c r="D529" s="29">
        <f t="shared" si="64"/>
        <v>0.3</v>
      </c>
      <c r="E529" s="29">
        <f>IF(Dataset!C529&lt;=1,0.3,IF(Dataset!C529=2,0.4,IF(Dataset!C529=3,0.5,IF(Dataset!C529=4,0.65,0.8))))</f>
        <v>0.5</v>
      </c>
      <c r="F529" s="29">
        <f>IF(Dataset!C529&lt;=2,1,IF(Dataset!C529=3,2,IF(Dataset!C529=4,3,4)))</f>
        <v>2</v>
      </c>
      <c r="G529" s="29">
        <f t="shared" si="65"/>
        <v>1</v>
      </c>
      <c r="H529" s="29">
        <f>IF(Dataset!G529&lt;=3,0.25,IF(Dataset!G529&lt;=6,0.45,IF(Dataset!G529&lt;=9,0.65,0.85)))</f>
        <v>0.65</v>
      </c>
      <c r="I529" s="29">
        <f>IF(Dataset!G529&lt;=3,1,IF(Dataset!G529&lt;=6,2,IF(Dataset!G529&lt;=9,3,4)))</f>
        <v>3</v>
      </c>
      <c r="J529" s="29">
        <f t="shared" si="66"/>
        <v>1.9500000000000002</v>
      </c>
      <c r="K529" s="29">
        <f>IF(Dataset!H529&lt;1,0.2,IF(Dataset!H529&lt;1.3,0.45,IF(Dataset!H529&lt;1.8,0.7,0.9)))</f>
        <v>0.7</v>
      </c>
      <c r="L529" s="29">
        <f>IF(Dataset!H529&lt;1,1,IF(Dataset!H529&lt;1.3,2,IF(Dataset!H529&lt;1.8,3,4)))</f>
        <v>3</v>
      </c>
      <c r="M529" s="29">
        <f t="shared" si="67"/>
        <v>2.0999999999999996</v>
      </c>
      <c r="N529" s="29">
        <f>IF(Dataset!F529=1,0.75,IF(Dataset!F529=2,0.45,0.2))</f>
        <v>0.75</v>
      </c>
      <c r="O529" s="29">
        <f>IF(Dataset!F529=1,3,IF(Dataset!F529=2,2,1))</f>
        <v>3</v>
      </c>
      <c r="P529" s="29">
        <f t="shared" si="68"/>
        <v>2.25</v>
      </c>
      <c r="Q529" s="29">
        <f>IF(Dataset!K529&lt;5,0.2,IF(Dataset!K529&lt;10,0.45,IF(Dataset!K529&lt;18,0.7,0.9)))</f>
        <v>0.45</v>
      </c>
      <c r="R529" s="29">
        <f>IF(Dataset!K529&lt;5,1,IF(Dataset!K529&lt;10,2,IF(Dataset!K529&lt;18,3,4)))</f>
        <v>2</v>
      </c>
      <c r="S529" s="29">
        <f t="shared" si="69"/>
        <v>0.9</v>
      </c>
      <c r="T529" s="29">
        <f t="shared" si="70"/>
        <v>1.4390000000000003</v>
      </c>
      <c r="U529" s="29" t="str">
        <f t="shared" si="71"/>
        <v>Medium</v>
      </c>
    </row>
    <row r="530" spans="1:21" ht="15" customHeight="1" x14ac:dyDescent="0.25">
      <c r="A530" s="29">
        <f>Dataset!A530</f>
        <v>526</v>
      </c>
      <c r="B530" s="29">
        <f>IF(Dataset!B530&lt;25,0.3,IF(Dataset!B530&lt;75,0.5,IF(Dataset!B530&lt;120,0.65,0.8)))</f>
        <v>0.5</v>
      </c>
      <c r="C530" s="29">
        <f>IF(Dataset!B530&lt;25,1,IF(Dataset!B530&lt;75,2,IF(Dataset!B530&lt;120,3,4)))</f>
        <v>2</v>
      </c>
      <c r="D530" s="29">
        <f t="shared" si="64"/>
        <v>1</v>
      </c>
      <c r="E530" s="29">
        <f>IF(Dataset!C530&lt;=1,0.3,IF(Dataset!C530=2,0.4,IF(Dataset!C530=3,0.5,IF(Dataset!C530=4,0.65,0.8))))</f>
        <v>0.5</v>
      </c>
      <c r="F530" s="29">
        <f>IF(Dataset!C530&lt;=2,1,IF(Dataset!C530=3,2,IF(Dataset!C530=4,3,4)))</f>
        <v>2</v>
      </c>
      <c r="G530" s="29">
        <f t="shared" si="65"/>
        <v>1</v>
      </c>
      <c r="H530" s="29">
        <f>IF(Dataset!G530&lt;=3,0.25,IF(Dataset!G530&lt;=6,0.45,IF(Dataset!G530&lt;=9,0.65,0.85)))</f>
        <v>0.65</v>
      </c>
      <c r="I530" s="29">
        <f>IF(Dataset!G530&lt;=3,1,IF(Dataset!G530&lt;=6,2,IF(Dataset!G530&lt;=9,3,4)))</f>
        <v>3</v>
      </c>
      <c r="J530" s="29">
        <f t="shared" si="66"/>
        <v>1.9500000000000002</v>
      </c>
      <c r="K530" s="29">
        <f>IF(Dataset!H530&lt;1,0.2,IF(Dataset!H530&lt;1.3,0.45,IF(Dataset!H530&lt;1.8,0.7,0.9)))</f>
        <v>0.9</v>
      </c>
      <c r="L530" s="29">
        <f>IF(Dataset!H530&lt;1,1,IF(Dataset!H530&lt;1.3,2,IF(Dataset!H530&lt;1.8,3,4)))</f>
        <v>4</v>
      </c>
      <c r="M530" s="29">
        <f t="shared" si="67"/>
        <v>3.6</v>
      </c>
      <c r="N530" s="29">
        <f>IF(Dataset!F530=1,0.75,IF(Dataset!F530=2,0.45,0.2))</f>
        <v>0.2</v>
      </c>
      <c r="O530" s="29">
        <f>IF(Dataset!F530=1,3,IF(Dataset!F530=2,2,1))</f>
        <v>1</v>
      </c>
      <c r="P530" s="29">
        <f t="shared" si="68"/>
        <v>0.2</v>
      </c>
      <c r="Q530" s="29">
        <f>IF(Dataset!K530&lt;5,0.2,IF(Dataset!K530&lt;10,0.45,IF(Dataset!K530&lt;18,0.7,0.9)))</f>
        <v>0.2</v>
      </c>
      <c r="R530" s="29">
        <f>IF(Dataset!K530&lt;5,1,IF(Dataset!K530&lt;10,2,IF(Dataset!K530&lt;18,3,4)))</f>
        <v>1</v>
      </c>
      <c r="S530" s="29">
        <f t="shared" si="69"/>
        <v>0.2</v>
      </c>
      <c r="T530" s="29">
        <f t="shared" si="70"/>
        <v>1.6220000000000001</v>
      </c>
      <c r="U530" s="29" t="str">
        <f t="shared" si="71"/>
        <v>Medium</v>
      </c>
    </row>
    <row r="531" spans="1:21" ht="15" customHeight="1" x14ac:dyDescent="0.25">
      <c r="A531" s="29">
        <f>Dataset!A531</f>
        <v>527</v>
      </c>
      <c r="B531" s="29">
        <f>IF(Dataset!B531&lt;25,0.3,IF(Dataset!B531&lt;75,0.5,IF(Dataset!B531&lt;120,0.65,0.8)))</f>
        <v>0.3</v>
      </c>
      <c r="C531" s="29">
        <f>IF(Dataset!B531&lt;25,1,IF(Dataset!B531&lt;75,2,IF(Dataset!B531&lt;120,3,4)))</f>
        <v>1</v>
      </c>
      <c r="D531" s="29">
        <f t="shared" si="64"/>
        <v>0.3</v>
      </c>
      <c r="E531" s="29">
        <f>IF(Dataset!C531&lt;=1,0.3,IF(Dataset!C531=2,0.4,IF(Dataset!C531=3,0.5,IF(Dataset!C531=4,0.65,0.8))))</f>
        <v>0.3</v>
      </c>
      <c r="F531" s="29">
        <f>IF(Dataset!C531&lt;=2,1,IF(Dataset!C531=3,2,IF(Dataset!C531=4,3,4)))</f>
        <v>1</v>
      </c>
      <c r="G531" s="29">
        <f t="shared" si="65"/>
        <v>0.3</v>
      </c>
      <c r="H531" s="29">
        <f>IF(Dataset!G531&lt;=3,0.25,IF(Dataset!G531&lt;=6,0.45,IF(Dataset!G531&lt;=9,0.65,0.85)))</f>
        <v>0.45</v>
      </c>
      <c r="I531" s="29">
        <f>IF(Dataset!G531&lt;=3,1,IF(Dataset!G531&lt;=6,2,IF(Dataset!G531&lt;=9,3,4)))</f>
        <v>2</v>
      </c>
      <c r="J531" s="29">
        <f t="shared" si="66"/>
        <v>0.9</v>
      </c>
      <c r="K531" s="29">
        <f>IF(Dataset!H531&lt;1,0.2,IF(Dataset!H531&lt;1.3,0.45,IF(Dataset!H531&lt;1.8,0.7,0.9)))</f>
        <v>0.9</v>
      </c>
      <c r="L531" s="29">
        <f>IF(Dataset!H531&lt;1,1,IF(Dataset!H531&lt;1.3,2,IF(Dataset!H531&lt;1.8,3,4)))</f>
        <v>4</v>
      </c>
      <c r="M531" s="29">
        <f t="shared" si="67"/>
        <v>3.6</v>
      </c>
      <c r="N531" s="29">
        <f>IF(Dataset!F531=1,0.75,IF(Dataset!F531=2,0.45,0.2))</f>
        <v>0.45</v>
      </c>
      <c r="O531" s="29">
        <f>IF(Dataset!F531=1,3,IF(Dataset!F531=2,2,1))</f>
        <v>2</v>
      </c>
      <c r="P531" s="29">
        <f t="shared" si="68"/>
        <v>0.9</v>
      </c>
      <c r="Q531" s="29">
        <f>IF(Dataset!K531&lt;5,0.2,IF(Dataset!K531&lt;10,0.45,IF(Dataset!K531&lt;18,0.7,0.9)))</f>
        <v>0.2</v>
      </c>
      <c r="R531" s="29">
        <f>IF(Dataset!K531&lt;5,1,IF(Dataset!K531&lt;10,2,IF(Dataset!K531&lt;18,3,4)))</f>
        <v>1</v>
      </c>
      <c r="S531" s="29">
        <f t="shared" si="69"/>
        <v>0.2</v>
      </c>
      <c r="T531" s="29">
        <f t="shared" si="70"/>
        <v>1.2580000000000002</v>
      </c>
      <c r="U531" s="29" t="str">
        <f t="shared" si="71"/>
        <v>Low</v>
      </c>
    </row>
    <row r="532" spans="1:21" ht="15" customHeight="1" x14ac:dyDescent="0.25">
      <c r="A532" s="29">
        <f>Dataset!A532</f>
        <v>528</v>
      </c>
      <c r="B532" s="29">
        <f>IF(Dataset!B532&lt;25,0.3,IF(Dataset!B532&lt;75,0.5,IF(Dataset!B532&lt;120,0.65,0.8)))</f>
        <v>0.5</v>
      </c>
      <c r="C532" s="29">
        <f>IF(Dataset!B532&lt;25,1,IF(Dataset!B532&lt;75,2,IF(Dataset!B532&lt;120,3,4)))</f>
        <v>2</v>
      </c>
      <c r="D532" s="29">
        <f t="shared" si="64"/>
        <v>1</v>
      </c>
      <c r="E532" s="29">
        <f>IF(Dataset!C532&lt;=1,0.3,IF(Dataset!C532=2,0.4,IF(Dataset!C532=3,0.5,IF(Dataset!C532=4,0.65,0.8))))</f>
        <v>0.65</v>
      </c>
      <c r="F532" s="29">
        <f>IF(Dataset!C532&lt;=2,1,IF(Dataset!C532=3,2,IF(Dataset!C532=4,3,4)))</f>
        <v>3</v>
      </c>
      <c r="G532" s="29">
        <f t="shared" si="65"/>
        <v>1.9500000000000002</v>
      </c>
      <c r="H532" s="29">
        <f>IF(Dataset!G532&lt;=3,0.25,IF(Dataset!G532&lt;=6,0.45,IF(Dataset!G532&lt;=9,0.65,0.85)))</f>
        <v>0.45</v>
      </c>
      <c r="I532" s="29">
        <f>IF(Dataset!G532&lt;=3,1,IF(Dataset!G532&lt;=6,2,IF(Dataset!G532&lt;=9,3,4)))</f>
        <v>2</v>
      </c>
      <c r="J532" s="29">
        <f t="shared" si="66"/>
        <v>0.9</v>
      </c>
      <c r="K532" s="29">
        <f>IF(Dataset!H532&lt;1,0.2,IF(Dataset!H532&lt;1.3,0.45,IF(Dataset!H532&lt;1.8,0.7,0.9)))</f>
        <v>0.45</v>
      </c>
      <c r="L532" s="29">
        <f>IF(Dataset!H532&lt;1,1,IF(Dataset!H532&lt;1.3,2,IF(Dataset!H532&lt;1.8,3,4)))</f>
        <v>2</v>
      </c>
      <c r="M532" s="29">
        <f t="shared" si="67"/>
        <v>0.9</v>
      </c>
      <c r="N532" s="29">
        <f>IF(Dataset!F532=1,0.75,IF(Dataset!F532=2,0.45,0.2))</f>
        <v>0.45</v>
      </c>
      <c r="O532" s="29">
        <f>IF(Dataset!F532=1,3,IF(Dataset!F532=2,2,1))</f>
        <v>2</v>
      </c>
      <c r="P532" s="29">
        <f t="shared" si="68"/>
        <v>0.9</v>
      </c>
      <c r="Q532" s="29">
        <f>IF(Dataset!K532&lt;5,0.2,IF(Dataset!K532&lt;10,0.45,IF(Dataset!K532&lt;18,0.7,0.9)))</f>
        <v>0.7</v>
      </c>
      <c r="R532" s="29">
        <f>IF(Dataset!K532&lt;5,1,IF(Dataset!K532&lt;10,2,IF(Dataset!K532&lt;18,3,4)))</f>
        <v>3</v>
      </c>
      <c r="S532" s="29">
        <f t="shared" si="69"/>
        <v>2.0999999999999996</v>
      </c>
      <c r="T532" s="29">
        <f t="shared" si="70"/>
        <v>1.2330000000000001</v>
      </c>
      <c r="U532" s="29" t="str">
        <f t="shared" si="71"/>
        <v>Low</v>
      </c>
    </row>
    <row r="533" spans="1:21" ht="15" customHeight="1" x14ac:dyDescent="0.25">
      <c r="A533" s="29">
        <f>Dataset!A533</f>
        <v>529</v>
      </c>
      <c r="B533" s="29">
        <f>IF(Dataset!B533&lt;25,0.3,IF(Dataset!B533&lt;75,0.5,IF(Dataset!B533&lt;120,0.65,0.8)))</f>
        <v>0.5</v>
      </c>
      <c r="C533" s="29">
        <f>IF(Dataset!B533&lt;25,1,IF(Dataset!B533&lt;75,2,IF(Dataset!B533&lt;120,3,4)))</f>
        <v>2</v>
      </c>
      <c r="D533" s="29">
        <f t="shared" si="64"/>
        <v>1</v>
      </c>
      <c r="E533" s="29">
        <f>IF(Dataset!C533&lt;=1,0.3,IF(Dataset!C533=2,0.4,IF(Dataset!C533=3,0.5,IF(Dataset!C533=4,0.65,0.8))))</f>
        <v>0.4</v>
      </c>
      <c r="F533" s="29">
        <f>IF(Dataset!C533&lt;=2,1,IF(Dataset!C533=3,2,IF(Dataset!C533=4,3,4)))</f>
        <v>1</v>
      </c>
      <c r="G533" s="29">
        <f t="shared" si="65"/>
        <v>0.4</v>
      </c>
      <c r="H533" s="29">
        <f>IF(Dataset!G533&lt;=3,0.25,IF(Dataset!G533&lt;=6,0.45,IF(Dataset!G533&lt;=9,0.65,0.85)))</f>
        <v>0.65</v>
      </c>
      <c r="I533" s="29">
        <f>IF(Dataset!G533&lt;=3,1,IF(Dataset!G533&lt;=6,2,IF(Dataset!G533&lt;=9,3,4)))</f>
        <v>3</v>
      </c>
      <c r="J533" s="29">
        <f t="shared" si="66"/>
        <v>1.9500000000000002</v>
      </c>
      <c r="K533" s="29">
        <f>IF(Dataset!H533&lt;1,0.2,IF(Dataset!H533&lt;1.3,0.45,IF(Dataset!H533&lt;1.8,0.7,0.9)))</f>
        <v>0.9</v>
      </c>
      <c r="L533" s="29">
        <f>IF(Dataset!H533&lt;1,1,IF(Dataset!H533&lt;1.3,2,IF(Dataset!H533&lt;1.8,3,4)))</f>
        <v>4</v>
      </c>
      <c r="M533" s="29">
        <f t="shared" si="67"/>
        <v>3.6</v>
      </c>
      <c r="N533" s="29">
        <f>IF(Dataset!F533=1,0.75,IF(Dataset!F533=2,0.45,0.2))</f>
        <v>0.2</v>
      </c>
      <c r="O533" s="29">
        <f>IF(Dataset!F533=1,3,IF(Dataset!F533=2,2,1))</f>
        <v>1</v>
      </c>
      <c r="P533" s="29">
        <f t="shared" si="68"/>
        <v>0.2</v>
      </c>
      <c r="Q533" s="29">
        <f>IF(Dataset!K533&lt;5,0.2,IF(Dataset!K533&lt;10,0.45,IF(Dataset!K533&lt;18,0.7,0.9)))</f>
        <v>0.2</v>
      </c>
      <c r="R533" s="29">
        <f>IF(Dataset!K533&lt;5,1,IF(Dataset!K533&lt;10,2,IF(Dataset!K533&lt;18,3,4)))</f>
        <v>1</v>
      </c>
      <c r="S533" s="29">
        <f t="shared" si="69"/>
        <v>0.2</v>
      </c>
      <c r="T533" s="29">
        <f t="shared" si="70"/>
        <v>1.5380000000000003</v>
      </c>
      <c r="U533" s="29" t="str">
        <f t="shared" si="71"/>
        <v>Medium</v>
      </c>
    </row>
    <row r="534" spans="1:21" ht="15" customHeight="1" x14ac:dyDescent="0.25">
      <c r="A534" s="29">
        <f>Dataset!A534</f>
        <v>530</v>
      </c>
      <c r="B534" s="29">
        <f>IF(Dataset!B534&lt;25,0.3,IF(Dataset!B534&lt;75,0.5,IF(Dataset!B534&lt;120,0.65,0.8)))</f>
        <v>0.5</v>
      </c>
      <c r="C534" s="29">
        <f>IF(Dataset!B534&lt;25,1,IF(Dataset!B534&lt;75,2,IF(Dataset!B534&lt;120,3,4)))</f>
        <v>2</v>
      </c>
      <c r="D534" s="29">
        <f t="shared" si="64"/>
        <v>1</v>
      </c>
      <c r="E534" s="29">
        <f>IF(Dataset!C534&lt;=1,0.3,IF(Dataset!C534=2,0.4,IF(Dataset!C534=3,0.5,IF(Dataset!C534=4,0.65,0.8))))</f>
        <v>0.3</v>
      </c>
      <c r="F534" s="29">
        <f>IF(Dataset!C534&lt;=2,1,IF(Dataset!C534=3,2,IF(Dataset!C534=4,3,4)))</f>
        <v>1</v>
      </c>
      <c r="G534" s="29">
        <f t="shared" si="65"/>
        <v>0.3</v>
      </c>
      <c r="H534" s="29">
        <f>IF(Dataset!G534&lt;=3,0.25,IF(Dataset!G534&lt;=6,0.45,IF(Dataset!G534&lt;=9,0.65,0.85)))</f>
        <v>0.45</v>
      </c>
      <c r="I534" s="29">
        <f>IF(Dataset!G534&lt;=3,1,IF(Dataset!G534&lt;=6,2,IF(Dataset!G534&lt;=9,3,4)))</f>
        <v>2</v>
      </c>
      <c r="J534" s="29">
        <f t="shared" si="66"/>
        <v>0.9</v>
      </c>
      <c r="K534" s="29">
        <f>IF(Dataset!H534&lt;1,0.2,IF(Dataset!H534&lt;1.3,0.45,IF(Dataset!H534&lt;1.8,0.7,0.9)))</f>
        <v>0.9</v>
      </c>
      <c r="L534" s="29">
        <f>IF(Dataset!H534&lt;1,1,IF(Dataset!H534&lt;1.3,2,IF(Dataset!H534&lt;1.8,3,4)))</f>
        <v>4</v>
      </c>
      <c r="M534" s="29">
        <f t="shared" si="67"/>
        <v>3.6</v>
      </c>
      <c r="N534" s="29">
        <f>IF(Dataset!F534=1,0.75,IF(Dataset!F534=2,0.45,0.2))</f>
        <v>0.75</v>
      </c>
      <c r="O534" s="29">
        <f>IF(Dataset!F534=1,3,IF(Dataset!F534=2,2,1))</f>
        <v>3</v>
      </c>
      <c r="P534" s="29">
        <f t="shared" si="68"/>
        <v>2.25</v>
      </c>
      <c r="Q534" s="29">
        <f>IF(Dataset!K534&lt;5,0.2,IF(Dataset!K534&lt;10,0.45,IF(Dataset!K534&lt;18,0.7,0.9)))</f>
        <v>0.2</v>
      </c>
      <c r="R534" s="29">
        <f>IF(Dataset!K534&lt;5,1,IF(Dataset!K534&lt;10,2,IF(Dataset!K534&lt;18,3,4)))</f>
        <v>1</v>
      </c>
      <c r="S534" s="29">
        <f t="shared" si="69"/>
        <v>0.2</v>
      </c>
      <c r="T534" s="29">
        <f t="shared" si="70"/>
        <v>1.5190000000000001</v>
      </c>
      <c r="U534" s="29" t="str">
        <f t="shared" si="71"/>
        <v>Medium</v>
      </c>
    </row>
    <row r="535" spans="1:21" ht="15" customHeight="1" x14ac:dyDescent="0.25">
      <c r="A535" s="29">
        <f>Dataset!A535</f>
        <v>531</v>
      </c>
      <c r="B535" s="29">
        <f>IF(Dataset!B535&lt;25,0.3,IF(Dataset!B535&lt;75,0.5,IF(Dataset!B535&lt;120,0.65,0.8)))</f>
        <v>0.5</v>
      </c>
      <c r="C535" s="29">
        <f>IF(Dataset!B535&lt;25,1,IF(Dataset!B535&lt;75,2,IF(Dataset!B535&lt;120,3,4)))</f>
        <v>2</v>
      </c>
      <c r="D535" s="29">
        <f t="shared" si="64"/>
        <v>1</v>
      </c>
      <c r="E535" s="29">
        <f>IF(Dataset!C535&lt;=1,0.3,IF(Dataset!C535=2,0.4,IF(Dataset!C535=3,0.5,IF(Dataset!C535=4,0.65,0.8))))</f>
        <v>0.65</v>
      </c>
      <c r="F535" s="29">
        <f>IF(Dataset!C535&lt;=2,1,IF(Dataset!C535=3,2,IF(Dataset!C535=4,3,4)))</f>
        <v>3</v>
      </c>
      <c r="G535" s="29">
        <f t="shared" si="65"/>
        <v>1.9500000000000002</v>
      </c>
      <c r="H535" s="29">
        <f>IF(Dataset!G535&lt;=3,0.25,IF(Dataset!G535&lt;=6,0.45,IF(Dataset!G535&lt;=9,0.65,0.85)))</f>
        <v>0.65</v>
      </c>
      <c r="I535" s="29">
        <f>IF(Dataset!G535&lt;=3,1,IF(Dataset!G535&lt;=6,2,IF(Dataset!G535&lt;=9,3,4)))</f>
        <v>3</v>
      </c>
      <c r="J535" s="29">
        <f t="shared" si="66"/>
        <v>1.9500000000000002</v>
      </c>
      <c r="K535" s="29">
        <f>IF(Dataset!H535&lt;1,0.2,IF(Dataset!H535&lt;1.3,0.45,IF(Dataset!H535&lt;1.8,0.7,0.9)))</f>
        <v>0.45</v>
      </c>
      <c r="L535" s="29">
        <f>IF(Dataset!H535&lt;1,1,IF(Dataset!H535&lt;1.3,2,IF(Dataset!H535&lt;1.8,3,4)))</f>
        <v>2</v>
      </c>
      <c r="M535" s="29">
        <f t="shared" si="67"/>
        <v>0.9</v>
      </c>
      <c r="N535" s="29">
        <f>IF(Dataset!F535=1,0.75,IF(Dataset!F535=2,0.45,0.2))</f>
        <v>0.2</v>
      </c>
      <c r="O535" s="29">
        <f>IF(Dataset!F535=1,3,IF(Dataset!F535=2,2,1))</f>
        <v>1</v>
      </c>
      <c r="P535" s="29">
        <f t="shared" si="68"/>
        <v>0.2</v>
      </c>
      <c r="Q535" s="29">
        <f>IF(Dataset!K535&lt;5,0.2,IF(Dataset!K535&lt;10,0.45,IF(Dataset!K535&lt;18,0.7,0.9)))</f>
        <v>0.7</v>
      </c>
      <c r="R535" s="29">
        <f>IF(Dataset!K535&lt;5,1,IF(Dataset!K535&lt;10,2,IF(Dataset!K535&lt;18,3,4)))</f>
        <v>3</v>
      </c>
      <c r="S535" s="29">
        <f t="shared" si="69"/>
        <v>2.0999999999999996</v>
      </c>
      <c r="T535" s="29">
        <f t="shared" si="70"/>
        <v>1.3730000000000002</v>
      </c>
      <c r="U535" s="29" t="str">
        <f t="shared" si="71"/>
        <v>Medium</v>
      </c>
    </row>
    <row r="536" spans="1:21" ht="15" customHeight="1" x14ac:dyDescent="0.25">
      <c r="A536" s="29">
        <f>Dataset!A536</f>
        <v>532</v>
      </c>
      <c r="B536" s="29">
        <f>IF(Dataset!B536&lt;25,0.3,IF(Dataset!B536&lt;75,0.5,IF(Dataset!B536&lt;120,0.65,0.8)))</f>
        <v>0.5</v>
      </c>
      <c r="C536" s="29">
        <f>IF(Dataset!B536&lt;25,1,IF(Dataset!B536&lt;75,2,IF(Dataset!B536&lt;120,3,4)))</f>
        <v>2</v>
      </c>
      <c r="D536" s="29">
        <f t="shared" si="64"/>
        <v>1</v>
      </c>
      <c r="E536" s="29">
        <f>IF(Dataset!C536&lt;=1,0.3,IF(Dataset!C536=2,0.4,IF(Dataset!C536=3,0.5,IF(Dataset!C536=4,0.65,0.8))))</f>
        <v>0.5</v>
      </c>
      <c r="F536" s="29">
        <f>IF(Dataset!C536&lt;=2,1,IF(Dataset!C536=3,2,IF(Dataset!C536=4,3,4)))</f>
        <v>2</v>
      </c>
      <c r="G536" s="29">
        <f t="shared" si="65"/>
        <v>1</v>
      </c>
      <c r="H536" s="29">
        <f>IF(Dataset!G536&lt;=3,0.25,IF(Dataset!G536&lt;=6,0.45,IF(Dataset!G536&lt;=9,0.65,0.85)))</f>
        <v>0.65</v>
      </c>
      <c r="I536" s="29">
        <f>IF(Dataset!G536&lt;=3,1,IF(Dataset!G536&lt;=6,2,IF(Dataset!G536&lt;=9,3,4)))</f>
        <v>3</v>
      </c>
      <c r="J536" s="29">
        <f t="shared" si="66"/>
        <v>1.9500000000000002</v>
      </c>
      <c r="K536" s="29">
        <f>IF(Dataset!H536&lt;1,0.2,IF(Dataset!H536&lt;1.3,0.45,IF(Dataset!H536&lt;1.8,0.7,0.9)))</f>
        <v>0.7</v>
      </c>
      <c r="L536" s="29">
        <f>IF(Dataset!H536&lt;1,1,IF(Dataset!H536&lt;1.3,2,IF(Dataset!H536&lt;1.8,3,4)))</f>
        <v>3</v>
      </c>
      <c r="M536" s="29">
        <f t="shared" si="67"/>
        <v>2.0999999999999996</v>
      </c>
      <c r="N536" s="29">
        <f>IF(Dataset!F536=1,0.75,IF(Dataset!F536=2,0.45,0.2))</f>
        <v>0.75</v>
      </c>
      <c r="O536" s="29">
        <f>IF(Dataset!F536=1,3,IF(Dataset!F536=2,2,1))</f>
        <v>3</v>
      </c>
      <c r="P536" s="29">
        <f t="shared" si="68"/>
        <v>2.25</v>
      </c>
      <c r="Q536" s="29">
        <f>IF(Dataset!K536&lt;5,0.2,IF(Dataset!K536&lt;10,0.45,IF(Dataset!K536&lt;18,0.7,0.9)))</f>
        <v>0.2</v>
      </c>
      <c r="R536" s="29">
        <f>IF(Dataset!K536&lt;5,1,IF(Dataset!K536&lt;10,2,IF(Dataset!K536&lt;18,3,4)))</f>
        <v>1</v>
      </c>
      <c r="S536" s="29">
        <f t="shared" si="69"/>
        <v>0.2</v>
      </c>
      <c r="T536" s="29">
        <f t="shared" si="70"/>
        <v>1.4670000000000001</v>
      </c>
      <c r="U536" s="29" t="str">
        <f t="shared" si="71"/>
        <v>Medium</v>
      </c>
    </row>
    <row r="537" spans="1:21" ht="15" customHeight="1" x14ac:dyDescent="0.25">
      <c r="A537" s="29">
        <f>Dataset!A537</f>
        <v>533</v>
      </c>
      <c r="B537" s="29">
        <f>IF(Dataset!B537&lt;25,0.3,IF(Dataset!B537&lt;75,0.5,IF(Dataset!B537&lt;120,0.65,0.8)))</f>
        <v>0.3</v>
      </c>
      <c r="C537" s="29">
        <f>IF(Dataset!B537&lt;25,1,IF(Dataset!B537&lt;75,2,IF(Dataset!B537&lt;120,3,4)))</f>
        <v>1</v>
      </c>
      <c r="D537" s="29">
        <f t="shared" si="64"/>
        <v>0.3</v>
      </c>
      <c r="E537" s="29">
        <f>IF(Dataset!C537&lt;=1,0.3,IF(Dataset!C537=2,0.4,IF(Dataset!C537=3,0.5,IF(Dataset!C537=4,0.65,0.8))))</f>
        <v>0.5</v>
      </c>
      <c r="F537" s="29">
        <f>IF(Dataset!C537&lt;=2,1,IF(Dataset!C537=3,2,IF(Dataset!C537=4,3,4)))</f>
        <v>2</v>
      </c>
      <c r="G537" s="29">
        <f t="shared" si="65"/>
        <v>1</v>
      </c>
      <c r="H537" s="29">
        <f>IF(Dataset!G537&lt;=3,0.25,IF(Dataset!G537&lt;=6,0.45,IF(Dataset!G537&lt;=9,0.65,0.85)))</f>
        <v>0.65</v>
      </c>
      <c r="I537" s="29">
        <f>IF(Dataset!G537&lt;=3,1,IF(Dataset!G537&lt;=6,2,IF(Dataset!G537&lt;=9,3,4)))</f>
        <v>3</v>
      </c>
      <c r="J537" s="29">
        <f t="shared" si="66"/>
        <v>1.9500000000000002</v>
      </c>
      <c r="K537" s="29">
        <f>IF(Dataset!H537&lt;1,0.2,IF(Dataset!H537&lt;1.3,0.45,IF(Dataset!H537&lt;1.8,0.7,0.9)))</f>
        <v>0.7</v>
      </c>
      <c r="L537" s="29">
        <f>IF(Dataset!H537&lt;1,1,IF(Dataset!H537&lt;1.3,2,IF(Dataset!H537&lt;1.8,3,4)))</f>
        <v>3</v>
      </c>
      <c r="M537" s="29">
        <f t="shared" si="67"/>
        <v>2.0999999999999996</v>
      </c>
      <c r="N537" s="29">
        <f>IF(Dataset!F537=1,0.75,IF(Dataset!F537=2,0.45,0.2))</f>
        <v>0.2</v>
      </c>
      <c r="O537" s="29">
        <f>IF(Dataset!F537=1,3,IF(Dataset!F537=2,2,1))</f>
        <v>1</v>
      </c>
      <c r="P537" s="29">
        <f t="shared" si="68"/>
        <v>0.2</v>
      </c>
      <c r="Q537" s="29">
        <f>IF(Dataset!K537&lt;5,0.2,IF(Dataset!K537&lt;10,0.45,IF(Dataset!K537&lt;18,0.7,0.9)))</f>
        <v>0.2</v>
      </c>
      <c r="R537" s="29">
        <f>IF(Dataset!K537&lt;5,1,IF(Dataset!K537&lt;10,2,IF(Dataset!K537&lt;18,3,4)))</f>
        <v>1</v>
      </c>
      <c r="S537" s="29">
        <f t="shared" si="69"/>
        <v>0.2</v>
      </c>
      <c r="T537" s="29">
        <f t="shared" si="70"/>
        <v>1.1360000000000001</v>
      </c>
      <c r="U537" s="29" t="str">
        <f t="shared" si="71"/>
        <v>Low</v>
      </c>
    </row>
    <row r="538" spans="1:21" ht="15" customHeight="1" x14ac:dyDescent="0.25">
      <c r="A538" s="29">
        <f>Dataset!A538</f>
        <v>534</v>
      </c>
      <c r="B538" s="29">
        <f>IF(Dataset!B538&lt;25,0.3,IF(Dataset!B538&lt;75,0.5,IF(Dataset!B538&lt;120,0.65,0.8)))</f>
        <v>0.8</v>
      </c>
      <c r="C538" s="29">
        <f>IF(Dataset!B538&lt;25,1,IF(Dataset!B538&lt;75,2,IF(Dataset!B538&lt;120,3,4)))</f>
        <v>4</v>
      </c>
      <c r="D538" s="29">
        <f t="shared" si="64"/>
        <v>3.2</v>
      </c>
      <c r="E538" s="29">
        <f>IF(Dataset!C538&lt;=1,0.3,IF(Dataset!C538=2,0.4,IF(Dataset!C538=3,0.5,IF(Dataset!C538=4,0.65,0.8))))</f>
        <v>0.5</v>
      </c>
      <c r="F538" s="29">
        <f>IF(Dataset!C538&lt;=2,1,IF(Dataset!C538=3,2,IF(Dataset!C538=4,3,4)))</f>
        <v>2</v>
      </c>
      <c r="G538" s="29">
        <f t="shared" si="65"/>
        <v>1</v>
      </c>
      <c r="H538" s="29">
        <f>IF(Dataset!G538&lt;=3,0.25,IF(Dataset!G538&lt;=6,0.45,IF(Dataset!G538&lt;=9,0.65,0.85)))</f>
        <v>0.65</v>
      </c>
      <c r="I538" s="29">
        <f>IF(Dataset!G538&lt;=3,1,IF(Dataset!G538&lt;=6,2,IF(Dataset!G538&lt;=9,3,4)))</f>
        <v>3</v>
      </c>
      <c r="J538" s="29">
        <f t="shared" si="66"/>
        <v>1.9500000000000002</v>
      </c>
      <c r="K538" s="29">
        <f>IF(Dataset!H538&lt;1,0.2,IF(Dataset!H538&lt;1.3,0.45,IF(Dataset!H538&lt;1.8,0.7,0.9)))</f>
        <v>0.7</v>
      </c>
      <c r="L538" s="29">
        <f>IF(Dataset!H538&lt;1,1,IF(Dataset!H538&lt;1.3,2,IF(Dataset!H538&lt;1.8,3,4)))</f>
        <v>3</v>
      </c>
      <c r="M538" s="29">
        <f t="shared" si="67"/>
        <v>2.0999999999999996</v>
      </c>
      <c r="N538" s="29">
        <f>IF(Dataset!F538=1,0.75,IF(Dataset!F538=2,0.45,0.2))</f>
        <v>0.45</v>
      </c>
      <c r="O538" s="29">
        <f>IF(Dataset!F538=1,3,IF(Dataset!F538=2,2,1))</f>
        <v>2</v>
      </c>
      <c r="P538" s="29">
        <f t="shared" si="68"/>
        <v>0.9</v>
      </c>
      <c r="Q538" s="29">
        <f>IF(Dataset!K538&lt;5,0.2,IF(Dataset!K538&lt;10,0.45,IF(Dataset!K538&lt;18,0.7,0.9)))</f>
        <v>0.45</v>
      </c>
      <c r="R538" s="29">
        <f>IF(Dataset!K538&lt;5,1,IF(Dataset!K538&lt;10,2,IF(Dataset!K538&lt;18,3,4)))</f>
        <v>2</v>
      </c>
      <c r="S538" s="29">
        <f t="shared" si="69"/>
        <v>0.9</v>
      </c>
      <c r="T538" s="29">
        <f t="shared" si="70"/>
        <v>1.8260000000000001</v>
      </c>
      <c r="U538" s="29" t="str">
        <f t="shared" si="71"/>
        <v>High</v>
      </c>
    </row>
    <row r="539" spans="1:21" ht="15" customHeight="1" x14ac:dyDescent="0.25">
      <c r="A539" s="29">
        <f>Dataset!A539</f>
        <v>535</v>
      </c>
      <c r="B539" s="29">
        <f>IF(Dataset!B539&lt;25,0.3,IF(Dataset!B539&lt;75,0.5,IF(Dataset!B539&lt;120,0.65,0.8)))</f>
        <v>0.5</v>
      </c>
      <c r="C539" s="29">
        <f>IF(Dataset!B539&lt;25,1,IF(Dataset!B539&lt;75,2,IF(Dataset!B539&lt;120,3,4)))</f>
        <v>2</v>
      </c>
      <c r="D539" s="29">
        <f t="shared" si="64"/>
        <v>1</v>
      </c>
      <c r="E539" s="29">
        <f>IF(Dataset!C539&lt;=1,0.3,IF(Dataset!C539=2,0.4,IF(Dataset!C539=3,0.5,IF(Dataset!C539=4,0.65,0.8))))</f>
        <v>0.8</v>
      </c>
      <c r="F539" s="29">
        <f>IF(Dataset!C539&lt;=2,1,IF(Dataset!C539=3,2,IF(Dataset!C539=4,3,4)))</f>
        <v>4</v>
      </c>
      <c r="G539" s="29">
        <f t="shared" si="65"/>
        <v>3.2</v>
      </c>
      <c r="H539" s="29">
        <f>IF(Dataset!G539&lt;=3,0.25,IF(Dataset!G539&lt;=6,0.45,IF(Dataset!G539&lt;=9,0.65,0.85)))</f>
        <v>0.85</v>
      </c>
      <c r="I539" s="29">
        <f>IF(Dataset!G539&lt;=3,1,IF(Dataset!G539&lt;=6,2,IF(Dataset!G539&lt;=9,3,4)))</f>
        <v>4</v>
      </c>
      <c r="J539" s="29">
        <f t="shared" si="66"/>
        <v>3.4</v>
      </c>
      <c r="K539" s="29">
        <f>IF(Dataset!H539&lt;1,0.2,IF(Dataset!H539&lt;1.3,0.45,IF(Dataset!H539&lt;1.8,0.7,0.9)))</f>
        <v>0.9</v>
      </c>
      <c r="L539" s="29">
        <f>IF(Dataset!H539&lt;1,1,IF(Dataset!H539&lt;1.3,2,IF(Dataset!H539&lt;1.8,3,4)))</f>
        <v>4</v>
      </c>
      <c r="M539" s="29">
        <f t="shared" si="67"/>
        <v>3.6</v>
      </c>
      <c r="N539" s="29">
        <f>IF(Dataset!F539=1,0.75,IF(Dataset!F539=2,0.45,0.2))</f>
        <v>0.75</v>
      </c>
      <c r="O539" s="29">
        <f>IF(Dataset!F539=1,3,IF(Dataset!F539=2,2,1))</f>
        <v>3</v>
      </c>
      <c r="P539" s="29">
        <f t="shared" si="68"/>
        <v>2.25</v>
      </c>
      <c r="Q539" s="29">
        <f>IF(Dataset!K539&lt;5,0.2,IF(Dataset!K539&lt;10,0.45,IF(Dataset!K539&lt;18,0.7,0.9)))</f>
        <v>0.7</v>
      </c>
      <c r="R539" s="29">
        <f>IF(Dataset!K539&lt;5,1,IF(Dataset!K539&lt;10,2,IF(Dataset!K539&lt;18,3,4)))</f>
        <v>3</v>
      </c>
      <c r="S539" s="29">
        <f t="shared" si="69"/>
        <v>2.0999999999999996</v>
      </c>
      <c r="T539" s="29">
        <f t="shared" si="70"/>
        <v>2.6910000000000003</v>
      </c>
      <c r="U539" s="29" t="str">
        <f t="shared" si="71"/>
        <v>High</v>
      </c>
    </row>
    <row r="540" spans="1:21" ht="15" customHeight="1" x14ac:dyDescent="0.25">
      <c r="A540" s="29">
        <f>Dataset!A540</f>
        <v>536</v>
      </c>
      <c r="B540" s="29">
        <f>IF(Dataset!B540&lt;25,0.3,IF(Dataset!B540&lt;75,0.5,IF(Dataset!B540&lt;120,0.65,0.8)))</f>
        <v>0.5</v>
      </c>
      <c r="C540" s="29">
        <f>IF(Dataset!B540&lt;25,1,IF(Dataset!B540&lt;75,2,IF(Dataset!B540&lt;120,3,4)))</f>
        <v>2</v>
      </c>
      <c r="D540" s="29">
        <f t="shared" si="64"/>
        <v>1</v>
      </c>
      <c r="E540" s="29">
        <f>IF(Dataset!C540&lt;=1,0.3,IF(Dataset!C540=2,0.4,IF(Dataset!C540=3,0.5,IF(Dataset!C540=4,0.65,0.8))))</f>
        <v>0.5</v>
      </c>
      <c r="F540" s="29">
        <f>IF(Dataset!C540&lt;=2,1,IF(Dataset!C540=3,2,IF(Dataset!C540=4,3,4)))</f>
        <v>2</v>
      </c>
      <c r="G540" s="29">
        <f t="shared" si="65"/>
        <v>1</v>
      </c>
      <c r="H540" s="29">
        <f>IF(Dataset!G540&lt;=3,0.25,IF(Dataset!G540&lt;=6,0.45,IF(Dataset!G540&lt;=9,0.65,0.85)))</f>
        <v>0.45</v>
      </c>
      <c r="I540" s="29">
        <f>IF(Dataset!G540&lt;=3,1,IF(Dataset!G540&lt;=6,2,IF(Dataset!G540&lt;=9,3,4)))</f>
        <v>2</v>
      </c>
      <c r="J540" s="29">
        <f t="shared" si="66"/>
        <v>0.9</v>
      </c>
      <c r="K540" s="29">
        <f>IF(Dataset!H540&lt;1,0.2,IF(Dataset!H540&lt;1.3,0.45,IF(Dataset!H540&lt;1.8,0.7,0.9)))</f>
        <v>0.7</v>
      </c>
      <c r="L540" s="29">
        <f>IF(Dataset!H540&lt;1,1,IF(Dataset!H540&lt;1.3,2,IF(Dataset!H540&lt;1.8,3,4)))</f>
        <v>3</v>
      </c>
      <c r="M540" s="29">
        <f t="shared" si="67"/>
        <v>2.0999999999999996</v>
      </c>
      <c r="N540" s="29">
        <f>IF(Dataset!F540=1,0.75,IF(Dataset!F540=2,0.45,0.2))</f>
        <v>0.2</v>
      </c>
      <c r="O540" s="29">
        <f>IF(Dataset!F540=1,3,IF(Dataset!F540=2,2,1))</f>
        <v>1</v>
      </c>
      <c r="P540" s="29">
        <f t="shared" si="68"/>
        <v>0.2</v>
      </c>
      <c r="Q540" s="29">
        <f>IF(Dataset!K540&lt;5,0.2,IF(Dataset!K540&lt;10,0.45,IF(Dataset!K540&lt;18,0.7,0.9)))</f>
        <v>0.2</v>
      </c>
      <c r="R540" s="29">
        <f>IF(Dataset!K540&lt;5,1,IF(Dataset!K540&lt;10,2,IF(Dataset!K540&lt;18,3,4)))</f>
        <v>1</v>
      </c>
      <c r="S540" s="29">
        <f t="shared" si="69"/>
        <v>0.2</v>
      </c>
      <c r="T540" s="29">
        <f t="shared" si="70"/>
        <v>1.052</v>
      </c>
      <c r="U540" s="29" t="str">
        <f t="shared" si="71"/>
        <v>Low</v>
      </c>
    </row>
    <row r="541" spans="1:21" ht="15" customHeight="1" x14ac:dyDescent="0.25">
      <c r="A541" s="29">
        <f>Dataset!A541</f>
        <v>537</v>
      </c>
      <c r="B541" s="29">
        <f>IF(Dataset!B541&lt;25,0.3,IF(Dataset!B541&lt;75,0.5,IF(Dataset!B541&lt;120,0.65,0.8)))</f>
        <v>0.5</v>
      </c>
      <c r="C541" s="29">
        <f>IF(Dataset!B541&lt;25,1,IF(Dataset!B541&lt;75,2,IF(Dataset!B541&lt;120,3,4)))</f>
        <v>2</v>
      </c>
      <c r="D541" s="29">
        <f t="shared" si="64"/>
        <v>1</v>
      </c>
      <c r="E541" s="29">
        <f>IF(Dataset!C541&lt;=1,0.3,IF(Dataset!C541=2,0.4,IF(Dataset!C541=3,0.5,IF(Dataset!C541=4,0.65,0.8))))</f>
        <v>0.4</v>
      </c>
      <c r="F541" s="29">
        <f>IF(Dataset!C541&lt;=2,1,IF(Dataset!C541=3,2,IF(Dataset!C541=4,3,4)))</f>
        <v>1</v>
      </c>
      <c r="G541" s="29">
        <f t="shared" si="65"/>
        <v>0.4</v>
      </c>
      <c r="H541" s="29">
        <f>IF(Dataset!G541&lt;=3,0.25,IF(Dataset!G541&lt;=6,0.45,IF(Dataset!G541&lt;=9,0.65,0.85)))</f>
        <v>0.65</v>
      </c>
      <c r="I541" s="29">
        <f>IF(Dataset!G541&lt;=3,1,IF(Dataset!G541&lt;=6,2,IF(Dataset!G541&lt;=9,3,4)))</f>
        <v>3</v>
      </c>
      <c r="J541" s="29">
        <f t="shared" si="66"/>
        <v>1.9500000000000002</v>
      </c>
      <c r="K541" s="29">
        <f>IF(Dataset!H541&lt;1,0.2,IF(Dataset!H541&lt;1.3,0.45,IF(Dataset!H541&lt;1.8,0.7,0.9)))</f>
        <v>0.45</v>
      </c>
      <c r="L541" s="29">
        <f>IF(Dataset!H541&lt;1,1,IF(Dataset!H541&lt;1.3,2,IF(Dataset!H541&lt;1.8,3,4)))</f>
        <v>2</v>
      </c>
      <c r="M541" s="29">
        <f t="shared" si="67"/>
        <v>0.9</v>
      </c>
      <c r="N541" s="29">
        <f>IF(Dataset!F541=1,0.75,IF(Dataset!F541=2,0.45,0.2))</f>
        <v>0.75</v>
      </c>
      <c r="O541" s="29">
        <f>IF(Dataset!F541=1,3,IF(Dataset!F541=2,2,1))</f>
        <v>3</v>
      </c>
      <c r="P541" s="29">
        <f t="shared" si="68"/>
        <v>2.25</v>
      </c>
      <c r="Q541" s="29">
        <f>IF(Dataset!K541&lt;5,0.2,IF(Dataset!K541&lt;10,0.45,IF(Dataset!K541&lt;18,0.7,0.9)))</f>
        <v>0.2</v>
      </c>
      <c r="R541" s="29">
        <f>IF(Dataset!K541&lt;5,1,IF(Dataset!K541&lt;10,2,IF(Dataset!K541&lt;18,3,4)))</f>
        <v>1</v>
      </c>
      <c r="S541" s="29">
        <f t="shared" si="69"/>
        <v>0.2</v>
      </c>
      <c r="T541" s="29">
        <f t="shared" si="70"/>
        <v>1.0950000000000002</v>
      </c>
      <c r="U541" s="29" t="str">
        <f t="shared" si="71"/>
        <v>Low</v>
      </c>
    </row>
    <row r="542" spans="1:21" ht="15" customHeight="1" x14ac:dyDescent="0.25">
      <c r="A542" s="29">
        <f>Dataset!A542</f>
        <v>538</v>
      </c>
      <c r="B542" s="29">
        <f>IF(Dataset!B542&lt;25,0.3,IF(Dataset!B542&lt;75,0.5,IF(Dataset!B542&lt;120,0.65,0.8)))</f>
        <v>0.8</v>
      </c>
      <c r="C542" s="29">
        <f>IF(Dataset!B542&lt;25,1,IF(Dataset!B542&lt;75,2,IF(Dataset!B542&lt;120,3,4)))</f>
        <v>4</v>
      </c>
      <c r="D542" s="29">
        <f t="shared" si="64"/>
        <v>3.2</v>
      </c>
      <c r="E542" s="29">
        <f>IF(Dataset!C542&lt;=1,0.3,IF(Dataset!C542=2,0.4,IF(Dataset!C542=3,0.5,IF(Dataset!C542=4,0.65,0.8))))</f>
        <v>0.5</v>
      </c>
      <c r="F542" s="29">
        <f>IF(Dataset!C542&lt;=2,1,IF(Dataset!C542=3,2,IF(Dataset!C542=4,3,4)))</f>
        <v>2</v>
      </c>
      <c r="G542" s="29">
        <f t="shared" si="65"/>
        <v>1</v>
      </c>
      <c r="H542" s="29">
        <f>IF(Dataset!G542&lt;=3,0.25,IF(Dataset!G542&lt;=6,0.45,IF(Dataset!G542&lt;=9,0.65,0.85)))</f>
        <v>0.65</v>
      </c>
      <c r="I542" s="29">
        <f>IF(Dataset!G542&lt;=3,1,IF(Dataset!G542&lt;=6,2,IF(Dataset!G542&lt;=9,3,4)))</f>
        <v>3</v>
      </c>
      <c r="J542" s="29">
        <f t="shared" si="66"/>
        <v>1.9500000000000002</v>
      </c>
      <c r="K542" s="29">
        <f>IF(Dataset!H542&lt;1,0.2,IF(Dataset!H542&lt;1.3,0.45,IF(Dataset!H542&lt;1.8,0.7,0.9)))</f>
        <v>0.9</v>
      </c>
      <c r="L542" s="29">
        <f>IF(Dataset!H542&lt;1,1,IF(Dataset!H542&lt;1.3,2,IF(Dataset!H542&lt;1.8,3,4)))</f>
        <v>4</v>
      </c>
      <c r="M542" s="29">
        <f t="shared" si="67"/>
        <v>3.6</v>
      </c>
      <c r="N542" s="29">
        <f>IF(Dataset!F542=1,0.75,IF(Dataset!F542=2,0.45,0.2))</f>
        <v>0.75</v>
      </c>
      <c r="O542" s="29">
        <f>IF(Dataset!F542=1,3,IF(Dataset!F542=2,2,1))</f>
        <v>3</v>
      </c>
      <c r="P542" s="29">
        <f t="shared" si="68"/>
        <v>2.25</v>
      </c>
      <c r="Q542" s="29">
        <f>IF(Dataset!K542&lt;5,0.2,IF(Dataset!K542&lt;10,0.45,IF(Dataset!K542&lt;18,0.7,0.9)))</f>
        <v>0.45</v>
      </c>
      <c r="R542" s="29">
        <f>IF(Dataset!K542&lt;5,1,IF(Dataset!K542&lt;10,2,IF(Dataset!K542&lt;18,3,4)))</f>
        <v>2</v>
      </c>
      <c r="S542" s="29">
        <f t="shared" si="69"/>
        <v>0.9</v>
      </c>
      <c r="T542" s="29">
        <f t="shared" si="70"/>
        <v>2.3210000000000002</v>
      </c>
      <c r="U542" s="29" t="str">
        <f t="shared" si="71"/>
        <v>High</v>
      </c>
    </row>
    <row r="543" spans="1:21" ht="15" customHeight="1" x14ac:dyDescent="0.25">
      <c r="A543" s="29">
        <f>Dataset!A543</f>
        <v>539</v>
      </c>
      <c r="B543" s="29">
        <f>IF(Dataset!B543&lt;25,0.3,IF(Dataset!B543&lt;75,0.5,IF(Dataset!B543&lt;120,0.65,0.8)))</f>
        <v>0.5</v>
      </c>
      <c r="C543" s="29">
        <f>IF(Dataset!B543&lt;25,1,IF(Dataset!B543&lt;75,2,IF(Dataset!B543&lt;120,3,4)))</f>
        <v>2</v>
      </c>
      <c r="D543" s="29">
        <f t="shared" si="64"/>
        <v>1</v>
      </c>
      <c r="E543" s="29">
        <f>IF(Dataset!C543&lt;=1,0.3,IF(Dataset!C543=2,0.4,IF(Dataset!C543=3,0.5,IF(Dataset!C543=4,0.65,0.8))))</f>
        <v>0.4</v>
      </c>
      <c r="F543" s="29">
        <f>IF(Dataset!C543&lt;=2,1,IF(Dataset!C543=3,2,IF(Dataset!C543=4,3,4)))</f>
        <v>1</v>
      </c>
      <c r="G543" s="29">
        <f t="shared" si="65"/>
        <v>0.4</v>
      </c>
      <c r="H543" s="29">
        <f>IF(Dataset!G543&lt;=3,0.25,IF(Dataset!G543&lt;=6,0.45,IF(Dataset!G543&lt;=9,0.65,0.85)))</f>
        <v>0.45</v>
      </c>
      <c r="I543" s="29">
        <f>IF(Dataset!G543&lt;=3,1,IF(Dataset!G543&lt;=6,2,IF(Dataset!G543&lt;=9,3,4)))</f>
        <v>2</v>
      </c>
      <c r="J543" s="29">
        <f t="shared" si="66"/>
        <v>0.9</v>
      </c>
      <c r="K543" s="29">
        <f>IF(Dataset!H543&lt;1,0.2,IF(Dataset!H543&lt;1.3,0.45,IF(Dataset!H543&lt;1.8,0.7,0.9)))</f>
        <v>0.2</v>
      </c>
      <c r="L543" s="29">
        <f>IF(Dataset!H543&lt;1,1,IF(Dataset!H543&lt;1.3,2,IF(Dataset!H543&lt;1.8,3,4)))</f>
        <v>1</v>
      </c>
      <c r="M543" s="29">
        <f t="shared" si="67"/>
        <v>0.2</v>
      </c>
      <c r="N543" s="29">
        <f>IF(Dataset!F543=1,0.75,IF(Dataset!F543=2,0.45,0.2))</f>
        <v>0.2</v>
      </c>
      <c r="O543" s="29">
        <f>IF(Dataset!F543=1,3,IF(Dataset!F543=2,2,1))</f>
        <v>1</v>
      </c>
      <c r="P543" s="29">
        <f t="shared" si="68"/>
        <v>0.2</v>
      </c>
      <c r="Q543" s="29">
        <f>IF(Dataset!K543&lt;5,0.2,IF(Dataset!K543&lt;10,0.45,IF(Dataset!K543&lt;18,0.7,0.9)))</f>
        <v>0.2</v>
      </c>
      <c r="R543" s="29">
        <f>IF(Dataset!K543&lt;5,1,IF(Dataset!K543&lt;10,2,IF(Dataset!K543&lt;18,3,4)))</f>
        <v>1</v>
      </c>
      <c r="S543" s="29">
        <f t="shared" si="69"/>
        <v>0.2</v>
      </c>
      <c r="T543" s="29">
        <f t="shared" si="70"/>
        <v>0.51200000000000001</v>
      </c>
      <c r="U543" s="29" t="str">
        <f t="shared" si="71"/>
        <v>Low</v>
      </c>
    </row>
    <row r="544" spans="1:21" ht="15" customHeight="1" x14ac:dyDescent="0.25">
      <c r="A544" s="29">
        <f>Dataset!A544</f>
        <v>540</v>
      </c>
      <c r="B544" s="29">
        <f>IF(Dataset!B544&lt;25,0.3,IF(Dataset!B544&lt;75,0.5,IF(Dataset!B544&lt;120,0.65,0.8)))</f>
        <v>0.5</v>
      </c>
      <c r="C544" s="29">
        <f>IF(Dataset!B544&lt;25,1,IF(Dataset!B544&lt;75,2,IF(Dataset!B544&lt;120,3,4)))</f>
        <v>2</v>
      </c>
      <c r="D544" s="29">
        <f t="shared" si="64"/>
        <v>1</v>
      </c>
      <c r="E544" s="29">
        <f>IF(Dataset!C544&lt;=1,0.3,IF(Dataset!C544=2,0.4,IF(Dataset!C544=3,0.5,IF(Dataset!C544=4,0.65,0.8))))</f>
        <v>0.5</v>
      </c>
      <c r="F544" s="29">
        <f>IF(Dataset!C544&lt;=2,1,IF(Dataset!C544=3,2,IF(Dataset!C544=4,3,4)))</f>
        <v>2</v>
      </c>
      <c r="G544" s="29">
        <f t="shared" si="65"/>
        <v>1</v>
      </c>
      <c r="H544" s="29">
        <f>IF(Dataset!G544&lt;=3,0.25,IF(Dataset!G544&lt;=6,0.45,IF(Dataset!G544&lt;=9,0.65,0.85)))</f>
        <v>0.65</v>
      </c>
      <c r="I544" s="29">
        <f>IF(Dataset!G544&lt;=3,1,IF(Dataset!G544&lt;=6,2,IF(Dataset!G544&lt;=9,3,4)))</f>
        <v>3</v>
      </c>
      <c r="J544" s="29">
        <f t="shared" si="66"/>
        <v>1.9500000000000002</v>
      </c>
      <c r="K544" s="29">
        <f>IF(Dataset!H544&lt;1,0.2,IF(Dataset!H544&lt;1.3,0.45,IF(Dataset!H544&lt;1.8,0.7,0.9)))</f>
        <v>0.7</v>
      </c>
      <c r="L544" s="29">
        <f>IF(Dataset!H544&lt;1,1,IF(Dataset!H544&lt;1.3,2,IF(Dataset!H544&lt;1.8,3,4)))</f>
        <v>3</v>
      </c>
      <c r="M544" s="29">
        <f t="shared" si="67"/>
        <v>2.0999999999999996</v>
      </c>
      <c r="N544" s="29">
        <f>IF(Dataset!F544=1,0.75,IF(Dataset!F544=2,0.45,0.2))</f>
        <v>0.45</v>
      </c>
      <c r="O544" s="29">
        <f>IF(Dataset!F544=1,3,IF(Dataset!F544=2,2,1))</f>
        <v>2</v>
      </c>
      <c r="P544" s="29">
        <f t="shared" si="68"/>
        <v>0.9</v>
      </c>
      <c r="Q544" s="29">
        <f>IF(Dataset!K544&lt;5,0.2,IF(Dataset!K544&lt;10,0.45,IF(Dataset!K544&lt;18,0.7,0.9)))</f>
        <v>0.45</v>
      </c>
      <c r="R544" s="29">
        <f>IF(Dataset!K544&lt;5,1,IF(Dataset!K544&lt;10,2,IF(Dataset!K544&lt;18,3,4)))</f>
        <v>2</v>
      </c>
      <c r="S544" s="29">
        <f t="shared" si="69"/>
        <v>0.9</v>
      </c>
      <c r="T544" s="29">
        <f t="shared" si="70"/>
        <v>1.4300000000000002</v>
      </c>
      <c r="U544" s="29" t="str">
        <f t="shared" si="71"/>
        <v>Medium</v>
      </c>
    </row>
    <row r="545" spans="1:21" ht="15" customHeight="1" x14ac:dyDescent="0.25">
      <c r="A545" s="29">
        <f>Dataset!A545</f>
        <v>541</v>
      </c>
      <c r="B545" s="29">
        <f>IF(Dataset!B545&lt;25,0.3,IF(Dataset!B545&lt;75,0.5,IF(Dataset!B545&lt;120,0.65,0.8)))</f>
        <v>0.65</v>
      </c>
      <c r="C545" s="29">
        <f>IF(Dataset!B545&lt;25,1,IF(Dataset!B545&lt;75,2,IF(Dataset!B545&lt;120,3,4)))</f>
        <v>3</v>
      </c>
      <c r="D545" s="29">
        <f t="shared" si="64"/>
        <v>1.9500000000000002</v>
      </c>
      <c r="E545" s="29">
        <f>IF(Dataset!C545&lt;=1,0.3,IF(Dataset!C545=2,0.4,IF(Dataset!C545=3,0.5,IF(Dataset!C545=4,0.65,0.8))))</f>
        <v>0.4</v>
      </c>
      <c r="F545" s="29">
        <f>IF(Dataset!C545&lt;=2,1,IF(Dataset!C545=3,2,IF(Dataset!C545=4,3,4)))</f>
        <v>1</v>
      </c>
      <c r="G545" s="29">
        <f t="shared" si="65"/>
        <v>0.4</v>
      </c>
      <c r="H545" s="29">
        <f>IF(Dataset!G545&lt;=3,0.25,IF(Dataset!G545&lt;=6,0.45,IF(Dataset!G545&lt;=9,0.65,0.85)))</f>
        <v>0.25</v>
      </c>
      <c r="I545" s="29">
        <f>IF(Dataset!G545&lt;=3,1,IF(Dataset!G545&lt;=6,2,IF(Dataset!G545&lt;=9,3,4)))</f>
        <v>1</v>
      </c>
      <c r="J545" s="29">
        <f t="shared" si="66"/>
        <v>0.25</v>
      </c>
      <c r="K545" s="29">
        <f>IF(Dataset!H545&lt;1,0.2,IF(Dataset!H545&lt;1.3,0.45,IF(Dataset!H545&lt;1.8,0.7,0.9)))</f>
        <v>0.9</v>
      </c>
      <c r="L545" s="29">
        <f>IF(Dataset!H545&lt;1,1,IF(Dataset!H545&lt;1.3,2,IF(Dataset!H545&lt;1.8,3,4)))</f>
        <v>4</v>
      </c>
      <c r="M545" s="29">
        <f t="shared" si="67"/>
        <v>3.6</v>
      </c>
      <c r="N545" s="29">
        <f>IF(Dataset!F545=1,0.75,IF(Dataset!F545=2,0.45,0.2))</f>
        <v>0.2</v>
      </c>
      <c r="O545" s="29">
        <f>IF(Dataset!F545=1,3,IF(Dataset!F545=2,2,1))</f>
        <v>1</v>
      </c>
      <c r="P545" s="29">
        <f t="shared" si="68"/>
        <v>0.2</v>
      </c>
      <c r="Q545" s="29">
        <f>IF(Dataset!K545&lt;5,0.2,IF(Dataset!K545&lt;10,0.45,IF(Dataset!K545&lt;18,0.7,0.9)))</f>
        <v>0.2</v>
      </c>
      <c r="R545" s="29">
        <f>IF(Dataset!K545&lt;5,1,IF(Dataset!K545&lt;10,2,IF(Dataset!K545&lt;18,3,4)))</f>
        <v>1</v>
      </c>
      <c r="S545" s="29">
        <f t="shared" si="69"/>
        <v>0.2</v>
      </c>
      <c r="T545" s="29">
        <f t="shared" si="70"/>
        <v>1.369</v>
      </c>
      <c r="U545" s="29" t="str">
        <f t="shared" si="71"/>
        <v>Medium</v>
      </c>
    </row>
    <row r="546" spans="1:21" ht="15" customHeight="1" x14ac:dyDescent="0.25">
      <c r="A546" s="29">
        <f>Dataset!A546</f>
        <v>542</v>
      </c>
      <c r="B546" s="29">
        <f>IF(Dataset!B546&lt;25,0.3,IF(Dataset!B546&lt;75,0.5,IF(Dataset!B546&lt;120,0.65,0.8)))</f>
        <v>0.5</v>
      </c>
      <c r="C546" s="29">
        <f>IF(Dataset!B546&lt;25,1,IF(Dataset!B546&lt;75,2,IF(Dataset!B546&lt;120,3,4)))</f>
        <v>2</v>
      </c>
      <c r="D546" s="29">
        <f t="shared" si="64"/>
        <v>1</v>
      </c>
      <c r="E546" s="29">
        <f>IF(Dataset!C546&lt;=1,0.3,IF(Dataset!C546=2,0.4,IF(Dataset!C546=3,0.5,IF(Dataset!C546=4,0.65,0.8))))</f>
        <v>0.4</v>
      </c>
      <c r="F546" s="29">
        <f>IF(Dataset!C546&lt;=2,1,IF(Dataset!C546=3,2,IF(Dataset!C546=4,3,4)))</f>
        <v>1</v>
      </c>
      <c r="G546" s="29">
        <f t="shared" si="65"/>
        <v>0.4</v>
      </c>
      <c r="H546" s="29">
        <f>IF(Dataset!G546&lt;=3,0.25,IF(Dataset!G546&lt;=6,0.45,IF(Dataset!G546&lt;=9,0.65,0.85)))</f>
        <v>0.45</v>
      </c>
      <c r="I546" s="29">
        <f>IF(Dataset!G546&lt;=3,1,IF(Dataset!G546&lt;=6,2,IF(Dataset!G546&lt;=9,3,4)))</f>
        <v>2</v>
      </c>
      <c r="J546" s="29">
        <f t="shared" si="66"/>
        <v>0.9</v>
      </c>
      <c r="K546" s="29">
        <f>IF(Dataset!H546&lt;1,0.2,IF(Dataset!H546&lt;1.3,0.45,IF(Dataset!H546&lt;1.8,0.7,0.9)))</f>
        <v>0.9</v>
      </c>
      <c r="L546" s="29">
        <f>IF(Dataset!H546&lt;1,1,IF(Dataset!H546&lt;1.3,2,IF(Dataset!H546&lt;1.8,3,4)))</f>
        <v>4</v>
      </c>
      <c r="M546" s="29">
        <f t="shared" si="67"/>
        <v>3.6</v>
      </c>
      <c r="N546" s="29">
        <f>IF(Dataset!F546=1,0.75,IF(Dataset!F546=2,0.45,0.2))</f>
        <v>0.45</v>
      </c>
      <c r="O546" s="29">
        <f>IF(Dataset!F546=1,3,IF(Dataset!F546=2,2,1))</f>
        <v>2</v>
      </c>
      <c r="P546" s="29">
        <f t="shared" si="68"/>
        <v>0.9</v>
      </c>
      <c r="Q546" s="29">
        <f>IF(Dataset!K546&lt;5,0.2,IF(Dataset!K546&lt;10,0.45,IF(Dataset!K546&lt;18,0.7,0.9)))</f>
        <v>0.2</v>
      </c>
      <c r="R546" s="29">
        <f>IF(Dataset!K546&lt;5,1,IF(Dataset!K546&lt;10,2,IF(Dataset!K546&lt;18,3,4)))</f>
        <v>1</v>
      </c>
      <c r="S546" s="29">
        <f t="shared" si="69"/>
        <v>0.2</v>
      </c>
      <c r="T546" s="29">
        <f t="shared" si="70"/>
        <v>1.3980000000000001</v>
      </c>
      <c r="U546" s="29" t="str">
        <f t="shared" si="71"/>
        <v>Medium</v>
      </c>
    </row>
    <row r="547" spans="1:21" ht="15" customHeight="1" x14ac:dyDescent="0.25">
      <c r="A547" s="29">
        <f>Dataset!A547</f>
        <v>543</v>
      </c>
      <c r="B547" s="29">
        <f>IF(Dataset!B547&lt;25,0.3,IF(Dataset!B547&lt;75,0.5,IF(Dataset!B547&lt;120,0.65,0.8)))</f>
        <v>0.3</v>
      </c>
      <c r="C547" s="29">
        <f>IF(Dataset!B547&lt;25,1,IF(Dataset!B547&lt;75,2,IF(Dataset!B547&lt;120,3,4)))</f>
        <v>1</v>
      </c>
      <c r="D547" s="29">
        <f t="shared" si="64"/>
        <v>0.3</v>
      </c>
      <c r="E547" s="29">
        <f>IF(Dataset!C547&lt;=1,0.3,IF(Dataset!C547=2,0.4,IF(Dataset!C547=3,0.5,IF(Dataset!C547=4,0.65,0.8))))</f>
        <v>0.5</v>
      </c>
      <c r="F547" s="29">
        <f>IF(Dataset!C547&lt;=2,1,IF(Dataset!C547=3,2,IF(Dataset!C547=4,3,4)))</f>
        <v>2</v>
      </c>
      <c r="G547" s="29">
        <f t="shared" si="65"/>
        <v>1</v>
      </c>
      <c r="H547" s="29">
        <f>IF(Dataset!G547&lt;=3,0.25,IF(Dataset!G547&lt;=6,0.45,IF(Dataset!G547&lt;=9,0.65,0.85)))</f>
        <v>0.65</v>
      </c>
      <c r="I547" s="29">
        <f>IF(Dataset!G547&lt;=3,1,IF(Dataset!G547&lt;=6,2,IF(Dataset!G547&lt;=9,3,4)))</f>
        <v>3</v>
      </c>
      <c r="J547" s="29">
        <f t="shared" si="66"/>
        <v>1.9500000000000002</v>
      </c>
      <c r="K547" s="29">
        <f>IF(Dataset!H547&lt;1,0.2,IF(Dataset!H547&lt;1.3,0.45,IF(Dataset!H547&lt;1.8,0.7,0.9)))</f>
        <v>0.7</v>
      </c>
      <c r="L547" s="29">
        <f>IF(Dataset!H547&lt;1,1,IF(Dataset!H547&lt;1.3,2,IF(Dataset!H547&lt;1.8,3,4)))</f>
        <v>3</v>
      </c>
      <c r="M547" s="29">
        <f t="shared" si="67"/>
        <v>2.0999999999999996</v>
      </c>
      <c r="N547" s="29">
        <f>IF(Dataset!F547=1,0.75,IF(Dataset!F547=2,0.45,0.2))</f>
        <v>0.45</v>
      </c>
      <c r="O547" s="29">
        <f>IF(Dataset!F547=1,3,IF(Dataset!F547=2,2,1))</f>
        <v>2</v>
      </c>
      <c r="P547" s="29">
        <f t="shared" si="68"/>
        <v>0.9</v>
      </c>
      <c r="Q547" s="29">
        <f>IF(Dataset!K547&lt;5,0.2,IF(Dataset!K547&lt;10,0.45,IF(Dataset!K547&lt;18,0.7,0.9)))</f>
        <v>0.2</v>
      </c>
      <c r="R547" s="29">
        <f>IF(Dataset!K547&lt;5,1,IF(Dataset!K547&lt;10,2,IF(Dataset!K547&lt;18,3,4)))</f>
        <v>1</v>
      </c>
      <c r="S547" s="29">
        <f t="shared" si="69"/>
        <v>0.2</v>
      </c>
      <c r="T547" s="29">
        <f t="shared" si="70"/>
        <v>1.2060000000000002</v>
      </c>
      <c r="U547" s="29" t="str">
        <f t="shared" si="71"/>
        <v>Low</v>
      </c>
    </row>
    <row r="548" spans="1:21" ht="15" customHeight="1" x14ac:dyDescent="0.25">
      <c r="A548" s="29">
        <f>Dataset!A548</f>
        <v>544</v>
      </c>
      <c r="B548" s="29">
        <f>IF(Dataset!B548&lt;25,0.3,IF(Dataset!B548&lt;75,0.5,IF(Dataset!B548&lt;120,0.65,0.8)))</f>
        <v>0.65</v>
      </c>
      <c r="C548" s="29">
        <f>IF(Dataset!B548&lt;25,1,IF(Dataset!B548&lt;75,2,IF(Dataset!B548&lt;120,3,4)))</f>
        <v>3</v>
      </c>
      <c r="D548" s="29">
        <f t="shared" si="64"/>
        <v>1.9500000000000002</v>
      </c>
      <c r="E548" s="29">
        <f>IF(Dataset!C548&lt;=1,0.3,IF(Dataset!C548=2,0.4,IF(Dataset!C548=3,0.5,IF(Dataset!C548=4,0.65,0.8))))</f>
        <v>0.8</v>
      </c>
      <c r="F548" s="29">
        <f>IF(Dataset!C548&lt;=2,1,IF(Dataset!C548=3,2,IF(Dataset!C548=4,3,4)))</f>
        <v>4</v>
      </c>
      <c r="G548" s="29">
        <f t="shared" si="65"/>
        <v>3.2</v>
      </c>
      <c r="H548" s="29">
        <f>IF(Dataset!G548&lt;=3,0.25,IF(Dataset!G548&lt;=6,0.45,IF(Dataset!G548&lt;=9,0.65,0.85)))</f>
        <v>0.65</v>
      </c>
      <c r="I548" s="29">
        <f>IF(Dataset!G548&lt;=3,1,IF(Dataset!G548&lt;=6,2,IF(Dataset!G548&lt;=9,3,4)))</f>
        <v>3</v>
      </c>
      <c r="J548" s="29">
        <f t="shared" si="66"/>
        <v>1.9500000000000002</v>
      </c>
      <c r="K548" s="29">
        <f>IF(Dataset!H548&lt;1,0.2,IF(Dataset!H548&lt;1.3,0.45,IF(Dataset!H548&lt;1.8,0.7,0.9)))</f>
        <v>0.2</v>
      </c>
      <c r="L548" s="29">
        <f>IF(Dataset!H548&lt;1,1,IF(Dataset!H548&lt;1.3,2,IF(Dataset!H548&lt;1.8,3,4)))</f>
        <v>1</v>
      </c>
      <c r="M548" s="29">
        <f t="shared" si="67"/>
        <v>0.2</v>
      </c>
      <c r="N548" s="29">
        <f>IF(Dataset!F548=1,0.75,IF(Dataset!F548=2,0.45,0.2))</f>
        <v>0.75</v>
      </c>
      <c r="O548" s="29">
        <f>IF(Dataset!F548=1,3,IF(Dataset!F548=2,2,1))</f>
        <v>3</v>
      </c>
      <c r="P548" s="29">
        <f t="shared" si="68"/>
        <v>2.25</v>
      </c>
      <c r="Q548" s="29">
        <f>IF(Dataset!K548&lt;5,0.2,IF(Dataset!K548&lt;10,0.45,IF(Dataset!K548&lt;18,0.7,0.9)))</f>
        <v>0.7</v>
      </c>
      <c r="R548" s="29">
        <f>IF(Dataset!K548&lt;5,1,IF(Dataset!K548&lt;10,2,IF(Dataset!K548&lt;18,3,4)))</f>
        <v>3</v>
      </c>
      <c r="S548" s="29">
        <f t="shared" si="69"/>
        <v>2.0999999999999996</v>
      </c>
      <c r="T548" s="29">
        <f t="shared" si="70"/>
        <v>1.7560000000000004</v>
      </c>
      <c r="U548" s="29" t="str">
        <f t="shared" si="71"/>
        <v>High</v>
      </c>
    </row>
    <row r="549" spans="1:21" ht="15" customHeight="1" x14ac:dyDescent="0.25">
      <c r="A549" s="29">
        <f>Dataset!A549</f>
        <v>545</v>
      </c>
      <c r="B549" s="29">
        <f>IF(Dataset!B549&lt;25,0.3,IF(Dataset!B549&lt;75,0.5,IF(Dataset!B549&lt;120,0.65,0.8)))</f>
        <v>0.5</v>
      </c>
      <c r="C549" s="29">
        <f>IF(Dataset!B549&lt;25,1,IF(Dataset!B549&lt;75,2,IF(Dataset!B549&lt;120,3,4)))</f>
        <v>2</v>
      </c>
      <c r="D549" s="29">
        <f t="shared" si="64"/>
        <v>1</v>
      </c>
      <c r="E549" s="29">
        <f>IF(Dataset!C549&lt;=1,0.3,IF(Dataset!C549=2,0.4,IF(Dataset!C549=3,0.5,IF(Dataset!C549=4,0.65,0.8))))</f>
        <v>0.3</v>
      </c>
      <c r="F549" s="29">
        <f>IF(Dataset!C549&lt;=2,1,IF(Dataset!C549=3,2,IF(Dataset!C549=4,3,4)))</f>
        <v>1</v>
      </c>
      <c r="G549" s="29">
        <f t="shared" si="65"/>
        <v>0.3</v>
      </c>
      <c r="H549" s="29">
        <f>IF(Dataset!G549&lt;=3,0.25,IF(Dataset!G549&lt;=6,0.45,IF(Dataset!G549&lt;=9,0.65,0.85)))</f>
        <v>0.65</v>
      </c>
      <c r="I549" s="29">
        <f>IF(Dataset!G549&lt;=3,1,IF(Dataset!G549&lt;=6,2,IF(Dataset!G549&lt;=9,3,4)))</f>
        <v>3</v>
      </c>
      <c r="J549" s="29">
        <f t="shared" si="66"/>
        <v>1.9500000000000002</v>
      </c>
      <c r="K549" s="29">
        <f>IF(Dataset!H549&lt;1,0.2,IF(Dataset!H549&lt;1.3,0.45,IF(Dataset!H549&lt;1.8,0.7,0.9)))</f>
        <v>0.7</v>
      </c>
      <c r="L549" s="29">
        <f>IF(Dataset!H549&lt;1,1,IF(Dataset!H549&lt;1.3,2,IF(Dataset!H549&lt;1.8,3,4)))</f>
        <v>3</v>
      </c>
      <c r="M549" s="29">
        <f t="shared" si="67"/>
        <v>2.0999999999999996</v>
      </c>
      <c r="N549" s="29">
        <f>IF(Dataset!F549=1,0.75,IF(Dataset!F549=2,0.45,0.2))</f>
        <v>0.75</v>
      </c>
      <c r="O549" s="29">
        <f>IF(Dataset!F549=1,3,IF(Dataset!F549=2,2,1))</f>
        <v>3</v>
      </c>
      <c r="P549" s="29">
        <f t="shared" si="68"/>
        <v>2.25</v>
      </c>
      <c r="Q549" s="29">
        <f>IF(Dataset!K549&lt;5,0.2,IF(Dataset!K549&lt;10,0.45,IF(Dataset!K549&lt;18,0.7,0.9)))</f>
        <v>0.2</v>
      </c>
      <c r="R549" s="29">
        <f>IF(Dataset!K549&lt;5,1,IF(Dataset!K549&lt;10,2,IF(Dataset!K549&lt;18,3,4)))</f>
        <v>1</v>
      </c>
      <c r="S549" s="29">
        <f t="shared" si="69"/>
        <v>0.2</v>
      </c>
      <c r="T549" s="29">
        <f t="shared" si="70"/>
        <v>1.3690000000000002</v>
      </c>
      <c r="U549" s="29" t="str">
        <f t="shared" si="71"/>
        <v>Medium</v>
      </c>
    </row>
    <row r="550" spans="1:21" ht="15" customHeight="1" x14ac:dyDescent="0.25">
      <c r="A550" s="29">
        <f>Dataset!A550</f>
        <v>546</v>
      </c>
      <c r="B550" s="29">
        <f>IF(Dataset!B550&lt;25,0.3,IF(Dataset!B550&lt;75,0.5,IF(Dataset!B550&lt;120,0.65,0.8)))</f>
        <v>0.65</v>
      </c>
      <c r="C550" s="29">
        <f>IF(Dataset!B550&lt;25,1,IF(Dataset!B550&lt;75,2,IF(Dataset!B550&lt;120,3,4)))</f>
        <v>3</v>
      </c>
      <c r="D550" s="29">
        <f t="shared" si="64"/>
        <v>1.9500000000000002</v>
      </c>
      <c r="E550" s="29">
        <f>IF(Dataset!C550&lt;=1,0.3,IF(Dataset!C550=2,0.4,IF(Dataset!C550=3,0.5,IF(Dataset!C550=4,0.65,0.8))))</f>
        <v>0.4</v>
      </c>
      <c r="F550" s="29">
        <f>IF(Dataset!C550&lt;=2,1,IF(Dataset!C550=3,2,IF(Dataset!C550=4,3,4)))</f>
        <v>1</v>
      </c>
      <c r="G550" s="29">
        <f t="shared" si="65"/>
        <v>0.4</v>
      </c>
      <c r="H550" s="29">
        <f>IF(Dataset!G550&lt;=3,0.25,IF(Dataset!G550&lt;=6,0.45,IF(Dataset!G550&lt;=9,0.65,0.85)))</f>
        <v>0.85</v>
      </c>
      <c r="I550" s="29">
        <f>IF(Dataset!G550&lt;=3,1,IF(Dataset!G550&lt;=6,2,IF(Dataset!G550&lt;=9,3,4)))</f>
        <v>4</v>
      </c>
      <c r="J550" s="29">
        <f t="shared" si="66"/>
        <v>3.4</v>
      </c>
      <c r="K550" s="29">
        <f>IF(Dataset!H550&lt;1,0.2,IF(Dataset!H550&lt;1.3,0.45,IF(Dataset!H550&lt;1.8,0.7,0.9)))</f>
        <v>0.2</v>
      </c>
      <c r="L550" s="29">
        <f>IF(Dataset!H550&lt;1,1,IF(Dataset!H550&lt;1.3,2,IF(Dataset!H550&lt;1.8,3,4)))</f>
        <v>1</v>
      </c>
      <c r="M550" s="29">
        <f t="shared" si="67"/>
        <v>0.2</v>
      </c>
      <c r="N550" s="29">
        <f>IF(Dataset!F550=1,0.75,IF(Dataset!F550=2,0.45,0.2))</f>
        <v>0.2</v>
      </c>
      <c r="O550" s="29">
        <f>IF(Dataset!F550=1,3,IF(Dataset!F550=2,2,1))</f>
        <v>1</v>
      </c>
      <c r="P550" s="29">
        <f t="shared" si="68"/>
        <v>0.2</v>
      </c>
      <c r="Q550" s="29">
        <f>IF(Dataset!K550&lt;5,0.2,IF(Dataset!K550&lt;10,0.45,IF(Dataset!K550&lt;18,0.7,0.9)))</f>
        <v>0.2</v>
      </c>
      <c r="R550" s="29">
        <f>IF(Dataset!K550&lt;5,1,IF(Dataset!K550&lt;10,2,IF(Dataset!K550&lt;18,3,4)))</f>
        <v>1</v>
      </c>
      <c r="S550" s="29">
        <f t="shared" si="69"/>
        <v>0.2</v>
      </c>
      <c r="T550" s="29">
        <f t="shared" si="70"/>
        <v>1.1830000000000003</v>
      </c>
      <c r="U550" s="29" t="str">
        <f t="shared" si="71"/>
        <v>Low</v>
      </c>
    </row>
    <row r="551" spans="1:21" ht="15" customHeight="1" x14ac:dyDescent="0.25">
      <c r="A551" s="29">
        <f>Dataset!A551</f>
        <v>547</v>
      </c>
      <c r="B551" s="29">
        <f>IF(Dataset!B551&lt;25,0.3,IF(Dataset!B551&lt;75,0.5,IF(Dataset!B551&lt;120,0.65,0.8)))</f>
        <v>0.5</v>
      </c>
      <c r="C551" s="29">
        <f>IF(Dataset!B551&lt;25,1,IF(Dataset!B551&lt;75,2,IF(Dataset!B551&lt;120,3,4)))</f>
        <v>2</v>
      </c>
      <c r="D551" s="29">
        <f t="shared" si="64"/>
        <v>1</v>
      </c>
      <c r="E551" s="29">
        <f>IF(Dataset!C551&lt;=1,0.3,IF(Dataset!C551=2,0.4,IF(Dataset!C551=3,0.5,IF(Dataset!C551=4,0.65,0.8))))</f>
        <v>0.8</v>
      </c>
      <c r="F551" s="29">
        <f>IF(Dataset!C551&lt;=2,1,IF(Dataset!C551=3,2,IF(Dataset!C551=4,3,4)))</f>
        <v>4</v>
      </c>
      <c r="G551" s="29">
        <f t="shared" si="65"/>
        <v>3.2</v>
      </c>
      <c r="H551" s="29">
        <f>IF(Dataset!G551&lt;=3,0.25,IF(Dataset!G551&lt;=6,0.45,IF(Dataset!G551&lt;=9,0.65,0.85)))</f>
        <v>0.45</v>
      </c>
      <c r="I551" s="29">
        <f>IF(Dataset!G551&lt;=3,1,IF(Dataset!G551&lt;=6,2,IF(Dataset!G551&lt;=9,3,4)))</f>
        <v>2</v>
      </c>
      <c r="J551" s="29">
        <f t="shared" si="66"/>
        <v>0.9</v>
      </c>
      <c r="K551" s="29">
        <f>IF(Dataset!H551&lt;1,0.2,IF(Dataset!H551&lt;1.3,0.45,IF(Dataset!H551&lt;1.8,0.7,0.9)))</f>
        <v>0.9</v>
      </c>
      <c r="L551" s="29">
        <f>IF(Dataset!H551&lt;1,1,IF(Dataset!H551&lt;1.3,2,IF(Dataset!H551&lt;1.8,3,4)))</f>
        <v>4</v>
      </c>
      <c r="M551" s="29">
        <f t="shared" si="67"/>
        <v>3.6</v>
      </c>
      <c r="N551" s="29">
        <f>IF(Dataset!F551=1,0.75,IF(Dataset!F551=2,0.45,0.2))</f>
        <v>0.75</v>
      </c>
      <c r="O551" s="29">
        <f>IF(Dataset!F551=1,3,IF(Dataset!F551=2,2,1))</f>
        <v>3</v>
      </c>
      <c r="P551" s="29">
        <f t="shared" si="68"/>
        <v>2.25</v>
      </c>
      <c r="Q551" s="29">
        <f>IF(Dataset!K551&lt;5,0.2,IF(Dataset!K551&lt;10,0.45,IF(Dataset!K551&lt;18,0.7,0.9)))</f>
        <v>0.7</v>
      </c>
      <c r="R551" s="29">
        <f>IF(Dataset!K551&lt;5,1,IF(Dataset!K551&lt;10,2,IF(Dataset!K551&lt;18,3,4)))</f>
        <v>3</v>
      </c>
      <c r="S551" s="29">
        <f t="shared" si="69"/>
        <v>2.0999999999999996</v>
      </c>
      <c r="T551" s="29">
        <f t="shared" si="70"/>
        <v>2.1910000000000003</v>
      </c>
      <c r="U551" s="29" t="str">
        <f t="shared" si="71"/>
        <v>High</v>
      </c>
    </row>
    <row r="552" spans="1:21" ht="15" customHeight="1" x14ac:dyDescent="0.25">
      <c r="A552" s="29">
        <f>Dataset!A552</f>
        <v>548</v>
      </c>
      <c r="B552" s="29">
        <f>IF(Dataset!B552&lt;25,0.3,IF(Dataset!B552&lt;75,0.5,IF(Dataset!B552&lt;120,0.65,0.8)))</f>
        <v>0.65</v>
      </c>
      <c r="C552" s="29">
        <f>IF(Dataset!B552&lt;25,1,IF(Dataset!B552&lt;75,2,IF(Dataset!B552&lt;120,3,4)))</f>
        <v>3</v>
      </c>
      <c r="D552" s="29">
        <f t="shared" si="64"/>
        <v>1.9500000000000002</v>
      </c>
      <c r="E552" s="29">
        <f>IF(Dataset!C552&lt;=1,0.3,IF(Dataset!C552=2,0.4,IF(Dataset!C552=3,0.5,IF(Dataset!C552=4,0.65,0.8))))</f>
        <v>0.8</v>
      </c>
      <c r="F552" s="29">
        <f>IF(Dataset!C552&lt;=2,1,IF(Dataset!C552=3,2,IF(Dataset!C552=4,3,4)))</f>
        <v>4</v>
      </c>
      <c r="G552" s="29">
        <f t="shared" si="65"/>
        <v>3.2</v>
      </c>
      <c r="H552" s="29">
        <f>IF(Dataset!G552&lt;=3,0.25,IF(Dataset!G552&lt;=6,0.45,IF(Dataset!G552&lt;=9,0.65,0.85)))</f>
        <v>0.25</v>
      </c>
      <c r="I552" s="29">
        <f>IF(Dataset!G552&lt;=3,1,IF(Dataset!G552&lt;=6,2,IF(Dataset!G552&lt;=9,3,4)))</f>
        <v>1</v>
      </c>
      <c r="J552" s="29">
        <f t="shared" si="66"/>
        <v>0.25</v>
      </c>
      <c r="K552" s="29">
        <f>IF(Dataset!H552&lt;1,0.2,IF(Dataset!H552&lt;1.3,0.45,IF(Dataset!H552&lt;1.8,0.7,0.9)))</f>
        <v>0.9</v>
      </c>
      <c r="L552" s="29">
        <f>IF(Dataset!H552&lt;1,1,IF(Dataset!H552&lt;1.3,2,IF(Dataset!H552&lt;1.8,3,4)))</f>
        <v>4</v>
      </c>
      <c r="M552" s="29">
        <f t="shared" si="67"/>
        <v>3.6</v>
      </c>
      <c r="N552" s="29">
        <f>IF(Dataset!F552=1,0.75,IF(Dataset!F552=2,0.45,0.2))</f>
        <v>0.45</v>
      </c>
      <c r="O552" s="29">
        <f>IF(Dataset!F552=1,3,IF(Dataset!F552=2,2,1))</f>
        <v>2</v>
      </c>
      <c r="P552" s="29">
        <f t="shared" si="68"/>
        <v>0.9</v>
      </c>
      <c r="Q552" s="29">
        <f>IF(Dataset!K552&lt;5,0.2,IF(Dataset!K552&lt;10,0.45,IF(Dataset!K552&lt;18,0.7,0.9)))</f>
        <v>0.9</v>
      </c>
      <c r="R552" s="29">
        <f>IF(Dataset!K552&lt;5,1,IF(Dataset!K552&lt;10,2,IF(Dataset!K552&lt;18,3,4)))</f>
        <v>4</v>
      </c>
      <c r="S552" s="29">
        <f t="shared" si="69"/>
        <v>3.6</v>
      </c>
      <c r="T552" s="29">
        <f t="shared" si="70"/>
        <v>2.3070000000000004</v>
      </c>
      <c r="U552" s="29" t="str">
        <f t="shared" si="71"/>
        <v>High</v>
      </c>
    </row>
    <row r="553" spans="1:21" ht="15" customHeight="1" x14ac:dyDescent="0.25">
      <c r="A553" s="29">
        <f>Dataset!A553</f>
        <v>549</v>
      </c>
      <c r="B553" s="29">
        <f>IF(Dataset!B553&lt;25,0.3,IF(Dataset!B553&lt;75,0.5,IF(Dataset!B553&lt;120,0.65,0.8)))</f>
        <v>0.8</v>
      </c>
      <c r="C553" s="29">
        <f>IF(Dataset!B553&lt;25,1,IF(Dataset!B553&lt;75,2,IF(Dataset!B553&lt;120,3,4)))</f>
        <v>4</v>
      </c>
      <c r="D553" s="29">
        <f t="shared" si="64"/>
        <v>3.2</v>
      </c>
      <c r="E553" s="29">
        <f>IF(Dataset!C553&lt;=1,0.3,IF(Dataset!C553=2,0.4,IF(Dataset!C553=3,0.5,IF(Dataset!C553=4,0.65,0.8))))</f>
        <v>0.65</v>
      </c>
      <c r="F553" s="29">
        <f>IF(Dataset!C553&lt;=2,1,IF(Dataset!C553=3,2,IF(Dataset!C553=4,3,4)))</f>
        <v>3</v>
      </c>
      <c r="G553" s="29">
        <f t="shared" si="65"/>
        <v>1.9500000000000002</v>
      </c>
      <c r="H553" s="29">
        <f>IF(Dataset!G553&lt;=3,0.25,IF(Dataset!G553&lt;=6,0.45,IF(Dataset!G553&lt;=9,0.65,0.85)))</f>
        <v>0.65</v>
      </c>
      <c r="I553" s="29">
        <f>IF(Dataset!G553&lt;=3,1,IF(Dataset!G553&lt;=6,2,IF(Dataset!G553&lt;=9,3,4)))</f>
        <v>3</v>
      </c>
      <c r="J553" s="29">
        <f t="shared" si="66"/>
        <v>1.9500000000000002</v>
      </c>
      <c r="K553" s="29">
        <f>IF(Dataset!H553&lt;1,0.2,IF(Dataset!H553&lt;1.3,0.45,IF(Dataset!H553&lt;1.8,0.7,0.9)))</f>
        <v>0.7</v>
      </c>
      <c r="L553" s="29">
        <f>IF(Dataset!H553&lt;1,1,IF(Dataset!H553&lt;1.3,2,IF(Dataset!H553&lt;1.8,3,4)))</f>
        <v>3</v>
      </c>
      <c r="M553" s="29">
        <f t="shared" si="67"/>
        <v>2.0999999999999996</v>
      </c>
      <c r="N553" s="29">
        <f>IF(Dataset!F553=1,0.75,IF(Dataset!F553=2,0.45,0.2))</f>
        <v>0.75</v>
      </c>
      <c r="O553" s="29">
        <f>IF(Dataset!F553=1,3,IF(Dataset!F553=2,2,1))</f>
        <v>3</v>
      </c>
      <c r="P553" s="29">
        <f t="shared" si="68"/>
        <v>2.25</v>
      </c>
      <c r="Q553" s="29">
        <f>IF(Dataset!K553&lt;5,0.2,IF(Dataset!K553&lt;10,0.45,IF(Dataset!K553&lt;18,0.7,0.9)))</f>
        <v>0.45</v>
      </c>
      <c r="R553" s="29">
        <f>IF(Dataset!K553&lt;5,1,IF(Dataset!K553&lt;10,2,IF(Dataset!K553&lt;18,3,4)))</f>
        <v>2</v>
      </c>
      <c r="S553" s="29">
        <f t="shared" si="69"/>
        <v>0.9</v>
      </c>
      <c r="T553" s="29">
        <f t="shared" si="70"/>
        <v>2.0939999999999999</v>
      </c>
      <c r="U553" s="29" t="str">
        <f t="shared" si="71"/>
        <v>High</v>
      </c>
    </row>
    <row r="554" spans="1:21" ht="15" customHeight="1" x14ac:dyDescent="0.25">
      <c r="A554" s="29">
        <f>Dataset!A554</f>
        <v>550</v>
      </c>
      <c r="B554" s="29">
        <f>IF(Dataset!B554&lt;25,0.3,IF(Dataset!B554&lt;75,0.5,IF(Dataset!B554&lt;120,0.65,0.8)))</f>
        <v>0.65</v>
      </c>
      <c r="C554" s="29">
        <f>IF(Dataset!B554&lt;25,1,IF(Dataset!B554&lt;75,2,IF(Dataset!B554&lt;120,3,4)))</f>
        <v>3</v>
      </c>
      <c r="D554" s="29">
        <f t="shared" si="64"/>
        <v>1.9500000000000002</v>
      </c>
      <c r="E554" s="29">
        <f>IF(Dataset!C554&lt;=1,0.3,IF(Dataset!C554=2,0.4,IF(Dataset!C554=3,0.5,IF(Dataset!C554=4,0.65,0.8))))</f>
        <v>0.5</v>
      </c>
      <c r="F554" s="29">
        <f>IF(Dataset!C554&lt;=2,1,IF(Dataset!C554=3,2,IF(Dataset!C554=4,3,4)))</f>
        <v>2</v>
      </c>
      <c r="G554" s="29">
        <f t="shared" si="65"/>
        <v>1</v>
      </c>
      <c r="H554" s="29">
        <f>IF(Dataset!G554&lt;=3,0.25,IF(Dataset!G554&lt;=6,0.45,IF(Dataset!G554&lt;=9,0.65,0.85)))</f>
        <v>0.65</v>
      </c>
      <c r="I554" s="29">
        <f>IF(Dataset!G554&lt;=3,1,IF(Dataset!G554&lt;=6,2,IF(Dataset!G554&lt;=9,3,4)))</f>
        <v>3</v>
      </c>
      <c r="J554" s="29">
        <f t="shared" si="66"/>
        <v>1.9500000000000002</v>
      </c>
      <c r="K554" s="29">
        <f>IF(Dataset!H554&lt;1,0.2,IF(Dataset!H554&lt;1.3,0.45,IF(Dataset!H554&lt;1.8,0.7,0.9)))</f>
        <v>0.7</v>
      </c>
      <c r="L554" s="29">
        <f>IF(Dataset!H554&lt;1,1,IF(Dataset!H554&lt;1.3,2,IF(Dataset!H554&lt;1.8,3,4)))</f>
        <v>3</v>
      </c>
      <c r="M554" s="29">
        <f t="shared" si="67"/>
        <v>2.0999999999999996</v>
      </c>
      <c r="N554" s="29">
        <f>IF(Dataset!F554=1,0.75,IF(Dataset!F554=2,0.45,0.2))</f>
        <v>0.75</v>
      </c>
      <c r="O554" s="29">
        <f>IF(Dataset!F554=1,3,IF(Dataset!F554=2,2,1))</f>
        <v>3</v>
      </c>
      <c r="P554" s="29">
        <f t="shared" si="68"/>
        <v>2.25</v>
      </c>
      <c r="Q554" s="29">
        <f>IF(Dataset!K554&lt;5,0.2,IF(Dataset!K554&lt;10,0.45,IF(Dataset!K554&lt;18,0.7,0.9)))</f>
        <v>0.45</v>
      </c>
      <c r="R554" s="29">
        <f>IF(Dataset!K554&lt;5,1,IF(Dataset!K554&lt;10,2,IF(Dataset!K554&lt;18,3,4)))</f>
        <v>2</v>
      </c>
      <c r="S554" s="29">
        <f t="shared" si="69"/>
        <v>0.9</v>
      </c>
      <c r="T554" s="29">
        <f t="shared" si="70"/>
        <v>1.7360000000000002</v>
      </c>
      <c r="U554" s="29" t="str">
        <f t="shared" si="71"/>
        <v>Medium</v>
      </c>
    </row>
    <row r="555" spans="1:21" ht="15" customHeight="1" x14ac:dyDescent="0.25">
      <c r="A555" s="29">
        <f>Dataset!A555</f>
        <v>551</v>
      </c>
      <c r="B555" s="29">
        <f>IF(Dataset!B555&lt;25,0.3,IF(Dataset!B555&lt;75,0.5,IF(Dataset!B555&lt;120,0.65,0.8)))</f>
        <v>0.65</v>
      </c>
      <c r="C555" s="29">
        <f>IF(Dataset!B555&lt;25,1,IF(Dataset!B555&lt;75,2,IF(Dataset!B555&lt;120,3,4)))</f>
        <v>3</v>
      </c>
      <c r="D555" s="29">
        <f t="shared" si="64"/>
        <v>1.9500000000000002</v>
      </c>
      <c r="E555" s="29">
        <f>IF(Dataset!C555&lt;=1,0.3,IF(Dataset!C555=2,0.4,IF(Dataset!C555=3,0.5,IF(Dataset!C555=4,0.65,0.8))))</f>
        <v>0.5</v>
      </c>
      <c r="F555" s="29">
        <f>IF(Dataset!C555&lt;=2,1,IF(Dataset!C555=3,2,IF(Dataset!C555=4,3,4)))</f>
        <v>2</v>
      </c>
      <c r="G555" s="29">
        <f t="shared" si="65"/>
        <v>1</v>
      </c>
      <c r="H555" s="29">
        <f>IF(Dataset!G555&lt;=3,0.25,IF(Dataset!G555&lt;=6,0.45,IF(Dataset!G555&lt;=9,0.65,0.85)))</f>
        <v>0.45</v>
      </c>
      <c r="I555" s="29">
        <f>IF(Dataset!G555&lt;=3,1,IF(Dataset!G555&lt;=6,2,IF(Dataset!G555&lt;=9,3,4)))</f>
        <v>2</v>
      </c>
      <c r="J555" s="29">
        <f t="shared" si="66"/>
        <v>0.9</v>
      </c>
      <c r="K555" s="29">
        <f>IF(Dataset!H555&lt;1,0.2,IF(Dataset!H555&lt;1.3,0.45,IF(Dataset!H555&lt;1.8,0.7,0.9)))</f>
        <v>0.9</v>
      </c>
      <c r="L555" s="29">
        <f>IF(Dataset!H555&lt;1,1,IF(Dataset!H555&lt;1.3,2,IF(Dataset!H555&lt;1.8,3,4)))</f>
        <v>4</v>
      </c>
      <c r="M555" s="29">
        <f t="shared" si="67"/>
        <v>3.6</v>
      </c>
      <c r="N555" s="29">
        <f>IF(Dataset!F555=1,0.75,IF(Dataset!F555=2,0.45,0.2))</f>
        <v>0.45</v>
      </c>
      <c r="O555" s="29">
        <f>IF(Dataset!F555=1,3,IF(Dataset!F555=2,2,1))</f>
        <v>2</v>
      </c>
      <c r="P555" s="29">
        <f t="shared" si="68"/>
        <v>0.9</v>
      </c>
      <c r="Q555" s="29">
        <f>IF(Dataset!K555&lt;5,0.2,IF(Dataset!K555&lt;10,0.45,IF(Dataset!K555&lt;18,0.7,0.9)))</f>
        <v>0.2</v>
      </c>
      <c r="R555" s="29">
        <f>IF(Dataset!K555&lt;5,1,IF(Dataset!K555&lt;10,2,IF(Dataset!K555&lt;18,3,4)))</f>
        <v>1</v>
      </c>
      <c r="S555" s="29">
        <f t="shared" si="69"/>
        <v>0.2</v>
      </c>
      <c r="T555" s="29">
        <f t="shared" si="70"/>
        <v>1.6530000000000002</v>
      </c>
      <c r="U555" s="29" t="str">
        <f t="shared" si="71"/>
        <v>Medium</v>
      </c>
    </row>
    <row r="556" spans="1:21" ht="15" customHeight="1" x14ac:dyDescent="0.25">
      <c r="A556" s="29">
        <f>Dataset!A556</f>
        <v>552</v>
      </c>
      <c r="B556" s="29">
        <f>IF(Dataset!B556&lt;25,0.3,IF(Dataset!B556&lt;75,0.5,IF(Dataset!B556&lt;120,0.65,0.8)))</f>
        <v>0.65</v>
      </c>
      <c r="C556" s="29">
        <f>IF(Dataset!B556&lt;25,1,IF(Dataset!B556&lt;75,2,IF(Dataset!B556&lt;120,3,4)))</f>
        <v>3</v>
      </c>
      <c r="D556" s="29">
        <f t="shared" si="64"/>
        <v>1.9500000000000002</v>
      </c>
      <c r="E556" s="29">
        <f>IF(Dataset!C556&lt;=1,0.3,IF(Dataset!C556=2,0.4,IF(Dataset!C556=3,0.5,IF(Dataset!C556=4,0.65,0.8))))</f>
        <v>0.4</v>
      </c>
      <c r="F556" s="29">
        <f>IF(Dataset!C556&lt;=2,1,IF(Dataset!C556=3,2,IF(Dataset!C556=4,3,4)))</f>
        <v>1</v>
      </c>
      <c r="G556" s="29">
        <f t="shared" si="65"/>
        <v>0.4</v>
      </c>
      <c r="H556" s="29">
        <f>IF(Dataset!G556&lt;=3,0.25,IF(Dataset!G556&lt;=6,0.45,IF(Dataset!G556&lt;=9,0.65,0.85)))</f>
        <v>0.45</v>
      </c>
      <c r="I556" s="29">
        <f>IF(Dataset!G556&lt;=3,1,IF(Dataset!G556&lt;=6,2,IF(Dataset!G556&lt;=9,3,4)))</f>
        <v>2</v>
      </c>
      <c r="J556" s="29">
        <f t="shared" si="66"/>
        <v>0.9</v>
      </c>
      <c r="K556" s="29">
        <f>IF(Dataset!H556&lt;1,0.2,IF(Dataset!H556&lt;1.3,0.45,IF(Dataset!H556&lt;1.8,0.7,0.9)))</f>
        <v>0.9</v>
      </c>
      <c r="L556" s="29">
        <f>IF(Dataset!H556&lt;1,1,IF(Dataset!H556&lt;1.3,2,IF(Dataset!H556&lt;1.8,3,4)))</f>
        <v>4</v>
      </c>
      <c r="M556" s="29">
        <f t="shared" si="67"/>
        <v>3.6</v>
      </c>
      <c r="N556" s="29">
        <f>IF(Dataset!F556=1,0.75,IF(Dataset!F556=2,0.45,0.2))</f>
        <v>0.2</v>
      </c>
      <c r="O556" s="29">
        <f>IF(Dataset!F556=1,3,IF(Dataset!F556=2,2,1))</f>
        <v>1</v>
      </c>
      <c r="P556" s="29">
        <f t="shared" si="68"/>
        <v>0.2</v>
      </c>
      <c r="Q556" s="29">
        <f>IF(Dataset!K556&lt;5,0.2,IF(Dataset!K556&lt;10,0.45,IF(Dataset!K556&lt;18,0.7,0.9)))</f>
        <v>0.2</v>
      </c>
      <c r="R556" s="29">
        <f>IF(Dataset!K556&lt;5,1,IF(Dataset!K556&lt;10,2,IF(Dataset!K556&lt;18,3,4)))</f>
        <v>1</v>
      </c>
      <c r="S556" s="29">
        <f t="shared" si="69"/>
        <v>0.2</v>
      </c>
      <c r="T556" s="29">
        <f t="shared" si="70"/>
        <v>1.4990000000000001</v>
      </c>
      <c r="U556" s="29" t="str">
        <f t="shared" si="71"/>
        <v>Medium</v>
      </c>
    </row>
    <row r="557" spans="1:21" ht="15" customHeight="1" x14ac:dyDescent="0.25">
      <c r="A557" s="29">
        <f>Dataset!A557</f>
        <v>553</v>
      </c>
      <c r="B557" s="29">
        <f>IF(Dataset!B557&lt;25,0.3,IF(Dataset!B557&lt;75,0.5,IF(Dataset!B557&lt;120,0.65,0.8)))</f>
        <v>0.5</v>
      </c>
      <c r="C557" s="29">
        <f>IF(Dataset!B557&lt;25,1,IF(Dataset!B557&lt;75,2,IF(Dataset!B557&lt;120,3,4)))</f>
        <v>2</v>
      </c>
      <c r="D557" s="29">
        <f t="shared" si="64"/>
        <v>1</v>
      </c>
      <c r="E557" s="29">
        <f>IF(Dataset!C557&lt;=1,0.3,IF(Dataset!C557=2,0.4,IF(Dataset!C557=3,0.5,IF(Dataset!C557=4,0.65,0.8))))</f>
        <v>0.4</v>
      </c>
      <c r="F557" s="29">
        <f>IF(Dataset!C557&lt;=2,1,IF(Dataset!C557=3,2,IF(Dataset!C557=4,3,4)))</f>
        <v>1</v>
      </c>
      <c r="G557" s="29">
        <f t="shared" si="65"/>
        <v>0.4</v>
      </c>
      <c r="H557" s="29">
        <f>IF(Dataset!G557&lt;=3,0.25,IF(Dataset!G557&lt;=6,0.45,IF(Dataset!G557&lt;=9,0.65,0.85)))</f>
        <v>0.65</v>
      </c>
      <c r="I557" s="29">
        <f>IF(Dataset!G557&lt;=3,1,IF(Dataset!G557&lt;=6,2,IF(Dataset!G557&lt;=9,3,4)))</f>
        <v>3</v>
      </c>
      <c r="J557" s="29">
        <f t="shared" si="66"/>
        <v>1.9500000000000002</v>
      </c>
      <c r="K557" s="29">
        <f>IF(Dataset!H557&lt;1,0.2,IF(Dataset!H557&lt;1.3,0.45,IF(Dataset!H557&lt;1.8,0.7,0.9)))</f>
        <v>0.9</v>
      </c>
      <c r="L557" s="29">
        <f>IF(Dataset!H557&lt;1,1,IF(Dataset!H557&lt;1.3,2,IF(Dataset!H557&lt;1.8,3,4)))</f>
        <v>4</v>
      </c>
      <c r="M557" s="29">
        <f t="shared" si="67"/>
        <v>3.6</v>
      </c>
      <c r="N557" s="29">
        <f>IF(Dataset!F557=1,0.75,IF(Dataset!F557=2,0.45,0.2))</f>
        <v>0.2</v>
      </c>
      <c r="O557" s="29">
        <f>IF(Dataset!F557=1,3,IF(Dataset!F557=2,2,1))</f>
        <v>1</v>
      </c>
      <c r="P557" s="29">
        <f t="shared" si="68"/>
        <v>0.2</v>
      </c>
      <c r="Q557" s="29">
        <f>IF(Dataset!K557&lt;5,0.2,IF(Dataset!K557&lt;10,0.45,IF(Dataset!K557&lt;18,0.7,0.9)))</f>
        <v>0.2</v>
      </c>
      <c r="R557" s="29">
        <f>IF(Dataset!K557&lt;5,1,IF(Dataset!K557&lt;10,2,IF(Dataset!K557&lt;18,3,4)))</f>
        <v>1</v>
      </c>
      <c r="S557" s="29">
        <f t="shared" si="69"/>
        <v>0.2</v>
      </c>
      <c r="T557" s="29">
        <f t="shared" si="70"/>
        <v>1.5380000000000003</v>
      </c>
      <c r="U557" s="29" t="str">
        <f t="shared" si="71"/>
        <v>Medium</v>
      </c>
    </row>
    <row r="558" spans="1:21" ht="15" customHeight="1" x14ac:dyDescent="0.25">
      <c r="A558" s="29">
        <f>Dataset!A558</f>
        <v>554</v>
      </c>
      <c r="B558" s="29">
        <f>IF(Dataset!B558&lt;25,0.3,IF(Dataset!B558&lt;75,0.5,IF(Dataset!B558&lt;120,0.65,0.8)))</f>
        <v>0.65</v>
      </c>
      <c r="C558" s="29">
        <f>IF(Dataset!B558&lt;25,1,IF(Dataset!B558&lt;75,2,IF(Dataset!B558&lt;120,3,4)))</f>
        <v>3</v>
      </c>
      <c r="D558" s="29">
        <f t="shared" si="64"/>
        <v>1.9500000000000002</v>
      </c>
      <c r="E558" s="29">
        <f>IF(Dataset!C558&lt;=1,0.3,IF(Dataset!C558=2,0.4,IF(Dataset!C558=3,0.5,IF(Dataset!C558=4,0.65,0.8))))</f>
        <v>0.5</v>
      </c>
      <c r="F558" s="29">
        <f>IF(Dataset!C558&lt;=2,1,IF(Dataset!C558=3,2,IF(Dataset!C558=4,3,4)))</f>
        <v>2</v>
      </c>
      <c r="G558" s="29">
        <f t="shared" si="65"/>
        <v>1</v>
      </c>
      <c r="H558" s="29">
        <f>IF(Dataset!G558&lt;=3,0.25,IF(Dataset!G558&lt;=6,0.45,IF(Dataset!G558&lt;=9,0.65,0.85)))</f>
        <v>0.45</v>
      </c>
      <c r="I558" s="29">
        <f>IF(Dataset!G558&lt;=3,1,IF(Dataset!G558&lt;=6,2,IF(Dataset!G558&lt;=9,3,4)))</f>
        <v>2</v>
      </c>
      <c r="J558" s="29">
        <f t="shared" si="66"/>
        <v>0.9</v>
      </c>
      <c r="K558" s="29">
        <f>IF(Dataset!H558&lt;1,0.2,IF(Dataset!H558&lt;1.3,0.45,IF(Dataset!H558&lt;1.8,0.7,0.9)))</f>
        <v>0.9</v>
      </c>
      <c r="L558" s="29">
        <f>IF(Dataset!H558&lt;1,1,IF(Dataset!H558&lt;1.3,2,IF(Dataset!H558&lt;1.8,3,4)))</f>
        <v>4</v>
      </c>
      <c r="M558" s="29">
        <f t="shared" si="67"/>
        <v>3.6</v>
      </c>
      <c r="N558" s="29">
        <f>IF(Dataset!F558=1,0.75,IF(Dataset!F558=2,0.45,0.2))</f>
        <v>0.2</v>
      </c>
      <c r="O558" s="29">
        <f>IF(Dataset!F558=1,3,IF(Dataset!F558=2,2,1))</f>
        <v>1</v>
      </c>
      <c r="P558" s="29">
        <f t="shared" si="68"/>
        <v>0.2</v>
      </c>
      <c r="Q558" s="29">
        <f>IF(Dataset!K558&lt;5,0.2,IF(Dataset!K558&lt;10,0.45,IF(Dataset!K558&lt;18,0.7,0.9)))</f>
        <v>0.45</v>
      </c>
      <c r="R558" s="29">
        <f>IF(Dataset!K558&lt;5,1,IF(Dataset!K558&lt;10,2,IF(Dataset!K558&lt;18,3,4)))</f>
        <v>2</v>
      </c>
      <c r="S558" s="29">
        <f t="shared" si="69"/>
        <v>0.9</v>
      </c>
      <c r="T558" s="29">
        <f t="shared" si="70"/>
        <v>1.6810000000000003</v>
      </c>
      <c r="U558" s="29" t="str">
        <f t="shared" si="71"/>
        <v>Medium</v>
      </c>
    </row>
    <row r="559" spans="1:21" ht="15" customHeight="1" x14ac:dyDescent="0.25">
      <c r="A559" s="29">
        <f>Dataset!A559</f>
        <v>555</v>
      </c>
      <c r="B559" s="29">
        <f>IF(Dataset!B559&lt;25,0.3,IF(Dataset!B559&lt;75,0.5,IF(Dataset!B559&lt;120,0.65,0.8)))</f>
        <v>0.5</v>
      </c>
      <c r="C559" s="29">
        <f>IF(Dataset!B559&lt;25,1,IF(Dataset!B559&lt;75,2,IF(Dataset!B559&lt;120,3,4)))</f>
        <v>2</v>
      </c>
      <c r="D559" s="29">
        <f t="shared" si="64"/>
        <v>1</v>
      </c>
      <c r="E559" s="29">
        <f>IF(Dataset!C559&lt;=1,0.3,IF(Dataset!C559=2,0.4,IF(Dataset!C559=3,0.5,IF(Dataset!C559=4,0.65,0.8))))</f>
        <v>0.65</v>
      </c>
      <c r="F559" s="29">
        <f>IF(Dataset!C559&lt;=2,1,IF(Dataset!C559=3,2,IF(Dataset!C559=4,3,4)))</f>
        <v>3</v>
      </c>
      <c r="G559" s="29">
        <f t="shared" si="65"/>
        <v>1.9500000000000002</v>
      </c>
      <c r="H559" s="29">
        <f>IF(Dataset!G559&lt;=3,0.25,IF(Dataset!G559&lt;=6,0.45,IF(Dataset!G559&lt;=9,0.65,0.85)))</f>
        <v>0.45</v>
      </c>
      <c r="I559" s="29">
        <f>IF(Dataset!G559&lt;=3,1,IF(Dataset!G559&lt;=6,2,IF(Dataset!G559&lt;=9,3,4)))</f>
        <v>2</v>
      </c>
      <c r="J559" s="29">
        <f t="shared" si="66"/>
        <v>0.9</v>
      </c>
      <c r="K559" s="29">
        <f>IF(Dataset!H559&lt;1,0.2,IF(Dataset!H559&lt;1.3,0.45,IF(Dataset!H559&lt;1.8,0.7,0.9)))</f>
        <v>0.7</v>
      </c>
      <c r="L559" s="29">
        <f>IF(Dataset!H559&lt;1,1,IF(Dataset!H559&lt;1.3,2,IF(Dataset!H559&lt;1.8,3,4)))</f>
        <v>3</v>
      </c>
      <c r="M559" s="29">
        <f t="shared" si="67"/>
        <v>2.0999999999999996</v>
      </c>
      <c r="N559" s="29">
        <f>IF(Dataset!F559=1,0.75,IF(Dataset!F559=2,0.45,0.2))</f>
        <v>0.75</v>
      </c>
      <c r="O559" s="29">
        <f>IF(Dataset!F559=1,3,IF(Dataset!F559=2,2,1))</f>
        <v>3</v>
      </c>
      <c r="P559" s="29">
        <f t="shared" si="68"/>
        <v>2.25</v>
      </c>
      <c r="Q559" s="29">
        <f>IF(Dataset!K559&lt;5,0.2,IF(Dataset!K559&lt;10,0.45,IF(Dataset!K559&lt;18,0.7,0.9)))</f>
        <v>0.7</v>
      </c>
      <c r="R559" s="29">
        <f>IF(Dataset!K559&lt;5,1,IF(Dataset!K559&lt;10,2,IF(Dataset!K559&lt;18,3,4)))</f>
        <v>3</v>
      </c>
      <c r="S559" s="29">
        <f t="shared" si="69"/>
        <v>2.0999999999999996</v>
      </c>
      <c r="T559" s="29">
        <f t="shared" si="70"/>
        <v>1.6560000000000001</v>
      </c>
      <c r="U559" s="29" t="str">
        <f t="shared" si="71"/>
        <v>Medium</v>
      </c>
    </row>
    <row r="560" spans="1:21" ht="15" customHeight="1" x14ac:dyDescent="0.25">
      <c r="A560" s="29">
        <f>Dataset!A560</f>
        <v>556</v>
      </c>
      <c r="B560" s="29">
        <f>IF(Dataset!B560&lt;25,0.3,IF(Dataset!B560&lt;75,0.5,IF(Dataset!B560&lt;120,0.65,0.8)))</f>
        <v>0.5</v>
      </c>
      <c r="C560" s="29">
        <f>IF(Dataset!B560&lt;25,1,IF(Dataset!B560&lt;75,2,IF(Dataset!B560&lt;120,3,4)))</f>
        <v>2</v>
      </c>
      <c r="D560" s="29">
        <f t="shared" si="64"/>
        <v>1</v>
      </c>
      <c r="E560" s="29">
        <f>IF(Dataset!C560&lt;=1,0.3,IF(Dataset!C560=2,0.4,IF(Dataset!C560=3,0.5,IF(Dataset!C560=4,0.65,0.8))))</f>
        <v>0.5</v>
      </c>
      <c r="F560" s="29">
        <f>IF(Dataset!C560&lt;=2,1,IF(Dataset!C560=3,2,IF(Dataset!C560=4,3,4)))</f>
        <v>2</v>
      </c>
      <c r="G560" s="29">
        <f t="shared" si="65"/>
        <v>1</v>
      </c>
      <c r="H560" s="29">
        <f>IF(Dataset!G560&lt;=3,0.25,IF(Dataset!G560&lt;=6,0.45,IF(Dataset!G560&lt;=9,0.65,0.85)))</f>
        <v>0.65</v>
      </c>
      <c r="I560" s="29">
        <f>IF(Dataset!G560&lt;=3,1,IF(Dataset!G560&lt;=6,2,IF(Dataset!G560&lt;=9,3,4)))</f>
        <v>3</v>
      </c>
      <c r="J560" s="29">
        <f t="shared" si="66"/>
        <v>1.9500000000000002</v>
      </c>
      <c r="K560" s="29">
        <f>IF(Dataset!H560&lt;1,0.2,IF(Dataset!H560&lt;1.3,0.45,IF(Dataset!H560&lt;1.8,0.7,0.9)))</f>
        <v>0.9</v>
      </c>
      <c r="L560" s="29">
        <f>IF(Dataset!H560&lt;1,1,IF(Dataset!H560&lt;1.3,2,IF(Dataset!H560&lt;1.8,3,4)))</f>
        <v>4</v>
      </c>
      <c r="M560" s="29">
        <f t="shared" si="67"/>
        <v>3.6</v>
      </c>
      <c r="N560" s="29">
        <f>IF(Dataset!F560=1,0.75,IF(Dataset!F560=2,0.45,0.2))</f>
        <v>0.45</v>
      </c>
      <c r="O560" s="29">
        <f>IF(Dataset!F560=1,3,IF(Dataset!F560=2,2,1))</f>
        <v>2</v>
      </c>
      <c r="P560" s="29">
        <f t="shared" si="68"/>
        <v>0.9</v>
      </c>
      <c r="Q560" s="29">
        <f>IF(Dataset!K560&lt;5,0.2,IF(Dataset!K560&lt;10,0.45,IF(Dataset!K560&lt;18,0.7,0.9)))</f>
        <v>0.45</v>
      </c>
      <c r="R560" s="29">
        <f>IF(Dataset!K560&lt;5,1,IF(Dataset!K560&lt;10,2,IF(Dataset!K560&lt;18,3,4)))</f>
        <v>2</v>
      </c>
      <c r="S560" s="29">
        <f t="shared" si="69"/>
        <v>0.9</v>
      </c>
      <c r="T560" s="29">
        <f t="shared" si="70"/>
        <v>1.7900000000000003</v>
      </c>
      <c r="U560" s="29" t="str">
        <f t="shared" si="71"/>
        <v>High</v>
      </c>
    </row>
    <row r="561" spans="1:21" ht="15" customHeight="1" x14ac:dyDescent="0.25">
      <c r="A561" s="29">
        <f>Dataset!A561</f>
        <v>557</v>
      </c>
      <c r="B561" s="29">
        <f>IF(Dataset!B561&lt;25,0.3,IF(Dataset!B561&lt;75,0.5,IF(Dataset!B561&lt;120,0.65,0.8)))</f>
        <v>0.5</v>
      </c>
      <c r="C561" s="29">
        <f>IF(Dataset!B561&lt;25,1,IF(Dataset!B561&lt;75,2,IF(Dataset!B561&lt;120,3,4)))</f>
        <v>2</v>
      </c>
      <c r="D561" s="29">
        <f t="shared" si="64"/>
        <v>1</v>
      </c>
      <c r="E561" s="29">
        <f>IF(Dataset!C561&lt;=1,0.3,IF(Dataset!C561=2,0.4,IF(Dataset!C561=3,0.5,IF(Dataset!C561=4,0.65,0.8))))</f>
        <v>0.65</v>
      </c>
      <c r="F561" s="29">
        <f>IF(Dataset!C561&lt;=2,1,IF(Dataset!C561=3,2,IF(Dataset!C561=4,3,4)))</f>
        <v>3</v>
      </c>
      <c r="G561" s="29">
        <f t="shared" si="65"/>
        <v>1.9500000000000002</v>
      </c>
      <c r="H561" s="29">
        <f>IF(Dataset!G561&lt;=3,0.25,IF(Dataset!G561&lt;=6,0.45,IF(Dataset!G561&lt;=9,0.65,0.85)))</f>
        <v>0.45</v>
      </c>
      <c r="I561" s="29">
        <f>IF(Dataset!G561&lt;=3,1,IF(Dataset!G561&lt;=6,2,IF(Dataset!G561&lt;=9,3,4)))</f>
        <v>2</v>
      </c>
      <c r="J561" s="29">
        <f t="shared" si="66"/>
        <v>0.9</v>
      </c>
      <c r="K561" s="29">
        <f>IF(Dataset!H561&lt;1,0.2,IF(Dataset!H561&lt;1.3,0.45,IF(Dataset!H561&lt;1.8,0.7,0.9)))</f>
        <v>0.9</v>
      </c>
      <c r="L561" s="29">
        <f>IF(Dataset!H561&lt;1,1,IF(Dataset!H561&lt;1.3,2,IF(Dataset!H561&lt;1.8,3,4)))</f>
        <v>4</v>
      </c>
      <c r="M561" s="29">
        <f t="shared" si="67"/>
        <v>3.6</v>
      </c>
      <c r="N561" s="29">
        <f>IF(Dataset!F561=1,0.75,IF(Dataset!F561=2,0.45,0.2))</f>
        <v>0.75</v>
      </c>
      <c r="O561" s="29">
        <f>IF(Dataset!F561=1,3,IF(Dataset!F561=2,2,1))</f>
        <v>3</v>
      </c>
      <c r="P561" s="29">
        <f t="shared" si="68"/>
        <v>2.25</v>
      </c>
      <c r="Q561" s="29">
        <f>IF(Dataset!K561&lt;5,0.2,IF(Dataset!K561&lt;10,0.45,IF(Dataset!K561&lt;18,0.7,0.9)))</f>
        <v>0.45</v>
      </c>
      <c r="R561" s="29">
        <f>IF(Dataset!K561&lt;5,1,IF(Dataset!K561&lt;10,2,IF(Dataset!K561&lt;18,3,4)))</f>
        <v>2</v>
      </c>
      <c r="S561" s="29">
        <f t="shared" si="69"/>
        <v>0.9</v>
      </c>
      <c r="T561" s="29">
        <f t="shared" si="70"/>
        <v>1.8480000000000003</v>
      </c>
      <c r="U561" s="29" t="str">
        <f t="shared" si="71"/>
        <v>High</v>
      </c>
    </row>
    <row r="562" spans="1:21" ht="15" customHeight="1" x14ac:dyDescent="0.25">
      <c r="A562" s="29">
        <f>Dataset!A562</f>
        <v>558</v>
      </c>
      <c r="B562" s="29">
        <f>IF(Dataset!B562&lt;25,0.3,IF(Dataset!B562&lt;75,0.5,IF(Dataset!B562&lt;120,0.65,0.8)))</f>
        <v>0.5</v>
      </c>
      <c r="C562" s="29">
        <f>IF(Dataset!B562&lt;25,1,IF(Dataset!B562&lt;75,2,IF(Dataset!B562&lt;120,3,4)))</f>
        <v>2</v>
      </c>
      <c r="D562" s="29">
        <f t="shared" si="64"/>
        <v>1</v>
      </c>
      <c r="E562" s="29">
        <f>IF(Dataset!C562&lt;=1,0.3,IF(Dataset!C562=2,0.4,IF(Dataset!C562=3,0.5,IF(Dataset!C562=4,0.65,0.8))))</f>
        <v>0.5</v>
      </c>
      <c r="F562" s="29">
        <f>IF(Dataset!C562&lt;=2,1,IF(Dataset!C562=3,2,IF(Dataset!C562=4,3,4)))</f>
        <v>2</v>
      </c>
      <c r="G562" s="29">
        <f t="shared" si="65"/>
        <v>1</v>
      </c>
      <c r="H562" s="29">
        <f>IF(Dataset!G562&lt;=3,0.25,IF(Dataset!G562&lt;=6,0.45,IF(Dataset!G562&lt;=9,0.65,0.85)))</f>
        <v>0.65</v>
      </c>
      <c r="I562" s="29">
        <f>IF(Dataset!G562&lt;=3,1,IF(Dataset!G562&lt;=6,2,IF(Dataset!G562&lt;=9,3,4)))</f>
        <v>3</v>
      </c>
      <c r="J562" s="29">
        <f t="shared" si="66"/>
        <v>1.9500000000000002</v>
      </c>
      <c r="K562" s="29">
        <f>IF(Dataset!H562&lt;1,0.2,IF(Dataset!H562&lt;1.3,0.45,IF(Dataset!H562&lt;1.8,0.7,0.9)))</f>
        <v>0.9</v>
      </c>
      <c r="L562" s="29">
        <f>IF(Dataset!H562&lt;1,1,IF(Dataset!H562&lt;1.3,2,IF(Dataset!H562&lt;1.8,3,4)))</f>
        <v>4</v>
      </c>
      <c r="M562" s="29">
        <f t="shared" si="67"/>
        <v>3.6</v>
      </c>
      <c r="N562" s="29">
        <f>IF(Dataset!F562=1,0.75,IF(Dataset!F562=2,0.45,0.2))</f>
        <v>0.45</v>
      </c>
      <c r="O562" s="29">
        <f>IF(Dataset!F562=1,3,IF(Dataset!F562=2,2,1))</f>
        <v>2</v>
      </c>
      <c r="P562" s="29">
        <f t="shared" si="68"/>
        <v>0.9</v>
      </c>
      <c r="Q562" s="29">
        <f>IF(Dataset!K562&lt;5,0.2,IF(Dataset!K562&lt;10,0.45,IF(Dataset!K562&lt;18,0.7,0.9)))</f>
        <v>0.2</v>
      </c>
      <c r="R562" s="29">
        <f>IF(Dataset!K562&lt;5,1,IF(Dataset!K562&lt;10,2,IF(Dataset!K562&lt;18,3,4)))</f>
        <v>1</v>
      </c>
      <c r="S562" s="29">
        <f t="shared" si="69"/>
        <v>0.2</v>
      </c>
      <c r="T562" s="29">
        <f t="shared" si="70"/>
        <v>1.6920000000000002</v>
      </c>
      <c r="U562" s="29" t="str">
        <f t="shared" si="71"/>
        <v>Medium</v>
      </c>
    </row>
    <row r="563" spans="1:21" ht="15" customHeight="1" x14ac:dyDescent="0.25">
      <c r="A563" s="29">
        <f>Dataset!A563</f>
        <v>559</v>
      </c>
      <c r="B563" s="29">
        <f>IF(Dataset!B563&lt;25,0.3,IF(Dataset!B563&lt;75,0.5,IF(Dataset!B563&lt;120,0.65,0.8)))</f>
        <v>0.3</v>
      </c>
      <c r="C563" s="29">
        <f>IF(Dataset!B563&lt;25,1,IF(Dataset!B563&lt;75,2,IF(Dataset!B563&lt;120,3,4)))</f>
        <v>1</v>
      </c>
      <c r="D563" s="29">
        <f t="shared" si="64"/>
        <v>0.3</v>
      </c>
      <c r="E563" s="29">
        <f>IF(Dataset!C563&lt;=1,0.3,IF(Dataset!C563=2,0.4,IF(Dataset!C563=3,0.5,IF(Dataset!C563=4,0.65,0.8))))</f>
        <v>0.5</v>
      </c>
      <c r="F563" s="29">
        <f>IF(Dataset!C563&lt;=2,1,IF(Dataset!C563=3,2,IF(Dataset!C563=4,3,4)))</f>
        <v>2</v>
      </c>
      <c r="G563" s="29">
        <f t="shared" si="65"/>
        <v>1</v>
      </c>
      <c r="H563" s="29">
        <f>IF(Dataset!G563&lt;=3,0.25,IF(Dataset!G563&lt;=6,0.45,IF(Dataset!G563&lt;=9,0.65,0.85)))</f>
        <v>0.45</v>
      </c>
      <c r="I563" s="29">
        <f>IF(Dataset!G563&lt;=3,1,IF(Dataset!G563&lt;=6,2,IF(Dataset!G563&lt;=9,3,4)))</f>
        <v>2</v>
      </c>
      <c r="J563" s="29">
        <f t="shared" si="66"/>
        <v>0.9</v>
      </c>
      <c r="K563" s="29">
        <f>IF(Dataset!H563&lt;1,0.2,IF(Dataset!H563&lt;1.3,0.45,IF(Dataset!H563&lt;1.8,0.7,0.9)))</f>
        <v>0.9</v>
      </c>
      <c r="L563" s="29">
        <f>IF(Dataset!H563&lt;1,1,IF(Dataset!H563&lt;1.3,2,IF(Dataset!H563&lt;1.8,3,4)))</f>
        <v>4</v>
      </c>
      <c r="M563" s="29">
        <f t="shared" si="67"/>
        <v>3.6</v>
      </c>
      <c r="N563" s="29">
        <f>IF(Dataset!F563=1,0.75,IF(Dataset!F563=2,0.45,0.2))</f>
        <v>0.45</v>
      </c>
      <c r="O563" s="29">
        <f>IF(Dataset!F563=1,3,IF(Dataset!F563=2,2,1))</f>
        <v>2</v>
      </c>
      <c r="P563" s="29">
        <f t="shared" si="68"/>
        <v>0.9</v>
      </c>
      <c r="Q563" s="29">
        <f>IF(Dataset!K563&lt;5,0.2,IF(Dataset!K563&lt;10,0.45,IF(Dataset!K563&lt;18,0.7,0.9)))</f>
        <v>0.45</v>
      </c>
      <c r="R563" s="29">
        <f>IF(Dataset!K563&lt;5,1,IF(Dataset!K563&lt;10,2,IF(Dataset!K563&lt;18,3,4)))</f>
        <v>2</v>
      </c>
      <c r="S563" s="29">
        <f t="shared" si="69"/>
        <v>0.9</v>
      </c>
      <c r="T563" s="29">
        <f t="shared" si="70"/>
        <v>1.4540000000000002</v>
      </c>
      <c r="U563" s="29" t="str">
        <f t="shared" si="71"/>
        <v>Medium</v>
      </c>
    </row>
    <row r="564" spans="1:21" ht="15" customHeight="1" x14ac:dyDescent="0.25">
      <c r="A564" s="29">
        <f>Dataset!A564</f>
        <v>560</v>
      </c>
      <c r="B564" s="29">
        <f>IF(Dataset!B564&lt;25,0.3,IF(Dataset!B564&lt;75,0.5,IF(Dataset!B564&lt;120,0.65,0.8)))</f>
        <v>0.5</v>
      </c>
      <c r="C564" s="29">
        <f>IF(Dataset!B564&lt;25,1,IF(Dataset!B564&lt;75,2,IF(Dataset!B564&lt;120,3,4)))</f>
        <v>2</v>
      </c>
      <c r="D564" s="29">
        <f t="shared" si="64"/>
        <v>1</v>
      </c>
      <c r="E564" s="29">
        <f>IF(Dataset!C564&lt;=1,0.3,IF(Dataset!C564=2,0.4,IF(Dataset!C564=3,0.5,IF(Dataset!C564=4,0.65,0.8))))</f>
        <v>0.65</v>
      </c>
      <c r="F564" s="29">
        <f>IF(Dataset!C564&lt;=2,1,IF(Dataset!C564=3,2,IF(Dataset!C564=4,3,4)))</f>
        <v>3</v>
      </c>
      <c r="G564" s="29">
        <f t="shared" si="65"/>
        <v>1.9500000000000002</v>
      </c>
      <c r="H564" s="29">
        <f>IF(Dataset!G564&lt;=3,0.25,IF(Dataset!G564&lt;=6,0.45,IF(Dataset!G564&lt;=9,0.65,0.85)))</f>
        <v>0.65</v>
      </c>
      <c r="I564" s="29">
        <f>IF(Dataset!G564&lt;=3,1,IF(Dataset!G564&lt;=6,2,IF(Dataset!G564&lt;=9,3,4)))</f>
        <v>3</v>
      </c>
      <c r="J564" s="29">
        <f t="shared" si="66"/>
        <v>1.9500000000000002</v>
      </c>
      <c r="K564" s="29">
        <f>IF(Dataset!H564&lt;1,0.2,IF(Dataset!H564&lt;1.3,0.45,IF(Dataset!H564&lt;1.8,0.7,0.9)))</f>
        <v>0.7</v>
      </c>
      <c r="L564" s="29">
        <f>IF(Dataset!H564&lt;1,1,IF(Dataset!H564&lt;1.3,2,IF(Dataset!H564&lt;1.8,3,4)))</f>
        <v>3</v>
      </c>
      <c r="M564" s="29">
        <f t="shared" si="67"/>
        <v>2.0999999999999996</v>
      </c>
      <c r="N564" s="29">
        <f>IF(Dataset!F564=1,0.75,IF(Dataset!F564=2,0.45,0.2))</f>
        <v>0.45</v>
      </c>
      <c r="O564" s="29">
        <f>IF(Dataset!F564=1,3,IF(Dataset!F564=2,2,1))</f>
        <v>2</v>
      </c>
      <c r="P564" s="29">
        <f t="shared" si="68"/>
        <v>0.9</v>
      </c>
      <c r="Q564" s="29">
        <f>IF(Dataset!K564&lt;5,0.2,IF(Dataset!K564&lt;10,0.45,IF(Dataset!K564&lt;18,0.7,0.9)))</f>
        <v>0.7</v>
      </c>
      <c r="R564" s="29">
        <f>IF(Dataset!K564&lt;5,1,IF(Dataset!K564&lt;10,2,IF(Dataset!K564&lt;18,3,4)))</f>
        <v>3</v>
      </c>
      <c r="S564" s="29">
        <f t="shared" si="69"/>
        <v>2.0999999999999996</v>
      </c>
      <c r="T564" s="29">
        <f t="shared" si="70"/>
        <v>1.7310000000000001</v>
      </c>
      <c r="U564" s="29" t="str">
        <f t="shared" si="71"/>
        <v>Medium</v>
      </c>
    </row>
    <row r="565" spans="1:21" ht="15" customHeight="1" x14ac:dyDescent="0.25">
      <c r="A565" s="29">
        <f>Dataset!A565</f>
        <v>561</v>
      </c>
      <c r="B565" s="29">
        <f>IF(Dataset!B565&lt;25,0.3,IF(Dataset!B565&lt;75,0.5,IF(Dataset!B565&lt;120,0.65,0.8)))</f>
        <v>0.5</v>
      </c>
      <c r="C565" s="29">
        <f>IF(Dataset!B565&lt;25,1,IF(Dataset!B565&lt;75,2,IF(Dataset!B565&lt;120,3,4)))</f>
        <v>2</v>
      </c>
      <c r="D565" s="29">
        <f t="shared" si="64"/>
        <v>1</v>
      </c>
      <c r="E565" s="29">
        <f>IF(Dataset!C565&lt;=1,0.3,IF(Dataset!C565=2,0.4,IF(Dataset!C565=3,0.5,IF(Dataset!C565=4,0.65,0.8))))</f>
        <v>0.8</v>
      </c>
      <c r="F565" s="29">
        <f>IF(Dataset!C565&lt;=2,1,IF(Dataset!C565=3,2,IF(Dataset!C565=4,3,4)))</f>
        <v>4</v>
      </c>
      <c r="G565" s="29">
        <f t="shared" si="65"/>
        <v>3.2</v>
      </c>
      <c r="H565" s="29">
        <f>IF(Dataset!G565&lt;=3,0.25,IF(Dataset!G565&lt;=6,0.45,IF(Dataset!G565&lt;=9,0.65,0.85)))</f>
        <v>0.45</v>
      </c>
      <c r="I565" s="29">
        <f>IF(Dataset!G565&lt;=3,1,IF(Dataset!G565&lt;=6,2,IF(Dataset!G565&lt;=9,3,4)))</f>
        <v>2</v>
      </c>
      <c r="J565" s="29">
        <f t="shared" si="66"/>
        <v>0.9</v>
      </c>
      <c r="K565" s="29">
        <f>IF(Dataset!H565&lt;1,0.2,IF(Dataset!H565&lt;1.3,0.45,IF(Dataset!H565&lt;1.8,0.7,0.9)))</f>
        <v>0.9</v>
      </c>
      <c r="L565" s="29">
        <f>IF(Dataset!H565&lt;1,1,IF(Dataset!H565&lt;1.3,2,IF(Dataset!H565&lt;1.8,3,4)))</f>
        <v>4</v>
      </c>
      <c r="M565" s="29">
        <f t="shared" si="67"/>
        <v>3.6</v>
      </c>
      <c r="N565" s="29">
        <f>IF(Dataset!F565=1,0.75,IF(Dataset!F565=2,0.45,0.2))</f>
        <v>0.75</v>
      </c>
      <c r="O565" s="29">
        <f>IF(Dataset!F565=1,3,IF(Dataset!F565=2,2,1))</f>
        <v>3</v>
      </c>
      <c r="P565" s="29">
        <f t="shared" si="68"/>
        <v>2.25</v>
      </c>
      <c r="Q565" s="29">
        <f>IF(Dataset!K565&lt;5,0.2,IF(Dataset!K565&lt;10,0.45,IF(Dataset!K565&lt;18,0.7,0.9)))</f>
        <v>0.7</v>
      </c>
      <c r="R565" s="29">
        <f>IF(Dataset!K565&lt;5,1,IF(Dataset!K565&lt;10,2,IF(Dataset!K565&lt;18,3,4)))</f>
        <v>3</v>
      </c>
      <c r="S565" s="29">
        <f t="shared" si="69"/>
        <v>2.0999999999999996</v>
      </c>
      <c r="T565" s="29">
        <f t="shared" si="70"/>
        <v>2.1910000000000003</v>
      </c>
      <c r="U565" s="29" t="str">
        <f t="shared" si="71"/>
        <v>High</v>
      </c>
    </row>
    <row r="566" spans="1:21" ht="15" customHeight="1" x14ac:dyDescent="0.25">
      <c r="A566" s="29">
        <f>Dataset!A566</f>
        <v>562</v>
      </c>
      <c r="B566" s="29">
        <f>IF(Dataset!B566&lt;25,0.3,IF(Dataset!B566&lt;75,0.5,IF(Dataset!B566&lt;120,0.65,0.8)))</f>
        <v>0.5</v>
      </c>
      <c r="C566" s="29">
        <f>IF(Dataset!B566&lt;25,1,IF(Dataset!B566&lt;75,2,IF(Dataset!B566&lt;120,3,4)))</f>
        <v>2</v>
      </c>
      <c r="D566" s="29">
        <f t="shared" si="64"/>
        <v>1</v>
      </c>
      <c r="E566" s="29">
        <f>IF(Dataset!C566&lt;=1,0.3,IF(Dataset!C566=2,0.4,IF(Dataset!C566=3,0.5,IF(Dataset!C566=4,0.65,0.8))))</f>
        <v>0.5</v>
      </c>
      <c r="F566" s="29">
        <f>IF(Dataset!C566&lt;=2,1,IF(Dataset!C566=3,2,IF(Dataset!C566=4,3,4)))</f>
        <v>2</v>
      </c>
      <c r="G566" s="29">
        <f t="shared" si="65"/>
        <v>1</v>
      </c>
      <c r="H566" s="29">
        <f>IF(Dataset!G566&lt;=3,0.25,IF(Dataset!G566&lt;=6,0.45,IF(Dataset!G566&lt;=9,0.65,0.85)))</f>
        <v>0.65</v>
      </c>
      <c r="I566" s="29">
        <f>IF(Dataset!G566&lt;=3,1,IF(Dataset!G566&lt;=6,2,IF(Dataset!G566&lt;=9,3,4)))</f>
        <v>3</v>
      </c>
      <c r="J566" s="29">
        <f t="shared" si="66"/>
        <v>1.9500000000000002</v>
      </c>
      <c r="K566" s="29">
        <f>IF(Dataset!H566&lt;1,0.2,IF(Dataset!H566&lt;1.3,0.45,IF(Dataset!H566&lt;1.8,0.7,0.9)))</f>
        <v>0.9</v>
      </c>
      <c r="L566" s="29">
        <f>IF(Dataset!H566&lt;1,1,IF(Dataset!H566&lt;1.3,2,IF(Dataset!H566&lt;1.8,3,4)))</f>
        <v>4</v>
      </c>
      <c r="M566" s="29">
        <f t="shared" si="67"/>
        <v>3.6</v>
      </c>
      <c r="N566" s="29">
        <f>IF(Dataset!F566=1,0.75,IF(Dataset!F566=2,0.45,0.2))</f>
        <v>0.2</v>
      </c>
      <c r="O566" s="29">
        <f>IF(Dataset!F566=1,3,IF(Dataset!F566=2,2,1))</f>
        <v>1</v>
      </c>
      <c r="P566" s="29">
        <f t="shared" si="68"/>
        <v>0.2</v>
      </c>
      <c r="Q566" s="29">
        <f>IF(Dataset!K566&lt;5,0.2,IF(Dataset!K566&lt;10,0.45,IF(Dataset!K566&lt;18,0.7,0.9)))</f>
        <v>0.45</v>
      </c>
      <c r="R566" s="29">
        <f>IF(Dataset!K566&lt;5,1,IF(Dataset!K566&lt;10,2,IF(Dataset!K566&lt;18,3,4)))</f>
        <v>2</v>
      </c>
      <c r="S566" s="29">
        <f t="shared" si="69"/>
        <v>0.9</v>
      </c>
      <c r="T566" s="29">
        <f t="shared" si="70"/>
        <v>1.7200000000000002</v>
      </c>
      <c r="U566" s="29" t="str">
        <f t="shared" si="71"/>
        <v>Medium</v>
      </c>
    </row>
    <row r="567" spans="1:21" ht="15" customHeight="1" x14ac:dyDescent="0.25">
      <c r="A567" s="29">
        <f>Dataset!A567</f>
        <v>563</v>
      </c>
      <c r="B567" s="29">
        <f>IF(Dataset!B567&lt;25,0.3,IF(Dataset!B567&lt;75,0.5,IF(Dataset!B567&lt;120,0.65,0.8)))</f>
        <v>0.5</v>
      </c>
      <c r="C567" s="29">
        <f>IF(Dataset!B567&lt;25,1,IF(Dataset!B567&lt;75,2,IF(Dataset!B567&lt;120,3,4)))</f>
        <v>2</v>
      </c>
      <c r="D567" s="29">
        <f t="shared" si="64"/>
        <v>1</v>
      </c>
      <c r="E567" s="29">
        <f>IF(Dataset!C567&lt;=1,0.3,IF(Dataset!C567=2,0.4,IF(Dataset!C567=3,0.5,IF(Dataset!C567=4,0.65,0.8))))</f>
        <v>0.65</v>
      </c>
      <c r="F567" s="29">
        <f>IF(Dataset!C567&lt;=2,1,IF(Dataset!C567=3,2,IF(Dataset!C567=4,3,4)))</f>
        <v>3</v>
      </c>
      <c r="G567" s="29">
        <f t="shared" si="65"/>
        <v>1.9500000000000002</v>
      </c>
      <c r="H567" s="29">
        <f>IF(Dataset!G567&lt;=3,0.25,IF(Dataset!G567&lt;=6,0.45,IF(Dataset!G567&lt;=9,0.65,0.85)))</f>
        <v>0.45</v>
      </c>
      <c r="I567" s="29">
        <f>IF(Dataset!G567&lt;=3,1,IF(Dataset!G567&lt;=6,2,IF(Dataset!G567&lt;=9,3,4)))</f>
        <v>2</v>
      </c>
      <c r="J567" s="29">
        <f t="shared" si="66"/>
        <v>0.9</v>
      </c>
      <c r="K567" s="29">
        <f>IF(Dataset!H567&lt;1,0.2,IF(Dataset!H567&lt;1.3,0.45,IF(Dataset!H567&lt;1.8,0.7,0.9)))</f>
        <v>0.9</v>
      </c>
      <c r="L567" s="29">
        <f>IF(Dataset!H567&lt;1,1,IF(Dataset!H567&lt;1.3,2,IF(Dataset!H567&lt;1.8,3,4)))</f>
        <v>4</v>
      </c>
      <c r="M567" s="29">
        <f t="shared" si="67"/>
        <v>3.6</v>
      </c>
      <c r="N567" s="29">
        <f>IF(Dataset!F567=1,0.75,IF(Dataset!F567=2,0.45,0.2))</f>
        <v>0.2</v>
      </c>
      <c r="O567" s="29">
        <f>IF(Dataset!F567=1,3,IF(Dataset!F567=2,2,1))</f>
        <v>1</v>
      </c>
      <c r="P567" s="29">
        <f t="shared" si="68"/>
        <v>0.2</v>
      </c>
      <c r="Q567" s="29">
        <f>IF(Dataset!K567&lt;5,0.2,IF(Dataset!K567&lt;10,0.45,IF(Dataset!K567&lt;18,0.7,0.9)))</f>
        <v>0.7</v>
      </c>
      <c r="R567" s="29">
        <f>IF(Dataset!K567&lt;5,1,IF(Dataset!K567&lt;10,2,IF(Dataset!K567&lt;18,3,4)))</f>
        <v>3</v>
      </c>
      <c r="S567" s="29">
        <f t="shared" si="69"/>
        <v>2.0999999999999996</v>
      </c>
      <c r="T567" s="29">
        <f t="shared" si="70"/>
        <v>1.8110000000000002</v>
      </c>
      <c r="U567" s="29" t="str">
        <f t="shared" si="71"/>
        <v>High</v>
      </c>
    </row>
    <row r="568" spans="1:21" ht="15" customHeight="1" x14ac:dyDescent="0.25">
      <c r="A568" s="29">
        <f>Dataset!A568</f>
        <v>564</v>
      </c>
      <c r="B568" s="29">
        <f>IF(Dataset!B568&lt;25,0.3,IF(Dataset!B568&lt;75,0.5,IF(Dataset!B568&lt;120,0.65,0.8)))</f>
        <v>0.5</v>
      </c>
      <c r="C568" s="29">
        <f>IF(Dataset!B568&lt;25,1,IF(Dataset!B568&lt;75,2,IF(Dataset!B568&lt;120,3,4)))</f>
        <v>2</v>
      </c>
      <c r="D568" s="29">
        <f t="shared" si="64"/>
        <v>1</v>
      </c>
      <c r="E568" s="29">
        <f>IF(Dataset!C568&lt;=1,0.3,IF(Dataset!C568=2,0.4,IF(Dataset!C568=3,0.5,IF(Dataset!C568=4,0.65,0.8))))</f>
        <v>0.5</v>
      </c>
      <c r="F568" s="29">
        <f>IF(Dataset!C568&lt;=2,1,IF(Dataset!C568=3,2,IF(Dataset!C568=4,3,4)))</f>
        <v>2</v>
      </c>
      <c r="G568" s="29">
        <f t="shared" si="65"/>
        <v>1</v>
      </c>
      <c r="H568" s="29">
        <f>IF(Dataset!G568&lt;=3,0.25,IF(Dataset!G568&lt;=6,0.45,IF(Dataset!G568&lt;=9,0.65,0.85)))</f>
        <v>0.25</v>
      </c>
      <c r="I568" s="29">
        <f>IF(Dataset!G568&lt;=3,1,IF(Dataset!G568&lt;=6,2,IF(Dataset!G568&lt;=9,3,4)))</f>
        <v>1</v>
      </c>
      <c r="J568" s="29">
        <f t="shared" si="66"/>
        <v>0.25</v>
      </c>
      <c r="K568" s="29">
        <f>IF(Dataset!H568&lt;1,0.2,IF(Dataset!H568&lt;1.3,0.45,IF(Dataset!H568&lt;1.8,0.7,0.9)))</f>
        <v>0.45</v>
      </c>
      <c r="L568" s="29">
        <f>IF(Dataset!H568&lt;1,1,IF(Dataset!H568&lt;1.3,2,IF(Dataset!H568&lt;1.8,3,4)))</f>
        <v>2</v>
      </c>
      <c r="M568" s="29">
        <f t="shared" si="67"/>
        <v>0.9</v>
      </c>
      <c r="N568" s="29">
        <f>IF(Dataset!F568=1,0.75,IF(Dataset!F568=2,0.45,0.2))</f>
        <v>0.2</v>
      </c>
      <c r="O568" s="29">
        <f>IF(Dataset!F568=1,3,IF(Dataset!F568=2,2,1))</f>
        <v>1</v>
      </c>
      <c r="P568" s="29">
        <f t="shared" si="68"/>
        <v>0.2</v>
      </c>
      <c r="Q568" s="29">
        <f>IF(Dataset!K568&lt;5,0.2,IF(Dataset!K568&lt;10,0.45,IF(Dataset!K568&lt;18,0.7,0.9)))</f>
        <v>0.45</v>
      </c>
      <c r="R568" s="29">
        <f>IF(Dataset!K568&lt;5,1,IF(Dataset!K568&lt;10,2,IF(Dataset!K568&lt;18,3,4)))</f>
        <v>2</v>
      </c>
      <c r="S568" s="29">
        <f t="shared" si="69"/>
        <v>0.9</v>
      </c>
      <c r="T568" s="29">
        <f t="shared" si="70"/>
        <v>0.73199999999999998</v>
      </c>
      <c r="U568" s="29" t="str">
        <f t="shared" si="71"/>
        <v>Low</v>
      </c>
    </row>
    <row r="569" spans="1:21" ht="15" customHeight="1" x14ac:dyDescent="0.25">
      <c r="A569" s="29">
        <f>Dataset!A569</f>
        <v>565</v>
      </c>
      <c r="B569" s="29">
        <f>IF(Dataset!B569&lt;25,0.3,IF(Dataset!B569&lt;75,0.5,IF(Dataset!B569&lt;120,0.65,0.8)))</f>
        <v>0.8</v>
      </c>
      <c r="C569" s="29">
        <f>IF(Dataset!B569&lt;25,1,IF(Dataset!B569&lt;75,2,IF(Dataset!B569&lt;120,3,4)))</f>
        <v>4</v>
      </c>
      <c r="D569" s="29">
        <f t="shared" si="64"/>
        <v>3.2</v>
      </c>
      <c r="E569" s="29">
        <f>IF(Dataset!C569&lt;=1,0.3,IF(Dataset!C569=2,0.4,IF(Dataset!C569=3,0.5,IF(Dataset!C569=4,0.65,0.8))))</f>
        <v>0.3</v>
      </c>
      <c r="F569" s="29">
        <f>IF(Dataset!C569&lt;=2,1,IF(Dataset!C569=3,2,IF(Dataset!C569=4,3,4)))</f>
        <v>1</v>
      </c>
      <c r="G569" s="29">
        <f t="shared" si="65"/>
        <v>0.3</v>
      </c>
      <c r="H569" s="29">
        <f>IF(Dataset!G569&lt;=3,0.25,IF(Dataset!G569&lt;=6,0.45,IF(Dataset!G569&lt;=9,0.65,0.85)))</f>
        <v>0.65</v>
      </c>
      <c r="I569" s="29">
        <f>IF(Dataset!G569&lt;=3,1,IF(Dataset!G569&lt;=6,2,IF(Dataset!G569&lt;=9,3,4)))</f>
        <v>3</v>
      </c>
      <c r="J569" s="29">
        <f t="shared" si="66"/>
        <v>1.9500000000000002</v>
      </c>
      <c r="K569" s="29">
        <f>IF(Dataset!H569&lt;1,0.2,IF(Dataset!H569&lt;1.3,0.45,IF(Dataset!H569&lt;1.8,0.7,0.9)))</f>
        <v>0.9</v>
      </c>
      <c r="L569" s="29">
        <f>IF(Dataset!H569&lt;1,1,IF(Dataset!H569&lt;1.3,2,IF(Dataset!H569&lt;1.8,3,4)))</f>
        <v>4</v>
      </c>
      <c r="M569" s="29">
        <f t="shared" si="67"/>
        <v>3.6</v>
      </c>
      <c r="N569" s="29">
        <f>IF(Dataset!F569=1,0.75,IF(Dataset!F569=2,0.45,0.2))</f>
        <v>0.75</v>
      </c>
      <c r="O569" s="29">
        <f>IF(Dataset!F569=1,3,IF(Dataset!F569=2,2,1))</f>
        <v>3</v>
      </c>
      <c r="P569" s="29">
        <f t="shared" si="68"/>
        <v>2.25</v>
      </c>
      <c r="Q569" s="29">
        <f>IF(Dataset!K569&lt;5,0.2,IF(Dataset!K569&lt;10,0.45,IF(Dataset!K569&lt;18,0.7,0.9)))</f>
        <v>0.2</v>
      </c>
      <c r="R569" s="29">
        <f>IF(Dataset!K569&lt;5,1,IF(Dataset!K569&lt;10,2,IF(Dataset!K569&lt;18,3,4)))</f>
        <v>1</v>
      </c>
      <c r="S569" s="29">
        <f t="shared" si="69"/>
        <v>0.2</v>
      </c>
      <c r="T569" s="29">
        <f t="shared" si="70"/>
        <v>2.125</v>
      </c>
      <c r="U569" s="29" t="str">
        <f t="shared" si="71"/>
        <v>High</v>
      </c>
    </row>
    <row r="570" spans="1:21" ht="15" customHeight="1" x14ac:dyDescent="0.25">
      <c r="A570" s="29">
        <f>Dataset!A570</f>
        <v>566</v>
      </c>
      <c r="B570" s="29">
        <f>IF(Dataset!B570&lt;25,0.3,IF(Dataset!B570&lt;75,0.5,IF(Dataset!B570&lt;120,0.65,0.8)))</f>
        <v>0.8</v>
      </c>
      <c r="C570" s="29">
        <f>IF(Dataset!B570&lt;25,1,IF(Dataset!B570&lt;75,2,IF(Dataset!B570&lt;120,3,4)))</f>
        <v>4</v>
      </c>
      <c r="D570" s="29">
        <f t="shared" si="64"/>
        <v>3.2</v>
      </c>
      <c r="E570" s="29">
        <f>IF(Dataset!C570&lt;=1,0.3,IF(Dataset!C570=2,0.4,IF(Dataset!C570=3,0.5,IF(Dataset!C570=4,0.65,0.8))))</f>
        <v>0.65</v>
      </c>
      <c r="F570" s="29">
        <f>IF(Dataset!C570&lt;=2,1,IF(Dataset!C570=3,2,IF(Dataset!C570=4,3,4)))</f>
        <v>3</v>
      </c>
      <c r="G570" s="29">
        <f t="shared" si="65"/>
        <v>1.9500000000000002</v>
      </c>
      <c r="H570" s="29">
        <f>IF(Dataset!G570&lt;=3,0.25,IF(Dataset!G570&lt;=6,0.45,IF(Dataset!G570&lt;=9,0.65,0.85)))</f>
        <v>0.85</v>
      </c>
      <c r="I570" s="29">
        <f>IF(Dataset!G570&lt;=3,1,IF(Dataset!G570&lt;=6,2,IF(Dataset!G570&lt;=9,3,4)))</f>
        <v>4</v>
      </c>
      <c r="J570" s="29">
        <f t="shared" si="66"/>
        <v>3.4</v>
      </c>
      <c r="K570" s="29">
        <f>IF(Dataset!H570&lt;1,0.2,IF(Dataset!H570&lt;1.3,0.45,IF(Dataset!H570&lt;1.8,0.7,0.9)))</f>
        <v>0.9</v>
      </c>
      <c r="L570" s="29">
        <f>IF(Dataset!H570&lt;1,1,IF(Dataset!H570&lt;1.3,2,IF(Dataset!H570&lt;1.8,3,4)))</f>
        <v>4</v>
      </c>
      <c r="M570" s="29">
        <f t="shared" si="67"/>
        <v>3.6</v>
      </c>
      <c r="N570" s="29">
        <f>IF(Dataset!F570=1,0.75,IF(Dataset!F570=2,0.45,0.2))</f>
        <v>0.2</v>
      </c>
      <c r="O570" s="29">
        <f>IF(Dataset!F570=1,3,IF(Dataset!F570=2,2,1))</f>
        <v>1</v>
      </c>
      <c r="P570" s="29">
        <f t="shared" si="68"/>
        <v>0.2</v>
      </c>
      <c r="Q570" s="29">
        <f>IF(Dataset!K570&lt;5,0.2,IF(Dataset!K570&lt;10,0.45,IF(Dataset!K570&lt;18,0.7,0.9)))</f>
        <v>0.7</v>
      </c>
      <c r="R570" s="29">
        <f>IF(Dataset!K570&lt;5,1,IF(Dataset!K570&lt;10,2,IF(Dataset!K570&lt;18,3,4)))</f>
        <v>3</v>
      </c>
      <c r="S570" s="29">
        <f t="shared" si="69"/>
        <v>2.0999999999999996</v>
      </c>
      <c r="T570" s="29">
        <f t="shared" si="70"/>
        <v>2.7069999999999999</v>
      </c>
      <c r="U570" s="29" t="str">
        <f t="shared" si="71"/>
        <v>High</v>
      </c>
    </row>
    <row r="571" spans="1:21" ht="15" customHeight="1" x14ac:dyDescent="0.25">
      <c r="A571" s="29">
        <f>Dataset!A571</f>
        <v>567</v>
      </c>
      <c r="B571" s="29">
        <f>IF(Dataset!B571&lt;25,0.3,IF(Dataset!B571&lt;75,0.5,IF(Dataset!B571&lt;120,0.65,0.8)))</f>
        <v>0.5</v>
      </c>
      <c r="C571" s="29">
        <f>IF(Dataset!B571&lt;25,1,IF(Dataset!B571&lt;75,2,IF(Dataset!B571&lt;120,3,4)))</f>
        <v>2</v>
      </c>
      <c r="D571" s="29">
        <f t="shared" si="64"/>
        <v>1</v>
      </c>
      <c r="E571" s="29">
        <f>IF(Dataset!C571&lt;=1,0.3,IF(Dataset!C571=2,0.4,IF(Dataset!C571=3,0.5,IF(Dataset!C571=4,0.65,0.8))))</f>
        <v>0.4</v>
      </c>
      <c r="F571" s="29">
        <f>IF(Dataset!C571&lt;=2,1,IF(Dataset!C571=3,2,IF(Dataset!C571=4,3,4)))</f>
        <v>1</v>
      </c>
      <c r="G571" s="29">
        <f t="shared" si="65"/>
        <v>0.4</v>
      </c>
      <c r="H571" s="29">
        <f>IF(Dataset!G571&lt;=3,0.25,IF(Dataset!G571&lt;=6,0.45,IF(Dataset!G571&lt;=9,0.65,0.85)))</f>
        <v>0.45</v>
      </c>
      <c r="I571" s="29">
        <f>IF(Dataset!G571&lt;=3,1,IF(Dataset!G571&lt;=6,2,IF(Dataset!G571&lt;=9,3,4)))</f>
        <v>2</v>
      </c>
      <c r="J571" s="29">
        <f t="shared" si="66"/>
        <v>0.9</v>
      </c>
      <c r="K571" s="29">
        <f>IF(Dataset!H571&lt;1,0.2,IF(Dataset!H571&lt;1.3,0.45,IF(Dataset!H571&lt;1.8,0.7,0.9)))</f>
        <v>0.7</v>
      </c>
      <c r="L571" s="29">
        <f>IF(Dataset!H571&lt;1,1,IF(Dataset!H571&lt;1.3,2,IF(Dataset!H571&lt;1.8,3,4)))</f>
        <v>3</v>
      </c>
      <c r="M571" s="29">
        <f t="shared" si="67"/>
        <v>2.0999999999999996</v>
      </c>
      <c r="N571" s="29">
        <f>IF(Dataset!F571=1,0.75,IF(Dataset!F571=2,0.45,0.2))</f>
        <v>0.75</v>
      </c>
      <c r="O571" s="29">
        <f>IF(Dataset!F571=1,3,IF(Dataset!F571=2,2,1))</f>
        <v>3</v>
      </c>
      <c r="P571" s="29">
        <f t="shared" si="68"/>
        <v>2.25</v>
      </c>
      <c r="Q571" s="29">
        <f>IF(Dataset!K571&lt;5,0.2,IF(Dataset!K571&lt;10,0.45,IF(Dataset!K571&lt;18,0.7,0.9)))</f>
        <v>0.2</v>
      </c>
      <c r="R571" s="29">
        <f>IF(Dataset!K571&lt;5,1,IF(Dataset!K571&lt;10,2,IF(Dataset!K571&lt;18,3,4)))</f>
        <v>1</v>
      </c>
      <c r="S571" s="29">
        <f t="shared" si="69"/>
        <v>0.2</v>
      </c>
      <c r="T571" s="29">
        <f t="shared" si="70"/>
        <v>1.173</v>
      </c>
      <c r="U571" s="29" t="str">
        <f t="shared" si="71"/>
        <v>Low</v>
      </c>
    </row>
    <row r="572" spans="1:21" ht="15" customHeight="1" x14ac:dyDescent="0.25">
      <c r="A572" s="29">
        <f>Dataset!A572</f>
        <v>568</v>
      </c>
      <c r="B572" s="29">
        <f>IF(Dataset!B572&lt;25,0.3,IF(Dataset!B572&lt;75,0.5,IF(Dataset!B572&lt;120,0.65,0.8)))</f>
        <v>0.5</v>
      </c>
      <c r="C572" s="29">
        <f>IF(Dataset!B572&lt;25,1,IF(Dataset!B572&lt;75,2,IF(Dataset!B572&lt;120,3,4)))</f>
        <v>2</v>
      </c>
      <c r="D572" s="29">
        <f t="shared" si="64"/>
        <v>1</v>
      </c>
      <c r="E572" s="29">
        <f>IF(Dataset!C572&lt;=1,0.3,IF(Dataset!C572=2,0.4,IF(Dataset!C572=3,0.5,IF(Dataset!C572=4,0.65,0.8))))</f>
        <v>0.5</v>
      </c>
      <c r="F572" s="29">
        <f>IF(Dataset!C572&lt;=2,1,IF(Dataset!C572=3,2,IF(Dataset!C572=4,3,4)))</f>
        <v>2</v>
      </c>
      <c r="G572" s="29">
        <f t="shared" si="65"/>
        <v>1</v>
      </c>
      <c r="H572" s="29">
        <f>IF(Dataset!G572&lt;=3,0.25,IF(Dataset!G572&lt;=6,0.45,IF(Dataset!G572&lt;=9,0.65,0.85)))</f>
        <v>0.25</v>
      </c>
      <c r="I572" s="29">
        <f>IF(Dataset!G572&lt;=3,1,IF(Dataset!G572&lt;=6,2,IF(Dataset!G572&lt;=9,3,4)))</f>
        <v>1</v>
      </c>
      <c r="J572" s="29">
        <f t="shared" si="66"/>
        <v>0.25</v>
      </c>
      <c r="K572" s="29">
        <f>IF(Dataset!H572&lt;1,0.2,IF(Dataset!H572&lt;1.3,0.45,IF(Dataset!H572&lt;1.8,0.7,0.9)))</f>
        <v>0.9</v>
      </c>
      <c r="L572" s="29">
        <f>IF(Dataset!H572&lt;1,1,IF(Dataset!H572&lt;1.3,2,IF(Dataset!H572&lt;1.8,3,4)))</f>
        <v>4</v>
      </c>
      <c r="M572" s="29">
        <f t="shared" si="67"/>
        <v>3.6</v>
      </c>
      <c r="N572" s="29">
        <f>IF(Dataset!F572=1,0.75,IF(Dataset!F572=2,0.45,0.2))</f>
        <v>0.45</v>
      </c>
      <c r="O572" s="29">
        <f>IF(Dataset!F572=1,3,IF(Dataset!F572=2,2,1))</f>
        <v>2</v>
      </c>
      <c r="P572" s="29">
        <f t="shared" si="68"/>
        <v>0.9</v>
      </c>
      <c r="Q572" s="29">
        <f>IF(Dataset!K572&lt;5,0.2,IF(Dataset!K572&lt;10,0.45,IF(Dataset!K572&lt;18,0.7,0.9)))</f>
        <v>0.45</v>
      </c>
      <c r="R572" s="29">
        <f>IF(Dataset!K572&lt;5,1,IF(Dataset!K572&lt;10,2,IF(Dataset!K572&lt;18,3,4)))</f>
        <v>2</v>
      </c>
      <c r="S572" s="29">
        <f t="shared" si="69"/>
        <v>0.9</v>
      </c>
      <c r="T572" s="29">
        <f t="shared" si="70"/>
        <v>1.4500000000000002</v>
      </c>
      <c r="U572" s="29" t="str">
        <f t="shared" si="71"/>
        <v>Medium</v>
      </c>
    </row>
    <row r="573" spans="1:21" ht="15" customHeight="1" x14ac:dyDescent="0.25">
      <c r="A573" s="29">
        <f>Dataset!A573</f>
        <v>569</v>
      </c>
      <c r="B573" s="29">
        <f>IF(Dataset!B573&lt;25,0.3,IF(Dataset!B573&lt;75,0.5,IF(Dataset!B573&lt;120,0.65,0.8)))</f>
        <v>0.3</v>
      </c>
      <c r="C573" s="29">
        <f>IF(Dataset!B573&lt;25,1,IF(Dataset!B573&lt;75,2,IF(Dataset!B573&lt;120,3,4)))</f>
        <v>1</v>
      </c>
      <c r="D573" s="29">
        <f t="shared" si="64"/>
        <v>0.3</v>
      </c>
      <c r="E573" s="29">
        <f>IF(Dataset!C573&lt;=1,0.3,IF(Dataset!C573=2,0.4,IF(Dataset!C573=3,0.5,IF(Dataset!C573=4,0.65,0.8))))</f>
        <v>0.5</v>
      </c>
      <c r="F573" s="29">
        <f>IF(Dataset!C573&lt;=2,1,IF(Dataset!C573=3,2,IF(Dataset!C573=4,3,4)))</f>
        <v>2</v>
      </c>
      <c r="G573" s="29">
        <f t="shared" si="65"/>
        <v>1</v>
      </c>
      <c r="H573" s="29">
        <f>IF(Dataset!G573&lt;=3,0.25,IF(Dataset!G573&lt;=6,0.45,IF(Dataset!G573&lt;=9,0.65,0.85)))</f>
        <v>0.65</v>
      </c>
      <c r="I573" s="29">
        <f>IF(Dataset!G573&lt;=3,1,IF(Dataset!G573&lt;=6,2,IF(Dataset!G573&lt;=9,3,4)))</f>
        <v>3</v>
      </c>
      <c r="J573" s="29">
        <f t="shared" si="66"/>
        <v>1.9500000000000002</v>
      </c>
      <c r="K573" s="29">
        <f>IF(Dataset!H573&lt;1,0.2,IF(Dataset!H573&lt;1.3,0.45,IF(Dataset!H573&lt;1.8,0.7,0.9)))</f>
        <v>0.7</v>
      </c>
      <c r="L573" s="29">
        <f>IF(Dataset!H573&lt;1,1,IF(Dataset!H573&lt;1.3,2,IF(Dataset!H573&lt;1.8,3,4)))</f>
        <v>3</v>
      </c>
      <c r="M573" s="29">
        <f t="shared" si="67"/>
        <v>2.0999999999999996</v>
      </c>
      <c r="N573" s="29">
        <f>IF(Dataset!F573=1,0.75,IF(Dataset!F573=2,0.45,0.2))</f>
        <v>0.75</v>
      </c>
      <c r="O573" s="29">
        <f>IF(Dataset!F573=1,3,IF(Dataset!F573=2,2,1))</f>
        <v>3</v>
      </c>
      <c r="P573" s="29">
        <f t="shared" si="68"/>
        <v>2.25</v>
      </c>
      <c r="Q573" s="29">
        <f>IF(Dataset!K573&lt;5,0.2,IF(Dataset!K573&lt;10,0.45,IF(Dataset!K573&lt;18,0.7,0.9)))</f>
        <v>0.45</v>
      </c>
      <c r="R573" s="29">
        <f>IF(Dataset!K573&lt;5,1,IF(Dataset!K573&lt;10,2,IF(Dataset!K573&lt;18,3,4)))</f>
        <v>2</v>
      </c>
      <c r="S573" s="29">
        <f t="shared" si="69"/>
        <v>0.9</v>
      </c>
      <c r="T573" s="29">
        <f t="shared" si="70"/>
        <v>1.4390000000000003</v>
      </c>
      <c r="U573" s="29" t="str">
        <f t="shared" si="71"/>
        <v>Medium</v>
      </c>
    </row>
    <row r="574" spans="1:21" ht="15" customHeight="1" x14ac:dyDescent="0.25">
      <c r="A574" s="29">
        <f>Dataset!A574</f>
        <v>570</v>
      </c>
      <c r="B574" s="29">
        <f>IF(Dataset!B574&lt;25,0.3,IF(Dataset!B574&lt;75,0.5,IF(Dataset!B574&lt;120,0.65,0.8)))</f>
        <v>0.5</v>
      </c>
      <c r="C574" s="29">
        <f>IF(Dataset!B574&lt;25,1,IF(Dataset!B574&lt;75,2,IF(Dataset!B574&lt;120,3,4)))</f>
        <v>2</v>
      </c>
      <c r="D574" s="29">
        <f t="shared" si="64"/>
        <v>1</v>
      </c>
      <c r="E574" s="29">
        <f>IF(Dataset!C574&lt;=1,0.3,IF(Dataset!C574=2,0.4,IF(Dataset!C574=3,0.5,IF(Dataset!C574=4,0.65,0.8))))</f>
        <v>0.4</v>
      </c>
      <c r="F574" s="29">
        <f>IF(Dataset!C574&lt;=2,1,IF(Dataset!C574=3,2,IF(Dataset!C574=4,3,4)))</f>
        <v>1</v>
      </c>
      <c r="G574" s="29">
        <f t="shared" si="65"/>
        <v>0.4</v>
      </c>
      <c r="H574" s="29">
        <f>IF(Dataset!G574&lt;=3,0.25,IF(Dataset!G574&lt;=6,0.45,IF(Dataset!G574&lt;=9,0.65,0.85)))</f>
        <v>0.65</v>
      </c>
      <c r="I574" s="29">
        <f>IF(Dataset!G574&lt;=3,1,IF(Dataset!G574&lt;=6,2,IF(Dataset!G574&lt;=9,3,4)))</f>
        <v>3</v>
      </c>
      <c r="J574" s="29">
        <f t="shared" si="66"/>
        <v>1.9500000000000002</v>
      </c>
      <c r="K574" s="29">
        <f>IF(Dataset!H574&lt;1,0.2,IF(Dataset!H574&lt;1.3,0.45,IF(Dataset!H574&lt;1.8,0.7,0.9)))</f>
        <v>0.9</v>
      </c>
      <c r="L574" s="29">
        <f>IF(Dataset!H574&lt;1,1,IF(Dataset!H574&lt;1.3,2,IF(Dataset!H574&lt;1.8,3,4)))</f>
        <v>4</v>
      </c>
      <c r="M574" s="29">
        <f t="shared" si="67"/>
        <v>3.6</v>
      </c>
      <c r="N574" s="29">
        <f>IF(Dataset!F574=1,0.75,IF(Dataset!F574=2,0.45,0.2))</f>
        <v>0.75</v>
      </c>
      <c r="O574" s="29">
        <f>IF(Dataset!F574=1,3,IF(Dataset!F574=2,2,1))</f>
        <v>3</v>
      </c>
      <c r="P574" s="29">
        <f t="shared" si="68"/>
        <v>2.25</v>
      </c>
      <c r="Q574" s="29">
        <f>IF(Dataset!K574&lt;5,0.2,IF(Dataset!K574&lt;10,0.45,IF(Dataset!K574&lt;18,0.7,0.9)))</f>
        <v>0.2</v>
      </c>
      <c r="R574" s="29">
        <f>IF(Dataset!K574&lt;5,1,IF(Dataset!K574&lt;10,2,IF(Dataset!K574&lt;18,3,4)))</f>
        <v>1</v>
      </c>
      <c r="S574" s="29">
        <f t="shared" si="69"/>
        <v>0.2</v>
      </c>
      <c r="T574" s="29">
        <f t="shared" si="70"/>
        <v>1.7430000000000003</v>
      </c>
      <c r="U574" s="29" t="str">
        <f t="shared" si="71"/>
        <v>Medium</v>
      </c>
    </row>
    <row r="575" spans="1:21" ht="15" customHeight="1" x14ac:dyDescent="0.25">
      <c r="A575" s="29">
        <f>Dataset!A575</f>
        <v>571</v>
      </c>
      <c r="B575" s="29">
        <f>IF(Dataset!B575&lt;25,0.3,IF(Dataset!B575&lt;75,0.5,IF(Dataset!B575&lt;120,0.65,0.8)))</f>
        <v>0.65</v>
      </c>
      <c r="C575" s="29">
        <f>IF(Dataset!B575&lt;25,1,IF(Dataset!B575&lt;75,2,IF(Dataset!B575&lt;120,3,4)))</f>
        <v>3</v>
      </c>
      <c r="D575" s="29">
        <f t="shared" si="64"/>
        <v>1.9500000000000002</v>
      </c>
      <c r="E575" s="29">
        <f>IF(Dataset!C575&lt;=1,0.3,IF(Dataset!C575=2,0.4,IF(Dataset!C575=3,0.5,IF(Dataset!C575=4,0.65,0.8))))</f>
        <v>0.4</v>
      </c>
      <c r="F575" s="29">
        <f>IF(Dataset!C575&lt;=2,1,IF(Dataset!C575=3,2,IF(Dataset!C575=4,3,4)))</f>
        <v>1</v>
      </c>
      <c r="G575" s="29">
        <f t="shared" si="65"/>
        <v>0.4</v>
      </c>
      <c r="H575" s="29">
        <f>IF(Dataset!G575&lt;=3,0.25,IF(Dataset!G575&lt;=6,0.45,IF(Dataset!G575&lt;=9,0.65,0.85)))</f>
        <v>0.45</v>
      </c>
      <c r="I575" s="29">
        <f>IF(Dataset!G575&lt;=3,1,IF(Dataset!G575&lt;=6,2,IF(Dataset!G575&lt;=9,3,4)))</f>
        <v>2</v>
      </c>
      <c r="J575" s="29">
        <f t="shared" si="66"/>
        <v>0.9</v>
      </c>
      <c r="K575" s="29">
        <f>IF(Dataset!H575&lt;1,0.2,IF(Dataset!H575&lt;1.3,0.45,IF(Dataset!H575&lt;1.8,0.7,0.9)))</f>
        <v>0.7</v>
      </c>
      <c r="L575" s="29">
        <f>IF(Dataset!H575&lt;1,1,IF(Dataset!H575&lt;1.3,2,IF(Dataset!H575&lt;1.8,3,4)))</f>
        <v>3</v>
      </c>
      <c r="M575" s="29">
        <f t="shared" si="67"/>
        <v>2.0999999999999996</v>
      </c>
      <c r="N575" s="29">
        <f>IF(Dataset!F575=1,0.75,IF(Dataset!F575=2,0.45,0.2))</f>
        <v>0.45</v>
      </c>
      <c r="O575" s="29">
        <f>IF(Dataset!F575=1,3,IF(Dataset!F575=2,2,1))</f>
        <v>2</v>
      </c>
      <c r="P575" s="29">
        <f t="shared" si="68"/>
        <v>0.9</v>
      </c>
      <c r="Q575" s="29">
        <f>IF(Dataset!K575&lt;5,0.2,IF(Dataset!K575&lt;10,0.45,IF(Dataset!K575&lt;18,0.7,0.9)))</f>
        <v>0.2</v>
      </c>
      <c r="R575" s="29">
        <f>IF(Dataset!K575&lt;5,1,IF(Dataset!K575&lt;10,2,IF(Dataset!K575&lt;18,3,4)))</f>
        <v>1</v>
      </c>
      <c r="S575" s="29">
        <f t="shared" si="69"/>
        <v>0.2</v>
      </c>
      <c r="T575" s="29">
        <f t="shared" si="70"/>
        <v>1.2090000000000001</v>
      </c>
      <c r="U575" s="29" t="str">
        <f t="shared" si="71"/>
        <v>Low</v>
      </c>
    </row>
    <row r="576" spans="1:21" ht="15" customHeight="1" x14ac:dyDescent="0.25">
      <c r="A576" s="29">
        <f>Dataset!A576</f>
        <v>572</v>
      </c>
      <c r="B576" s="29">
        <f>IF(Dataset!B576&lt;25,0.3,IF(Dataset!B576&lt;75,0.5,IF(Dataset!B576&lt;120,0.65,0.8)))</f>
        <v>0.5</v>
      </c>
      <c r="C576" s="29">
        <f>IF(Dataset!B576&lt;25,1,IF(Dataset!B576&lt;75,2,IF(Dataset!B576&lt;120,3,4)))</f>
        <v>2</v>
      </c>
      <c r="D576" s="29">
        <f t="shared" si="64"/>
        <v>1</v>
      </c>
      <c r="E576" s="29">
        <f>IF(Dataset!C576&lt;=1,0.3,IF(Dataset!C576=2,0.4,IF(Dataset!C576=3,0.5,IF(Dataset!C576=4,0.65,0.8))))</f>
        <v>0.5</v>
      </c>
      <c r="F576" s="29">
        <f>IF(Dataset!C576&lt;=2,1,IF(Dataset!C576=3,2,IF(Dataset!C576=4,3,4)))</f>
        <v>2</v>
      </c>
      <c r="G576" s="29">
        <f t="shared" si="65"/>
        <v>1</v>
      </c>
      <c r="H576" s="29">
        <f>IF(Dataset!G576&lt;=3,0.25,IF(Dataset!G576&lt;=6,0.45,IF(Dataset!G576&lt;=9,0.65,0.85)))</f>
        <v>0.45</v>
      </c>
      <c r="I576" s="29">
        <f>IF(Dataset!G576&lt;=3,1,IF(Dataset!G576&lt;=6,2,IF(Dataset!G576&lt;=9,3,4)))</f>
        <v>2</v>
      </c>
      <c r="J576" s="29">
        <f t="shared" si="66"/>
        <v>0.9</v>
      </c>
      <c r="K576" s="29">
        <f>IF(Dataset!H576&lt;1,0.2,IF(Dataset!H576&lt;1.3,0.45,IF(Dataset!H576&lt;1.8,0.7,0.9)))</f>
        <v>0.45</v>
      </c>
      <c r="L576" s="29">
        <f>IF(Dataset!H576&lt;1,1,IF(Dataset!H576&lt;1.3,2,IF(Dataset!H576&lt;1.8,3,4)))</f>
        <v>2</v>
      </c>
      <c r="M576" s="29">
        <f t="shared" si="67"/>
        <v>0.9</v>
      </c>
      <c r="N576" s="29">
        <f>IF(Dataset!F576=1,0.75,IF(Dataset!F576=2,0.45,0.2))</f>
        <v>0.75</v>
      </c>
      <c r="O576" s="29">
        <f>IF(Dataset!F576=1,3,IF(Dataset!F576=2,2,1))</f>
        <v>3</v>
      </c>
      <c r="P576" s="29">
        <f t="shared" si="68"/>
        <v>2.25</v>
      </c>
      <c r="Q576" s="29">
        <f>IF(Dataset!K576&lt;5,0.2,IF(Dataset!K576&lt;10,0.45,IF(Dataset!K576&lt;18,0.7,0.9)))</f>
        <v>0.2</v>
      </c>
      <c r="R576" s="29">
        <f>IF(Dataset!K576&lt;5,1,IF(Dataset!K576&lt;10,2,IF(Dataset!K576&lt;18,3,4)))</f>
        <v>1</v>
      </c>
      <c r="S576" s="29">
        <f t="shared" si="69"/>
        <v>0.2</v>
      </c>
      <c r="T576" s="29">
        <f t="shared" si="70"/>
        <v>0.96899999999999997</v>
      </c>
      <c r="U576" s="29" t="str">
        <f t="shared" si="71"/>
        <v>Low</v>
      </c>
    </row>
    <row r="577" spans="1:21" ht="15" customHeight="1" x14ac:dyDescent="0.25">
      <c r="A577" s="29">
        <f>Dataset!A577</f>
        <v>573</v>
      </c>
      <c r="B577" s="29">
        <f>IF(Dataset!B577&lt;25,0.3,IF(Dataset!B577&lt;75,0.5,IF(Dataset!B577&lt;120,0.65,0.8)))</f>
        <v>0.8</v>
      </c>
      <c r="C577" s="29">
        <f>IF(Dataset!B577&lt;25,1,IF(Dataset!B577&lt;75,2,IF(Dataset!B577&lt;120,3,4)))</f>
        <v>4</v>
      </c>
      <c r="D577" s="29">
        <f t="shared" si="64"/>
        <v>3.2</v>
      </c>
      <c r="E577" s="29">
        <f>IF(Dataset!C577&lt;=1,0.3,IF(Dataset!C577=2,0.4,IF(Dataset!C577=3,0.5,IF(Dataset!C577=4,0.65,0.8))))</f>
        <v>0.8</v>
      </c>
      <c r="F577" s="29">
        <f>IF(Dataset!C577&lt;=2,1,IF(Dataset!C577=3,2,IF(Dataset!C577=4,3,4)))</f>
        <v>4</v>
      </c>
      <c r="G577" s="29">
        <f t="shared" si="65"/>
        <v>3.2</v>
      </c>
      <c r="H577" s="29">
        <f>IF(Dataset!G577&lt;=3,0.25,IF(Dataset!G577&lt;=6,0.45,IF(Dataset!G577&lt;=9,0.65,0.85)))</f>
        <v>0.25</v>
      </c>
      <c r="I577" s="29">
        <f>IF(Dataset!G577&lt;=3,1,IF(Dataset!G577&lt;=6,2,IF(Dataset!G577&lt;=9,3,4)))</f>
        <v>1</v>
      </c>
      <c r="J577" s="29">
        <f t="shared" si="66"/>
        <v>0.25</v>
      </c>
      <c r="K577" s="29">
        <f>IF(Dataset!H577&lt;1,0.2,IF(Dataset!H577&lt;1.3,0.45,IF(Dataset!H577&lt;1.8,0.7,0.9)))</f>
        <v>0.9</v>
      </c>
      <c r="L577" s="29">
        <f>IF(Dataset!H577&lt;1,1,IF(Dataset!H577&lt;1.3,2,IF(Dataset!H577&lt;1.8,3,4)))</f>
        <v>4</v>
      </c>
      <c r="M577" s="29">
        <f t="shared" si="67"/>
        <v>3.6</v>
      </c>
      <c r="N577" s="29">
        <f>IF(Dataset!F577=1,0.75,IF(Dataset!F577=2,0.45,0.2))</f>
        <v>0.45</v>
      </c>
      <c r="O577" s="29">
        <f>IF(Dataset!F577=1,3,IF(Dataset!F577=2,2,1))</f>
        <v>2</v>
      </c>
      <c r="P577" s="29">
        <f t="shared" si="68"/>
        <v>0.9</v>
      </c>
      <c r="Q577" s="29">
        <f>IF(Dataset!K577&lt;5,0.2,IF(Dataset!K577&lt;10,0.45,IF(Dataset!K577&lt;18,0.7,0.9)))</f>
        <v>0.7</v>
      </c>
      <c r="R577" s="29">
        <f>IF(Dataset!K577&lt;5,1,IF(Dataset!K577&lt;10,2,IF(Dataset!K577&lt;18,3,4)))</f>
        <v>3</v>
      </c>
      <c r="S577" s="29">
        <f t="shared" si="69"/>
        <v>2.0999999999999996</v>
      </c>
      <c r="T577" s="29">
        <f t="shared" si="70"/>
        <v>2.3220000000000001</v>
      </c>
      <c r="U577" s="29" t="str">
        <f t="shared" si="71"/>
        <v>High</v>
      </c>
    </row>
    <row r="578" spans="1:21" ht="15" customHeight="1" x14ac:dyDescent="0.25">
      <c r="A578" s="29">
        <f>Dataset!A578</f>
        <v>574</v>
      </c>
      <c r="B578" s="29">
        <f>IF(Dataset!B578&lt;25,0.3,IF(Dataset!B578&lt;75,0.5,IF(Dataset!B578&lt;120,0.65,0.8)))</f>
        <v>0.8</v>
      </c>
      <c r="C578" s="29">
        <f>IF(Dataset!B578&lt;25,1,IF(Dataset!B578&lt;75,2,IF(Dataset!B578&lt;120,3,4)))</f>
        <v>4</v>
      </c>
      <c r="D578" s="29">
        <f t="shared" si="64"/>
        <v>3.2</v>
      </c>
      <c r="E578" s="29">
        <f>IF(Dataset!C578&lt;=1,0.3,IF(Dataset!C578=2,0.4,IF(Dataset!C578=3,0.5,IF(Dataset!C578=4,0.65,0.8))))</f>
        <v>0.65</v>
      </c>
      <c r="F578" s="29">
        <f>IF(Dataset!C578&lt;=2,1,IF(Dataset!C578=3,2,IF(Dataset!C578=4,3,4)))</f>
        <v>3</v>
      </c>
      <c r="G578" s="29">
        <f t="shared" si="65"/>
        <v>1.9500000000000002</v>
      </c>
      <c r="H578" s="29">
        <f>IF(Dataset!G578&lt;=3,0.25,IF(Dataset!G578&lt;=6,0.45,IF(Dataset!G578&lt;=9,0.65,0.85)))</f>
        <v>0.45</v>
      </c>
      <c r="I578" s="29">
        <f>IF(Dataset!G578&lt;=3,1,IF(Dataset!G578&lt;=6,2,IF(Dataset!G578&lt;=9,3,4)))</f>
        <v>2</v>
      </c>
      <c r="J578" s="29">
        <f t="shared" si="66"/>
        <v>0.9</v>
      </c>
      <c r="K578" s="29">
        <f>IF(Dataset!H578&lt;1,0.2,IF(Dataset!H578&lt;1.3,0.45,IF(Dataset!H578&lt;1.8,0.7,0.9)))</f>
        <v>0.9</v>
      </c>
      <c r="L578" s="29">
        <f>IF(Dataset!H578&lt;1,1,IF(Dataset!H578&lt;1.3,2,IF(Dataset!H578&lt;1.8,3,4)))</f>
        <v>4</v>
      </c>
      <c r="M578" s="29">
        <f t="shared" si="67"/>
        <v>3.6</v>
      </c>
      <c r="N578" s="29">
        <f>IF(Dataset!F578=1,0.75,IF(Dataset!F578=2,0.45,0.2))</f>
        <v>0.45</v>
      </c>
      <c r="O578" s="29">
        <f>IF(Dataset!F578=1,3,IF(Dataset!F578=2,2,1))</f>
        <v>2</v>
      </c>
      <c r="P578" s="29">
        <f t="shared" si="68"/>
        <v>0.9</v>
      </c>
      <c r="Q578" s="29">
        <f>IF(Dataset!K578&lt;5,0.2,IF(Dataset!K578&lt;10,0.45,IF(Dataset!K578&lt;18,0.7,0.9)))</f>
        <v>0.7</v>
      </c>
      <c r="R578" s="29">
        <f>IF(Dataset!K578&lt;5,1,IF(Dataset!K578&lt;10,2,IF(Dataset!K578&lt;18,3,4)))</f>
        <v>3</v>
      </c>
      <c r="S578" s="29">
        <f t="shared" si="69"/>
        <v>2.0999999999999996</v>
      </c>
      <c r="T578" s="29">
        <f t="shared" si="70"/>
        <v>2.2769999999999997</v>
      </c>
      <c r="U578" s="29" t="str">
        <f t="shared" si="71"/>
        <v>High</v>
      </c>
    </row>
    <row r="579" spans="1:21" ht="15" customHeight="1" x14ac:dyDescent="0.25">
      <c r="A579" s="29">
        <f>Dataset!A579</f>
        <v>575</v>
      </c>
      <c r="B579" s="29">
        <f>IF(Dataset!B579&lt;25,0.3,IF(Dataset!B579&lt;75,0.5,IF(Dataset!B579&lt;120,0.65,0.8)))</f>
        <v>0.5</v>
      </c>
      <c r="C579" s="29">
        <f>IF(Dataset!B579&lt;25,1,IF(Dataset!B579&lt;75,2,IF(Dataset!B579&lt;120,3,4)))</f>
        <v>2</v>
      </c>
      <c r="D579" s="29">
        <f t="shared" si="64"/>
        <v>1</v>
      </c>
      <c r="E579" s="29">
        <f>IF(Dataset!C579&lt;=1,0.3,IF(Dataset!C579=2,0.4,IF(Dataset!C579=3,0.5,IF(Dataset!C579=4,0.65,0.8))))</f>
        <v>0.5</v>
      </c>
      <c r="F579" s="29">
        <f>IF(Dataset!C579&lt;=2,1,IF(Dataset!C579=3,2,IF(Dataset!C579=4,3,4)))</f>
        <v>2</v>
      </c>
      <c r="G579" s="29">
        <f t="shared" si="65"/>
        <v>1</v>
      </c>
      <c r="H579" s="29">
        <f>IF(Dataset!G579&lt;=3,0.25,IF(Dataset!G579&lt;=6,0.45,IF(Dataset!G579&lt;=9,0.65,0.85)))</f>
        <v>0.85</v>
      </c>
      <c r="I579" s="29">
        <f>IF(Dataset!G579&lt;=3,1,IF(Dataset!G579&lt;=6,2,IF(Dataset!G579&lt;=9,3,4)))</f>
        <v>4</v>
      </c>
      <c r="J579" s="29">
        <f t="shared" si="66"/>
        <v>3.4</v>
      </c>
      <c r="K579" s="29">
        <f>IF(Dataset!H579&lt;1,0.2,IF(Dataset!H579&lt;1.3,0.45,IF(Dataset!H579&lt;1.8,0.7,0.9)))</f>
        <v>0.7</v>
      </c>
      <c r="L579" s="29">
        <f>IF(Dataset!H579&lt;1,1,IF(Dataset!H579&lt;1.3,2,IF(Dataset!H579&lt;1.8,3,4)))</f>
        <v>3</v>
      </c>
      <c r="M579" s="29">
        <f t="shared" si="67"/>
        <v>2.0999999999999996</v>
      </c>
      <c r="N579" s="29">
        <f>IF(Dataset!F579=1,0.75,IF(Dataset!F579=2,0.45,0.2))</f>
        <v>0.2</v>
      </c>
      <c r="O579" s="29">
        <f>IF(Dataset!F579=1,3,IF(Dataset!F579=2,2,1))</f>
        <v>1</v>
      </c>
      <c r="P579" s="29">
        <f t="shared" si="68"/>
        <v>0.2</v>
      </c>
      <c r="Q579" s="29">
        <f>IF(Dataset!K579&lt;5,0.2,IF(Dataset!K579&lt;10,0.45,IF(Dataset!K579&lt;18,0.7,0.9)))</f>
        <v>0.2</v>
      </c>
      <c r="R579" s="29">
        <f>IF(Dataset!K579&lt;5,1,IF(Dataset!K579&lt;10,2,IF(Dataset!K579&lt;18,3,4)))</f>
        <v>1</v>
      </c>
      <c r="S579" s="29">
        <f t="shared" si="69"/>
        <v>0.2</v>
      </c>
      <c r="T579" s="29">
        <f t="shared" si="70"/>
        <v>1.552</v>
      </c>
      <c r="U579" s="29" t="str">
        <f t="shared" si="71"/>
        <v>Medium</v>
      </c>
    </row>
    <row r="580" spans="1:21" ht="15" customHeight="1" x14ac:dyDescent="0.25">
      <c r="A580" s="29">
        <f>Dataset!A580</f>
        <v>576</v>
      </c>
      <c r="B580" s="29">
        <f>IF(Dataset!B580&lt;25,0.3,IF(Dataset!B580&lt;75,0.5,IF(Dataset!B580&lt;120,0.65,0.8)))</f>
        <v>0.5</v>
      </c>
      <c r="C580" s="29">
        <f>IF(Dataset!B580&lt;25,1,IF(Dataset!B580&lt;75,2,IF(Dataset!B580&lt;120,3,4)))</f>
        <v>2</v>
      </c>
      <c r="D580" s="29">
        <f t="shared" si="64"/>
        <v>1</v>
      </c>
      <c r="E580" s="29">
        <f>IF(Dataset!C580&lt;=1,0.3,IF(Dataset!C580=2,0.4,IF(Dataset!C580=3,0.5,IF(Dataset!C580=4,0.65,0.8))))</f>
        <v>0.3</v>
      </c>
      <c r="F580" s="29">
        <f>IF(Dataset!C580&lt;=2,1,IF(Dataset!C580=3,2,IF(Dataset!C580=4,3,4)))</f>
        <v>1</v>
      </c>
      <c r="G580" s="29">
        <f t="shared" si="65"/>
        <v>0.3</v>
      </c>
      <c r="H580" s="29">
        <f>IF(Dataset!G580&lt;=3,0.25,IF(Dataset!G580&lt;=6,0.45,IF(Dataset!G580&lt;=9,0.65,0.85)))</f>
        <v>0.65</v>
      </c>
      <c r="I580" s="29">
        <f>IF(Dataset!G580&lt;=3,1,IF(Dataset!G580&lt;=6,2,IF(Dataset!G580&lt;=9,3,4)))</f>
        <v>3</v>
      </c>
      <c r="J580" s="29">
        <f t="shared" si="66"/>
        <v>1.9500000000000002</v>
      </c>
      <c r="K580" s="29">
        <f>IF(Dataset!H580&lt;1,0.2,IF(Dataset!H580&lt;1.3,0.45,IF(Dataset!H580&lt;1.8,0.7,0.9)))</f>
        <v>0.9</v>
      </c>
      <c r="L580" s="29">
        <f>IF(Dataset!H580&lt;1,1,IF(Dataset!H580&lt;1.3,2,IF(Dataset!H580&lt;1.8,3,4)))</f>
        <v>4</v>
      </c>
      <c r="M580" s="29">
        <f t="shared" si="67"/>
        <v>3.6</v>
      </c>
      <c r="N580" s="29">
        <f>IF(Dataset!F580=1,0.75,IF(Dataset!F580=2,0.45,0.2))</f>
        <v>0.45</v>
      </c>
      <c r="O580" s="29">
        <f>IF(Dataset!F580=1,3,IF(Dataset!F580=2,2,1))</f>
        <v>2</v>
      </c>
      <c r="P580" s="29">
        <f t="shared" si="68"/>
        <v>0.9</v>
      </c>
      <c r="Q580" s="29">
        <f>IF(Dataset!K580&lt;5,0.2,IF(Dataset!K580&lt;10,0.45,IF(Dataset!K580&lt;18,0.7,0.9)))</f>
        <v>0.2</v>
      </c>
      <c r="R580" s="29">
        <f>IF(Dataset!K580&lt;5,1,IF(Dataset!K580&lt;10,2,IF(Dataset!K580&lt;18,3,4)))</f>
        <v>1</v>
      </c>
      <c r="S580" s="29">
        <f t="shared" si="69"/>
        <v>0.2</v>
      </c>
      <c r="T580" s="29">
        <f t="shared" si="70"/>
        <v>1.5940000000000001</v>
      </c>
      <c r="U580" s="29" t="str">
        <f t="shared" si="71"/>
        <v>Medium</v>
      </c>
    </row>
    <row r="581" spans="1:21" ht="15" customHeight="1" x14ac:dyDescent="0.25">
      <c r="A581" s="29">
        <f>Dataset!A581</f>
        <v>577</v>
      </c>
      <c r="B581" s="29">
        <f>IF(Dataset!B581&lt;25,0.3,IF(Dataset!B581&lt;75,0.5,IF(Dataset!B581&lt;120,0.65,0.8)))</f>
        <v>0.8</v>
      </c>
      <c r="C581" s="29">
        <f>IF(Dataset!B581&lt;25,1,IF(Dataset!B581&lt;75,2,IF(Dataset!B581&lt;120,3,4)))</f>
        <v>4</v>
      </c>
      <c r="D581" s="29">
        <f t="shared" ref="D581:D644" si="72">B581*C581</f>
        <v>3.2</v>
      </c>
      <c r="E581" s="29">
        <f>IF(Dataset!C581&lt;=1,0.3,IF(Dataset!C581=2,0.4,IF(Dataset!C581=3,0.5,IF(Dataset!C581=4,0.65,0.8))))</f>
        <v>0.65</v>
      </c>
      <c r="F581" s="29">
        <f>IF(Dataset!C581&lt;=2,1,IF(Dataset!C581=3,2,IF(Dataset!C581=4,3,4)))</f>
        <v>3</v>
      </c>
      <c r="G581" s="29">
        <f t="shared" ref="G581:G644" si="73">E581*F581</f>
        <v>1.9500000000000002</v>
      </c>
      <c r="H581" s="29">
        <f>IF(Dataset!G581&lt;=3,0.25,IF(Dataset!G581&lt;=6,0.45,IF(Dataset!G581&lt;=9,0.65,0.85)))</f>
        <v>0.45</v>
      </c>
      <c r="I581" s="29">
        <f>IF(Dataset!G581&lt;=3,1,IF(Dataset!G581&lt;=6,2,IF(Dataset!G581&lt;=9,3,4)))</f>
        <v>2</v>
      </c>
      <c r="J581" s="29">
        <f t="shared" ref="J581:J644" si="74">H581*I581</f>
        <v>0.9</v>
      </c>
      <c r="K581" s="29">
        <f>IF(Dataset!H581&lt;1,0.2,IF(Dataset!H581&lt;1.3,0.45,IF(Dataset!H581&lt;1.8,0.7,0.9)))</f>
        <v>0.9</v>
      </c>
      <c r="L581" s="29">
        <f>IF(Dataset!H581&lt;1,1,IF(Dataset!H581&lt;1.3,2,IF(Dataset!H581&lt;1.8,3,4)))</f>
        <v>4</v>
      </c>
      <c r="M581" s="29">
        <f t="shared" ref="M581:M644" si="75">K581*L581</f>
        <v>3.6</v>
      </c>
      <c r="N581" s="29">
        <f>IF(Dataset!F581=1,0.75,IF(Dataset!F581=2,0.45,0.2))</f>
        <v>0.45</v>
      </c>
      <c r="O581" s="29">
        <f>IF(Dataset!F581=1,3,IF(Dataset!F581=2,2,1))</f>
        <v>2</v>
      </c>
      <c r="P581" s="29">
        <f t="shared" ref="P581:P644" si="76">N581*O581</f>
        <v>0.9</v>
      </c>
      <c r="Q581" s="29">
        <f>IF(Dataset!K581&lt;5,0.2,IF(Dataset!K581&lt;10,0.45,IF(Dataset!K581&lt;18,0.7,0.9)))</f>
        <v>0.45</v>
      </c>
      <c r="R581" s="29">
        <f>IF(Dataset!K581&lt;5,1,IF(Dataset!K581&lt;10,2,IF(Dataset!K581&lt;18,3,4)))</f>
        <v>2</v>
      </c>
      <c r="S581" s="29">
        <f t="shared" ref="S581:S644" si="77">Q581*R581</f>
        <v>0.9</v>
      </c>
      <c r="T581" s="29">
        <f t="shared" ref="T581:T644" si="78">$Y$6*D581+$Y$7*G581+$Y$8*J581+$Y$9*M581+$Y$10*P581+$Y$11*S581</f>
        <v>2.109</v>
      </c>
      <c r="U581" s="29" t="str">
        <f t="shared" ref="U581:U644" si="79">IF(T581&lt;=$Y$15,"Low",IF(T581&lt;=$Y$16,"Medium","High"))</f>
        <v>High</v>
      </c>
    </row>
    <row r="582" spans="1:21" ht="15" customHeight="1" x14ac:dyDescent="0.25">
      <c r="A582" s="29">
        <f>Dataset!A582</f>
        <v>578</v>
      </c>
      <c r="B582" s="29">
        <f>IF(Dataset!B582&lt;25,0.3,IF(Dataset!B582&lt;75,0.5,IF(Dataset!B582&lt;120,0.65,0.8)))</f>
        <v>0.3</v>
      </c>
      <c r="C582" s="29">
        <f>IF(Dataset!B582&lt;25,1,IF(Dataset!B582&lt;75,2,IF(Dataset!B582&lt;120,3,4)))</f>
        <v>1</v>
      </c>
      <c r="D582" s="29">
        <f t="shared" si="72"/>
        <v>0.3</v>
      </c>
      <c r="E582" s="29">
        <f>IF(Dataset!C582&lt;=1,0.3,IF(Dataset!C582=2,0.4,IF(Dataset!C582=3,0.5,IF(Dataset!C582=4,0.65,0.8))))</f>
        <v>0.4</v>
      </c>
      <c r="F582" s="29">
        <f>IF(Dataset!C582&lt;=2,1,IF(Dataset!C582=3,2,IF(Dataset!C582=4,3,4)))</f>
        <v>1</v>
      </c>
      <c r="G582" s="29">
        <f t="shared" si="73"/>
        <v>0.4</v>
      </c>
      <c r="H582" s="29">
        <f>IF(Dataset!G582&lt;=3,0.25,IF(Dataset!G582&lt;=6,0.45,IF(Dataset!G582&lt;=9,0.65,0.85)))</f>
        <v>0.85</v>
      </c>
      <c r="I582" s="29">
        <f>IF(Dataset!G582&lt;=3,1,IF(Dataset!G582&lt;=6,2,IF(Dataset!G582&lt;=9,3,4)))</f>
        <v>4</v>
      </c>
      <c r="J582" s="29">
        <f t="shared" si="74"/>
        <v>3.4</v>
      </c>
      <c r="K582" s="29">
        <f>IF(Dataset!H582&lt;1,0.2,IF(Dataset!H582&lt;1.3,0.45,IF(Dataset!H582&lt;1.8,0.7,0.9)))</f>
        <v>0.7</v>
      </c>
      <c r="L582" s="29">
        <f>IF(Dataset!H582&lt;1,1,IF(Dataset!H582&lt;1.3,2,IF(Dataset!H582&lt;1.8,3,4)))</f>
        <v>3</v>
      </c>
      <c r="M582" s="29">
        <f t="shared" si="75"/>
        <v>2.0999999999999996</v>
      </c>
      <c r="N582" s="29">
        <f>IF(Dataset!F582=1,0.75,IF(Dataset!F582=2,0.45,0.2))</f>
        <v>0.75</v>
      </c>
      <c r="O582" s="29">
        <f>IF(Dataset!F582=1,3,IF(Dataset!F582=2,2,1))</f>
        <v>3</v>
      </c>
      <c r="P582" s="29">
        <f t="shared" si="76"/>
        <v>2.25</v>
      </c>
      <c r="Q582" s="29">
        <f>IF(Dataset!K582&lt;5,0.2,IF(Dataset!K582&lt;10,0.45,IF(Dataset!K582&lt;18,0.7,0.9)))</f>
        <v>0.2</v>
      </c>
      <c r="R582" s="29">
        <f>IF(Dataset!K582&lt;5,1,IF(Dataset!K582&lt;10,2,IF(Dataset!K582&lt;18,3,4)))</f>
        <v>1</v>
      </c>
      <c r="S582" s="29">
        <f t="shared" si="77"/>
        <v>0.2</v>
      </c>
      <c r="T582" s="29">
        <f t="shared" si="78"/>
        <v>1.5470000000000002</v>
      </c>
      <c r="U582" s="29" t="str">
        <f t="shared" si="79"/>
        <v>Medium</v>
      </c>
    </row>
    <row r="583" spans="1:21" ht="15" customHeight="1" x14ac:dyDescent="0.25">
      <c r="A583" s="29">
        <f>Dataset!A583</f>
        <v>579</v>
      </c>
      <c r="B583" s="29">
        <f>IF(Dataset!B583&lt;25,0.3,IF(Dataset!B583&lt;75,0.5,IF(Dataset!B583&lt;120,0.65,0.8)))</f>
        <v>0.5</v>
      </c>
      <c r="C583" s="29">
        <f>IF(Dataset!B583&lt;25,1,IF(Dataset!B583&lt;75,2,IF(Dataset!B583&lt;120,3,4)))</f>
        <v>2</v>
      </c>
      <c r="D583" s="29">
        <f t="shared" si="72"/>
        <v>1</v>
      </c>
      <c r="E583" s="29">
        <f>IF(Dataset!C583&lt;=1,0.3,IF(Dataset!C583=2,0.4,IF(Dataset!C583=3,0.5,IF(Dataset!C583=4,0.65,0.8))))</f>
        <v>0.5</v>
      </c>
      <c r="F583" s="29">
        <f>IF(Dataset!C583&lt;=2,1,IF(Dataset!C583=3,2,IF(Dataset!C583=4,3,4)))</f>
        <v>2</v>
      </c>
      <c r="G583" s="29">
        <f t="shared" si="73"/>
        <v>1</v>
      </c>
      <c r="H583" s="29">
        <f>IF(Dataset!G583&lt;=3,0.25,IF(Dataset!G583&lt;=6,0.45,IF(Dataset!G583&lt;=9,0.65,0.85)))</f>
        <v>0.85</v>
      </c>
      <c r="I583" s="29">
        <f>IF(Dataset!G583&lt;=3,1,IF(Dataset!G583&lt;=6,2,IF(Dataset!G583&lt;=9,3,4)))</f>
        <v>4</v>
      </c>
      <c r="J583" s="29">
        <f t="shared" si="74"/>
        <v>3.4</v>
      </c>
      <c r="K583" s="29">
        <f>IF(Dataset!H583&lt;1,0.2,IF(Dataset!H583&lt;1.3,0.45,IF(Dataset!H583&lt;1.8,0.7,0.9)))</f>
        <v>0.9</v>
      </c>
      <c r="L583" s="29">
        <f>IF(Dataset!H583&lt;1,1,IF(Dataset!H583&lt;1.3,2,IF(Dataset!H583&lt;1.8,3,4)))</f>
        <v>4</v>
      </c>
      <c r="M583" s="29">
        <f t="shared" si="75"/>
        <v>3.6</v>
      </c>
      <c r="N583" s="29">
        <f>IF(Dataset!F583=1,0.75,IF(Dataset!F583=2,0.45,0.2))</f>
        <v>0.2</v>
      </c>
      <c r="O583" s="29">
        <f>IF(Dataset!F583=1,3,IF(Dataset!F583=2,2,1))</f>
        <v>1</v>
      </c>
      <c r="P583" s="29">
        <f t="shared" si="76"/>
        <v>0.2</v>
      </c>
      <c r="Q583" s="29">
        <f>IF(Dataset!K583&lt;5,0.2,IF(Dataset!K583&lt;10,0.45,IF(Dataset!K583&lt;18,0.7,0.9)))</f>
        <v>0.45</v>
      </c>
      <c r="R583" s="29">
        <f>IF(Dataset!K583&lt;5,1,IF(Dataset!K583&lt;10,2,IF(Dataset!K583&lt;18,3,4)))</f>
        <v>2</v>
      </c>
      <c r="S583" s="29">
        <f t="shared" si="77"/>
        <v>0.9</v>
      </c>
      <c r="T583" s="29">
        <f t="shared" si="78"/>
        <v>2.0099999999999998</v>
      </c>
      <c r="U583" s="29" t="str">
        <f t="shared" si="79"/>
        <v>High</v>
      </c>
    </row>
    <row r="584" spans="1:21" ht="15" customHeight="1" x14ac:dyDescent="0.25">
      <c r="A584" s="29">
        <f>Dataset!A584</f>
        <v>580</v>
      </c>
      <c r="B584" s="29">
        <f>IF(Dataset!B584&lt;25,0.3,IF(Dataset!B584&lt;75,0.5,IF(Dataset!B584&lt;120,0.65,0.8)))</f>
        <v>0.3</v>
      </c>
      <c r="C584" s="29">
        <f>IF(Dataset!B584&lt;25,1,IF(Dataset!B584&lt;75,2,IF(Dataset!B584&lt;120,3,4)))</f>
        <v>1</v>
      </c>
      <c r="D584" s="29">
        <f t="shared" si="72"/>
        <v>0.3</v>
      </c>
      <c r="E584" s="29">
        <f>IF(Dataset!C584&lt;=1,0.3,IF(Dataset!C584=2,0.4,IF(Dataset!C584=3,0.5,IF(Dataset!C584=4,0.65,0.8))))</f>
        <v>0.65</v>
      </c>
      <c r="F584" s="29">
        <f>IF(Dataset!C584&lt;=2,1,IF(Dataset!C584=3,2,IF(Dataset!C584=4,3,4)))</f>
        <v>3</v>
      </c>
      <c r="G584" s="29">
        <f t="shared" si="73"/>
        <v>1.9500000000000002</v>
      </c>
      <c r="H584" s="29">
        <f>IF(Dataset!G584&lt;=3,0.25,IF(Dataset!G584&lt;=6,0.45,IF(Dataset!G584&lt;=9,0.65,0.85)))</f>
        <v>0.85</v>
      </c>
      <c r="I584" s="29">
        <f>IF(Dataset!G584&lt;=3,1,IF(Dataset!G584&lt;=6,2,IF(Dataset!G584&lt;=9,3,4)))</f>
        <v>4</v>
      </c>
      <c r="J584" s="29">
        <f t="shared" si="74"/>
        <v>3.4</v>
      </c>
      <c r="K584" s="29">
        <f>IF(Dataset!H584&lt;1,0.2,IF(Dataset!H584&lt;1.3,0.45,IF(Dataset!H584&lt;1.8,0.7,0.9)))</f>
        <v>0.9</v>
      </c>
      <c r="L584" s="29">
        <f>IF(Dataset!H584&lt;1,1,IF(Dataset!H584&lt;1.3,2,IF(Dataset!H584&lt;1.8,3,4)))</f>
        <v>4</v>
      </c>
      <c r="M584" s="29">
        <f t="shared" si="75"/>
        <v>3.6</v>
      </c>
      <c r="N584" s="29">
        <f>IF(Dataset!F584=1,0.75,IF(Dataset!F584=2,0.45,0.2))</f>
        <v>0.75</v>
      </c>
      <c r="O584" s="29">
        <f>IF(Dataset!F584=1,3,IF(Dataset!F584=2,2,1))</f>
        <v>3</v>
      </c>
      <c r="P584" s="29">
        <f t="shared" si="76"/>
        <v>2.25</v>
      </c>
      <c r="Q584" s="29">
        <f>IF(Dataset!K584&lt;5,0.2,IF(Dataset!K584&lt;10,0.45,IF(Dataset!K584&lt;18,0.7,0.9)))</f>
        <v>0.45</v>
      </c>
      <c r="R584" s="29">
        <f>IF(Dataset!K584&lt;5,1,IF(Dataset!K584&lt;10,2,IF(Dataset!K584&lt;18,3,4)))</f>
        <v>2</v>
      </c>
      <c r="S584" s="29">
        <f t="shared" si="77"/>
        <v>0.9</v>
      </c>
      <c r="T584" s="29">
        <f t="shared" si="78"/>
        <v>2.222</v>
      </c>
      <c r="U584" s="29" t="str">
        <f t="shared" si="79"/>
        <v>High</v>
      </c>
    </row>
    <row r="585" spans="1:21" ht="15" customHeight="1" x14ac:dyDescent="0.25">
      <c r="A585" s="29">
        <f>Dataset!A585</f>
        <v>581</v>
      </c>
      <c r="B585" s="29">
        <f>IF(Dataset!B585&lt;25,0.3,IF(Dataset!B585&lt;75,0.5,IF(Dataset!B585&lt;120,0.65,0.8)))</f>
        <v>0.5</v>
      </c>
      <c r="C585" s="29">
        <f>IF(Dataset!B585&lt;25,1,IF(Dataset!B585&lt;75,2,IF(Dataset!B585&lt;120,3,4)))</f>
        <v>2</v>
      </c>
      <c r="D585" s="29">
        <f t="shared" si="72"/>
        <v>1</v>
      </c>
      <c r="E585" s="29">
        <f>IF(Dataset!C585&lt;=1,0.3,IF(Dataset!C585=2,0.4,IF(Dataset!C585=3,0.5,IF(Dataset!C585=4,0.65,0.8))))</f>
        <v>0.5</v>
      </c>
      <c r="F585" s="29">
        <f>IF(Dataset!C585&lt;=2,1,IF(Dataset!C585=3,2,IF(Dataset!C585=4,3,4)))</f>
        <v>2</v>
      </c>
      <c r="G585" s="29">
        <f t="shared" si="73"/>
        <v>1</v>
      </c>
      <c r="H585" s="29">
        <f>IF(Dataset!G585&lt;=3,0.25,IF(Dataset!G585&lt;=6,0.45,IF(Dataset!G585&lt;=9,0.65,0.85)))</f>
        <v>0.45</v>
      </c>
      <c r="I585" s="29">
        <f>IF(Dataset!G585&lt;=3,1,IF(Dataset!G585&lt;=6,2,IF(Dataset!G585&lt;=9,3,4)))</f>
        <v>2</v>
      </c>
      <c r="J585" s="29">
        <f t="shared" si="74"/>
        <v>0.9</v>
      </c>
      <c r="K585" s="29">
        <f>IF(Dataset!H585&lt;1,0.2,IF(Dataset!H585&lt;1.3,0.45,IF(Dataset!H585&lt;1.8,0.7,0.9)))</f>
        <v>0.9</v>
      </c>
      <c r="L585" s="29">
        <f>IF(Dataset!H585&lt;1,1,IF(Dataset!H585&lt;1.3,2,IF(Dataset!H585&lt;1.8,3,4)))</f>
        <v>4</v>
      </c>
      <c r="M585" s="29">
        <f t="shared" si="75"/>
        <v>3.6</v>
      </c>
      <c r="N585" s="29">
        <f>IF(Dataset!F585=1,0.75,IF(Dataset!F585=2,0.45,0.2))</f>
        <v>0.75</v>
      </c>
      <c r="O585" s="29">
        <f>IF(Dataset!F585=1,3,IF(Dataset!F585=2,2,1))</f>
        <v>3</v>
      </c>
      <c r="P585" s="29">
        <f t="shared" si="76"/>
        <v>2.25</v>
      </c>
      <c r="Q585" s="29">
        <f>IF(Dataset!K585&lt;5,0.2,IF(Dataset!K585&lt;10,0.45,IF(Dataset!K585&lt;18,0.7,0.9)))</f>
        <v>0.45</v>
      </c>
      <c r="R585" s="29">
        <f>IF(Dataset!K585&lt;5,1,IF(Dataset!K585&lt;10,2,IF(Dataset!K585&lt;18,3,4)))</f>
        <v>2</v>
      </c>
      <c r="S585" s="29">
        <f t="shared" si="77"/>
        <v>0.9</v>
      </c>
      <c r="T585" s="29">
        <f t="shared" si="78"/>
        <v>1.7150000000000001</v>
      </c>
      <c r="U585" s="29" t="str">
        <f t="shared" si="79"/>
        <v>Medium</v>
      </c>
    </row>
    <row r="586" spans="1:21" ht="15" customHeight="1" x14ac:dyDescent="0.25">
      <c r="A586" s="29">
        <f>Dataset!A586</f>
        <v>582</v>
      </c>
      <c r="B586" s="29">
        <f>IF(Dataset!B586&lt;25,0.3,IF(Dataset!B586&lt;75,0.5,IF(Dataset!B586&lt;120,0.65,0.8)))</f>
        <v>0.8</v>
      </c>
      <c r="C586" s="29">
        <f>IF(Dataset!B586&lt;25,1,IF(Dataset!B586&lt;75,2,IF(Dataset!B586&lt;120,3,4)))</f>
        <v>4</v>
      </c>
      <c r="D586" s="29">
        <f t="shared" si="72"/>
        <v>3.2</v>
      </c>
      <c r="E586" s="29">
        <f>IF(Dataset!C586&lt;=1,0.3,IF(Dataset!C586=2,0.4,IF(Dataset!C586=3,0.5,IF(Dataset!C586=4,0.65,0.8))))</f>
        <v>0.5</v>
      </c>
      <c r="F586" s="29">
        <f>IF(Dataset!C586&lt;=2,1,IF(Dataset!C586=3,2,IF(Dataset!C586=4,3,4)))</f>
        <v>2</v>
      </c>
      <c r="G586" s="29">
        <f t="shared" si="73"/>
        <v>1</v>
      </c>
      <c r="H586" s="29">
        <f>IF(Dataset!G586&lt;=3,0.25,IF(Dataset!G586&lt;=6,0.45,IF(Dataset!G586&lt;=9,0.65,0.85)))</f>
        <v>0.25</v>
      </c>
      <c r="I586" s="29">
        <f>IF(Dataset!G586&lt;=3,1,IF(Dataset!G586&lt;=6,2,IF(Dataset!G586&lt;=9,3,4)))</f>
        <v>1</v>
      </c>
      <c r="J586" s="29">
        <f t="shared" si="74"/>
        <v>0.25</v>
      </c>
      <c r="K586" s="29">
        <f>IF(Dataset!H586&lt;1,0.2,IF(Dataset!H586&lt;1.3,0.45,IF(Dataset!H586&lt;1.8,0.7,0.9)))</f>
        <v>0.7</v>
      </c>
      <c r="L586" s="29">
        <f>IF(Dataset!H586&lt;1,1,IF(Dataset!H586&lt;1.3,2,IF(Dataset!H586&lt;1.8,3,4)))</f>
        <v>3</v>
      </c>
      <c r="M586" s="29">
        <f t="shared" si="75"/>
        <v>2.0999999999999996</v>
      </c>
      <c r="N586" s="29">
        <f>IF(Dataset!F586=1,0.75,IF(Dataset!F586=2,0.45,0.2))</f>
        <v>0.75</v>
      </c>
      <c r="O586" s="29">
        <f>IF(Dataset!F586=1,3,IF(Dataset!F586=2,2,1))</f>
        <v>3</v>
      </c>
      <c r="P586" s="29">
        <f t="shared" si="76"/>
        <v>2.25</v>
      </c>
      <c r="Q586" s="29">
        <f>IF(Dataset!K586&lt;5,0.2,IF(Dataset!K586&lt;10,0.45,IF(Dataset!K586&lt;18,0.7,0.9)))</f>
        <v>0.2</v>
      </c>
      <c r="R586" s="29">
        <f>IF(Dataset!K586&lt;5,1,IF(Dataset!K586&lt;10,2,IF(Dataset!K586&lt;18,3,4)))</f>
        <v>1</v>
      </c>
      <c r="S586" s="29">
        <f t="shared" si="77"/>
        <v>0.2</v>
      </c>
      <c r="T586" s="29">
        <f t="shared" si="78"/>
        <v>1.5230000000000001</v>
      </c>
      <c r="U586" s="29" t="str">
        <f t="shared" si="79"/>
        <v>Medium</v>
      </c>
    </row>
    <row r="587" spans="1:21" ht="15" customHeight="1" x14ac:dyDescent="0.25">
      <c r="A587" s="29">
        <f>Dataset!A587</f>
        <v>583</v>
      </c>
      <c r="B587" s="29">
        <f>IF(Dataset!B587&lt;25,0.3,IF(Dataset!B587&lt;75,0.5,IF(Dataset!B587&lt;120,0.65,0.8)))</f>
        <v>0.5</v>
      </c>
      <c r="C587" s="29">
        <f>IF(Dataset!B587&lt;25,1,IF(Dataset!B587&lt;75,2,IF(Dataset!B587&lt;120,3,4)))</f>
        <v>2</v>
      </c>
      <c r="D587" s="29">
        <f t="shared" si="72"/>
        <v>1</v>
      </c>
      <c r="E587" s="29">
        <f>IF(Dataset!C587&lt;=1,0.3,IF(Dataset!C587=2,0.4,IF(Dataset!C587=3,0.5,IF(Dataset!C587=4,0.65,0.8))))</f>
        <v>0.3</v>
      </c>
      <c r="F587" s="29">
        <f>IF(Dataset!C587&lt;=2,1,IF(Dataset!C587=3,2,IF(Dataset!C587=4,3,4)))</f>
        <v>1</v>
      </c>
      <c r="G587" s="29">
        <f t="shared" si="73"/>
        <v>0.3</v>
      </c>
      <c r="H587" s="29">
        <f>IF(Dataset!G587&lt;=3,0.25,IF(Dataset!G587&lt;=6,0.45,IF(Dataset!G587&lt;=9,0.65,0.85)))</f>
        <v>0.65</v>
      </c>
      <c r="I587" s="29">
        <f>IF(Dataset!G587&lt;=3,1,IF(Dataset!G587&lt;=6,2,IF(Dataset!G587&lt;=9,3,4)))</f>
        <v>3</v>
      </c>
      <c r="J587" s="29">
        <f t="shared" si="74"/>
        <v>1.9500000000000002</v>
      </c>
      <c r="K587" s="29">
        <f>IF(Dataset!H587&lt;1,0.2,IF(Dataset!H587&lt;1.3,0.45,IF(Dataset!H587&lt;1.8,0.7,0.9)))</f>
        <v>0.45</v>
      </c>
      <c r="L587" s="29">
        <f>IF(Dataset!H587&lt;1,1,IF(Dataset!H587&lt;1.3,2,IF(Dataset!H587&lt;1.8,3,4)))</f>
        <v>2</v>
      </c>
      <c r="M587" s="29">
        <f t="shared" si="75"/>
        <v>0.9</v>
      </c>
      <c r="N587" s="29">
        <f>IF(Dataset!F587=1,0.75,IF(Dataset!F587=2,0.45,0.2))</f>
        <v>0.45</v>
      </c>
      <c r="O587" s="29">
        <f>IF(Dataset!F587=1,3,IF(Dataset!F587=2,2,1))</f>
        <v>2</v>
      </c>
      <c r="P587" s="29">
        <f t="shared" si="76"/>
        <v>0.9</v>
      </c>
      <c r="Q587" s="29">
        <f>IF(Dataset!K587&lt;5,0.2,IF(Dataset!K587&lt;10,0.45,IF(Dataset!K587&lt;18,0.7,0.9)))</f>
        <v>0.2</v>
      </c>
      <c r="R587" s="29">
        <f>IF(Dataset!K587&lt;5,1,IF(Dataset!K587&lt;10,2,IF(Dataset!K587&lt;18,3,4)))</f>
        <v>1</v>
      </c>
      <c r="S587" s="29">
        <f t="shared" si="77"/>
        <v>0.2</v>
      </c>
      <c r="T587" s="29">
        <f t="shared" si="78"/>
        <v>0.94600000000000006</v>
      </c>
      <c r="U587" s="29" t="str">
        <f t="shared" si="79"/>
        <v>Low</v>
      </c>
    </row>
    <row r="588" spans="1:21" ht="15" customHeight="1" x14ac:dyDescent="0.25">
      <c r="A588" s="29">
        <f>Dataset!A588</f>
        <v>584</v>
      </c>
      <c r="B588" s="29">
        <f>IF(Dataset!B588&lt;25,0.3,IF(Dataset!B588&lt;75,0.5,IF(Dataset!B588&lt;120,0.65,0.8)))</f>
        <v>0.3</v>
      </c>
      <c r="C588" s="29">
        <f>IF(Dataset!B588&lt;25,1,IF(Dataset!B588&lt;75,2,IF(Dataset!B588&lt;120,3,4)))</f>
        <v>1</v>
      </c>
      <c r="D588" s="29">
        <f t="shared" si="72"/>
        <v>0.3</v>
      </c>
      <c r="E588" s="29">
        <f>IF(Dataset!C588&lt;=1,0.3,IF(Dataset!C588=2,0.4,IF(Dataset!C588=3,0.5,IF(Dataset!C588=4,0.65,0.8))))</f>
        <v>0.3</v>
      </c>
      <c r="F588" s="29">
        <f>IF(Dataset!C588&lt;=2,1,IF(Dataset!C588=3,2,IF(Dataset!C588=4,3,4)))</f>
        <v>1</v>
      </c>
      <c r="G588" s="29">
        <f t="shared" si="73"/>
        <v>0.3</v>
      </c>
      <c r="H588" s="29">
        <f>IF(Dataset!G588&lt;=3,0.25,IF(Dataset!G588&lt;=6,0.45,IF(Dataset!G588&lt;=9,0.65,0.85)))</f>
        <v>0.65</v>
      </c>
      <c r="I588" s="29">
        <f>IF(Dataset!G588&lt;=3,1,IF(Dataset!G588&lt;=6,2,IF(Dataset!G588&lt;=9,3,4)))</f>
        <v>3</v>
      </c>
      <c r="J588" s="29">
        <f t="shared" si="74"/>
        <v>1.9500000000000002</v>
      </c>
      <c r="K588" s="29">
        <f>IF(Dataset!H588&lt;1,0.2,IF(Dataset!H588&lt;1.3,0.45,IF(Dataset!H588&lt;1.8,0.7,0.9)))</f>
        <v>0.2</v>
      </c>
      <c r="L588" s="29">
        <f>IF(Dataset!H588&lt;1,1,IF(Dataset!H588&lt;1.3,2,IF(Dataset!H588&lt;1.8,3,4)))</f>
        <v>1</v>
      </c>
      <c r="M588" s="29">
        <f t="shared" si="75"/>
        <v>0.2</v>
      </c>
      <c r="N588" s="29">
        <f>IF(Dataset!F588=1,0.75,IF(Dataset!F588=2,0.45,0.2))</f>
        <v>0.45</v>
      </c>
      <c r="O588" s="29">
        <f>IF(Dataset!F588=1,3,IF(Dataset!F588=2,2,1))</f>
        <v>2</v>
      </c>
      <c r="P588" s="29">
        <f t="shared" si="76"/>
        <v>0.9</v>
      </c>
      <c r="Q588" s="29">
        <f>IF(Dataset!K588&lt;5,0.2,IF(Dataset!K588&lt;10,0.45,IF(Dataset!K588&lt;18,0.7,0.9)))</f>
        <v>0.2</v>
      </c>
      <c r="R588" s="29">
        <f>IF(Dataset!K588&lt;5,1,IF(Dataset!K588&lt;10,2,IF(Dataset!K588&lt;18,3,4)))</f>
        <v>1</v>
      </c>
      <c r="S588" s="29">
        <f t="shared" si="77"/>
        <v>0.2</v>
      </c>
      <c r="T588" s="29">
        <f t="shared" si="78"/>
        <v>0.65200000000000014</v>
      </c>
      <c r="U588" s="29" t="str">
        <f t="shared" si="79"/>
        <v>Low</v>
      </c>
    </row>
    <row r="589" spans="1:21" ht="15" customHeight="1" x14ac:dyDescent="0.25">
      <c r="A589" s="29">
        <f>Dataset!A589</f>
        <v>585</v>
      </c>
      <c r="B589" s="29">
        <f>IF(Dataset!B589&lt;25,0.3,IF(Dataset!B589&lt;75,0.5,IF(Dataset!B589&lt;120,0.65,0.8)))</f>
        <v>0.3</v>
      </c>
      <c r="C589" s="29">
        <f>IF(Dataset!B589&lt;25,1,IF(Dataset!B589&lt;75,2,IF(Dataset!B589&lt;120,3,4)))</f>
        <v>1</v>
      </c>
      <c r="D589" s="29">
        <f t="shared" si="72"/>
        <v>0.3</v>
      </c>
      <c r="E589" s="29">
        <f>IF(Dataset!C589&lt;=1,0.3,IF(Dataset!C589=2,0.4,IF(Dataset!C589=3,0.5,IF(Dataset!C589=4,0.65,0.8))))</f>
        <v>0.5</v>
      </c>
      <c r="F589" s="29">
        <f>IF(Dataset!C589&lt;=2,1,IF(Dataset!C589=3,2,IF(Dataset!C589=4,3,4)))</f>
        <v>2</v>
      </c>
      <c r="G589" s="29">
        <f t="shared" si="73"/>
        <v>1</v>
      </c>
      <c r="H589" s="29">
        <f>IF(Dataset!G589&lt;=3,0.25,IF(Dataset!G589&lt;=6,0.45,IF(Dataset!G589&lt;=9,0.65,0.85)))</f>
        <v>0.85</v>
      </c>
      <c r="I589" s="29">
        <f>IF(Dataset!G589&lt;=3,1,IF(Dataset!G589&lt;=6,2,IF(Dataset!G589&lt;=9,3,4)))</f>
        <v>4</v>
      </c>
      <c r="J589" s="29">
        <f t="shared" si="74"/>
        <v>3.4</v>
      </c>
      <c r="K589" s="29">
        <f>IF(Dataset!H589&lt;1,0.2,IF(Dataset!H589&lt;1.3,0.45,IF(Dataset!H589&lt;1.8,0.7,0.9)))</f>
        <v>0.9</v>
      </c>
      <c r="L589" s="29">
        <f>IF(Dataset!H589&lt;1,1,IF(Dataset!H589&lt;1.3,2,IF(Dataset!H589&lt;1.8,3,4)))</f>
        <v>4</v>
      </c>
      <c r="M589" s="29">
        <f t="shared" si="75"/>
        <v>3.6</v>
      </c>
      <c r="N589" s="29">
        <f>IF(Dataset!F589=1,0.75,IF(Dataset!F589=2,0.45,0.2))</f>
        <v>0.45</v>
      </c>
      <c r="O589" s="29">
        <f>IF(Dataset!F589=1,3,IF(Dataset!F589=2,2,1))</f>
        <v>2</v>
      </c>
      <c r="P589" s="29">
        <f t="shared" si="76"/>
        <v>0.9</v>
      </c>
      <c r="Q589" s="29">
        <f>IF(Dataset!K589&lt;5,0.2,IF(Dataset!K589&lt;10,0.45,IF(Dataset!K589&lt;18,0.7,0.9)))</f>
        <v>0.45</v>
      </c>
      <c r="R589" s="29">
        <f>IF(Dataset!K589&lt;5,1,IF(Dataset!K589&lt;10,2,IF(Dataset!K589&lt;18,3,4)))</f>
        <v>2</v>
      </c>
      <c r="S589" s="29">
        <f t="shared" si="77"/>
        <v>0.9</v>
      </c>
      <c r="T589" s="29">
        <f t="shared" si="78"/>
        <v>1.9540000000000002</v>
      </c>
      <c r="U589" s="29" t="str">
        <f t="shared" si="79"/>
        <v>High</v>
      </c>
    </row>
    <row r="590" spans="1:21" ht="15" customHeight="1" x14ac:dyDescent="0.25">
      <c r="A590" s="29">
        <f>Dataset!A590</f>
        <v>586</v>
      </c>
      <c r="B590" s="29">
        <f>IF(Dataset!B590&lt;25,0.3,IF(Dataset!B590&lt;75,0.5,IF(Dataset!B590&lt;120,0.65,0.8)))</f>
        <v>0.3</v>
      </c>
      <c r="C590" s="29">
        <f>IF(Dataset!B590&lt;25,1,IF(Dataset!B590&lt;75,2,IF(Dataset!B590&lt;120,3,4)))</f>
        <v>1</v>
      </c>
      <c r="D590" s="29">
        <f t="shared" si="72"/>
        <v>0.3</v>
      </c>
      <c r="E590" s="29">
        <f>IF(Dataset!C590&lt;=1,0.3,IF(Dataset!C590=2,0.4,IF(Dataset!C590=3,0.5,IF(Dataset!C590=4,0.65,0.8))))</f>
        <v>0.8</v>
      </c>
      <c r="F590" s="29">
        <f>IF(Dataset!C590&lt;=2,1,IF(Dataset!C590=3,2,IF(Dataset!C590=4,3,4)))</f>
        <v>4</v>
      </c>
      <c r="G590" s="29">
        <f t="shared" si="73"/>
        <v>3.2</v>
      </c>
      <c r="H590" s="29">
        <f>IF(Dataset!G590&lt;=3,0.25,IF(Dataset!G590&lt;=6,0.45,IF(Dataset!G590&lt;=9,0.65,0.85)))</f>
        <v>0.85</v>
      </c>
      <c r="I590" s="29">
        <f>IF(Dataset!G590&lt;=3,1,IF(Dataset!G590&lt;=6,2,IF(Dataset!G590&lt;=9,3,4)))</f>
        <v>4</v>
      </c>
      <c r="J590" s="29">
        <f t="shared" si="74"/>
        <v>3.4</v>
      </c>
      <c r="K590" s="29">
        <f>IF(Dataset!H590&lt;1,0.2,IF(Dataset!H590&lt;1.3,0.45,IF(Dataset!H590&lt;1.8,0.7,0.9)))</f>
        <v>0.45</v>
      </c>
      <c r="L590" s="29">
        <f>IF(Dataset!H590&lt;1,1,IF(Dataset!H590&lt;1.3,2,IF(Dataset!H590&lt;1.8,3,4)))</f>
        <v>2</v>
      </c>
      <c r="M590" s="29">
        <f t="shared" si="75"/>
        <v>0.9</v>
      </c>
      <c r="N590" s="29">
        <f>IF(Dataset!F590=1,0.75,IF(Dataset!F590=2,0.45,0.2))</f>
        <v>0.45</v>
      </c>
      <c r="O590" s="29">
        <f>IF(Dataset!F590=1,3,IF(Dataset!F590=2,2,1))</f>
        <v>2</v>
      </c>
      <c r="P590" s="29">
        <f t="shared" si="76"/>
        <v>0.9</v>
      </c>
      <c r="Q590" s="29">
        <f>IF(Dataset!K590&lt;5,0.2,IF(Dataset!K590&lt;10,0.45,IF(Dataset!K590&lt;18,0.7,0.9)))</f>
        <v>0.45</v>
      </c>
      <c r="R590" s="29">
        <f>IF(Dataset!K590&lt;5,1,IF(Dataset!K590&lt;10,2,IF(Dataset!K590&lt;18,3,4)))</f>
        <v>2</v>
      </c>
      <c r="S590" s="29">
        <f t="shared" si="77"/>
        <v>0.9</v>
      </c>
      <c r="T590" s="29">
        <f t="shared" si="78"/>
        <v>1.6140000000000003</v>
      </c>
      <c r="U590" s="29" t="str">
        <f t="shared" si="79"/>
        <v>Medium</v>
      </c>
    </row>
    <row r="591" spans="1:21" ht="15" customHeight="1" x14ac:dyDescent="0.25">
      <c r="A591" s="29">
        <f>Dataset!A591</f>
        <v>587</v>
      </c>
      <c r="B591" s="29">
        <f>IF(Dataset!B591&lt;25,0.3,IF(Dataset!B591&lt;75,0.5,IF(Dataset!B591&lt;120,0.65,0.8)))</f>
        <v>0.5</v>
      </c>
      <c r="C591" s="29">
        <f>IF(Dataset!B591&lt;25,1,IF(Dataset!B591&lt;75,2,IF(Dataset!B591&lt;120,3,4)))</f>
        <v>2</v>
      </c>
      <c r="D591" s="29">
        <f t="shared" si="72"/>
        <v>1</v>
      </c>
      <c r="E591" s="29">
        <f>IF(Dataset!C591&lt;=1,0.3,IF(Dataset!C591=2,0.4,IF(Dataset!C591=3,0.5,IF(Dataset!C591=4,0.65,0.8))))</f>
        <v>0.5</v>
      </c>
      <c r="F591" s="29">
        <f>IF(Dataset!C591&lt;=2,1,IF(Dataset!C591=3,2,IF(Dataset!C591=4,3,4)))</f>
        <v>2</v>
      </c>
      <c r="G591" s="29">
        <f t="shared" si="73"/>
        <v>1</v>
      </c>
      <c r="H591" s="29">
        <f>IF(Dataset!G591&lt;=3,0.25,IF(Dataset!G591&lt;=6,0.45,IF(Dataset!G591&lt;=9,0.65,0.85)))</f>
        <v>0.45</v>
      </c>
      <c r="I591" s="29">
        <f>IF(Dataset!G591&lt;=3,1,IF(Dataset!G591&lt;=6,2,IF(Dataset!G591&lt;=9,3,4)))</f>
        <v>2</v>
      </c>
      <c r="J591" s="29">
        <f t="shared" si="74"/>
        <v>0.9</v>
      </c>
      <c r="K591" s="29">
        <f>IF(Dataset!H591&lt;1,0.2,IF(Dataset!H591&lt;1.3,0.45,IF(Dataset!H591&lt;1.8,0.7,0.9)))</f>
        <v>0.45</v>
      </c>
      <c r="L591" s="29">
        <f>IF(Dataset!H591&lt;1,1,IF(Dataset!H591&lt;1.3,2,IF(Dataset!H591&lt;1.8,3,4)))</f>
        <v>2</v>
      </c>
      <c r="M591" s="29">
        <f t="shared" si="75"/>
        <v>0.9</v>
      </c>
      <c r="N591" s="29">
        <f>IF(Dataset!F591=1,0.75,IF(Dataset!F591=2,0.45,0.2))</f>
        <v>0.45</v>
      </c>
      <c r="O591" s="29">
        <f>IF(Dataset!F591=1,3,IF(Dataset!F591=2,2,1))</f>
        <v>2</v>
      </c>
      <c r="P591" s="29">
        <f t="shared" si="76"/>
        <v>0.9</v>
      </c>
      <c r="Q591" s="29">
        <f>IF(Dataset!K591&lt;5,0.2,IF(Dataset!K591&lt;10,0.45,IF(Dataset!K591&lt;18,0.7,0.9)))</f>
        <v>0.45</v>
      </c>
      <c r="R591" s="29">
        <f>IF(Dataset!K591&lt;5,1,IF(Dataset!K591&lt;10,2,IF(Dataset!K591&lt;18,3,4)))</f>
        <v>2</v>
      </c>
      <c r="S591" s="29">
        <f t="shared" si="77"/>
        <v>0.9</v>
      </c>
      <c r="T591" s="29">
        <f t="shared" si="78"/>
        <v>0.93199999999999994</v>
      </c>
      <c r="U591" s="29" t="str">
        <f t="shared" si="79"/>
        <v>Low</v>
      </c>
    </row>
    <row r="592" spans="1:21" ht="15" customHeight="1" x14ac:dyDescent="0.25">
      <c r="A592" s="29">
        <f>Dataset!A592</f>
        <v>588</v>
      </c>
      <c r="B592" s="29">
        <f>IF(Dataset!B592&lt;25,0.3,IF(Dataset!B592&lt;75,0.5,IF(Dataset!B592&lt;120,0.65,0.8)))</f>
        <v>0.65</v>
      </c>
      <c r="C592" s="29">
        <f>IF(Dataset!B592&lt;25,1,IF(Dataset!B592&lt;75,2,IF(Dataset!B592&lt;120,3,4)))</f>
        <v>3</v>
      </c>
      <c r="D592" s="29">
        <f t="shared" si="72"/>
        <v>1.9500000000000002</v>
      </c>
      <c r="E592" s="29">
        <f>IF(Dataset!C592&lt;=1,0.3,IF(Dataset!C592=2,0.4,IF(Dataset!C592=3,0.5,IF(Dataset!C592=4,0.65,0.8))))</f>
        <v>0.65</v>
      </c>
      <c r="F592" s="29">
        <f>IF(Dataset!C592&lt;=2,1,IF(Dataset!C592=3,2,IF(Dataset!C592=4,3,4)))</f>
        <v>3</v>
      </c>
      <c r="G592" s="29">
        <f t="shared" si="73"/>
        <v>1.9500000000000002</v>
      </c>
      <c r="H592" s="29">
        <f>IF(Dataset!G592&lt;=3,0.25,IF(Dataset!G592&lt;=6,0.45,IF(Dataset!G592&lt;=9,0.65,0.85)))</f>
        <v>0.85</v>
      </c>
      <c r="I592" s="29">
        <f>IF(Dataset!G592&lt;=3,1,IF(Dataset!G592&lt;=6,2,IF(Dataset!G592&lt;=9,3,4)))</f>
        <v>4</v>
      </c>
      <c r="J592" s="29">
        <f t="shared" si="74"/>
        <v>3.4</v>
      </c>
      <c r="K592" s="29">
        <f>IF(Dataset!H592&lt;1,0.2,IF(Dataset!H592&lt;1.3,0.45,IF(Dataset!H592&lt;1.8,0.7,0.9)))</f>
        <v>0.7</v>
      </c>
      <c r="L592" s="29">
        <f>IF(Dataset!H592&lt;1,1,IF(Dataset!H592&lt;1.3,2,IF(Dataset!H592&lt;1.8,3,4)))</f>
        <v>3</v>
      </c>
      <c r="M592" s="29">
        <f t="shared" si="75"/>
        <v>2.0999999999999996</v>
      </c>
      <c r="N592" s="29">
        <f>IF(Dataset!F592=1,0.75,IF(Dataset!F592=2,0.45,0.2))</f>
        <v>0.45</v>
      </c>
      <c r="O592" s="29">
        <f>IF(Dataset!F592=1,3,IF(Dataset!F592=2,2,1))</f>
        <v>2</v>
      </c>
      <c r="P592" s="29">
        <f t="shared" si="76"/>
        <v>0.9</v>
      </c>
      <c r="Q592" s="29">
        <f>IF(Dataset!K592&lt;5,0.2,IF(Dataset!K592&lt;10,0.45,IF(Dataset!K592&lt;18,0.7,0.9)))</f>
        <v>0.45</v>
      </c>
      <c r="R592" s="29">
        <f>IF(Dataset!K592&lt;5,1,IF(Dataset!K592&lt;10,2,IF(Dataset!K592&lt;18,3,4)))</f>
        <v>2</v>
      </c>
      <c r="S592" s="29">
        <f t="shared" si="77"/>
        <v>0.9</v>
      </c>
      <c r="T592" s="29">
        <f t="shared" si="78"/>
        <v>2.0240000000000005</v>
      </c>
      <c r="U592" s="29" t="str">
        <f t="shared" si="79"/>
        <v>High</v>
      </c>
    </row>
    <row r="593" spans="1:21" ht="15" customHeight="1" x14ac:dyDescent="0.25">
      <c r="A593" s="29">
        <f>Dataset!A593</f>
        <v>589</v>
      </c>
      <c r="B593" s="29">
        <f>IF(Dataset!B593&lt;25,0.3,IF(Dataset!B593&lt;75,0.5,IF(Dataset!B593&lt;120,0.65,0.8)))</f>
        <v>0.65</v>
      </c>
      <c r="C593" s="29">
        <f>IF(Dataset!B593&lt;25,1,IF(Dataset!B593&lt;75,2,IF(Dataset!B593&lt;120,3,4)))</f>
        <v>3</v>
      </c>
      <c r="D593" s="29">
        <f t="shared" si="72"/>
        <v>1.9500000000000002</v>
      </c>
      <c r="E593" s="29">
        <f>IF(Dataset!C593&lt;=1,0.3,IF(Dataset!C593=2,0.4,IF(Dataset!C593=3,0.5,IF(Dataset!C593=4,0.65,0.8))))</f>
        <v>0.65</v>
      </c>
      <c r="F593" s="29">
        <f>IF(Dataset!C593&lt;=2,1,IF(Dataset!C593=3,2,IF(Dataset!C593=4,3,4)))</f>
        <v>3</v>
      </c>
      <c r="G593" s="29">
        <f t="shared" si="73"/>
        <v>1.9500000000000002</v>
      </c>
      <c r="H593" s="29">
        <f>IF(Dataset!G593&lt;=3,0.25,IF(Dataset!G593&lt;=6,0.45,IF(Dataset!G593&lt;=9,0.65,0.85)))</f>
        <v>0.45</v>
      </c>
      <c r="I593" s="29">
        <f>IF(Dataset!G593&lt;=3,1,IF(Dataset!G593&lt;=6,2,IF(Dataset!G593&lt;=9,3,4)))</f>
        <v>2</v>
      </c>
      <c r="J593" s="29">
        <f t="shared" si="74"/>
        <v>0.9</v>
      </c>
      <c r="K593" s="29">
        <f>IF(Dataset!H593&lt;1,0.2,IF(Dataset!H593&lt;1.3,0.45,IF(Dataset!H593&lt;1.8,0.7,0.9)))</f>
        <v>0.7</v>
      </c>
      <c r="L593" s="29">
        <f>IF(Dataset!H593&lt;1,1,IF(Dataset!H593&lt;1.3,2,IF(Dataset!H593&lt;1.8,3,4)))</f>
        <v>3</v>
      </c>
      <c r="M593" s="29">
        <f t="shared" si="75"/>
        <v>2.0999999999999996</v>
      </c>
      <c r="N593" s="29">
        <f>IF(Dataset!F593=1,0.75,IF(Dataset!F593=2,0.45,0.2))</f>
        <v>0.75</v>
      </c>
      <c r="O593" s="29">
        <f>IF(Dataset!F593=1,3,IF(Dataset!F593=2,2,1))</f>
        <v>3</v>
      </c>
      <c r="P593" s="29">
        <f t="shared" si="76"/>
        <v>2.25</v>
      </c>
      <c r="Q593" s="29">
        <f>IF(Dataset!K593&lt;5,0.2,IF(Dataset!K593&lt;10,0.45,IF(Dataset!K593&lt;18,0.7,0.9)))</f>
        <v>0.45</v>
      </c>
      <c r="R593" s="29">
        <f>IF(Dataset!K593&lt;5,1,IF(Dataset!K593&lt;10,2,IF(Dataset!K593&lt;18,3,4)))</f>
        <v>2</v>
      </c>
      <c r="S593" s="29">
        <f t="shared" si="77"/>
        <v>0.9</v>
      </c>
      <c r="T593" s="29">
        <f t="shared" si="78"/>
        <v>1.6590000000000003</v>
      </c>
      <c r="U593" s="29" t="str">
        <f t="shared" si="79"/>
        <v>Medium</v>
      </c>
    </row>
    <row r="594" spans="1:21" ht="15" customHeight="1" x14ac:dyDescent="0.25">
      <c r="A594" s="29">
        <f>Dataset!A594</f>
        <v>590</v>
      </c>
      <c r="B594" s="29">
        <f>IF(Dataset!B594&lt;25,0.3,IF(Dataset!B594&lt;75,0.5,IF(Dataset!B594&lt;120,0.65,0.8)))</f>
        <v>0.65</v>
      </c>
      <c r="C594" s="29">
        <f>IF(Dataset!B594&lt;25,1,IF(Dataset!B594&lt;75,2,IF(Dataset!B594&lt;120,3,4)))</f>
        <v>3</v>
      </c>
      <c r="D594" s="29">
        <f t="shared" si="72"/>
        <v>1.9500000000000002</v>
      </c>
      <c r="E594" s="29">
        <f>IF(Dataset!C594&lt;=1,0.3,IF(Dataset!C594=2,0.4,IF(Dataset!C594=3,0.5,IF(Dataset!C594=4,0.65,0.8))))</f>
        <v>0.3</v>
      </c>
      <c r="F594" s="29">
        <f>IF(Dataset!C594&lt;=2,1,IF(Dataset!C594=3,2,IF(Dataset!C594=4,3,4)))</f>
        <v>1</v>
      </c>
      <c r="G594" s="29">
        <f t="shared" si="73"/>
        <v>0.3</v>
      </c>
      <c r="H594" s="29">
        <f>IF(Dataset!G594&lt;=3,0.25,IF(Dataset!G594&lt;=6,0.45,IF(Dataset!G594&lt;=9,0.65,0.85)))</f>
        <v>0.45</v>
      </c>
      <c r="I594" s="29">
        <f>IF(Dataset!G594&lt;=3,1,IF(Dataset!G594&lt;=6,2,IF(Dataset!G594&lt;=9,3,4)))</f>
        <v>2</v>
      </c>
      <c r="J594" s="29">
        <f t="shared" si="74"/>
        <v>0.9</v>
      </c>
      <c r="K594" s="29">
        <f>IF(Dataset!H594&lt;1,0.2,IF(Dataset!H594&lt;1.3,0.45,IF(Dataset!H594&lt;1.8,0.7,0.9)))</f>
        <v>0.45</v>
      </c>
      <c r="L594" s="29">
        <f>IF(Dataset!H594&lt;1,1,IF(Dataset!H594&lt;1.3,2,IF(Dataset!H594&lt;1.8,3,4)))</f>
        <v>2</v>
      </c>
      <c r="M594" s="29">
        <f t="shared" si="75"/>
        <v>0.9</v>
      </c>
      <c r="N594" s="29">
        <f>IF(Dataset!F594=1,0.75,IF(Dataset!F594=2,0.45,0.2))</f>
        <v>0.45</v>
      </c>
      <c r="O594" s="29">
        <f>IF(Dataset!F594=1,3,IF(Dataset!F594=2,2,1))</f>
        <v>2</v>
      </c>
      <c r="P594" s="29">
        <f t="shared" si="76"/>
        <v>0.9</v>
      </c>
      <c r="Q594" s="29">
        <f>IF(Dataset!K594&lt;5,0.2,IF(Dataset!K594&lt;10,0.45,IF(Dataset!K594&lt;18,0.7,0.9)))</f>
        <v>0.2</v>
      </c>
      <c r="R594" s="29">
        <f>IF(Dataset!K594&lt;5,1,IF(Dataset!K594&lt;10,2,IF(Dataset!K594&lt;18,3,4)))</f>
        <v>1</v>
      </c>
      <c r="S594" s="29">
        <f t="shared" si="77"/>
        <v>0.2</v>
      </c>
      <c r="T594" s="29">
        <f t="shared" si="78"/>
        <v>0.90700000000000003</v>
      </c>
      <c r="U594" s="29" t="str">
        <f t="shared" si="79"/>
        <v>Low</v>
      </c>
    </row>
    <row r="595" spans="1:21" ht="15" customHeight="1" x14ac:dyDescent="0.25">
      <c r="A595" s="29">
        <f>Dataset!A595</f>
        <v>591</v>
      </c>
      <c r="B595" s="29">
        <f>IF(Dataset!B595&lt;25,0.3,IF(Dataset!B595&lt;75,0.5,IF(Dataset!B595&lt;120,0.65,0.8)))</f>
        <v>0.3</v>
      </c>
      <c r="C595" s="29">
        <f>IF(Dataset!B595&lt;25,1,IF(Dataset!B595&lt;75,2,IF(Dataset!B595&lt;120,3,4)))</f>
        <v>1</v>
      </c>
      <c r="D595" s="29">
        <f t="shared" si="72"/>
        <v>0.3</v>
      </c>
      <c r="E595" s="29">
        <f>IF(Dataset!C595&lt;=1,0.3,IF(Dataset!C595=2,0.4,IF(Dataset!C595=3,0.5,IF(Dataset!C595=4,0.65,0.8))))</f>
        <v>0.4</v>
      </c>
      <c r="F595" s="29">
        <f>IF(Dataset!C595&lt;=2,1,IF(Dataset!C595=3,2,IF(Dataset!C595=4,3,4)))</f>
        <v>1</v>
      </c>
      <c r="G595" s="29">
        <f t="shared" si="73"/>
        <v>0.4</v>
      </c>
      <c r="H595" s="29">
        <f>IF(Dataset!G595&lt;=3,0.25,IF(Dataset!G595&lt;=6,0.45,IF(Dataset!G595&lt;=9,0.65,0.85)))</f>
        <v>0.45</v>
      </c>
      <c r="I595" s="29">
        <f>IF(Dataset!G595&lt;=3,1,IF(Dataset!G595&lt;=6,2,IF(Dataset!G595&lt;=9,3,4)))</f>
        <v>2</v>
      </c>
      <c r="J595" s="29">
        <f t="shared" si="74"/>
        <v>0.9</v>
      </c>
      <c r="K595" s="29">
        <f>IF(Dataset!H595&lt;1,0.2,IF(Dataset!H595&lt;1.3,0.45,IF(Dataset!H595&lt;1.8,0.7,0.9)))</f>
        <v>0.9</v>
      </c>
      <c r="L595" s="29">
        <f>IF(Dataset!H595&lt;1,1,IF(Dataset!H595&lt;1.3,2,IF(Dataset!H595&lt;1.8,3,4)))</f>
        <v>4</v>
      </c>
      <c r="M595" s="29">
        <f t="shared" si="75"/>
        <v>3.6</v>
      </c>
      <c r="N595" s="29">
        <f>IF(Dataset!F595=1,0.75,IF(Dataset!F595=2,0.45,0.2))</f>
        <v>0.45</v>
      </c>
      <c r="O595" s="29">
        <f>IF(Dataset!F595=1,3,IF(Dataset!F595=2,2,1))</f>
        <v>2</v>
      </c>
      <c r="P595" s="29">
        <f t="shared" si="76"/>
        <v>0.9</v>
      </c>
      <c r="Q595" s="29">
        <f>IF(Dataset!K595&lt;5,0.2,IF(Dataset!K595&lt;10,0.45,IF(Dataset!K595&lt;18,0.7,0.9)))</f>
        <v>0.2</v>
      </c>
      <c r="R595" s="29">
        <f>IF(Dataset!K595&lt;5,1,IF(Dataset!K595&lt;10,2,IF(Dataset!K595&lt;18,3,4)))</f>
        <v>1</v>
      </c>
      <c r="S595" s="29">
        <f t="shared" si="77"/>
        <v>0.2</v>
      </c>
      <c r="T595" s="29">
        <f t="shared" si="78"/>
        <v>1.272</v>
      </c>
      <c r="U595" s="29" t="str">
        <f t="shared" si="79"/>
        <v>Low</v>
      </c>
    </row>
    <row r="596" spans="1:21" ht="15" customHeight="1" x14ac:dyDescent="0.25">
      <c r="A596" s="29">
        <f>Dataset!A596</f>
        <v>592</v>
      </c>
      <c r="B596" s="29">
        <f>IF(Dataset!B596&lt;25,0.3,IF(Dataset!B596&lt;75,0.5,IF(Dataset!B596&lt;120,0.65,0.8)))</f>
        <v>0.65</v>
      </c>
      <c r="C596" s="29">
        <f>IF(Dataset!B596&lt;25,1,IF(Dataset!B596&lt;75,2,IF(Dataset!B596&lt;120,3,4)))</f>
        <v>3</v>
      </c>
      <c r="D596" s="29">
        <f t="shared" si="72"/>
        <v>1.9500000000000002</v>
      </c>
      <c r="E596" s="29">
        <f>IF(Dataset!C596&lt;=1,0.3,IF(Dataset!C596=2,0.4,IF(Dataset!C596=3,0.5,IF(Dataset!C596=4,0.65,0.8))))</f>
        <v>0.5</v>
      </c>
      <c r="F596" s="29">
        <f>IF(Dataset!C596&lt;=2,1,IF(Dataset!C596=3,2,IF(Dataset!C596=4,3,4)))</f>
        <v>2</v>
      </c>
      <c r="G596" s="29">
        <f t="shared" si="73"/>
        <v>1</v>
      </c>
      <c r="H596" s="29">
        <f>IF(Dataset!G596&lt;=3,0.25,IF(Dataset!G596&lt;=6,0.45,IF(Dataset!G596&lt;=9,0.65,0.85)))</f>
        <v>0.65</v>
      </c>
      <c r="I596" s="29">
        <f>IF(Dataset!G596&lt;=3,1,IF(Dataset!G596&lt;=6,2,IF(Dataset!G596&lt;=9,3,4)))</f>
        <v>3</v>
      </c>
      <c r="J596" s="29">
        <f t="shared" si="74"/>
        <v>1.9500000000000002</v>
      </c>
      <c r="K596" s="29">
        <f>IF(Dataset!H596&lt;1,0.2,IF(Dataset!H596&lt;1.3,0.45,IF(Dataset!H596&lt;1.8,0.7,0.9)))</f>
        <v>0.2</v>
      </c>
      <c r="L596" s="29">
        <f>IF(Dataset!H596&lt;1,1,IF(Dataset!H596&lt;1.3,2,IF(Dataset!H596&lt;1.8,3,4)))</f>
        <v>1</v>
      </c>
      <c r="M596" s="29">
        <f t="shared" si="75"/>
        <v>0.2</v>
      </c>
      <c r="N596" s="29">
        <f>IF(Dataset!F596=1,0.75,IF(Dataset!F596=2,0.45,0.2))</f>
        <v>0.45</v>
      </c>
      <c r="O596" s="29">
        <f>IF(Dataset!F596=1,3,IF(Dataset!F596=2,2,1))</f>
        <v>2</v>
      </c>
      <c r="P596" s="29">
        <f t="shared" si="76"/>
        <v>0.9</v>
      </c>
      <c r="Q596" s="29">
        <f>IF(Dataset!K596&lt;5,0.2,IF(Dataset!K596&lt;10,0.45,IF(Dataset!K596&lt;18,0.7,0.9)))</f>
        <v>0.45</v>
      </c>
      <c r="R596" s="29">
        <f>IF(Dataset!K596&lt;5,1,IF(Dataset!K596&lt;10,2,IF(Dataset!K596&lt;18,3,4)))</f>
        <v>2</v>
      </c>
      <c r="S596" s="29">
        <f t="shared" si="77"/>
        <v>0.9</v>
      </c>
      <c r="T596" s="29">
        <f t="shared" si="78"/>
        <v>1.1450000000000002</v>
      </c>
      <c r="U596" s="29" t="str">
        <f t="shared" si="79"/>
        <v>Low</v>
      </c>
    </row>
    <row r="597" spans="1:21" ht="15" customHeight="1" x14ac:dyDescent="0.25">
      <c r="A597" s="29">
        <f>Dataset!A597</f>
        <v>593</v>
      </c>
      <c r="B597" s="29">
        <f>IF(Dataset!B597&lt;25,0.3,IF(Dataset!B597&lt;75,0.5,IF(Dataset!B597&lt;120,0.65,0.8)))</f>
        <v>0.5</v>
      </c>
      <c r="C597" s="29">
        <f>IF(Dataset!B597&lt;25,1,IF(Dataset!B597&lt;75,2,IF(Dataset!B597&lt;120,3,4)))</f>
        <v>2</v>
      </c>
      <c r="D597" s="29">
        <f t="shared" si="72"/>
        <v>1</v>
      </c>
      <c r="E597" s="29">
        <f>IF(Dataset!C597&lt;=1,0.3,IF(Dataset!C597=2,0.4,IF(Dataset!C597=3,0.5,IF(Dataset!C597=4,0.65,0.8))))</f>
        <v>0.65</v>
      </c>
      <c r="F597" s="29">
        <f>IF(Dataset!C597&lt;=2,1,IF(Dataset!C597=3,2,IF(Dataset!C597=4,3,4)))</f>
        <v>3</v>
      </c>
      <c r="G597" s="29">
        <f t="shared" si="73"/>
        <v>1.9500000000000002</v>
      </c>
      <c r="H597" s="29">
        <f>IF(Dataset!G597&lt;=3,0.25,IF(Dataset!G597&lt;=6,0.45,IF(Dataset!G597&lt;=9,0.65,0.85)))</f>
        <v>0.45</v>
      </c>
      <c r="I597" s="29">
        <f>IF(Dataset!G597&lt;=3,1,IF(Dataset!G597&lt;=6,2,IF(Dataset!G597&lt;=9,3,4)))</f>
        <v>2</v>
      </c>
      <c r="J597" s="29">
        <f t="shared" si="74"/>
        <v>0.9</v>
      </c>
      <c r="K597" s="29">
        <f>IF(Dataset!H597&lt;1,0.2,IF(Dataset!H597&lt;1.3,0.45,IF(Dataset!H597&lt;1.8,0.7,0.9)))</f>
        <v>0.9</v>
      </c>
      <c r="L597" s="29">
        <f>IF(Dataset!H597&lt;1,1,IF(Dataset!H597&lt;1.3,2,IF(Dataset!H597&lt;1.8,3,4)))</f>
        <v>4</v>
      </c>
      <c r="M597" s="29">
        <f t="shared" si="75"/>
        <v>3.6</v>
      </c>
      <c r="N597" s="29">
        <f>IF(Dataset!F597=1,0.75,IF(Dataset!F597=2,0.45,0.2))</f>
        <v>0.75</v>
      </c>
      <c r="O597" s="29">
        <f>IF(Dataset!F597=1,3,IF(Dataset!F597=2,2,1))</f>
        <v>3</v>
      </c>
      <c r="P597" s="29">
        <f t="shared" si="76"/>
        <v>2.25</v>
      </c>
      <c r="Q597" s="29">
        <f>IF(Dataset!K597&lt;5,0.2,IF(Dataset!K597&lt;10,0.45,IF(Dataset!K597&lt;18,0.7,0.9)))</f>
        <v>0.45</v>
      </c>
      <c r="R597" s="29">
        <f>IF(Dataset!K597&lt;5,1,IF(Dataset!K597&lt;10,2,IF(Dataset!K597&lt;18,3,4)))</f>
        <v>2</v>
      </c>
      <c r="S597" s="29">
        <f t="shared" si="77"/>
        <v>0.9</v>
      </c>
      <c r="T597" s="29">
        <f t="shared" si="78"/>
        <v>1.8480000000000003</v>
      </c>
      <c r="U597" s="29" t="str">
        <f t="shared" si="79"/>
        <v>High</v>
      </c>
    </row>
    <row r="598" spans="1:21" ht="15" customHeight="1" x14ac:dyDescent="0.25">
      <c r="A598" s="29">
        <f>Dataset!A598</f>
        <v>594</v>
      </c>
      <c r="B598" s="29">
        <f>IF(Dataset!B598&lt;25,0.3,IF(Dataset!B598&lt;75,0.5,IF(Dataset!B598&lt;120,0.65,0.8)))</f>
        <v>0.8</v>
      </c>
      <c r="C598" s="29">
        <f>IF(Dataset!B598&lt;25,1,IF(Dataset!B598&lt;75,2,IF(Dataset!B598&lt;120,3,4)))</f>
        <v>4</v>
      </c>
      <c r="D598" s="29">
        <f t="shared" si="72"/>
        <v>3.2</v>
      </c>
      <c r="E598" s="29">
        <f>IF(Dataset!C598&lt;=1,0.3,IF(Dataset!C598=2,0.4,IF(Dataset!C598=3,0.5,IF(Dataset!C598=4,0.65,0.8))))</f>
        <v>0.5</v>
      </c>
      <c r="F598" s="29">
        <f>IF(Dataset!C598&lt;=2,1,IF(Dataset!C598=3,2,IF(Dataset!C598=4,3,4)))</f>
        <v>2</v>
      </c>
      <c r="G598" s="29">
        <f t="shared" si="73"/>
        <v>1</v>
      </c>
      <c r="H598" s="29">
        <f>IF(Dataset!G598&lt;=3,0.25,IF(Dataset!G598&lt;=6,0.45,IF(Dataset!G598&lt;=9,0.65,0.85)))</f>
        <v>0.85</v>
      </c>
      <c r="I598" s="29">
        <f>IF(Dataset!G598&lt;=3,1,IF(Dataset!G598&lt;=6,2,IF(Dataset!G598&lt;=9,3,4)))</f>
        <v>4</v>
      </c>
      <c r="J598" s="29">
        <f t="shared" si="74"/>
        <v>3.4</v>
      </c>
      <c r="K598" s="29">
        <f>IF(Dataset!H598&lt;1,0.2,IF(Dataset!H598&lt;1.3,0.45,IF(Dataset!H598&lt;1.8,0.7,0.9)))</f>
        <v>0.7</v>
      </c>
      <c r="L598" s="29">
        <f>IF(Dataset!H598&lt;1,1,IF(Dataset!H598&lt;1.3,2,IF(Dataset!H598&lt;1.8,3,4)))</f>
        <v>3</v>
      </c>
      <c r="M598" s="29">
        <f t="shared" si="75"/>
        <v>2.0999999999999996</v>
      </c>
      <c r="N598" s="29">
        <f>IF(Dataset!F598=1,0.75,IF(Dataset!F598=2,0.45,0.2))</f>
        <v>0.45</v>
      </c>
      <c r="O598" s="29">
        <f>IF(Dataset!F598=1,3,IF(Dataset!F598=2,2,1))</f>
        <v>2</v>
      </c>
      <c r="P598" s="29">
        <f t="shared" si="76"/>
        <v>0.9</v>
      </c>
      <c r="Q598" s="29">
        <f>IF(Dataset!K598&lt;5,0.2,IF(Dataset!K598&lt;10,0.45,IF(Dataset!K598&lt;18,0.7,0.9)))</f>
        <v>0.45</v>
      </c>
      <c r="R598" s="29">
        <f>IF(Dataset!K598&lt;5,1,IF(Dataset!K598&lt;10,2,IF(Dataset!K598&lt;18,3,4)))</f>
        <v>2</v>
      </c>
      <c r="S598" s="29">
        <f t="shared" si="77"/>
        <v>0.9</v>
      </c>
      <c r="T598" s="29">
        <f t="shared" si="78"/>
        <v>2.1160000000000001</v>
      </c>
      <c r="U598" s="29" t="str">
        <f t="shared" si="79"/>
        <v>High</v>
      </c>
    </row>
    <row r="599" spans="1:21" ht="15" customHeight="1" x14ac:dyDescent="0.25">
      <c r="A599" s="29">
        <f>Dataset!A599</f>
        <v>595</v>
      </c>
      <c r="B599" s="29">
        <f>IF(Dataset!B599&lt;25,0.3,IF(Dataset!B599&lt;75,0.5,IF(Dataset!B599&lt;120,0.65,0.8)))</f>
        <v>0.65</v>
      </c>
      <c r="C599" s="29">
        <f>IF(Dataset!B599&lt;25,1,IF(Dataset!B599&lt;75,2,IF(Dataset!B599&lt;120,3,4)))</f>
        <v>3</v>
      </c>
      <c r="D599" s="29">
        <f t="shared" si="72"/>
        <v>1.9500000000000002</v>
      </c>
      <c r="E599" s="29">
        <f>IF(Dataset!C599&lt;=1,0.3,IF(Dataset!C599=2,0.4,IF(Dataset!C599=3,0.5,IF(Dataset!C599=4,0.65,0.8))))</f>
        <v>0.65</v>
      </c>
      <c r="F599" s="29">
        <f>IF(Dataset!C599&lt;=2,1,IF(Dataset!C599=3,2,IF(Dataset!C599=4,3,4)))</f>
        <v>3</v>
      </c>
      <c r="G599" s="29">
        <f t="shared" si="73"/>
        <v>1.9500000000000002</v>
      </c>
      <c r="H599" s="29">
        <f>IF(Dataset!G599&lt;=3,0.25,IF(Dataset!G599&lt;=6,0.45,IF(Dataset!G599&lt;=9,0.65,0.85)))</f>
        <v>0.45</v>
      </c>
      <c r="I599" s="29">
        <f>IF(Dataset!G599&lt;=3,1,IF(Dataset!G599&lt;=6,2,IF(Dataset!G599&lt;=9,3,4)))</f>
        <v>2</v>
      </c>
      <c r="J599" s="29">
        <f t="shared" si="74"/>
        <v>0.9</v>
      </c>
      <c r="K599" s="29">
        <f>IF(Dataset!H599&lt;1,0.2,IF(Dataset!H599&lt;1.3,0.45,IF(Dataset!H599&lt;1.8,0.7,0.9)))</f>
        <v>0.45</v>
      </c>
      <c r="L599" s="29">
        <f>IF(Dataset!H599&lt;1,1,IF(Dataset!H599&lt;1.3,2,IF(Dataset!H599&lt;1.8,3,4)))</f>
        <v>2</v>
      </c>
      <c r="M599" s="29">
        <f t="shared" si="75"/>
        <v>0.9</v>
      </c>
      <c r="N599" s="29">
        <f>IF(Dataset!F599=1,0.75,IF(Dataset!F599=2,0.45,0.2))</f>
        <v>0.45</v>
      </c>
      <c r="O599" s="29">
        <f>IF(Dataset!F599=1,3,IF(Dataset!F599=2,2,1))</f>
        <v>2</v>
      </c>
      <c r="P599" s="29">
        <f t="shared" si="76"/>
        <v>0.9</v>
      </c>
      <c r="Q599" s="29">
        <f>IF(Dataset!K599&lt;5,0.2,IF(Dataset!K599&lt;10,0.45,IF(Dataset!K599&lt;18,0.7,0.9)))</f>
        <v>0.7</v>
      </c>
      <c r="R599" s="29">
        <f>IF(Dataset!K599&lt;5,1,IF(Dataset!K599&lt;10,2,IF(Dataset!K599&lt;18,3,4)))</f>
        <v>3</v>
      </c>
      <c r="S599" s="29">
        <f t="shared" si="77"/>
        <v>2.0999999999999996</v>
      </c>
      <c r="T599" s="29">
        <f t="shared" si="78"/>
        <v>1.4040000000000004</v>
      </c>
      <c r="U599" s="29" t="str">
        <f t="shared" si="79"/>
        <v>Medium</v>
      </c>
    </row>
    <row r="600" spans="1:21" ht="15" customHeight="1" x14ac:dyDescent="0.25">
      <c r="A600" s="29">
        <f>Dataset!A600</f>
        <v>596</v>
      </c>
      <c r="B600" s="29">
        <f>IF(Dataset!B600&lt;25,0.3,IF(Dataset!B600&lt;75,0.5,IF(Dataset!B600&lt;120,0.65,0.8)))</f>
        <v>0.8</v>
      </c>
      <c r="C600" s="29">
        <f>IF(Dataset!B600&lt;25,1,IF(Dataset!B600&lt;75,2,IF(Dataset!B600&lt;120,3,4)))</f>
        <v>4</v>
      </c>
      <c r="D600" s="29">
        <f t="shared" si="72"/>
        <v>3.2</v>
      </c>
      <c r="E600" s="29">
        <f>IF(Dataset!C600&lt;=1,0.3,IF(Dataset!C600=2,0.4,IF(Dataset!C600=3,0.5,IF(Dataset!C600=4,0.65,0.8))))</f>
        <v>0.8</v>
      </c>
      <c r="F600" s="29">
        <f>IF(Dataset!C600&lt;=2,1,IF(Dataset!C600=3,2,IF(Dataset!C600=4,3,4)))</f>
        <v>4</v>
      </c>
      <c r="G600" s="29">
        <f t="shared" si="73"/>
        <v>3.2</v>
      </c>
      <c r="H600" s="29">
        <f>IF(Dataset!G600&lt;=3,0.25,IF(Dataset!G600&lt;=6,0.45,IF(Dataset!G600&lt;=9,0.65,0.85)))</f>
        <v>0.25</v>
      </c>
      <c r="I600" s="29">
        <f>IF(Dataset!G600&lt;=3,1,IF(Dataset!G600&lt;=6,2,IF(Dataset!G600&lt;=9,3,4)))</f>
        <v>1</v>
      </c>
      <c r="J600" s="29">
        <f t="shared" si="74"/>
        <v>0.25</v>
      </c>
      <c r="K600" s="29">
        <f>IF(Dataset!H600&lt;1,0.2,IF(Dataset!H600&lt;1.3,0.45,IF(Dataset!H600&lt;1.8,0.7,0.9)))</f>
        <v>0.2</v>
      </c>
      <c r="L600" s="29">
        <f>IF(Dataset!H600&lt;1,1,IF(Dataset!H600&lt;1.3,2,IF(Dataset!H600&lt;1.8,3,4)))</f>
        <v>1</v>
      </c>
      <c r="M600" s="29">
        <f t="shared" si="75"/>
        <v>0.2</v>
      </c>
      <c r="N600" s="29">
        <f>IF(Dataset!F600=1,0.75,IF(Dataset!F600=2,0.45,0.2))</f>
        <v>0.75</v>
      </c>
      <c r="O600" s="29">
        <f>IF(Dataset!F600=1,3,IF(Dataset!F600=2,2,1))</f>
        <v>3</v>
      </c>
      <c r="P600" s="29">
        <f t="shared" si="76"/>
        <v>2.25</v>
      </c>
      <c r="Q600" s="29">
        <f>IF(Dataset!K600&lt;5,0.2,IF(Dataset!K600&lt;10,0.45,IF(Dataset!K600&lt;18,0.7,0.9)))</f>
        <v>0.9</v>
      </c>
      <c r="R600" s="29">
        <f>IF(Dataset!K600&lt;5,1,IF(Dataset!K600&lt;10,2,IF(Dataset!K600&lt;18,3,4)))</f>
        <v>4</v>
      </c>
      <c r="S600" s="29">
        <f t="shared" si="77"/>
        <v>3.6</v>
      </c>
      <c r="T600" s="29">
        <f t="shared" si="78"/>
        <v>1.8510000000000004</v>
      </c>
      <c r="U600" s="29" t="str">
        <f t="shared" si="79"/>
        <v>High</v>
      </c>
    </row>
    <row r="601" spans="1:21" ht="15" customHeight="1" x14ac:dyDescent="0.25">
      <c r="A601" s="29">
        <f>Dataset!A601</f>
        <v>597</v>
      </c>
      <c r="B601" s="29">
        <f>IF(Dataset!B601&lt;25,0.3,IF(Dataset!B601&lt;75,0.5,IF(Dataset!B601&lt;120,0.65,0.8)))</f>
        <v>0.5</v>
      </c>
      <c r="C601" s="29">
        <f>IF(Dataset!B601&lt;25,1,IF(Dataset!B601&lt;75,2,IF(Dataset!B601&lt;120,3,4)))</f>
        <v>2</v>
      </c>
      <c r="D601" s="29">
        <f t="shared" si="72"/>
        <v>1</v>
      </c>
      <c r="E601" s="29">
        <f>IF(Dataset!C601&lt;=1,0.3,IF(Dataset!C601=2,0.4,IF(Dataset!C601=3,0.5,IF(Dataset!C601=4,0.65,0.8))))</f>
        <v>0.65</v>
      </c>
      <c r="F601" s="29">
        <f>IF(Dataset!C601&lt;=2,1,IF(Dataset!C601=3,2,IF(Dataset!C601=4,3,4)))</f>
        <v>3</v>
      </c>
      <c r="G601" s="29">
        <f t="shared" si="73"/>
        <v>1.9500000000000002</v>
      </c>
      <c r="H601" s="29">
        <f>IF(Dataset!G601&lt;=3,0.25,IF(Dataset!G601&lt;=6,0.45,IF(Dataset!G601&lt;=9,0.65,0.85)))</f>
        <v>0.65</v>
      </c>
      <c r="I601" s="29">
        <f>IF(Dataset!G601&lt;=3,1,IF(Dataset!G601&lt;=6,2,IF(Dataset!G601&lt;=9,3,4)))</f>
        <v>3</v>
      </c>
      <c r="J601" s="29">
        <f t="shared" si="74"/>
        <v>1.9500000000000002</v>
      </c>
      <c r="K601" s="29">
        <f>IF(Dataset!H601&lt;1,0.2,IF(Dataset!H601&lt;1.3,0.45,IF(Dataset!H601&lt;1.8,0.7,0.9)))</f>
        <v>0.7</v>
      </c>
      <c r="L601" s="29">
        <f>IF(Dataset!H601&lt;1,1,IF(Dataset!H601&lt;1.3,2,IF(Dataset!H601&lt;1.8,3,4)))</f>
        <v>3</v>
      </c>
      <c r="M601" s="29">
        <f t="shared" si="75"/>
        <v>2.0999999999999996</v>
      </c>
      <c r="N601" s="29">
        <f>IF(Dataset!F601=1,0.75,IF(Dataset!F601=2,0.45,0.2))</f>
        <v>0.75</v>
      </c>
      <c r="O601" s="29">
        <f>IF(Dataset!F601=1,3,IF(Dataset!F601=2,2,1))</f>
        <v>3</v>
      </c>
      <c r="P601" s="29">
        <f t="shared" si="76"/>
        <v>2.25</v>
      </c>
      <c r="Q601" s="29">
        <f>IF(Dataset!K601&lt;5,0.2,IF(Dataset!K601&lt;10,0.45,IF(Dataset!K601&lt;18,0.7,0.9)))</f>
        <v>0.7</v>
      </c>
      <c r="R601" s="29">
        <f>IF(Dataset!K601&lt;5,1,IF(Dataset!K601&lt;10,2,IF(Dataset!K601&lt;18,3,4)))</f>
        <v>3</v>
      </c>
      <c r="S601" s="29">
        <f t="shared" si="77"/>
        <v>2.0999999999999996</v>
      </c>
      <c r="T601" s="29">
        <f t="shared" si="78"/>
        <v>1.8660000000000001</v>
      </c>
      <c r="U601" s="29" t="str">
        <f t="shared" si="79"/>
        <v>High</v>
      </c>
    </row>
    <row r="602" spans="1:21" ht="15" customHeight="1" x14ac:dyDescent="0.25">
      <c r="A602" s="29">
        <f>Dataset!A602</f>
        <v>598</v>
      </c>
      <c r="B602" s="29">
        <f>IF(Dataset!B602&lt;25,0.3,IF(Dataset!B602&lt;75,0.5,IF(Dataset!B602&lt;120,0.65,0.8)))</f>
        <v>0.3</v>
      </c>
      <c r="C602" s="29">
        <f>IF(Dataset!B602&lt;25,1,IF(Dataset!B602&lt;75,2,IF(Dataset!B602&lt;120,3,4)))</f>
        <v>1</v>
      </c>
      <c r="D602" s="29">
        <f t="shared" si="72"/>
        <v>0.3</v>
      </c>
      <c r="E602" s="29">
        <f>IF(Dataset!C602&lt;=1,0.3,IF(Dataset!C602=2,0.4,IF(Dataset!C602=3,0.5,IF(Dataset!C602=4,0.65,0.8))))</f>
        <v>0.8</v>
      </c>
      <c r="F602" s="29">
        <f>IF(Dataset!C602&lt;=2,1,IF(Dataset!C602=3,2,IF(Dataset!C602=4,3,4)))</f>
        <v>4</v>
      </c>
      <c r="G602" s="29">
        <f t="shared" si="73"/>
        <v>3.2</v>
      </c>
      <c r="H602" s="29">
        <f>IF(Dataset!G602&lt;=3,0.25,IF(Dataset!G602&lt;=6,0.45,IF(Dataset!G602&lt;=9,0.65,0.85)))</f>
        <v>0.45</v>
      </c>
      <c r="I602" s="29">
        <f>IF(Dataset!G602&lt;=3,1,IF(Dataset!G602&lt;=6,2,IF(Dataset!G602&lt;=9,3,4)))</f>
        <v>2</v>
      </c>
      <c r="J602" s="29">
        <f t="shared" si="74"/>
        <v>0.9</v>
      </c>
      <c r="K602" s="29">
        <f>IF(Dataset!H602&lt;1,0.2,IF(Dataset!H602&lt;1.3,0.45,IF(Dataset!H602&lt;1.8,0.7,0.9)))</f>
        <v>0.45</v>
      </c>
      <c r="L602" s="29">
        <f>IF(Dataset!H602&lt;1,1,IF(Dataset!H602&lt;1.3,2,IF(Dataset!H602&lt;1.8,3,4)))</f>
        <v>2</v>
      </c>
      <c r="M602" s="29">
        <f t="shared" si="75"/>
        <v>0.9</v>
      </c>
      <c r="N602" s="29">
        <f>IF(Dataset!F602=1,0.75,IF(Dataset!F602=2,0.45,0.2))</f>
        <v>0.45</v>
      </c>
      <c r="O602" s="29">
        <f>IF(Dataset!F602=1,3,IF(Dataset!F602=2,2,1))</f>
        <v>2</v>
      </c>
      <c r="P602" s="29">
        <f t="shared" si="76"/>
        <v>0.9</v>
      </c>
      <c r="Q602" s="29">
        <f>IF(Dataset!K602&lt;5,0.2,IF(Dataset!K602&lt;10,0.45,IF(Dataset!K602&lt;18,0.7,0.9)))</f>
        <v>0.7</v>
      </c>
      <c r="R602" s="29">
        <f>IF(Dataset!K602&lt;5,1,IF(Dataset!K602&lt;10,2,IF(Dataset!K602&lt;18,3,4)))</f>
        <v>3</v>
      </c>
      <c r="S602" s="29">
        <f t="shared" si="77"/>
        <v>2.0999999999999996</v>
      </c>
      <c r="T602" s="29">
        <f t="shared" si="78"/>
        <v>1.282</v>
      </c>
      <c r="U602" s="29" t="str">
        <f t="shared" si="79"/>
        <v>Low</v>
      </c>
    </row>
    <row r="603" spans="1:21" ht="15" customHeight="1" x14ac:dyDescent="0.25">
      <c r="A603" s="29">
        <f>Dataset!A603</f>
        <v>599</v>
      </c>
      <c r="B603" s="29">
        <f>IF(Dataset!B603&lt;25,0.3,IF(Dataset!B603&lt;75,0.5,IF(Dataset!B603&lt;120,0.65,0.8)))</f>
        <v>0.5</v>
      </c>
      <c r="C603" s="29">
        <f>IF(Dataset!B603&lt;25,1,IF(Dataset!B603&lt;75,2,IF(Dataset!B603&lt;120,3,4)))</f>
        <v>2</v>
      </c>
      <c r="D603" s="29">
        <f t="shared" si="72"/>
        <v>1</v>
      </c>
      <c r="E603" s="29">
        <f>IF(Dataset!C603&lt;=1,0.3,IF(Dataset!C603=2,0.4,IF(Dataset!C603=3,0.5,IF(Dataset!C603=4,0.65,0.8))))</f>
        <v>0.65</v>
      </c>
      <c r="F603" s="29">
        <f>IF(Dataset!C603&lt;=2,1,IF(Dataset!C603=3,2,IF(Dataset!C603=4,3,4)))</f>
        <v>3</v>
      </c>
      <c r="G603" s="29">
        <f t="shared" si="73"/>
        <v>1.9500000000000002</v>
      </c>
      <c r="H603" s="29">
        <f>IF(Dataset!G603&lt;=3,0.25,IF(Dataset!G603&lt;=6,0.45,IF(Dataset!G603&lt;=9,0.65,0.85)))</f>
        <v>0.65</v>
      </c>
      <c r="I603" s="29">
        <f>IF(Dataset!G603&lt;=3,1,IF(Dataset!G603&lt;=6,2,IF(Dataset!G603&lt;=9,3,4)))</f>
        <v>3</v>
      </c>
      <c r="J603" s="29">
        <f t="shared" si="74"/>
        <v>1.9500000000000002</v>
      </c>
      <c r="K603" s="29">
        <f>IF(Dataset!H603&lt;1,0.2,IF(Dataset!H603&lt;1.3,0.45,IF(Dataset!H603&lt;1.8,0.7,0.9)))</f>
        <v>0.2</v>
      </c>
      <c r="L603" s="29">
        <f>IF(Dataset!H603&lt;1,1,IF(Dataset!H603&lt;1.3,2,IF(Dataset!H603&lt;1.8,3,4)))</f>
        <v>1</v>
      </c>
      <c r="M603" s="29">
        <f t="shared" si="75"/>
        <v>0.2</v>
      </c>
      <c r="N603" s="29">
        <f>IF(Dataset!F603=1,0.75,IF(Dataset!F603=2,0.45,0.2))</f>
        <v>0.45</v>
      </c>
      <c r="O603" s="29">
        <f>IF(Dataset!F603=1,3,IF(Dataset!F603=2,2,1))</f>
        <v>2</v>
      </c>
      <c r="P603" s="29">
        <f t="shared" si="76"/>
        <v>0.9</v>
      </c>
      <c r="Q603" s="29">
        <f>IF(Dataset!K603&lt;5,0.2,IF(Dataset!K603&lt;10,0.45,IF(Dataset!K603&lt;18,0.7,0.9)))</f>
        <v>0.45</v>
      </c>
      <c r="R603" s="29">
        <f>IF(Dataset!K603&lt;5,1,IF(Dataset!K603&lt;10,2,IF(Dataset!K603&lt;18,3,4)))</f>
        <v>2</v>
      </c>
      <c r="S603" s="29">
        <f t="shared" si="77"/>
        <v>0.9</v>
      </c>
      <c r="T603" s="29">
        <f t="shared" si="78"/>
        <v>1.1070000000000002</v>
      </c>
      <c r="U603" s="29" t="str">
        <f t="shared" si="79"/>
        <v>Low</v>
      </c>
    </row>
    <row r="604" spans="1:21" ht="15" customHeight="1" x14ac:dyDescent="0.25">
      <c r="A604" s="29">
        <f>Dataset!A604</f>
        <v>600</v>
      </c>
      <c r="B604" s="29">
        <f>IF(Dataset!B604&lt;25,0.3,IF(Dataset!B604&lt;75,0.5,IF(Dataset!B604&lt;120,0.65,0.8)))</f>
        <v>0.5</v>
      </c>
      <c r="C604" s="29">
        <f>IF(Dataset!B604&lt;25,1,IF(Dataset!B604&lt;75,2,IF(Dataset!B604&lt;120,3,4)))</f>
        <v>2</v>
      </c>
      <c r="D604" s="29">
        <f t="shared" si="72"/>
        <v>1</v>
      </c>
      <c r="E604" s="29">
        <f>IF(Dataset!C604&lt;=1,0.3,IF(Dataset!C604=2,0.4,IF(Dataset!C604=3,0.5,IF(Dataset!C604=4,0.65,0.8))))</f>
        <v>0.8</v>
      </c>
      <c r="F604" s="29">
        <f>IF(Dataset!C604&lt;=2,1,IF(Dataset!C604=3,2,IF(Dataset!C604=4,3,4)))</f>
        <v>4</v>
      </c>
      <c r="G604" s="29">
        <f t="shared" si="73"/>
        <v>3.2</v>
      </c>
      <c r="H604" s="29">
        <f>IF(Dataset!G604&lt;=3,0.25,IF(Dataset!G604&lt;=6,0.45,IF(Dataset!G604&lt;=9,0.65,0.85)))</f>
        <v>0.45</v>
      </c>
      <c r="I604" s="29">
        <f>IF(Dataset!G604&lt;=3,1,IF(Dataset!G604&lt;=6,2,IF(Dataset!G604&lt;=9,3,4)))</f>
        <v>2</v>
      </c>
      <c r="J604" s="29">
        <f t="shared" si="74"/>
        <v>0.9</v>
      </c>
      <c r="K604" s="29">
        <f>IF(Dataset!H604&lt;1,0.2,IF(Dataset!H604&lt;1.3,0.45,IF(Dataset!H604&lt;1.8,0.7,0.9)))</f>
        <v>0.9</v>
      </c>
      <c r="L604" s="29">
        <f>IF(Dataset!H604&lt;1,1,IF(Dataset!H604&lt;1.3,2,IF(Dataset!H604&lt;1.8,3,4)))</f>
        <v>4</v>
      </c>
      <c r="M604" s="29">
        <f t="shared" si="75"/>
        <v>3.6</v>
      </c>
      <c r="N604" s="29">
        <f>IF(Dataset!F604=1,0.75,IF(Dataset!F604=2,0.45,0.2))</f>
        <v>0.45</v>
      </c>
      <c r="O604" s="29">
        <f>IF(Dataset!F604=1,3,IF(Dataset!F604=2,2,1))</f>
        <v>2</v>
      </c>
      <c r="P604" s="29">
        <f t="shared" si="76"/>
        <v>0.9</v>
      </c>
      <c r="Q604" s="29">
        <f>IF(Dataset!K604&lt;5,0.2,IF(Dataset!K604&lt;10,0.45,IF(Dataset!K604&lt;18,0.7,0.9)))</f>
        <v>0.9</v>
      </c>
      <c r="R604" s="29">
        <f>IF(Dataset!K604&lt;5,1,IF(Dataset!K604&lt;10,2,IF(Dataset!K604&lt;18,3,4)))</f>
        <v>4</v>
      </c>
      <c r="S604" s="29">
        <f t="shared" si="77"/>
        <v>3.6</v>
      </c>
      <c r="T604" s="29">
        <f t="shared" si="78"/>
        <v>2.2660000000000005</v>
      </c>
      <c r="U604" s="29" t="str">
        <f t="shared" si="79"/>
        <v>High</v>
      </c>
    </row>
    <row r="605" spans="1:21" ht="15" customHeight="1" x14ac:dyDescent="0.25">
      <c r="A605" s="29">
        <f>Dataset!A605</f>
        <v>601</v>
      </c>
      <c r="B605" s="29">
        <f>IF(Dataset!B605&lt;25,0.3,IF(Dataset!B605&lt;75,0.5,IF(Dataset!B605&lt;120,0.65,0.8)))</f>
        <v>0.5</v>
      </c>
      <c r="C605" s="29">
        <f>IF(Dataset!B605&lt;25,1,IF(Dataset!B605&lt;75,2,IF(Dataset!B605&lt;120,3,4)))</f>
        <v>2</v>
      </c>
      <c r="D605" s="29">
        <f t="shared" si="72"/>
        <v>1</v>
      </c>
      <c r="E605" s="29">
        <f>IF(Dataset!C605&lt;=1,0.3,IF(Dataset!C605=2,0.4,IF(Dataset!C605=3,0.5,IF(Dataset!C605=4,0.65,0.8))))</f>
        <v>0.65</v>
      </c>
      <c r="F605" s="29">
        <f>IF(Dataset!C605&lt;=2,1,IF(Dataset!C605=3,2,IF(Dataset!C605=4,3,4)))</f>
        <v>3</v>
      </c>
      <c r="G605" s="29">
        <f t="shared" si="73"/>
        <v>1.9500000000000002</v>
      </c>
      <c r="H605" s="29">
        <f>IF(Dataset!G605&lt;=3,0.25,IF(Dataset!G605&lt;=6,0.45,IF(Dataset!G605&lt;=9,0.65,0.85)))</f>
        <v>0.45</v>
      </c>
      <c r="I605" s="29">
        <f>IF(Dataset!G605&lt;=3,1,IF(Dataset!G605&lt;=6,2,IF(Dataset!G605&lt;=9,3,4)))</f>
        <v>2</v>
      </c>
      <c r="J605" s="29">
        <f t="shared" si="74"/>
        <v>0.9</v>
      </c>
      <c r="K605" s="29">
        <f>IF(Dataset!H605&lt;1,0.2,IF(Dataset!H605&lt;1.3,0.45,IF(Dataset!H605&lt;1.8,0.7,0.9)))</f>
        <v>0.2</v>
      </c>
      <c r="L605" s="29">
        <f>IF(Dataset!H605&lt;1,1,IF(Dataset!H605&lt;1.3,2,IF(Dataset!H605&lt;1.8,3,4)))</f>
        <v>1</v>
      </c>
      <c r="M605" s="29">
        <f t="shared" si="75"/>
        <v>0.2</v>
      </c>
      <c r="N605" s="29">
        <f>IF(Dataset!F605=1,0.75,IF(Dataset!F605=2,0.45,0.2))</f>
        <v>0.75</v>
      </c>
      <c r="O605" s="29">
        <f>IF(Dataset!F605=1,3,IF(Dataset!F605=2,2,1))</f>
        <v>3</v>
      </c>
      <c r="P605" s="29">
        <f t="shared" si="76"/>
        <v>2.25</v>
      </c>
      <c r="Q605" s="29">
        <f>IF(Dataset!K605&lt;5,0.2,IF(Dataset!K605&lt;10,0.45,IF(Dataset!K605&lt;18,0.7,0.9)))</f>
        <v>0.7</v>
      </c>
      <c r="R605" s="29">
        <f>IF(Dataset!K605&lt;5,1,IF(Dataset!K605&lt;10,2,IF(Dataset!K605&lt;18,3,4)))</f>
        <v>3</v>
      </c>
      <c r="S605" s="29">
        <f t="shared" si="77"/>
        <v>2.0999999999999996</v>
      </c>
      <c r="T605" s="29">
        <f t="shared" si="78"/>
        <v>1.2000000000000002</v>
      </c>
      <c r="U605" s="29" t="str">
        <f t="shared" si="79"/>
        <v>Low</v>
      </c>
    </row>
    <row r="606" spans="1:21" ht="15" customHeight="1" x14ac:dyDescent="0.25">
      <c r="A606" s="29">
        <f>Dataset!A606</f>
        <v>602</v>
      </c>
      <c r="B606" s="29">
        <f>IF(Dataset!B606&lt;25,0.3,IF(Dataset!B606&lt;75,0.5,IF(Dataset!B606&lt;120,0.65,0.8)))</f>
        <v>0.5</v>
      </c>
      <c r="C606" s="29">
        <f>IF(Dataset!B606&lt;25,1,IF(Dataset!B606&lt;75,2,IF(Dataset!B606&lt;120,3,4)))</f>
        <v>2</v>
      </c>
      <c r="D606" s="29">
        <f t="shared" si="72"/>
        <v>1</v>
      </c>
      <c r="E606" s="29">
        <f>IF(Dataset!C606&lt;=1,0.3,IF(Dataset!C606=2,0.4,IF(Dataset!C606=3,0.5,IF(Dataset!C606=4,0.65,0.8))))</f>
        <v>0.65</v>
      </c>
      <c r="F606" s="29">
        <f>IF(Dataset!C606&lt;=2,1,IF(Dataset!C606=3,2,IF(Dataset!C606=4,3,4)))</f>
        <v>3</v>
      </c>
      <c r="G606" s="29">
        <f t="shared" si="73"/>
        <v>1.9500000000000002</v>
      </c>
      <c r="H606" s="29">
        <f>IF(Dataset!G606&lt;=3,0.25,IF(Dataset!G606&lt;=6,0.45,IF(Dataset!G606&lt;=9,0.65,0.85)))</f>
        <v>0.85</v>
      </c>
      <c r="I606" s="29">
        <f>IF(Dataset!G606&lt;=3,1,IF(Dataset!G606&lt;=6,2,IF(Dataset!G606&lt;=9,3,4)))</f>
        <v>4</v>
      </c>
      <c r="J606" s="29">
        <f t="shared" si="74"/>
        <v>3.4</v>
      </c>
      <c r="K606" s="29">
        <f>IF(Dataset!H606&lt;1,0.2,IF(Dataset!H606&lt;1.3,0.45,IF(Dataset!H606&lt;1.8,0.7,0.9)))</f>
        <v>0.2</v>
      </c>
      <c r="L606" s="29">
        <f>IF(Dataset!H606&lt;1,1,IF(Dataset!H606&lt;1.3,2,IF(Dataset!H606&lt;1.8,3,4)))</f>
        <v>1</v>
      </c>
      <c r="M606" s="29">
        <f t="shared" si="75"/>
        <v>0.2</v>
      </c>
      <c r="N606" s="29">
        <f>IF(Dataset!F606=1,0.75,IF(Dataset!F606=2,0.45,0.2))</f>
        <v>0.2</v>
      </c>
      <c r="O606" s="29">
        <f>IF(Dataset!F606=1,3,IF(Dataset!F606=2,2,1))</f>
        <v>1</v>
      </c>
      <c r="P606" s="29">
        <f t="shared" si="76"/>
        <v>0.2</v>
      </c>
      <c r="Q606" s="29">
        <f>IF(Dataset!K606&lt;5,0.2,IF(Dataset!K606&lt;10,0.45,IF(Dataset!K606&lt;18,0.7,0.9)))</f>
        <v>0.7</v>
      </c>
      <c r="R606" s="29">
        <f>IF(Dataset!K606&lt;5,1,IF(Dataset!K606&lt;10,2,IF(Dataset!K606&lt;18,3,4)))</f>
        <v>3</v>
      </c>
      <c r="S606" s="29">
        <f t="shared" si="77"/>
        <v>2.0999999999999996</v>
      </c>
      <c r="T606" s="29">
        <f t="shared" si="78"/>
        <v>1.4950000000000001</v>
      </c>
      <c r="U606" s="29" t="str">
        <f t="shared" si="79"/>
        <v>Medium</v>
      </c>
    </row>
    <row r="607" spans="1:21" ht="15" customHeight="1" x14ac:dyDescent="0.25">
      <c r="A607" s="29">
        <f>Dataset!A607</f>
        <v>603</v>
      </c>
      <c r="B607" s="29">
        <f>IF(Dataset!B607&lt;25,0.3,IF(Dataset!B607&lt;75,0.5,IF(Dataset!B607&lt;120,0.65,0.8)))</f>
        <v>0.65</v>
      </c>
      <c r="C607" s="29">
        <f>IF(Dataset!B607&lt;25,1,IF(Dataset!B607&lt;75,2,IF(Dataset!B607&lt;120,3,4)))</f>
        <v>3</v>
      </c>
      <c r="D607" s="29">
        <f t="shared" si="72"/>
        <v>1.9500000000000002</v>
      </c>
      <c r="E607" s="29">
        <f>IF(Dataset!C607&lt;=1,0.3,IF(Dataset!C607=2,0.4,IF(Dataset!C607=3,0.5,IF(Dataset!C607=4,0.65,0.8))))</f>
        <v>0.65</v>
      </c>
      <c r="F607" s="29">
        <f>IF(Dataset!C607&lt;=2,1,IF(Dataset!C607=3,2,IF(Dataset!C607=4,3,4)))</f>
        <v>3</v>
      </c>
      <c r="G607" s="29">
        <f t="shared" si="73"/>
        <v>1.9500000000000002</v>
      </c>
      <c r="H607" s="29">
        <f>IF(Dataset!G607&lt;=3,0.25,IF(Dataset!G607&lt;=6,0.45,IF(Dataset!G607&lt;=9,0.65,0.85)))</f>
        <v>0.25</v>
      </c>
      <c r="I607" s="29">
        <f>IF(Dataset!G607&lt;=3,1,IF(Dataset!G607&lt;=6,2,IF(Dataset!G607&lt;=9,3,4)))</f>
        <v>1</v>
      </c>
      <c r="J607" s="29">
        <f t="shared" si="74"/>
        <v>0.25</v>
      </c>
      <c r="K607" s="29">
        <f>IF(Dataset!H607&lt;1,0.2,IF(Dataset!H607&lt;1.3,0.45,IF(Dataset!H607&lt;1.8,0.7,0.9)))</f>
        <v>0.9</v>
      </c>
      <c r="L607" s="29">
        <f>IF(Dataset!H607&lt;1,1,IF(Dataset!H607&lt;1.3,2,IF(Dataset!H607&lt;1.8,3,4)))</f>
        <v>4</v>
      </c>
      <c r="M607" s="29">
        <f t="shared" si="75"/>
        <v>3.6</v>
      </c>
      <c r="N607" s="29">
        <f>IF(Dataset!F607=1,0.75,IF(Dataset!F607=2,0.45,0.2))</f>
        <v>0.75</v>
      </c>
      <c r="O607" s="29">
        <f>IF(Dataset!F607=1,3,IF(Dataset!F607=2,2,1))</f>
        <v>3</v>
      </c>
      <c r="P607" s="29">
        <f t="shared" si="76"/>
        <v>2.25</v>
      </c>
      <c r="Q607" s="29">
        <f>IF(Dataset!K607&lt;5,0.2,IF(Dataset!K607&lt;10,0.45,IF(Dataset!K607&lt;18,0.7,0.9)))</f>
        <v>0.7</v>
      </c>
      <c r="R607" s="29">
        <f>IF(Dataset!K607&lt;5,1,IF(Dataset!K607&lt;10,2,IF(Dataset!K607&lt;18,3,4)))</f>
        <v>3</v>
      </c>
      <c r="S607" s="29">
        <f t="shared" si="77"/>
        <v>2.0999999999999996</v>
      </c>
      <c r="T607" s="29">
        <f t="shared" si="78"/>
        <v>2.0570000000000004</v>
      </c>
      <c r="U607" s="29" t="str">
        <f t="shared" si="79"/>
        <v>High</v>
      </c>
    </row>
    <row r="608" spans="1:21" ht="15" customHeight="1" x14ac:dyDescent="0.25">
      <c r="A608" s="29">
        <f>Dataset!A608</f>
        <v>604</v>
      </c>
      <c r="B608" s="29">
        <f>IF(Dataset!B608&lt;25,0.3,IF(Dataset!B608&lt;75,0.5,IF(Dataset!B608&lt;120,0.65,0.8)))</f>
        <v>0.5</v>
      </c>
      <c r="C608" s="29">
        <f>IF(Dataset!B608&lt;25,1,IF(Dataset!B608&lt;75,2,IF(Dataset!B608&lt;120,3,4)))</f>
        <v>2</v>
      </c>
      <c r="D608" s="29">
        <f t="shared" si="72"/>
        <v>1</v>
      </c>
      <c r="E608" s="29">
        <f>IF(Dataset!C608&lt;=1,0.3,IF(Dataset!C608=2,0.4,IF(Dataset!C608=3,0.5,IF(Dataset!C608=4,0.65,0.8))))</f>
        <v>0.8</v>
      </c>
      <c r="F608" s="29">
        <f>IF(Dataset!C608&lt;=2,1,IF(Dataset!C608=3,2,IF(Dataset!C608=4,3,4)))</f>
        <v>4</v>
      </c>
      <c r="G608" s="29">
        <f t="shared" si="73"/>
        <v>3.2</v>
      </c>
      <c r="H608" s="29">
        <f>IF(Dataset!G608&lt;=3,0.25,IF(Dataset!G608&lt;=6,0.45,IF(Dataset!G608&lt;=9,0.65,0.85)))</f>
        <v>0.25</v>
      </c>
      <c r="I608" s="29">
        <f>IF(Dataset!G608&lt;=3,1,IF(Dataset!G608&lt;=6,2,IF(Dataset!G608&lt;=9,3,4)))</f>
        <v>1</v>
      </c>
      <c r="J608" s="29">
        <f t="shared" si="74"/>
        <v>0.25</v>
      </c>
      <c r="K608" s="29">
        <f>IF(Dataset!H608&lt;1,0.2,IF(Dataset!H608&lt;1.3,0.45,IF(Dataset!H608&lt;1.8,0.7,0.9)))</f>
        <v>0.9</v>
      </c>
      <c r="L608" s="29">
        <f>IF(Dataset!H608&lt;1,1,IF(Dataset!H608&lt;1.3,2,IF(Dataset!H608&lt;1.8,3,4)))</f>
        <v>4</v>
      </c>
      <c r="M608" s="29">
        <f t="shared" si="75"/>
        <v>3.6</v>
      </c>
      <c r="N608" s="29">
        <f>IF(Dataset!F608=1,0.75,IF(Dataset!F608=2,0.45,0.2))</f>
        <v>0.45</v>
      </c>
      <c r="O608" s="29">
        <f>IF(Dataset!F608=1,3,IF(Dataset!F608=2,2,1))</f>
        <v>2</v>
      </c>
      <c r="P608" s="29">
        <f t="shared" si="76"/>
        <v>0.9</v>
      </c>
      <c r="Q608" s="29">
        <f>IF(Dataset!K608&lt;5,0.2,IF(Dataset!K608&lt;10,0.45,IF(Dataset!K608&lt;18,0.7,0.9)))</f>
        <v>0.7</v>
      </c>
      <c r="R608" s="29">
        <f>IF(Dataset!K608&lt;5,1,IF(Dataset!K608&lt;10,2,IF(Dataset!K608&lt;18,3,4)))</f>
        <v>3</v>
      </c>
      <c r="S608" s="29">
        <f t="shared" si="77"/>
        <v>2.0999999999999996</v>
      </c>
      <c r="T608" s="29">
        <f t="shared" si="78"/>
        <v>1.9260000000000004</v>
      </c>
      <c r="U608" s="29" t="str">
        <f t="shared" si="79"/>
        <v>High</v>
      </c>
    </row>
    <row r="609" spans="1:21" ht="15" customHeight="1" x14ac:dyDescent="0.25">
      <c r="A609" s="29">
        <f>Dataset!A609</f>
        <v>605</v>
      </c>
      <c r="B609" s="29">
        <f>IF(Dataset!B609&lt;25,0.3,IF(Dataset!B609&lt;75,0.5,IF(Dataset!B609&lt;120,0.65,0.8)))</f>
        <v>0.5</v>
      </c>
      <c r="C609" s="29">
        <f>IF(Dataset!B609&lt;25,1,IF(Dataset!B609&lt;75,2,IF(Dataset!B609&lt;120,3,4)))</f>
        <v>2</v>
      </c>
      <c r="D609" s="29">
        <f t="shared" si="72"/>
        <v>1</v>
      </c>
      <c r="E609" s="29">
        <f>IF(Dataset!C609&lt;=1,0.3,IF(Dataset!C609=2,0.4,IF(Dataset!C609=3,0.5,IF(Dataset!C609=4,0.65,0.8))))</f>
        <v>0.5</v>
      </c>
      <c r="F609" s="29">
        <f>IF(Dataset!C609&lt;=2,1,IF(Dataset!C609=3,2,IF(Dataset!C609=4,3,4)))</f>
        <v>2</v>
      </c>
      <c r="G609" s="29">
        <f t="shared" si="73"/>
        <v>1</v>
      </c>
      <c r="H609" s="29">
        <f>IF(Dataset!G609&lt;=3,0.25,IF(Dataset!G609&lt;=6,0.45,IF(Dataset!G609&lt;=9,0.65,0.85)))</f>
        <v>0.25</v>
      </c>
      <c r="I609" s="29">
        <f>IF(Dataset!G609&lt;=3,1,IF(Dataset!G609&lt;=6,2,IF(Dataset!G609&lt;=9,3,4)))</f>
        <v>1</v>
      </c>
      <c r="J609" s="29">
        <f t="shared" si="74"/>
        <v>0.25</v>
      </c>
      <c r="K609" s="29">
        <f>IF(Dataset!H609&lt;1,0.2,IF(Dataset!H609&lt;1.3,0.45,IF(Dataset!H609&lt;1.8,0.7,0.9)))</f>
        <v>0.45</v>
      </c>
      <c r="L609" s="29">
        <f>IF(Dataset!H609&lt;1,1,IF(Dataset!H609&lt;1.3,2,IF(Dataset!H609&lt;1.8,3,4)))</f>
        <v>2</v>
      </c>
      <c r="M609" s="29">
        <f t="shared" si="75"/>
        <v>0.9</v>
      </c>
      <c r="N609" s="29">
        <f>IF(Dataset!F609=1,0.75,IF(Dataset!F609=2,0.45,0.2))</f>
        <v>0.2</v>
      </c>
      <c r="O609" s="29">
        <f>IF(Dataset!F609=1,3,IF(Dataset!F609=2,2,1))</f>
        <v>1</v>
      </c>
      <c r="P609" s="29">
        <f t="shared" si="76"/>
        <v>0.2</v>
      </c>
      <c r="Q609" s="29">
        <f>IF(Dataset!K609&lt;5,0.2,IF(Dataset!K609&lt;10,0.45,IF(Dataset!K609&lt;18,0.7,0.9)))</f>
        <v>0.45</v>
      </c>
      <c r="R609" s="29">
        <f>IF(Dataset!K609&lt;5,1,IF(Dataset!K609&lt;10,2,IF(Dataset!K609&lt;18,3,4)))</f>
        <v>2</v>
      </c>
      <c r="S609" s="29">
        <f t="shared" si="77"/>
        <v>0.9</v>
      </c>
      <c r="T609" s="29">
        <f t="shared" si="78"/>
        <v>0.73199999999999998</v>
      </c>
      <c r="U609" s="29" t="str">
        <f t="shared" si="79"/>
        <v>Low</v>
      </c>
    </row>
    <row r="610" spans="1:21" ht="15" customHeight="1" x14ac:dyDescent="0.25">
      <c r="A610" s="29">
        <f>Dataset!A610</f>
        <v>606</v>
      </c>
      <c r="B610" s="29">
        <f>IF(Dataset!B610&lt;25,0.3,IF(Dataset!B610&lt;75,0.5,IF(Dataset!B610&lt;120,0.65,0.8)))</f>
        <v>0.3</v>
      </c>
      <c r="C610" s="29">
        <f>IF(Dataset!B610&lt;25,1,IF(Dataset!B610&lt;75,2,IF(Dataset!B610&lt;120,3,4)))</f>
        <v>1</v>
      </c>
      <c r="D610" s="29">
        <f t="shared" si="72"/>
        <v>0.3</v>
      </c>
      <c r="E610" s="29">
        <f>IF(Dataset!C610&lt;=1,0.3,IF(Dataset!C610=2,0.4,IF(Dataset!C610=3,0.5,IF(Dataset!C610=4,0.65,0.8))))</f>
        <v>0.65</v>
      </c>
      <c r="F610" s="29">
        <f>IF(Dataset!C610&lt;=2,1,IF(Dataset!C610=3,2,IF(Dataset!C610=4,3,4)))</f>
        <v>3</v>
      </c>
      <c r="G610" s="29">
        <f t="shared" si="73"/>
        <v>1.9500000000000002</v>
      </c>
      <c r="H610" s="29">
        <f>IF(Dataset!G610&lt;=3,0.25,IF(Dataset!G610&lt;=6,0.45,IF(Dataset!G610&lt;=9,0.65,0.85)))</f>
        <v>0.45</v>
      </c>
      <c r="I610" s="29">
        <f>IF(Dataset!G610&lt;=3,1,IF(Dataset!G610&lt;=6,2,IF(Dataset!G610&lt;=9,3,4)))</f>
        <v>2</v>
      </c>
      <c r="J610" s="29">
        <f t="shared" si="74"/>
        <v>0.9</v>
      </c>
      <c r="K610" s="29">
        <f>IF(Dataset!H610&lt;1,0.2,IF(Dataset!H610&lt;1.3,0.45,IF(Dataset!H610&lt;1.8,0.7,0.9)))</f>
        <v>0.45</v>
      </c>
      <c r="L610" s="29">
        <f>IF(Dataset!H610&lt;1,1,IF(Dataset!H610&lt;1.3,2,IF(Dataset!H610&lt;1.8,3,4)))</f>
        <v>2</v>
      </c>
      <c r="M610" s="29">
        <f t="shared" si="75"/>
        <v>0.9</v>
      </c>
      <c r="N610" s="29">
        <f>IF(Dataset!F610=1,0.75,IF(Dataset!F610=2,0.45,0.2))</f>
        <v>0.45</v>
      </c>
      <c r="O610" s="29">
        <f>IF(Dataset!F610=1,3,IF(Dataset!F610=2,2,1))</f>
        <v>2</v>
      </c>
      <c r="P610" s="29">
        <f t="shared" si="76"/>
        <v>0.9</v>
      </c>
      <c r="Q610" s="29">
        <f>IF(Dataset!K610&lt;5,0.2,IF(Dataset!K610&lt;10,0.45,IF(Dataset!K610&lt;18,0.7,0.9)))</f>
        <v>0.7</v>
      </c>
      <c r="R610" s="29">
        <f>IF(Dataset!K610&lt;5,1,IF(Dataset!K610&lt;10,2,IF(Dataset!K610&lt;18,3,4)))</f>
        <v>3</v>
      </c>
      <c r="S610" s="29">
        <f t="shared" si="77"/>
        <v>2.0999999999999996</v>
      </c>
      <c r="T610" s="29">
        <f t="shared" si="78"/>
        <v>1.107</v>
      </c>
      <c r="U610" s="29" t="str">
        <f t="shared" si="79"/>
        <v>Low</v>
      </c>
    </row>
    <row r="611" spans="1:21" ht="15" customHeight="1" x14ac:dyDescent="0.25">
      <c r="A611" s="29">
        <f>Dataset!A611</f>
        <v>607</v>
      </c>
      <c r="B611" s="29">
        <f>IF(Dataset!B611&lt;25,0.3,IF(Dataset!B611&lt;75,0.5,IF(Dataset!B611&lt;120,0.65,0.8)))</f>
        <v>0.3</v>
      </c>
      <c r="C611" s="29">
        <f>IF(Dataset!B611&lt;25,1,IF(Dataset!B611&lt;75,2,IF(Dataset!B611&lt;120,3,4)))</f>
        <v>1</v>
      </c>
      <c r="D611" s="29">
        <f t="shared" si="72"/>
        <v>0.3</v>
      </c>
      <c r="E611" s="29">
        <f>IF(Dataset!C611&lt;=1,0.3,IF(Dataset!C611=2,0.4,IF(Dataset!C611=3,0.5,IF(Dataset!C611=4,0.65,0.8))))</f>
        <v>0.5</v>
      </c>
      <c r="F611" s="29">
        <f>IF(Dataset!C611&lt;=2,1,IF(Dataset!C611=3,2,IF(Dataset!C611=4,3,4)))</f>
        <v>2</v>
      </c>
      <c r="G611" s="29">
        <f t="shared" si="73"/>
        <v>1</v>
      </c>
      <c r="H611" s="29">
        <f>IF(Dataset!G611&lt;=3,0.25,IF(Dataset!G611&lt;=6,0.45,IF(Dataset!G611&lt;=9,0.65,0.85)))</f>
        <v>0.45</v>
      </c>
      <c r="I611" s="29">
        <f>IF(Dataset!G611&lt;=3,1,IF(Dataset!G611&lt;=6,2,IF(Dataset!G611&lt;=9,3,4)))</f>
        <v>2</v>
      </c>
      <c r="J611" s="29">
        <f t="shared" si="74"/>
        <v>0.9</v>
      </c>
      <c r="K611" s="29">
        <f>IF(Dataset!H611&lt;1,0.2,IF(Dataset!H611&lt;1.3,0.45,IF(Dataset!H611&lt;1.8,0.7,0.9)))</f>
        <v>0.45</v>
      </c>
      <c r="L611" s="29">
        <f>IF(Dataset!H611&lt;1,1,IF(Dataset!H611&lt;1.3,2,IF(Dataset!H611&lt;1.8,3,4)))</f>
        <v>2</v>
      </c>
      <c r="M611" s="29">
        <f t="shared" si="75"/>
        <v>0.9</v>
      </c>
      <c r="N611" s="29">
        <f>IF(Dataset!F611=1,0.75,IF(Dataset!F611=2,0.45,0.2))</f>
        <v>0.75</v>
      </c>
      <c r="O611" s="29">
        <f>IF(Dataset!F611=1,3,IF(Dataset!F611=2,2,1))</f>
        <v>3</v>
      </c>
      <c r="P611" s="29">
        <f t="shared" si="76"/>
        <v>2.25</v>
      </c>
      <c r="Q611" s="29">
        <f>IF(Dataset!K611&lt;5,0.2,IF(Dataset!K611&lt;10,0.45,IF(Dataset!K611&lt;18,0.7,0.9)))</f>
        <v>0.2</v>
      </c>
      <c r="R611" s="29">
        <f>IF(Dataset!K611&lt;5,1,IF(Dataset!K611&lt;10,2,IF(Dataset!K611&lt;18,3,4)))</f>
        <v>1</v>
      </c>
      <c r="S611" s="29">
        <f t="shared" si="77"/>
        <v>0.2</v>
      </c>
      <c r="T611" s="29">
        <f t="shared" si="78"/>
        <v>0.84299999999999997</v>
      </c>
      <c r="U611" s="29" t="str">
        <f t="shared" si="79"/>
        <v>Low</v>
      </c>
    </row>
    <row r="612" spans="1:21" ht="15" customHeight="1" x14ac:dyDescent="0.25">
      <c r="A612" s="29">
        <f>Dataset!A612</f>
        <v>608</v>
      </c>
      <c r="B612" s="29">
        <f>IF(Dataset!B612&lt;25,0.3,IF(Dataset!B612&lt;75,0.5,IF(Dataset!B612&lt;120,0.65,0.8)))</f>
        <v>0.8</v>
      </c>
      <c r="C612" s="29">
        <f>IF(Dataset!B612&lt;25,1,IF(Dataset!B612&lt;75,2,IF(Dataset!B612&lt;120,3,4)))</f>
        <v>4</v>
      </c>
      <c r="D612" s="29">
        <f t="shared" si="72"/>
        <v>3.2</v>
      </c>
      <c r="E612" s="29">
        <f>IF(Dataset!C612&lt;=1,0.3,IF(Dataset!C612=2,0.4,IF(Dataset!C612=3,0.5,IF(Dataset!C612=4,0.65,0.8))))</f>
        <v>0.8</v>
      </c>
      <c r="F612" s="29">
        <f>IF(Dataset!C612&lt;=2,1,IF(Dataset!C612=3,2,IF(Dataset!C612=4,3,4)))</f>
        <v>4</v>
      </c>
      <c r="G612" s="29">
        <f t="shared" si="73"/>
        <v>3.2</v>
      </c>
      <c r="H612" s="29">
        <f>IF(Dataset!G612&lt;=3,0.25,IF(Dataset!G612&lt;=6,0.45,IF(Dataset!G612&lt;=9,0.65,0.85)))</f>
        <v>0.65</v>
      </c>
      <c r="I612" s="29">
        <f>IF(Dataset!G612&lt;=3,1,IF(Dataset!G612&lt;=6,2,IF(Dataset!G612&lt;=9,3,4)))</f>
        <v>3</v>
      </c>
      <c r="J612" s="29">
        <f t="shared" si="74"/>
        <v>1.9500000000000002</v>
      </c>
      <c r="K612" s="29">
        <f>IF(Dataset!H612&lt;1,0.2,IF(Dataset!H612&lt;1.3,0.45,IF(Dataset!H612&lt;1.8,0.7,0.9)))</f>
        <v>0.45</v>
      </c>
      <c r="L612" s="29">
        <f>IF(Dataset!H612&lt;1,1,IF(Dataset!H612&lt;1.3,2,IF(Dataset!H612&lt;1.8,3,4)))</f>
        <v>2</v>
      </c>
      <c r="M612" s="29">
        <f t="shared" si="75"/>
        <v>0.9</v>
      </c>
      <c r="N612" s="29">
        <f>IF(Dataset!F612=1,0.75,IF(Dataset!F612=2,0.45,0.2))</f>
        <v>0.45</v>
      </c>
      <c r="O612" s="29">
        <f>IF(Dataset!F612=1,3,IF(Dataset!F612=2,2,1))</f>
        <v>2</v>
      </c>
      <c r="P612" s="29">
        <f t="shared" si="76"/>
        <v>0.9</v>
      </c>
      <c r="Q612" s="29">
        <f>IF(Dataset!K612&lt;5,0.2,IF(Dataset!K612&lt;10,0.45,IF(Dataset!K612&lt;18,0.7,0.9)))</f>
        <v>0.7</v>
      </c>
      <c r="R612" s="29">
        <f>IF(Dataset!K612&lt;5,1,IF(Dataset!K612&lt;10,2,IF(Dataset!K612&lt;18,3,4)))</f>
        <v>3</v>
      </c>
      <c r="S612" s="29">
        <f t="shared" si="77"/>
        <v>2.0999999999999996</v>
      </c>
      <c r="T612" s="29">
        <f t="shared" si="78"/>
        <v>2.0140000000000002</v>
      </c>
      <c r="U612" s="29" t="str">
        <f t="shared" si="79"/>
        <v>High</v>
      </c>
    </row>
    <row r="613" spans="1:21" ht="15" customHeight="1" x14ac:dyDescent="0.25">
      <c r="A613" s="29">
        <f>Dataset!A613</f>
        <v>609</v>
      </c>
      <c r="B613" s="29">
        <f>IF(Dataset!B613&lt;25,0.3,IF(Dataset!B613&lt;75,0.5,IF(Dataset!B613&lt;120,0.65,0.8)))</f>
        <v>0.8</v>
      </c>
      <c r="C613" s="29">
        <f>IF(Dataset!B613&lt;25,1,IF(Dataset!B613&lt;75,2,IF(Dataset!B613&lt;120,3,4)))</f>
        <v>4</v>
      </c>
      <c r="D613" s="29">
        <f t="shared" si="72"/>
        <v>3.2</v>
      </c>
      <c r="E613" s="29">
        <f>IF(Dataset!C613&lt;=1,0.3,IF(Dataset!C613=2,0.4,IF(Dataset!C613=3,0.5,IF(Dataset!C613=4,0.65,0.8))))</f>
        <v>0.5</v>
      </c>
      <c r="F613" s="29">
        <f>IF(Dataset!C613&lt;=2,1,IF(Dataset!C613=3,2,IF(Dataset!C613=4,3,4)))</f>
        <v>2</v>
      </c>
      <c r="G613" s="29">
        <f t="shared" si="73"/>
        <v>1</v>
      </c>
      <c r="H613" s="29">
        <f>IF(Dataset!G613&lt;=3,0.25,IF(Dataset!G613&lt;=6,0.45,IF(Dataset!G613&lt;=9,0.65,0.85)))</f>
        <v>0.25</v>
      </c>
      <c r="I613" s="29">
        <f>IF(Dataset!G613&lt;=3,1,IF(Dataset!G613&lt;=6,2,IF(Dataset!G613&lt;=9,3,4)))</f>
        <v>1</v>
      </c>
      <c r="J613" s="29">
        <f t="shared" si="74"/>
        <v>0.25</v>
      </c>
      <c r="K613" s="29">
        <f>IF(Dataset!H613&lt;1,0.2,IF(Dataset!H613&lt;1.3,0.45,IF(Dataset!H613&lt;1.8,0.7,0.9)))</f>
        <v>0.9</v>
      </c>
      <c r="L613" s="29">
        <f>IF(Dataset!H613&lt;1,1,IF(Dataset!H613&lt;1.3,2,IF(Dataset!H613&lt;1.8,3,4)))</f>
        <v>4</v>
      </c>
      <c r="M613" s="29">
        <f t="shared" si="75"/>
        <v>3.6</v>
      </c>
      <c r="N613" s="29">
        <f>IF(Dataset!F613=1,0.75,IF(Dataset!F613=2,0.45,0.2))</f>
        <v>0.2</v>
      </c>
      <c r="O613" s="29">
        <f>IF(Dataset!F613=1,3,IF(Dataset!F613=2,2,1))</f>
        <v>1</v>
      </c>
      <c r="P613" s="29">
        <f t="shared" si="76"/>
        <v>0.2</v>
      </c>
      <c r="Q613" s="29">
        <f>IF(Dataset!K613&lt;5,0.2,IF(Dataset!K613&lt;10,0.45,IF(Dataset!K613&lt;18,0.7,0.9)))</f>
        <v>0.2</v>
      </c>
      <c r="R613" s="29">
        <f>IF(Dataset!K613&lt;5,1,IF(Dataset!K613&lt;10,2,IF(Dataset!K613&lt;18,3,4)))</f>
        <v>1</v>
      </c>
      <c r="S613" s="29">
        <f t="shared" si="77"/>
        <v>0.2</v>
      </c>
      <c r="T613" s="29">
        <f t="shared" si="78"/>
        <v>1.6779999999999999</v>
      </c>
      <c r="U613" s="29" t="str">
        <f t="shared" si="79"/>
        <v>Medium</v>
      </c>
    </row>
    <row r="614" spans="1:21" ht="15" customHeight="1" x14ac:dyDescent="0.25">
      <c r="A614" s="29">
        <f>Dataset!A614</f>
        <v>610</v>
      </c>
      <c r="B614" s="29">
        <f>IF(Dataset!B614&lt;25,0.3,IF(Dataset!B614&lt;75,0.5,IF(Dataset!B614&lt;120,0.65,0.8)))</f>
        <v>0.65</v>
      </c>
      <c r="C614" s="29">
        <f>IF(Dataset!B614&lt;25,1,IF(Dataset!B614&lt;75,2,IF(Dataset!B614&lt;120,3,4)))</f>
        <v>3</v>
      </c>
      <c r="D614" s="29">
        <f t="shared" si="72"/>
        <v>1.9500000000000002</v>
      </c>
      <c r="E614" s="29">
        <f>IF(Dataset!C614&lt;=1,0.3,IF(Dataset!C614=2,0.4,IF(Dataset!C614=3,0.5,IF(Dataset!C614=4,0.65,0.8))))</f>
        <v>0.65</v>
      </c>
      <c r="F614" s="29">
        <f>IF(Dataset!C614&lt;=2,1,IF(Dataset!C614=3,2,IF(Dataset!C614=4,3,4)))</f>
        <v>3</v>
      </c>
      <c r="G614" s="29">
        <f t="shared" si="73"/>
        <v>1.9500000000000002</v>
      </c>
      <c r="H614" s="29">
        <f>IF(Dataset!G614&lt;=3,0.25,IF(Dataset!G614&lt;=6,0.45,IF(Dataset!G614&lt;=9,0.65,0.85)))</f>
        <v>0.45</v>
      </c>
      <c r="I614" s="29">
        <f>IF(Dataset!G614&lt;=3,1,IF(Dataset!G614&lt;=6,2,IF(Dataset!G614&lt;=9,3,4)))</f>
        <v>2</v>
      </c>
      <c r="J614" s="29">
        <f t="shared" si="74"/>
        <v>0.9</v>
      </c>
      <c r="K614" s="29">
        <f>IF(Dataset!H614&lt;1,0.2,IF(Dataset!H614&lt;1.3,0.45,IF(Dataset!H614&lt;1.8,0.7,0.9)))</f>
        <v>0.7</v>
      </c>
      <c r="L614" s="29">
        <f>IF(Dataset!H614&lt;1,1,IF(Dataset!H614&lt;1.3,2,IF(Dataset!H614&lt;1.8,3,4)))</f>
        <v>3</v>
      </c>
      <c r="M614" s="29">
        <f t="shared" si="75"/>
        <v>2.0999999999999996</v>
      </c>
      <c r="N614" s="29">
        <f>IF(Dataset!F614=1,0.75,IF(Dataset!F614=2,0.45,0.2))</f>
        <v>0.2</v>
      </c>
      <c r="O614" s="29">
        <f>IF(Dataset!F614=1,3,IF(Dataset!F614=2,2,1))</f>
        <v>1</v>
      </c>
      <c r="P614" s="29">
        <f t="shared" si="76"/>
        <v>0.2</v>
      </c>
      <c r="Q614" s="29">
        <f>IF(Dataset!K614&lt;5,0.2,IF(Dataset!K614&lt;10,0.45,IF(Dataset!K614&lt;18,0.7,0.9)))</f>
        <v>0.45</v>
      </c>
      <c r="R614" s="29">
        <f>IF(Dataset!K614&lt;5,1,IF(Dataset!K614&lt;10,2,IF(Dataset!K614&lt;18,3,4)))</f>
        <v>2</v>
      </c>
      <c r="S614" s="29">
        <f t="shared" si="77"/>
        <v>0.9</v>
      </c>
      <c r="T614" s="29">
        <f t="shared" si="78"/>
        <v>1.4540000000000002</v>
      </c>
      <c r="U614" s="29" t="str">
        <f t="shared" si="79"/>
        <v>Medium</v>
      </c>
    </row>
    <row r="615" spans="1:21" ht="15" customHeight="1" x14ac:dyDescent="0.25">
      <c r="A615" s="29">
        <f>Dataset!A615</f>
        <v>611</v>
      </c>
      <c r="B615" s="29">
        <f>IF(Dataset!B615&lt;25,0.3,IF(Dataset!B615&lt;75,0.5,IF(Dataset!B615&lt;120,0.65,0.8)))</f>
        <v>0.65</v>
      </c>
      <c r="C615" s="29">
        <f>IF(Dataset!B615&lt;25,1,IF(Dataset!B615&lt;75,2,IF(Dataset!B615&lt;120,3,4)))</f>
        <v>3</v>
      </c>
      <c r="D615" s="29">
        <f t="shared" si="72"/>
        <v>1.9500000000000002</v>
      </c>
      <c r="E615" s="29">
        <f>IF(Dataset!C615&lt;=1,0.3,IF(Dataset!C615=2,0.4,IF(Dataset!C615=3,0.5,IF(Dataset!C615=4,0.65,0.8))))</f>
        <v>0.65</v>
      </c>
      <c r="F615" s="29">
        <f>IF(Dataset!C615&lt;=2,1,IF(Dataset!C615=3,2,IF(Dataset!C615=4,3,4)))</f>
        <v>3</v>
      </c>
      <c r="G615" s="29">
        <f t="shared" si="73"/>
        <v>1.9500000000000002</v>
      </c>
      <c r="H615" s="29">
        <f>IF(Dataset!G615&lt;=3,0.25,IF(Dataset!G615&lt;=6,0.45,IF(Dataset!G615&lt;=9,0.65,0.85)))</f>
        <v>0.65</v>
      </c>
      <c r="I615" s="29">
        <f>IF(Dataset!G615&lt;=3,1,IF(Dataset!G615&lt;=6,2,IF(Dataset!G615&lt;=9,3,4)))</f>
        <v>3</v>
      </c>
      <c r="J615" s="29">
        <f t="shared" si="74"/>
        <v>1.9500000000000002</v>
      </c>
      <c r="K615" s="29">
        <f>IF(Dataset!H615&lt;1,0.2,IF(Dataset!H615&lt;1.3,0.45,IF(Dataset!H615&lt;1.8,0.7,0.9)))</f>
        <v>0.7</v>
      </c>
      <c r="L615" s="29">
        <f>IF(Dataset!H615&lt;1,1,IF(Dataset!H615&lt;1.3,2,IF(Dataset!H615&lt;1.8,3,4)))</f>
        <v>3</v>
      </c>
      <c r="M615" s="29">
        <f t="shared" si="75"/>
        <v>2.0999999999999996</v>
      </c>
      <c r="N615" s="29">
        <f>IF(Dataset!F615=1,0.75,IF(Dataset!F615=2,0.45,0.2))</f>
        <v>0.75</v>
      </c>
      <c r="O615" s="29">
        <f>IF(Dataset!F615=1,3,IF(Dataset!F615=2,2,1))</f>
        <v>3</v>
      </c>
      <c r="P615" s="29">
        <f t="shared" si="76"/>
        <v>2.25</v>
      </c>
      <c r="Q615" s="29">
        <f>IF(Dataset!K615&lt;5,0.2,IF(Dataset!K615&lt;10,0.45,IF(Dataset!K615&lt;18,0.7,0.9)))</f>
        <v>0.7</v>
      </c>
      <c r="R615" s="29">
        <f>IF(Dataset!K615&lt;5,1,IF(Dataset!K615&lt;10,2,IF(Dataset!K615&lt;18,3,4)))</f>
        <v>3</v>
      </c>
      <c r="S615" s="29">
        <f t="shared" si="77"/>
        <v>2.0999999999999996</v>
      </c>
      <c r="T615" s="29">
        <f t="shared" si="78"/>
        <v>2.0370000000000004</v>
      </c>
      <c r="U615" s="29" t="str">
        <f t="shared" si="79"/>
        <v>High</v>
      </c>
    </row>
    <row r="616" spans="1:21" ht="15" customHeight="1" x14ac:dyDescent="0.25">
      <c r="A616" s="29">
        <f>Dataset!A616</f>
        <v>612</v>
      </c>
      <c r="B616" s="29">
        <f>IF(Dataset!B616&lt;25,0.3,IF(Dataset!B616&lt;75,0.5,IF(Dataset!B616&lt;120,0.65,0.8)))</f>
        <v>0.5</v>
      </c>
      <c r="C616" s="29">
        <f>IF(Dataset!B616&lt;25,1,IF(Dataset!B616&lt;75,2,IF(Dataset!B616&lt;120,3,4)))</f>
        <v>2</v>
      </c>
      <c r="D616" s="29">
        <f t="shared" si="72"/>
        <v>1</v>
      </c>
      <c r="E616" s="29">
        <f>IF(Dataset!C616&lt;=1,0.3,IF(Dataset!C616=2,0.4,IF(Dataset!C616=3,0.5,IF(Dataset!C616=4,0.65,0.8))))</f>
        <v>0.8</v>
      </c>
      <c r="F616" s="29">
        <f>IF(Dataset!C616&lt;=2,1,IF(Dataset!C616=3,2,IF(Dataset!C616=4,3,4)))</f>
        <v>4</v>
      </c>
      <c r="G616" s="29">
        <f t="shared" si="73"/>
        <v>3.2</v>
      </c>
      <c r="H616" s="29">
        <f>IF(Dataset!G616&lt;=3,0.25,IF(Dataset!G616&lt;=6,0.45,IF(Dataset!G616&lt;=9,0.65,0.85)))</f>
        <v>0.25</v>
      </c>
      <c r="I616" s="29">
        <f>IF(Dataset!G616&lt;=3,1,IF(Dataset!G616&lt;=6,2,IF(Dataset!G616&lt;=9,3,4)))</f>
        <v>1</v>
      </c>
      <c r="J616" s="29">
        <f t="shared" si="74"/>
        <v>0.25</v>
      </c>
      <c r="K616" s="29">
        <f>IF(Dataset!H616&lt;1,0.2,IF(Dataset!H616&lt;1.3,0.45,IF(Dataset!H616&lt;1.8,0.7,0.9)))</f>
        <v>0.7</v>
      </c>
      <c r="L616" s="29">
        <f>IF(Dataset!H616&lt;1,1,IF(Dataset!H616&lt;1.3,2,IF(Dataset!H616&lt;1.8,3,4)))</f>
        <v>3</v>
      </c>
      <c r="M616" s="29">
        <f t="shared" si="75"/>
        <v>2.0999999999999996</v>
      </c>
      <c r="N616" s="29">
        <f>IF(Dataset!F616=1,0.75,IF(Dataset!F616=2,0.45,0.2))</f>
        <v>0.2</v>
      </c>
      <c r="O616" s="29">
        <f>IF(Dataset!F616=1,3,IF(Dataset!F616=2,2,1))</f>
        <v>1</v>
      </c>
      <c r="P616" s="29">
        <f t="shared" si="76"/>
        <v>0.2</v>
      </c>
      <c r="Q616" s="29">
        <f>IF(Dataset!K616&lt;5,0.2,IF(Dataset!K616&lt;10,0.45,IF(Dataset!K616&lt;18,0.7,0.9)))</f>
        <v>0.7</v>
      </c>
      <c r="R616" s="29">
        <f>IF(Dataset!K616&lt;5,1,IF(Dataset!K616&lt;10,2,IF(Dataset!K616&lt;18,3,4)))</f>
        <v>3</v>
      </c>
      <c r="S616" s="29">
        <f t="shared" si="77"/>
        <v>2.0999999999999996</v>
      </c>
      <c r="T616" s="29">
        <f t="shared" si="78"/>
        <v>1.496</v>
      </c>
      <c r="U616" s="29" t="str">
        <f t="shared" si="79"/>
        <v>Medium</v>
      </c>
    </row>
    <row r="617" spans="1:21" ht="15" customHeight="1" x14ac:dyDescent="0.25">
      <c r="A617" s="29">
        <f>Dataset!A617</f>
        <v>613</v>
      </c>
      <c r="B617" s="29">
        <f>IF(Dataset!B617&lt;25,0.3,IF(Dataset!B617&lt;75,0.5,IF(Dataset!B617&lt;120,0.65,0.8)))</f>
        <v>0.65</v>
      </c>
      <c r="C617" s="29">
        <f>IF(Dataset!B617&lt;25,1,IF(Dataset!B617&lt;75,2,IF(Dataset!B617&lt;120,3,4)))</f>
        <v>3</v>
      </c>
      <c r="D617" s="29">
        <f t="shared" si="72"/>
        <v>1.9500000000000002</v>
      </c>
      <c r="E617" s="29">
        <f>IF(Dataset!C617&lt;=1,0.3,IF(Dataset!C617=2,0.4,IF(Dataset!C617=3,0.5,IF(Dataset!C617=4,0.65,0.8))))</f>
        <v>0.5</v>
      </c>
      <c r="F617" s="29">
        <f>IF(Dataset!C617&lt;=2,1,IF(Dataset!C617=3,2,IF(Dataset!C617=4,3,4)))</f>
        <v>2</v>
      </c>
      <c r="G617" s="29">
        <f t="shared" si="73"/>
        <v>1</v>
      </c>
      <c r="H617" s="29">
        <f>IF(Dataset!G617&lt;=3,0.25,IF(Dataset!G617&lt;=6,0.45,IF(Dataset!G617&lt;=9,0.65,0.85)))</f>
        <v>0.25</v>
      </c>
      <c r="I617" s="29">
        <f>IF(Dataset!G617&lt;=3,1,IF(Dataset!G617&lt;=6,2,IF(Dataset!G617&lt;=9,3,4)))</f>
        <v>1</v>
      </c>
      <c r="J617" s="29">
        <f t="shared" si="74"/>
        <v>0.25</v>
      </c>
      <c r="K617" s="29">
        <f>IF(Dataset!H617&lt;1,0.2,IF(Dataset!H617&lt;1.3,0.45,IF(Dataset!H617&lt;1.8,0.7,0.9)))</f>
        <v>0.9</v>
      </c>
      <c r="L617" s="29">
        <f>IF(Dataset!H617&lt;1,1,IF(Dataset!H617&lt;1.3,2,IF(Dataset!H617&lt;1.8,3,4)))</f>
        <v>4</v>
      </c>
      <c r="M617" s="29">
        <f t="shared" si="75"/>
        <v>3.6</v>
      </c>
      <c r="N617" s="29">
        <f>IF(Dataset!F617=1,0.75,IF(Dataset!F617=2,0.45,0.2))</f>
        <v>0.45</v>
      </c>
      <c r="O617" s="29">
        <f>IF(Dataset!F617=1,3,IF(Dataset!F617=2,2,1))</f>
        <v>2</v>
      </c>
      <c r="P617" s="29">
        <f t="shared" si="76"/>
        <v>0.9</v>
      </c>
      <c r="Q617" s="29">
        <f>IF(Dataset!K617&lt;5,0.2,IF(Dataset!K617&lt;10,0.45,IF(Dataset!K617&lt;18,0.7,0.9)))</f>
        <v>0.45</v>
      </c>
      <c r="R617" s="29">
        <f>IF(Dataset!K617&lt;5,1,IF(Dataset!K617&lt;10,2,IF(Dataset!K617&lt;18,3,4)))</f>
        <v>2</v>
      </c>
      <c r="S617" s="29">
        <f t="shared" si="77"/>
        <v>0.9</v>
      </c>
      <c r="T617" s="29">
        <f t="shared" si="78"/>
        <v>1.6210000000000002</v>
      </c>
      <c r="U617" s="29" t="str">
        <f t="shared" si="79"/>
        <v>Medium</v>
      </c>
    </row>
    <row r="618" spans="1:21" ht="15" customHeight="1" x14ac:dyDescent="0.25">
      <c r="A618" s="29">
        <f>Dataset!A618</f>
        <v>614</v>
      </c>
      <c r="B618" s="29">
        <f>IF(Dataset!B618&lt;25,0.3,IF(Dataset!B618&lt;75,0.5,IF(Dataset!B618&lt;120,0.65,0.8)))</f>
        <v>0.3</v>
      </c>
      <c r="C618" s="29">
        <f>IF(Dataset!B618&lt;25,1,IF(Dataset!B618&lt;75,2,IF(Dataset!B618&lt;120,3,4)))</f>
        <v>1</v>
      </c>
      <c r="D618" s="29">
        <f t="shared" si="72"/>
        <v>0.3</v>
      </c>
      <c r="E618" s="29">
        <f>IF(Dataset!C618&lt;=1,0.3,IF(Dataset!C618=2,0.4,IF(Dataset!C618=3,0.5,IF(Dataset!C618=4,0.65,0.8))))</f>
        <v>0.65</v>
      </c>
      <c r="F618" s="29">
        <f>IF(Dataset!C618&lt;=2,1,IF(Dataset!C618=3,2,IF(Dataset!C618=4,3,4)))</f>
        <v>3</v>
      </c>
      <c r="G618" s="29">
        <f t="shared" si="73"/>
        <v>1.9500000000000002</v>
      </c>
      <c r="H618" s="29">
        <f>IF(Dataset!G618&lt;=3,0.25,IF(Dataset!G618&lt;=6,0.45,IF(Dataset!G618&lt;=9,0.65,0.85)))</f>
        <v>0.65</v>
      </c>
      <c r="I618" s="29">
        <f>IF(Dataset!G618&lt;=3,1,IF(Dataset!G618&lt;=6,2,IF(Dataset!G618&lt;=9,3,4)))</f>
        <v>3</v>
      </c>
      <c r="J618" s="29">
        <f t="shared" si="74"/>
        <v>1.9500000000000002</v>
      </c>
      <c r="K618" s="29">
        <f>IF(Dataset!H618&lt;1,0.2,IF(Dataset!H618&lt;1.3,0.45,IF(Dataset!H618&lt;1.8,0.7,0.9)))</f>
        <v>0.45</v>
      </c>
      <c r="L618" s="29">
        <f>IF(Dataset!H618&lt;1,1,IF(Dataset!H618&lt;1.3,2,IF(Dataset!H618&lt;1.8,3,4)))</f>
        <v>2</v>
      </c>
      <c r="M618" s="29">
        <f t="shared" si="75"/>
        <v>0.9</v>
      </c>
      <c r="N618" s="29">
        <f>IF(Dataset!F618=1,0.75,IF(Dataset!F618=2,0.45,0.2))</f>
        <v>0.75</v>
      </c>
      <c r="O618" s="29">
        <f>IF(Dataset!F618=1,3,IF(Dataset!F618=2,2,1))</f>
        <v>3</v>
      </c>
      <c r="P618" s="29">
        <f t="shared" si="76"/>
        <v>2.25</v>
      </c>
      <c r="Q618" s="29">
        <f>IF(Dataset!K618&lt;5,0.2,IF(Dataset!K618&lt;10,0.45,IF(Dataset!K618&lt;18,0.7,0.9)))</f>
        <v>0.7</v>
      </c>
      <c r="R618" s="29">
        <f>IF(Dataset!K618&lt;5,1,IF(Dataset!K618&lt;10,2,IF(Dataset!K618&lt;18,3,4)))</f>
        <v>3</v>
      </c>
      <c r="S618" s="29">
        <f t="shared" si="77"/>
        <v>2.0999999999999996</v>
      </c>
      <c r="T618" s="29">
        <f t="shared" si="78"/>
        <v>1.4520000000000002</v>
      </c>
      <c r="U618" s="29" t="str">
        <f t="shared" si="79"/>
        <v>Medium</v>
      </c>
    </row>
    <row r="619" spans="1:21" ht="15" customHeight="1" x14ac:dyDescent="0.25">
      <c r="A619" s="29">
        <f>Dataset!A619</f>
        <v>615</v>
      </c>
      <c r="B619" s="29">
        <f>IF(Dataset!B619&lt;25,0.3,IF(Dataset!B619&lt;75,0.5,IF(Dataset!B619&lt;120,0.65,0.8)))</f>
        <v>0.5</v>
      </c>
      <c r="C619" s="29">
        <f>IF(Dataset!B619&lt;25,1,IF(Dataset!B619&lt;75,2,IF(Dataset!B619&lt;120,3,4)))</f>
        <v>2</v>
      </c>
      <c r="D619" s="29">
        <f t="shared" si="72"/>
        <v>1</v>
      </c>
      <c r="E619" s="29">
        <f>IF(Dataset!C619&lt;=1,0.3,IF(Dataset!C619=2,0.4,IF(Dataset!C619=3,0.5,IF(Dataset!C619=4,0.65,0.8))))</f>
        <v>0.65</v>
      </c>
      <c r="F619" s="29">
        <f>IF(Dataset!C619&lt;=2,1,IF(Dataset!C619=3,2,IF(Dataset!C619=4,3,4)))</f>
        <v>3</v>
      </c>
      <c r="G619" s="29">
        <f t="shared" si="73"/>
        <v>1.9500000000000002</v>
      </c>
      <c r="H619" s="29">
        <f>IF(Dataset!G619&lt;=3,0.25,IF(Dataset!G619&lt;=6,0.45,IF(Dataset!G619&lt;=9,0.65,0.85)))</f>
        <v>0.25</v>
      </c>
      <c r="I619" s="29">
        <f>IF(Dataset!G619&lt;=3,1,IF(Dataset!G619&lt;=6,2,IF(Dataset!G619&lt;=9,3,4)))</f>
        <v>1</v>
      </c>
      <c r="J619" s="29">
        <f t="shared" si="74"/>
        <v>0.25</v>
      </c>
      <c r="K619" s="29">
        <f>IF(Dataset!H619&lt;1,0.2,IF(Dataset!H619&lt;1.3,0.45,IF(Dataset!H619&lt;1.8,0.7,0.9)))</f>
        <v>0.2</v>
      </c>
      <c r="L619" s="29">
        <f>IF(Dataset!H619&lt;1,1,IF(Dataset!H619&lt;1.3,2,IF(Dataset!H619&lt;1.8,3,4)))</f>
        <v>1</v>
      </c>
      <c r="M619" s="29">
        <f t="shared" si="75"/>
        <v>0.2</v>
      </c>
      <c r="N619" s="29">
        <f>IF(Dataset!F619=1,0.75,IF(Dataset!F619=2,0.45,0.2))</f>
        <v>0.45</v>
      </c>
      <c r="O619" s="29">
        <f>IF(Dataset!F619=1,3,IF(Dataset!F619=2,2,1))</f>
        <v>2</v>
      </c>
      <c r="P619" s="29">
        <f t="shared" si="76"/>
        <v>0.9</v>
      </c>
      <c r="Q619" s="29">
        <f>IF(Dataset!K619&lt;5,0.2,IF(Dataset!K619&lt;10,0.45,IF(Dataset!K619&lt;18,0.7,0.9)))</f>
        <v>0.7</v>
      </c>
      <c r="R619" s="29">
        <f>IF(Dataset!K619&lt;5,1,IF(Dataset!K619&lt;10,2,IF(Dataset!K619&lt;18,3,4)))</f>
        <v>3</v>
      </c>
      <c r="S619" s="29">
        <f t="shared" si="77"/>
        <v>2.0999999999999996</v>
      </c>
      <c r="T619" s="29">
        <f t="shared" si="78"/>
        <v>0.93500000000000005</v>
      </c>
      <c r="U619" s="29" t="str">
        <f t="shared" si="79"/>
        <v>Low</v>
      </c>
    </row>
    <row r="620" spans="1:21" ht="15" customHeight="1" x14ac:dyDescent="0.25">
      <c r="A620" s="29">
        <f>Dataset!A620</f>
        <v>616</v>
      </c>
      <c r="B620" s="29">
        <f>IF(Dataset!B620&lt;25,0.3,IF(Dataset!B620&lt;75,0.5,IF(Dataset!B620&lt;120,0.65,0.8)))</f>
        <v>0.5</v>
      </c>
      <c r="C620" s="29">
        <f>IF(Dataset!B620&lt;25,1,IF(Dataset!B620&lt;75,2,IF(Dataset!B620&lt;120,3,4)))</f>
        <v>2</v>
      </c>
      <c r="D620" s="29">
        <f t="shared" si="72"/>
        <v>1</v>
      </c>
      <c r="E620" s="29">
        <f>IF(Dataset!C620&lt;=1,0.3,IF(Dataset!C620=2,0.4,IF(Dataset!C620=3,0.5,IF(Dataset!C620=4,0.65,0.8))))</f>
        <v>0.8</v>
      </c>
      <c r="F620" s="29">
        <f>IF(Dataset!C620&lt;=2,1,IF(Dataset!C620=3,2,IF(Dataset!C620=4,3,4)))</f>
        <v>4</v>
      </c>
      <c r="G620" s="29">
        <f t="shared" si="73"/>
        <v>3.2</v>
      </c>
      <c r="H620" s="29">
        <f>IF(Dataset!G620&lt;=3,0.25,IF(Dataset!G620&lt;=6,0.45,IF(Dataset!G620&lt;=9,0.65,0.85)))</f>
        <v>0.65</v>
      </c>
      <c r="I620" s="29">
        <f>IF(Dataset!G620&lt;=3,1,IF(Dataset!G620&lt;=6,2,IF(Dataset!G620&lt;=9,3,4)))</f>
        <v>3</v>
      </c>
      <c r="J620" s="29">
        <f t="shared" si="74"/>
        <v>1.9500000000000002</v>
      </c>
      <c r="K620" s="29">
        <f>IF(Dataset!H620&lt;1,0.2,IF(Dataset!H620&lt;1.3,0.45,IF(Dataset!H620&lt;1.8,0.7,0.9)))</f>
        <v>0.9</v>
      </c>
      <c r="L620" s="29">
        <f>IF(Dataset!H620&lt;1,1,IF(Dataset!H620&lt;1.3,2,IF(Dataset!H620&lt;1.8,3,4)))</f>
        <v>4</v>
      </c>
      <c r="M620" s="29">
        <f t="shared" si="75"/>
        <v>3.6</v>
      </c>
      <c r="N620" s="29">
        <f>IF(Dataset!F620=1,0.75,IF(Dataset!F620=2,0.45,0.2))</f>
        <v>0.45</v>
      </c>
      <c r="O620" s="29">
        <f>IF(Dataset!F620=1,3,IF(Dataset!F620=2,2,1))</f>
        <v>2</v>
      </c>
      <c r="P620" s="29">
        <f t="shared" si="76"/>
        <v>0.9</v>
      </c>
      <c r="Q620" s="29">
        <f>IF(Dataset!K620&lt;5,0.2,IF(Dataset!K620&lt;10,0.45,IF(Dataset!K620&lt;18,0.7,0.9)))</f>
        <v>0.9</v>
      </c>
      <c r="R620" s="29">
        <f>IF(Dataset!K620&lt;5,1,IF(Dataset!K620&lt;10,2,IF(Dataset!K620&lt;18,3,4)))</f>
        <v>4</v>
      </c>
      <c r="S620" s="29">
        <f t="shared" si="77"/>
        <v>3.6</v>
      </c>
      <c r="T620" s="29">
        <f t="shared" si="78"/>
        <v>2.4760000000000004</v>
      </c>
      <c r="U620" s="29" t="str">
        <f t="shared" si="79"/>
        <v>High</v>
      </c>
    </row>
    <row r="621" spans="1:21" ht="15" customHeight="1" x14ac:dyDescent="0.25">
      <c r="A621" s="29">
        <f>Dataset!A621</f>
        <v>617</v>
      </c>
      <c r="B621" s="29">
        <f>IF(Dataset!B621&lt;25,0.3,IF(Dataset!B621&lt;75,0.5,IF(Dataset!B621&lt;120,0.65,0.8)))</f>
        <v>0.65</v>
      </c>
      <c r="C621" s="29">
        <f>IF(Dataset!B621&lt;25,1,IF(Dataset!B621&lt;75,2,IF(Dataset!B621&lt;120,3,4)))</f>
        <v>3</v>
      </c>
      <c r="D621" s="29">
        <f t="shared" si="72"/>
        <v>1.9500000000000002</v>
      </c>
      <c r="E621" s="29">
        <f>IF(Dataset!C621&lt;=1,0.3,IF(Dataset!C621=2,0.4,IF(Dataset!C621=3,0.5,IF(Dataset!C621=4,0.65,0.8))))</f>
        <v>0.8</v>
      </c>
      <c r="F621" s="29">
        <f>IF(Dataset!C621&lt;=2,1,IF(Dataset!C621=3,2,IF(Dataset!C621=4,3,4)))</f>
        <v>4</v>
      </c>
      <c r="G621" s="29">
        <f t="shared" si="73"/>
        <v>3.2</v>
      </c>
      <c r="H621" s="29">
        <f>IF(Dataset!G621&lt;=3,0.25,IF(Dataset!G621&lt;=6,0.45,IF(Dataset!G621&lt;=9,0.65,0.85)))</f>
        <v>0.45</v>
      </c>
      <c r="I621" s="29">
        <f>IF(Dataset!G621&lt;=3,1,IF(Dataset!G621&lt;=6,2,IF(Dataset!G621&lt;=9,3,4)))</f>
        <v>2</v>
      </c>
      <c r="J621" s="29">
        <f t="shared" si="74"/>
        <v>0.9</v>
      </c>
      <c r="K621" s="29">
        <f>IF(Dataset!H621&lt;1,0.2,IF(Dataset!H621&lt;1.3,0.45,IF(Dataset!H621&lt;1.8,0.7,0.9)))</f>
        <v>0.7</v>
      </c>
      <c r="L621" s="29">
        <f>IF(Dataset!H621&lt;1,1,IF(Dataset!H621&lt;1.3,2,IF(Dataset!H621&lt;1.8,3,4)))</f>
        <v>3</v>
      </c>
      <c r="M621" s="29">
        <f t="shared" si="75"/>
        <v>2.0999999999999996</v>
      </c>
      <c r="N621" s="29">
        <f>IF(Dataset!F621=1,0.75,IF(Dataset!F621=2,0.45,0.2))</f>
        <v>0.45</v>
      </c>
      <c r="O621" s="29">
        <f>IF(Dataset!F621=1,3,IF(Dataset!F621=2,2,1))</f>
        <v>2</v>
      </c>
      <c r="P621" s="29">
        <f t="shared" si="76"/>
        <v>0.9</v>
      </c>
      <c r="Q621" s="29">
        <f>IF(Dataset!K621&lt;5,0.2,IF(Dataset!K621&lt;10,0.45,IF(Dataset!K621&lt;18,0.7,0.9)))</f>
        <v>0.9</v>
      </c>
      <c r="R621" s="29">
        <f>IF(Dataset!K621&lt;5,1,IF(Dataset!K621&lt;10,2,IF(Dataset!K621&lt;18,3,4)))</f>
        <v>4</v>
      </c>
      <c r="S621" s="29">
        <f t="shared" si="77"/>
        <v>3.6</v>
      </c>
      <c r="T621" s="29">
        <f t="shared" si="78"/>
        <v>2.0770000000000004</v>
      </c>
      <c r="U621" s="29" t="str">
        <f t="shared" si="79"/>
        <v>High</v>
      </c>
    </row>
    <row r="622" spans="1:21" ht="15" customHeight="1" x14ac:dyDescent="0.25">
      <c r="A622" s="29">
        <f>Dataset!A622</f>
        <v>618</v>
      </c>
      <c r="B622" s="29">
        <f>IF(Dataset!B622&lt;25,0.3,IF(Dataset!B622&lt;75,0.5,IF(Dataset!B622&lt;120,0.65,0.8)))</f>
        <v>0.8</v>
      </c>
      <c r="C622" s="29">
        <f>IF(Dataset!B622&lt;25,1,IF(Dataset!B622&lt;75,2,IF(Dataset!B622&lt;120,3,4)))</f>
        <v>4</v>
      </c>
      <c r="D622" s="29">
        <f t="shared" si="72"/>
        <v>3.2</v>
      </c>
      <c r="E622" s="29">
        <f>IF(Dataset!C622&lt;=1,0.3,IF(Dataset!C622=2,0.4,IF(Dataset!C622=3,0.5,IF(Dataset!C622=4,0.65,0.8))))</f>
        <v>0.65</v>
      </c>
      <c r="F622" s="29">
        <f>IF(Dataset!C622&lt;=2,1,IF(Dataset!C622=3,2,IF(Dataset!C622=4,3,4)))</f>
        <v>3</v>
      </c>
      <c r="G622" s="29">
        <f t="shared" si="73"/>
        <v>1.9500000000000002</v>
      </c>
      <c r="H622" s="29">
        <f>IF(Dataset!G622&lt;=3,0.25,IF(Dataset!G622&lt;=6,0.45,IF(Dataset!G622&lt;=9,0.65,0.85)))</f>
        <v>0.65</v>
      </c>
      <c r="I622" s="29">
        <f>IF(Dataset!G622&lt;=3,1,IF(Dataset!G622&lt;=6,2,IF(Dataset!G622&lt;=9,3,4)))</f>
        <v>3</v>
      </c>
      <c r="J622" s="29">
        <f t="shared" si="74"/>
        <v>1.9500000000000002</v>
      </c>
      <c r="K622" s="29">
        <f>IF(Dataset!H622&lt;1,0.2,IF(Dataset!H622&lt;1.3,0.45,IF(Dataset!H622&lt;1.8,0.7,0.9)))</f>
        <v>0.9</v>
      </c>
      <c r="L622" s="29">
        <f>IF(Dataset!H622&lt;1,1,IF(Dataset!H622&lt;1.3,2,IF(Dataset!H622&lt;1.8,3,4)))</f>
        <v>4</v>
      </c>
      <c r="M622" s="29">
        <f t="shared" si="75"/>
        <v>3.6</v>
      </c>
      <c r="N622" s="29">
        <f>IF(Dataset!F622=1,0.75,IF(Dataset!F622=2,0.45,0.2))</f>
        <v>0.2</v>
      </c>
      <c r="O622" s="29">
        <f>IF(Dataset!F622=1,3,IF(Dataset!F622=2,2,1))</f>
        <v>1</v>
      </c>
      <c r="P622" s="29">
        <f t="shared" si="76"/>
        <v>0.2</v>
      </c>
      <c r="Q622" s="29">
        <f>IF(Dataset!K622&lt;5,0.2,IF(Dataset!K622&lt;10,0.45,IF(Dataset!K622&lt;18,0.7,0.9)))</f>
        <v>0.45</v>
      </c>
      <c r="R622" s="29">
        <f>IF(Dataset!K622&lt;5,1,IF(Dataset!K622&lt;10,2,IF(Dataset!K622&lt;18,3,4)))</f>
        <v>2</v>
      </c>
      <c r="S622" s="29">
        <f t="shared" si="77"/>
        <v>0.9</v>
      </c>
      <c r="T622" s="29">
        <f t="shared" si="78"/>
        <v>2.2490000000000001</v>
      </c>
      <c r="U622" s="29" t="str">
        <f t="shared" si="79"/>
        <v>High</v>
      </c>
    </row>
    <row r="623" spans="1:21" ht="15" customHeight="1" x14ac:dyDescent="0.25">
      <c r="A623" s="29">
        <f>Dataset!A623</f>
        <v>619</v>
      </c>
      <c r="B623" s="29">
        <f>IF(Dataset!B623&lt;25,0.3,IF(Dataset!B623&lt;75,0.5,IF(Dataset!B623&lt;120,0.65,0.8)))</f>
        <v>0.3</v>
      </c>
      <c r="C623" s="29">
        <f>IF(Dataset!B623&lt;25,1,IF(Dataset!B623&lt;75,2,IF(Dataset!B623&lt;120,3,4)))</f>
        <v>1</v>
      </c>
      <c r="D623" s="29">
        <f t="shared" si="72"/>
        <v>0.3</v>
      </c>
      <c r="E623" s="29">
        <f>IF(Dataset!C623&lt;=1,0.3,IF(Dataset!C623=2,0.4,IF(Dataset!C623=3,0.5,IF(Dataset!C623=4,0.65,0.8))))</f>
        <v>0.65</v>
      </c>
      <c r="F623" s="29">
        <f>IF(Dataset!C623&lt;=2,1,IF(Dataset!C623=3,2,IF(Dataset!C623=4,3,4)))</f>
        <v>3</v>
      </c>
      <c r="G623" s="29">
        <f t="shared" si="73"/>
        <v>1.9500000000000002</v>
      </c>
      <c r="H623" s="29">
        <f>IF(Dataset!G623&lt;=3,0.25,IF(Dataset!G623&lt;=6,0.45,IF(Dataset!G623&lt;=9,0.65,0.85)))</f>
        <v>0.45</v>
      </c>
      <c r="I623" s="29">
        <f>IF(Dataset!G623&lt;=3,1,IF(Dataset!G623&lt;=6,2,IF(Dataset!G623&lt;=9,3,4)))</f>
        <v>2</v>
      </c>
      <c r="J623" s="29">
        <f t="shared" si="74"/>
        <v>0.9</v>
      </c>
      <c r="K623" s="29">
        <f>IF(Dataset!H623&lt;1,0.2,IF(Dataset!H623&lt;1.3,0.45,IF(Dataset!H623&lt;1.8,0.7,0.9)))</f>
        <v>0.45</v>
      </c>
      <c r="L623" s="29">
        <f>IF(Dataset!H623&lt;1,1,IF(Dataset!H623&lt;1.3,2,IF(Dataset!H623&lt;1.8,3,4)))</f>
        <v>2</v>
      </c>
      <c r="M623" s="29">
        <f t="shared" si="75"/>
        <v>0.9</v>
      </c>
      <c r="N623" s="29">
        <f>IF(Dataset!F623=1,0.75,IF(Dataset!F623=2,0.45,0.2))</f>
        <v>0.45</v>
      </c>
      <c r="O623" s="29">
        <f>IF(Dataset!F623=1,3,IF(Dataset!F623=2,2,1))</f>
        <v>2</v>
      </c>
      <c r="P623" s="29">
        <f t="shared" si="76"/>
        <v>0.9</v>
      </c>
      <c r="Q623" s="29">
        <f>IF(Dataset!K623&lt;5,0.2,IF(Dataset!K623&lt;10,0.45,IF(Dataset!K623&lt;18,0.7,0.9)))</f>
        <v>0.7</v>
      </c>
      <c r="R623" s="29">
        <f>IF(Dataset!K623&lt;5,1,IF(Dataset!K623&lt;10,2,IF(Dataset!K623&lt;18,3,4)))</f>
        <v>3</v>
      </c>
      <c r="S623" s="29">
        <f t="shared" si="77"/>
        <v>2.0999999999999996</v>
      </c>
      <c r="T623" s="29">
        <f t="shared" si="78"/>
        <v>1.107</v>
      </c>
      <c r="U623" s="29" t="str">
        <f t="shared" si="79"/>
        <v>Low</v>
      </c>
    </row>
    <row r="624" spans="1:21" ht="15" customHeight="1" x14ac:dyDescent="0.25">
      <c r="A624" s="29">
        <f>Dataset!A624</f>
        <v>620</v>
      </c>
      <c r="B624" s="29">
        <f>IF(Dataset!B624&lt;25,0.3,IF(Dataset!B624&lt;75,0.5,IF(Dataset!B624&lt;120,0.65,0.8)))</f>
        <v>0.5</v>
      </c>
      <c r="C624" s="29">
        <f>IF(Dataset!B624&lt;25,1,IF(Dataset!B624&lt;75,2,IF(Dataset!B624&lt;120,3,4)))</f>
        <v>2</v>
      </c>
      <c r="D624" s="29">
        <f t="shared" si="72"/>
        <v>1</v>
      </c>
      <c r="E624" s="29">
        <f>IF(Dataset!C624&lt;=1,0.3,IF(Dataset!C624=2,0.4,IF(Dataset!C624=3,0.5,IF(Dataset!C624=4,0.65,0.8))))</f>
        <v>0.4</v>
      </c>
      <c r="F624" s="29">
        <f>IF(Dataset!C624&lt;=2,1,IF(Dataset!C624=3,2,IF(Dataset!C624=4,3,4)))</f>
        <v>1</v>
      </c>
      <c r="G624" s="29">
        <f t="shared" si="73"/>
        <v>0.4</v>
      </c>
      <c r="H624" s="29">
        <f>IF(Dataset!G624&lt;=3,0.25,IF(Dataset!G624&lt;=6,0.45,IF(Dataset!G624&lt;=9,0.65,0.85)))</f>
        <v>0.45</v>
      </c>
      <c r="I624" s="29">
        <f>IF(Dataset!G624&lt;=3,1,IF(Dataset!G624&lt;=6,2,IF(Dataset!G624&lt;=9,3,4)))</f>
        <v>2</v>
      </c>
      <c r="J624" s="29">
        <f t="shared" si="74"/>
        <v>0.9</v>
      </c>
      <c r="K624" s="29">
        <f>IF(Dataset!H624&lt;1,0.2,IF(Dataset!H624&lt;1.3,0.45,IF(Dataset!H624&lt;1.8,0.7,0.9)))</f>
        <v>0.7</v>
      </c>
      <c r="L624" s="29">
        <f>IF(Dataset!H624&lt;1,1,IF(Dataset!H624&lt;1.3,2,IF(Dataset!H624&lt;1.8,3,4)))</f>
        <v>3</v>
      </c>
      <c r="M624" s="29">
        <f t="shared" si="75"/>
        <v>2.0999999999999996</v>
      </c>
      <c r="N624" s="29">
        <f>IF(Dataset!F624=1,0.75,IF(Dataset!F624=2,0.45,0.2))</f>
        <v>0.45</v>
      </c>
      <c r="O624" s="29">
        <f>IF(Dataset!F624=1,3,IF(Dataset!F624=2,2,1))</f>
        <v>2</v>
      </c>
      <c r="P624" s="29">
        <f t="shared" si="76"/>
        <v>0.9</v>
      </c>
      <c r="Q624" s="29">
        <f>IF(Dataset!K624&lt;5,0.2,IF(Dataset!K624&lt;10,0.45,IF(Dataset!K624&lt;18,0.7,0.9)))</f>
        <v>0.2</v>
      </c>
      <c r="R624" s="29">
        <f>IF(Dataset!K624&lt;5,1,IF(Dataset!K624&lt;10,2,IF(Dataset!K624&lt;18,3,4)))</f>
        <v>1</v>
      </c>
      <c r="S624" s="29">
        <f t="shared" si="77"/>
        <v>0.2</v>
      </c>
      <c r="T624" s="29">
        <f t="shared" si="78"/>
        <v>1.038</v>
      </c>
      <c r="U624" s="29" t="str">
        <f t="shared" si="79"/>
        <v>Low</v>
      </c>
    </row>
    <row r="625" spans="1:21" ht="15" customHeight="1" x14ac:dyDescent="0.25">
      <c r="A625" s="29">
        <f>Dataset!A625</f>
        <v>621</v>
      </c>
      <c r="B625" s="29">
        <f>IF(Dataset!B625&lt;25,0.3,IF(Dataset!B625&lt;75,0.5,IF(Dataset!B625&lt;120,0.65,0.8)))</f>
        <v>0.5</v>
      </c>
      <c r="C625" s="29">
        <f>IF(Dataset!B625&lt;25,1,IF(Dataset!B625&lt;75,2,IF(Dataset!B625&lt;120,3,4)))</f>
        <v>2</v>
      </c>
      <c r="D625" s="29">
        <f t="shared" si="72"/>
        <v>1</v>
      </c>
      <c r="E625" s="29">
        <f>IF(Dataset!C625&lt;=1,0.3,IF(Dataset!C625=2,0.4,IF(Dataset!C625=3,0.5,IF(Dataset!C625=4,0.65,0.8))))</f>
        <v>0.8</v>
      </c>
      <c r="F625" s="29">
        <f>IF(Dataset!C625&lt;=2,1,IF(Dataset!C625=3,2,IF(Dataset!C625=4,3,4)))</f>
        <v>4</v>
      </c>
      <c r="G625" s="29">
        <f t="shared" si="73"/>
        <v>3.2</v>
      </c>
      <c r="H625" s="29">
        <f>IF(Dataset!G625&lt;=3,0.25,IF(Dataset!G625&lt;=6,0.45,IF(Dataset!G625&lt;=9,0.65,0.85)))</f>
        <v>0.25</v>
      </c>
      <c r="I625" s="29">
        <f>IF(Dataset!G625&lt;=3,1,IF(Dataset!G625&lt;=6,2,IF(Dataset!G625&lt;=9,3,4)))</f>
        <v>1</v>
      </c>
      <c r="J625" s="29">
        <f t="shared" si="74"/>
        <v>0.25</v>
      </c>
      <c r="K625" s="29">
        <f>IF(Dataset!H625&lt;1,0.2,IF(Dataset!H625&lt;1.3,0.45,IF(Dataset!H625&lt;1.8,0.7,0.9)))</f>
        <v>0.45</v>
      </c>
      <c r="L625" s="29">
        <f>IF(Dataset!H625&lt;1,1,IF(Dataset!H625&lt;1.3,2,IF(Dataset!H625&lt;1.8,3,4)))</f>
        <v>2</v>
      </c>
      <c r="M625" s="29">
        <f t="shared" si="75"/>
        <v>0.9</v>
      </c>
      <c r="N625" s="29">
        <f>IF(Dataset!F625=1,0.75,IF(Dataset!F625=2,0.45,0.2))</f>
        <v>0.45</v>
      </c>
      <c r="O625" s="29">
        <f>IF(Dataset!F625=1,3,IF(Dataset!F625=2,2,1))</f>
        <v>2</v>
      </c>
      <c r="P625" s="29">
        <f t="shared" si="76"/>
        <v>0.9</v>
      </c>
      <c r="Q625" s="29">
        <f>IF(Dataset!K625&lt;5,0.2,IF(Dataset!K625&lt;10,0.45,IF(Dataset!K625&lt;18,0.7,0.9)))</f>
        <v>0.9</v>
      </c>
      <c r="R625" s="29">
        <f>IF(Dataset!K625&lt;5,1,IF(Dataset!K625&lt;10,2,IF(Dataset!K625&lt;18,3,4)))</f>
        <v>4</v>
      </c>
      <c r="S625" s="29">
        <f t="shared" si="77"/>
        <v>3.6</v>
      </c>
      <c r="T625" s="29">
        <f t="shared" si="78"/>
        <v>1.4880000000000002</v>
      </c>
      <c r="U625" s="29" t="str">
        <f t="shared" si="79"/>
        <v>Medium</v>
      </c>
    </row>
    <row r="626" spans="1:21" ht="15" customHeight="1" x14ac:dyDescent="0.25">
      <c r="A626" s="29">
        <f>Dataset!A626</f>
        <v>622</v>
      </c>
      <c r="B626" s="29">
        <f>IF(Dataset!B626&lt;25,0.3,IF(Dataset!B626&lt;75,0.5,IF(Dataset!B626&lt;120,0.65,0.8)))</f>
        <v>0.3</v>
      </c>
      <c r="C626" s="29">
        <f>IF(Dataset!B626&lt;25,1,IF(Dataset!B626&lt;75,2,IF(Dataset!B626&lt;120,3,4)))</f>
        <v>1</v>
      </c>
      <c r="D626" s="29">
        <f t="shared" si="72"/>
        <v>0.3</v>
      </c>
      <c r="E626" s="29">
        <f>IF(Dataset!C626&lt;=1,0.3,IF(Dataset!C626=2,0.4,IF(Dataset!C626=3,0.5,IF(Dataset!C626=4,0.65,0.8))))</f>
        <v>0.5</v>
      </c>
      <c r="F626" s="29">
        <f>IF(Dataset!C626&lt;=2,1,IF(Dataset!C626=3,2,IF(Dataset!C626=4,3,4)))</f>
        <v>2</v>
      </c>
      <c r="G626" s="29">
        <f t="shared" si="73"/>
        <v>1</v>
      </c>
      <c r="H626" s="29">
        <f>IF(Dataset!G626&lt;=3,0.25,IF(Dataset!G626&lt;=6,0.45,IF(Dataset!G626&lt;=9,0.65,0.85)))</f>
        <v>0.45</v>
      </c>
      <c r="I626" s="29">
        <f>IF(Dataset!G626&lt;=3,1,IF(Dataset!G626&lt;=6,2,IF(Dataset!G626&lt;=9,3,4)))</f>
        <v>2</v>
      </c>
      <c r="J626" s="29">
        <f t="shared" si="74"/>
        <v>0.9</v>
      </c>
      <c r="K626" s="29">
        <f>IF(Dataset!H626&lt;1,0.2,IF(Dataset!H626&lt;1.3,0.45,IF(Dataset!H626&lt;1.8,0.7,0.9)))</f>
        <v>0.7</v>
      </c>
      <c r="L626" s="29">
        <f>IF(Dataset!H626&lt;1,1,IF(Dataset!H626&lt;1.3,2,IF(Dataset!H626&lt;1.8,3,4)))</f>
        <v>3</v>
      </c>
      <c r="M626" s="29">
        <f t="shared" si="75"/>
        <v>2.0999999999999996</v>
      </c>
      <c r="N626" s="29">
        <f>IF(Dataset!F626=1,0.75,IF(Dataset!F626=2,0.45,0.2))</f>
        <v>0.75</v>
      </c>
      <c r="O626" s="29">
        <f>IF(Dataset!F626=1,3,IF(Dataset!F626=2,2,1))</f>
        <v>3</v>
      </c>
      <c r="P626" s="29">
        <f t="shared" si="76"/>
        <v>2.25</v>
      </c>
      <c r="Q626" s="29">
        <f>IF(Dataset!K626&lt;5,0.2,IF(Dataset!K626&lt;10,0.45,IF(Dataset!K626&lt;18,0.7,0.9)))</f>
        <v>0.45</v>
      </c>
      <c r="R626" s="29">
        <f>IF(Dataset!K626&lt;5,1,IF(Dataset!K626&lt;10,2,IF(Dataset!K626&lt;18,3,4)))</f>
        <v>2</v>
      </c>
      <c r="S626" s="29">
        <f t="shared" si="77"/>
        <v>0.9</v>
      </c>
      <c r="T626" s="29">
        <f t="shared" si="78"/>
        <v>1.2290000000000001</v>
      </c>
      <c r="U626" s="29" t="str">
        <f t="shared" si="79"/>
        <v>Low</v>
      </c>
    </row>
    <row r="627" spans="1:21" ht="15" customHeight="1" x14ac:dyDescent="0.25">
      <c r="A627" s="29">
        <f>Dataset!A627</f>
        <v>623</v>
      </c>
      <c r="B627" s="29">
        <f>IF(Dataset!B627&lt;25,0.3,IF(Dataset!B627&lt;75,0.5,IF(Dataset!B627&lt;120,0.65,0.8)))</f>
        <v>0.3</v>
      </c>
      <c r="C627" s="29">
        <f>IF(Dataset!B627&lt;25,1,IF(Dataset!B627&lt;75,2,IF(Dataset!B627&lt;120,3,4)))</f>
        <v>1</v>
      </c>
      <c r="D627" s="29">
        <f t="shared" si="72"/>
        <v>0.3</v>
      </c>
      <c r="E627" s="29">
        <f>IF(Dataset!C627&lt;=1,0.3,IF(Dataset!C627=2,0.4,IF(Dataset!C627=3,0.5,IF(Dataset!C627=4,0.65,0.8))))</f>
        <v>0.65</v>
      </c>
      <c r="F627" s="29">
        <f>IF(Dataset!C627&lt;=2,1,IF(Dataset!C627=3,2,IF(Dataset!C627=4,3,4)))</f>
        <v>3</v>
      </c>
      <c r="G627" s="29">
        <f t="shared" si="73"/>
        <v>1.9500000000000002</v>
      </c>
      <c r="H627" s="29">
        <f>IF(Dataset!G627&lt;=3,0.25,IF(Dataset!G627&lt;=6,0.45,IF(Dataset!G627&lt;=9,0.65,0.85)))</f>
        <v>0.45</v>
      </c>
      <c r="I627" s="29">
        <f>IF(Dataset!G627&lt;=3,1,IF(Dataset!G627&lt;=6,2,IF(Dataset!G627&lt;=9,3,4)))</f>
        <v>2</v>
      </c>
      <c r="J627" s="29">
        <f t="shared" si="74"/>
        <v>0.9</v>
      </c>
      <c r="K627" s="29">
        <f>IF(Dataset!H627&lt;1,0.2,IF(Dataset!H627&lt;1.3,0.45,IF(Dataset!H627&lt;1.8,0.7,0.9)))</f>
        <v>0.7</v>
      </c>
      <c r="L627" s="29">
        <f>IF(Dataset!H627&lt;1,1,IF(Dataset!H627&lt;1.3,2,IF(Dataset!H627&lt;1.8,3,4)))</f>
        <v>3</v>
      </c>
      <c r="M627" s="29">
        <f t="shared" si="75"/>
        <v>2.0999999999999996</v>
      </c>
      <c r="N627" s="29">
        <f>IF(Dataset!F627=1,0.75,IF(Dataset!F627=2,0.45,0.2))</f>
        <v>0.45</v>
      </c>
      <c r="O627" s="29">
        <f>IF(Dataset!F627=1,3,IF(Dataset!F627=2,2,1))</f>
        <v>2</v>
      </c>
      <c r="P627" s="29">
        <f t="shared" si="76"/>
        <v>0.9</v>
      </c>
      <c r="Q627" s="29">
        <f>IF(Dataset!K627&lt;5,0.2,IF(Dataset!K627&lt;10,0.45,IF(Dataset!K627&lt;18,0.7,0.9)))</f>
        <v>0.45</v>
      </c>
      <c r="R627" s="29">
        <f>IF(Dataset!K627&lt;5,1,IF(Dataset!K627&lt;10,2,IF(Dataset!K627&lt;18,3,4)))</f>
        <v>2</v>
      </c>
      <c r="S627" s="29">
        <f t="shared" si="77"/>
        <v>0.9</v>
      </c>
      <c r="T627" s="29">
        <f t="shared" si="78"/>
        <v>1.2270000000000003</v>
      </c>
      <c r="U627" s="29" t="str">
        <f t="shared" si="79"/>
        <v>Low</v>
      </c>
    </row>
    <row r="628" spans="1:21" ht="15" customHeight="1" x14ac:dyDescent="0.25">
      <c r="A628" s="29">
        <f>Dataset!A628</f>
        <v>624</v>
      </c>
      <c r="B628" s="29">
        <f>IF(Dataset!B628&lt;25,0.3,IF(Dataset!B628&lt;75,0.5,IF(Dataset!B628&lt;120,0.65,0.8)))</f>
        <v>0.8</v>
      </c>
      <c r="C628" s="29">
        <f>IF(Dataset!B628&lt;25,1,IF(Dataset!B628&lt;75,2,IF(Dataset!B628&lt;120,3,4)))</f>
        <v>4</v>
      </c>
      <c r="D628" s="29">
        <f t="shared" si="72"/>
        <v>3.2</v>
      </c>
      <c r="E628" s="29">
        <f>IF(Dataset!C628&lt;=1,0.3,IF(Dataset!C628=2,0.4,IF(Dataset!C628=3,0.5,IF(Dataset!C628=4,0.65,0.8))))</f>
        <v>0.65</v>
      </c>
      <c r="F628" s="29">
        <f>IF(Dataset!C628&lt;=2,1,IF(Dataset!C628=3,2,IF(Dataset!C628=4,3,4)))</f>
        <v>3</v>
      </c>
      <c r="G628" s="29">
        <f t="shared" si="73"/>
        <v>1.9500000000000002</v>
      </c>
      <c r="H628" s="29">
        <f>IF(Dataset!G628&lt;=3,0.25,IF(Dataset!G628&lt;=6,0.45,IF(Dataset!G628&lt;=9,0.65,0.85)))</f>
        <v>0.45</v>
      </c>
      <c r="I628" s="29">
        <f>IF(Dataset!G628&lt;=3,1,IF(Dataset!G628&lt;=6,2,IF(Dataset!G628&lt;=9,3,4)))</f>
        <v>2</v>
      </c>
      <c r="J628" s="29">
        <f t="shared" si="74"/>
        <v>0.9</v>
      </c>
      <c r="K628" s="29">
        <f>IF(Dataset!H628&lt;1,0.2,IF(Dataset!H628&lt;1.3,0.45,IF(Dataset!H628&lt;1.8,0.7,0.9)))</f>
        <v>0.7</v>
      </c>
      <c r="L628" s="29">
        <f>IF(Dataset!H628&lt;1,1,IF(Dataset!H628&lt;1.3,2,IF(Dataset!H628&lt;1.8,3,4)))</f>
        <v>3</v>
      </c>
      <c r="M628" s="29">
        <f t="shared" si="75"/>
        <v>2.0999999999999996</v>
      </c>
      <c r="N628" s="29">
        <f>IF(Dataset!F628=1,0.75,IF(Dataset!F628=2,0.45,0.2))</f>
        <v>0.2</v>
      </c>
      <c r="O628" s="29">
        <f>IF(Dataset!F628=1,3,IF(Dataset!F628=2,2,1))</f>
        <v>1</v>
      </c>
      <c r="P628" s="29">
        <f t="shared" si="76"/>
        <v>0.2</v>
      </c>
      <c r="Q628" s="29">
        <f>IF(Dataset!K628&lt;5,0.2,IF(Dataset!K628&lt;10,0.45,IF(Dataset!K628&lt;18,0.7,0.9)))</f>
        <v>0.7</v>
      </c>
      <c r="R628" s="29">
        <f>IF(Dataset!K628&lt;5,1,IF(Dataset!K628&lt;10,2,IF(Dataset!K628&lt;18,3,4)))</f>
        <v>3</v>
      </c>
      <c r="S628" s="29">
        <f t="shared" si="77"/>
        <v>2.0999999999999996</v>
      </c>
      <c r="T628" s="29">
        <f t="shared" si="78"/>
        <v>1.847</v>
      </c>
      <c r="U628" s="29" t="str">
        <f t="shared" si="79"/>
        <v>High</v>
      </c>
    </row>
    <row r="629" spans="1:21" ht="15" customHeight="1" x14ac:dyDescent="0.25">
      <c r="A629" s="29">
        <f>Dataset!A629</f>
        <v>625</v>
      </c>
      <c r="B629" s="29">
        <f>IF(Dataset!B629&lt;25,0.3,IF(Dataset!B629&lt;75,0.5,IF(Dataset!B629&lt;120,0.65,0.8)))</f>
        <v>0.65</v>
      </c>
      <c r="C629" s="29">
        <f>IF(Dataset!B629&lt;25,1,IF(Dataset!B629&lt;75,2,IF(Dataset!B629&lt;120,3,4)))</f>
        <v>3</v>
      </c>
      <c r="D629" s="29">
        <f t="shared" si="72"/>
        <v>1.9500000000000002</v>
      </c>
      <c r="E629" s="29">
        <f>IF(Dataset!C629&lt;=1,0.3,IF(Dataset!C629=2,0.4,IF(Dataset!C629=3,0.5,IF(Dataset!C629=4,0.65,0.8))))</f>
        <v>0.5</v>
      </c>
      <c r="F629" s="29">
        <f>IF(Dataset!C629&lt;=2,1,IF(Dataset!C629=3,2,IF(Dataset!C629=4,3,4)))</f>
        <v>2</v>
      </c>
      <c r="G629" s="29">
        <f t="shared" si="73"/>
        <v>1</v>
      </c>
      <c r="H629" s="29">
        <f>IF(Dataset!G629&lt;=3,0.25,IF(Dataset!G629&lt;=6,0.45,IF(Dataset!G629&lt;=9,0.65,0.85)))</f>
        <v>0.25</v>
      </c>
      <c r="I629" s="29">
        <f>IF(Dataset!G629&lt;=3,1,IF(Dataset!G629&lt;=6,2,IF(Dataset!G629&lt;=9,3,4)))</f>
        <v>1</v>
      </c>
      <c r="J629" s="29">
        <f t="shared" si="74"/>
        <v>0.25</v>
      </c>
      <c r="K629" s="29">
        <f>IF(Dataset!H629&lt;1,0.2,IF(Dataset!H629&lt;1.3,0.45,IF(Dataset!H629&lt;1.8,0.7,0.9)))</f>
        <v>0.7</v>
      </c>
      <c r="L629" s="29">
        <f>IF(Dataset!H629&lt;1,1,IF(Dataset!H629&lt;1.3,2,IF(Dataset!H629&lt;1.8,3,4)))</f>
        <v>3</v>
      </c>
      <c r="M629" s="29">
        <f t="shared" si="75"/>
        <v>2.0999999999999996</v>
      </c>
      <c r="N629" s="29">
        <f>IF(Dataset!F629=1,0.75,IF(Dataset!F629=2,0.45,0.2))</f>
        <v>0.45</v>
      </c>
      <c r="O629" s="29">
        <f>IF(Dataset!F629=1,3,IF(Dataset!F629=2,2,1))</f>
        <v>2</v>
      </c>
      <c r="P629" s="29">
        <f t="shared" si="76"/>
        <v>0.9</v>
      </c>
      <c r="Q629" s="29">
        <f>IF(Dataset!K629&lt;5,0.2,IF(Dataset!K629&lt;10,0.45,IF(Dataset!K629&lt;18,0.7,0.9)))</f>
        <v>0.45</v>
      </c>
      <c r="R629" s="29">
        <f>IF(Dataset!K629&lt;5,1,IF(Dataset!K629&lt;10,2,IF(Dataset!K629&lt;18,3,4)))</f>
        <v>2</v>
      </c>
      <c r="S629" s="29">
        <f t="shared" si="77"/>
        <v>0.9</v>
      </c>
      <c r="T629" s="29">
        <f t="shared" si="78"/>
        <v>1.2610000000000001</v>
      </c>
      <c r="U629" s="29" t="str">
        <f t="shared" si="79"/>
        <v>Low</v>
      </c>
    </row>
    <row r="630" spans="1:21" ht="15" customHeight="1" x14ac:dyDescent="0.25">
      <c r="A630" s="29">
        <f>Dataset!A630</f>
        <v>626</v>
      </c>
      <c r="B630" s="29">
        <f>IF(Dataset!B630&lt;25,0.3,IF(Dataset!B630&lt;75,0.5,IF(Dataset!B630&lt;120,0.65,0.8)))</f>
        <v>0.5</v>
      </c>
      <c r="C630" s="29">
        <f>IF(Dataset!B630&lt;25,1,IF(Dataset!B630&lt;75,2,IF(Dataset!B630&lt;120,3,4)))</f>
        <v>2</v>
      </c>
      <c r="D630" s="29">
        <f t="shared" si="72"/>
        <v>1</v>
      </c>
      <c r="E630" s="29">
        <f>IF(Dataset!C630&lt;=1,0.3,IF(Dataset!C630=2,0.4,IF(Dataset!C630=3,0.5,IF(Dataset!C630=4,0.65,0.8))))</f>
        <v>0.4</v>
      </c>
      <c r="F630" s="29">
        <f>IF(Dataset!C630&lt;=2,1,IF(Dataset!C630=3,2,IF(Dataset!C630=4,3,4)))</f>
        <v>1</v>
      </c>
      <c r="G630" s="29">
        <f t="shared" si="73"/>
        <v>0.4</v>
      </c>
      <c r="H630" s="29">
        <f>IF(Dataset!G630&lt;=3,0.25,IF(Dataset!G630&lt;=6,0.45,IF(Dataset!G630&lt;=9,0.65,0.85)))</f>
        <v>0.45</v>
      </c>
      <c r="I630" s="29">
        <f>IF(Dataset!G630&lt;=3,1,IF(Dataset!G630&lt;=6,2,IF(Dataset!G630&lt;=9,3,4)))</f>
        <v>2</v>
      </c>
      <c r="J630" s="29">
        <f t="shared" si="74"/>
        <v>0.9</v>
      </c>
      <c r="K630" s="29">
        <f>IF(Dataset!H630&lt;1,0.2,IF(Dataset!H630&lt;1.3,0.45,IF(Dataset!H630&lt;1.8,0.7,0.9)))</f>
        <v>0.7</v>
      </c>
      <c r="L630" s="29">
        <f>IF(Dataset!H630&lt;1,1,IF(Dataset!H630&lt;1.3,2,IF(Dataset!H630&lt;1.8,3,4)))</f>
        <v>3</v>
      </c>
      <c r="M630" s="29">
        <f t="shared" si="75"/>
        <v>2.0999999999999996</v>
      </c>
      <c r="N630" s="29">
        <f>IF(Dataset!F630=1,0.75,IF(Dataset!F630=2,0.45,0.2))</f>
        <v>0.75</v>
      </c>
      <c r="O630" s="29">
        <f>IF(Dataset!F630=1,3,IF(Dataset!F630=2,2,1))</f>
        <v>3</v>
      </c>
      <c r="P630" s="29">
        <f t="shared" si="76"/>
        <v>2.25</v>
      </c>
      <c r="Q630" s="29">
        <f>IF(Dataset!K630&lt;5,0.2,IF(Dataset!K630&lt;10,0.45,IF(Dataset!K630&lt;18,0.7,0.9)))</f>
        <v>0.2</v>
      </c>
      <c r="R630" s="29">
        <f>IF(Dataset!K630&lt;5,1,IF(Dataset!K630&lt;10,2,IF(Dataset!K630&lt;18,3,4)))</f>
        <v>1</v>
      </c>
      <c r="S630" s="29">
        <f t="shared" si="77"/>
        <v>0.2</v>
      </c>
      <c r="T630" s="29">
        <f t="shared" si="78"/>
        <v>1.173</v>
      </c>
      <c r="U630" s="29" t="str">
        <f t="shared" si="79"/>
        <v>Low</v>
      </c>
    </row>
    <row r="631" spans="1:21" ht="15" customHeight="1" x14ac:dyDescent="0.25">
      <c r="A631" s="29">
        <f>Dataset!A631</f>
        <v>627</v>
      </c>
      <c r="B631" s="29">
        <f>IF(Dataset!B631&lt;25,0.3,IF(Dataset!B631&lt;75,0.5,IF(Dataset!B631&lt;120,0.65,0.8)))</f>
        <v>0.5</v>
      </c>
      <c r="C631" s="29">
        <f>IF(Dataset!B631&lt;25,1,IF(Dataset!B631&lt;75,2,IF(Dataset!B631&lt;120,3,4)))</f>
        <v>2</v>
      </c>
      <c r="D631" s="29">
        <f t="shared" si="72"/>
        <v>1</v>
      </c>
      <c r="E631" s="29">
        <f>IF(Dataset!C631&lt;=1,0.3,IF(Dataset!C631=2,0.4,IF(Dataset!C631=3,0.5,IF(Dataset!C631=4,0.65,0.8))))</f>
        <v>0.4</v>
      </c>
      <c r="F631" s="29">
        <f>IF(Dataset!C631&lt;=2,1,IF(Dataset!C631=3,2,IF(Dataset!C631=4,3,4)))</f>
        <v>1</v>
      </c>
      <c r="G631" s="29">
        <f t="shared" si="73"/>
        <v>0.4</v>
      </c>
      <c r="H631" s="29">
        <f>IF(Dataset!G631&lt;=3,0.25,IF(Dataset!G631&lt;=6,0.45,IF(Dataset!G631&lt;=9,0.65,0.85)))</f>
        <v>0.65</v>
      </c>
      <c r="I631" s="29">
        <f>IF(Dataset!G631&lt;=3,1,IF(Dataset!G631&lt;=6,2,IF(Dataset!G631&lt;=9,3,4)))</f>
        <v>3</v>
      </c>
      <c r="J631" s="29">
        <f t="shared" si="74"/>
        <v>1.9500000000000002</v>
      </c>
      <c r="K631" s="29">
        <f>IF(Dataset!H631&lt;1,0.2,IF(Dataset!H631&lt;1.3,0.45,IF(Dataset!H631&lt;1.8,0.7,0.9)))</f>
        <v>0.7</v>
      </c>
      <c r="L631" s="29">
        <f>IF(Dataset!H631&lt;1,1,IF(Dataset!H631&lt;1.3,2,IF(Dataset!H631&lt;1.8,3,4)))</f>
        <v>3</v>
      </c>
      <c r="M631" s="29">
        <f t="shared" si="75"/>
        <v>2.0999999999999996</v>
      </c>
      <c r="N631" s="29">
        <f>IF(Dataset!F631=1,0.75,IF(Dataset!F631=2,0.45,0.2))</f>
        <v>0.45</v>
      </c>
      <c r="O631" s="29">
        <f>IF(Dataset!F631=1,3,IF(Dataset!F631=2,2,1))</f>
        <v>2</v>
      </c>
      <c r="P631" s="29">
        <f t="shared" si="76"/>
        <v>0.9</v>
      </c>
      <c r="Q631" s="29">
        <f>IF(Dataset!K631&lt;5,0.2,IF(Dataset!K631&lt;10,0.45,IF(Dataset!K631&lt;18,0.7,0.9)))</f>
        <v>0.2</v>
      </c>
      <c r="R631" s="29">
        <f>IF(Dataset!K631&lt;5,1,IF(Dataset!K631&lt;10,2,IF(Dataset!K631&lt;18,3,4)))</f>
        <v>1</v>
      </c>
      <c r="S631" s="29">
        <f t="shared" si="77"/>
        <v>0.2</v>
      </c>
      <c r="T631" s="29">
        <f t="shared" si="78"/>
        <v>1.248</v>
      </c>
      <c r="U631" s="29" t="str">
        <f t="shared" si="79"/>
        <v>Low</v>
      </c>
    </row>
    <row r="632" spans="1:21" ht="15" customHeight="1" x14ac:dyDescent="0.25">
      <c r="A632" s="29">
        <f>Dataset!A632</f>
        <v>628</v>
      </c>
      <c r="B632" s="29">
        <f>IF(Dataset!B632&lt;25,0.3,IF(Dataset!B632&lt;75,0.5,IF(Dataset!B632&lt;120,0.65,0.8)))</f>
        <v>0.5</v>
      </c>
      <c r="C632" s="29">
        <f>IF(Dataset!B632&lt;25,1,IF(Dataset!B632&lt;75,2,IF(Dataset!B632&lt;120,3,4)))</f>
        <v>2</v>
      </c>
      <c r="D632" s="29">
        <f t="shared" si="72"/>
        <v>1</v>
      </c>
      <c r="E632" s="29">
        <f>IF(Dataset!C632&lt;=1,0.3,IF(Dataset!C632=2,0.4,IF(Dataset!C632=3,0.5,IF(Dataset!C632=4,0.65,0.8))))</f>
        <v>0.8</v>
      </c>
      <c r="F632" s="29">
        <f>IF(Dataset!C632&lt;=2,1,IF(Dataset!C632=3,2,IF(Dataset!C632=4,3,4)))</f>
        <v>4</v>
      </c>
      <c r="G632" s="29">
        <f t="shared" si="73"/>
        <v>3.2</v>
      </c>
      <c r="H632" s="29">
        <f>IF(Dataset!G632&lt;=3,0.25,IF(Dataset!G632&lt;=6,0.45,IF(Dataset!G632&lt;=9,0.65,0.85)))</f>
        <v>0.85</v>
      </c>
      <c r="I632" s="29">
        <f>IF(Dataset!G632&lt;=3,1,IF(Dataset!G632&lt;=6,2,IF(Dataset!G632&lt;=9,3,4)))</f>
        <v>4</v>
      </c>
      <c r="J632" s="29">
        <f t="shared" si="74"/>
        <v>3.4</v>
      </c>
      <c r="K632" s="29">
        <f>IF(Dataset!H632&lt;1,0.2,IF(Dataset!H632&lt;1.3,0.45,IF(Dataset!H632&lt;1.8,0.7,0.9)))</f>
        <v>0.45</v>
      </c>
      <c r="L632" s="29">
        <f>IF(Dataset!H632&lt;1,1,IF(Dataset!H632&lt;1.3,2,IF(Dataset!H632&lt;1.8,3,4)))</f>
        <v>2</v>
      </c>
      <c r="M632" s="29">
        <f t="shared" si="75"/>
        <v>0.9</v>
      </c>
      <c r="N632" s="29">
        <f>IF(Dataset!F632=1,0.75,IF(Dataset!F632=2,0.45,0.2))</f>
        <v>0.2</v>
      </c>
      <c r="O632" s="29">
        <f>IF(Dataset!F632=1,3,IF(Dataset!F632=2,2,1))</f>
        <v>1</v>
      </c>
      <c r="P632" s="29">
        <f t="shared" si="76"/>
        <v>0.2</v>
      </c>
      <c r="Q632" s="29">
        <f>IF(Dataset!K632&lt;5,0.2,IF(Dataset!K632&lt;10,0.45,IF(Dataset!K632&lt;18,0.7,0.9)))</f>
        <v>0.9</v>
      </c>
      <c r="R632" s="29">
        <f>IF(Dataset!K632&lt;5,1,IF(Dataset!K632&lt;10,2,IF(Dataset!K632&lt;18,3,4)))</f>
        <v>4</v>
      </c>
      <c r="S632" s="29">
        <f t="shared" si="77"/>
        <v>3.6</v>
      </c>
      <c r="T632" s="29">
        <f t="shared" si="78"/>
        <v>2.0480000000000005</v>
      </c>
      <c r="U632" s="29" t="str">
        <f t="shared" si="79"/>
        <v>High</v>
      </c>
    </row>
    <row r="633" spans="1:21" ht="15" customHeight="1" x14ac:dyDescent="0.25">
      <c r="A633" s="29">
        <f>Dataset!A633</f>
        <v>629</v>
      </c>
      <c r="B633" s="29">
        <f>IF(Dataset!B633&lt;25,0.3,IF(Dataset!B633&lt;75,0.5,IF(Dataset!B633&lt;120,0.65,0.8)))</f>
        <v>0.5</v>
      </c>
      <c r="C633" s="29">
        <f>IF(Dataset!B633&lt;25,1,IF(Dataset!B633&lt;75,2,IF(Dataset!B633&lt;120,3,4)))</f>
        <v>2</v>
      </c>
      <c r="D633" s="29">
        <f t="shared" si="72"/>
        <v>1</v>
      </c>
      <c r="E633" s="29">
        <f>IF(Dataset!C633&lt;=1,0.3,IF(Dataset!C633=2,0.4,IF(Dataset!C633=3,0.5,IF(Dataset!C633=4,0.65,0.8))))</f>
        <v>0.5</v>
      </c>
      <c r="F633" s="29">
        <f>IF(Dataset!C633&lt;=2,1,IF(Dataset!C633=3,2,IF(Dataset!C633=4,3,4)))</f>
        <v>2</v>
      </c>
      <c r="G633" s="29">
        <f t="shared" si="73"/>
        <v>1</v>
      </c>
      <c r="H633" s="29">
        <f>IF(Dataset!G633&lt;=3,0.25,IF(Dataset!G633&lt;=6,0.45,IF(Dataset!G633&lt;=9,0.65,0.85)))</f>
        <v>0.45</v>
      </c>
      <c r="I633" s="29">
        <f>IF(Dataset!G633&lt;=3,1,IF(Dataset!G633&lt;=6,2,IF(Dataset!G633&lt;=9,3,4)))</f>
        <v>2</v>
      </c>
      <c r="J633" s="29">
        <f t="shared" si="74"/>
        <v>0.9</v>
      </c>
      <c r="K633" s="29">
        <f>IF(Dataset!H633&lt;1,0.2,IF(Dataset!H633&lt;1.3,0.45,IF(Dataset!H633&lt;1.8,0.7,0.9)))</f>
        <v>0.7</v>
      </c>
      <c r="L633" s="29">
        <f>IF(Dataset!H633&lt;1,1,IF(Dataset!H633&lt;1.3,2,IF(Dataset!H633&lt;1.8,3,4)))</f>
        <v>3</v>
      </c>
      <c r="M633" s="29">
        <f t="shared" si="75"/>
        <v>2.0999999999999996</v>
      </c>
      <c r="N633" s="29">
        <f>IF(Dataset!F633=1,0.75,IF(Dataset!F633=2,0.45,0.2))</f>
        <v>0.2</v>
      </c>
      <c r="O633" s="29">
        <f>IF(Dataset!F633=1,3,IF(Dataset!F633=2,2,1))</f>
        <v>1</v>
      </c>
      <c r="P633" s="29">
        <f t="shared" si="76"/>
        <v>0.2</v>
      </c>
      <c r="Q633" s="29">
        <f>IF(Dataset!K633&lt;5,0.2,IF(Dataset!K633&lt;10,0.45,IF(Dataset!K633&lt;18,0.7,0.9)))</f>
        <v>0.45</v>
      </c>
      <c r="R633" s="29">
        <f>IF(Dataset!K633&lt;5,1,IF(Dataset!K633&lt;10,2,IF(Dataset!K633&lt;18,3,4)))</f>
        <v>2</v>
      </c>
      <c r="S633" s="29">
        <f t="shared" si="77"/>
        <v>0.9</v>
      </c>
      <c r="T633" s="29">
        <f t="shared" si="78"/>
        <v>1.1500000000000001</v>
      </c>
      <c r="U633" s="29" t="str">
        <f t="shared" si="79"/>
        <v>Low</v>
      </c>
    </row>
    <row r="634" spans="1:21" ht="15" customHeight="1" x14ac:dyDescent="0.25">
      <c r="A634" s="29">
        <f>Dataset!A634</f>
        <v>630</v>
      </c>
      <c r="B634" s="29">
        <f>IF(Dataset!B634&lt;25,0.3,IF(Dataset!B634&lt;75,0.5,IF(Dataset!B634&lt;120,0.65,0.8)))</f>
        <v>0.5</v>
      </c>
      <c r="C634" s="29">
        <f>IF(Dataset!B634&lt;25,1,IF(Dataset!B634&lt;75,2,IF(Dataset!B634&lt;120,3,4)))</f>
        <v>2</v>
      </c>
      <c r="D634" s="29">
        <f t="shared" si="72"/>
        <v>1</v>
      </c>
      <c r="E634" s="29">
        <f>IF(Dataset!C634&lt;=1,0.3,IF(Dataset!C634=2,0.4,IF(Dataset!C634=3,0.5,IF(Dataset!C634=4,0.65,0.8))))</f>
        <v>0.4</v>
      </c>
      <c r="F634" s="29">
        <f>IF(Dataset!C634&lt;=2,1,IF(Dataset!C634=3,2,IF(Dataset!C634=4,3,4)))</f>
        <v>1</v>
      </c>
      <c r="G634" s="29">
        <f t="shared" si="73"/>
        <v>0.4</v>
      </c>
      <c r="H634" s="29">
        <f>IF(Dataset!G634&lt;=3,0.25,IF(Dataset!G634&lt;=6,0.45,IF(Dataset!G634&lt;=9,0.65,0.85)))</f>
        <v>0.25</v>
      </c>
      <c r="I634" s="29">
        <f>IF(Dataset!G634&lt;=3,1,IF(Dataset!G634&lt;=6,2,IF(Dataset!G634&lt;=9,3,4)))</f>
        <v>1</v>
      </c>
      <c r="J634" s="29">
        <f t="shared" si="74"/>
        <v>0.25</v>
      </c>
      <c r="K634" s="29">
        <f>IF(Dataset!H634&lt;1,0.2,IF(Dataset!H634&lt;1.3,0.45,IF(Dataset!H634&lt;1.8,0.7,0.9)))</f>
        <v>0.2</v>
      </c>
      <c r="L634" s="29">
        <f>IF(Dataset!H634&lt;1,1,IF(Dataset!H634&lt;1.3,2,IF(Dataset!H634&lt;1.8,3,4)))</f>
        <v>1</v>
      </c>
      <c r="M634" s="29">
        <f t="shared" si="75"/>
        <v>0.2</v>
      </c>
      <c r="N634" s="29">
        <f>IF(Dataset!F634=1,0.75,IF(Dataset!F634=2,0.45,0.2))</f>
        <v>0.45</v>
      </c>
      <c r="O634" s="29">
        <f>IF(Dataset!F634=1,3,IF(Dataset!F634=2,2,1))</f>
        <v>2</v>
      </c>
      <c r="P634" s="29">
        <f t="shared" si="76"/>
        <v>0.9</v>
      </c>
      <c r="Q634" s="29">
        <f>IF(Dataset!K634&lt;5,0.2,IF(Dataset!K634&lt;10,0.45,IF(Dataset!K634&lt;18,0.7,0.9)))</f>
        <v>0.45</v>
      </c>
      <c r="R634" s="29">
        <f>IF(Dataset!K634&lt;5,1,IF(Dataset!K634&lt;10,2,IF(Dataset!K634&lt;18,3,4)))</f>
        <v>2</v>
      </c>
      <c r="S634" s="29">
        <f t="shared" si="77"/>
        <v>0.9</v>
      </c>
      <c r="T634" s="29">
        <f t="shared" si="78"/>
        <v>0.55000000000000004</v>
      </c>
      <c r="U634" s="29" t="str">
        <f t="shared" si="79"/>
        <v>Low</v>
      </c>
    </row>
    <row r="635" spans="1:21" ht="15" customHeight="1" x14ac:dyDescent="0.25">
      <c r="A635" s="29">
        <f>Dataset!A635</f>
        <v>631</v>
      </c>
      <c r="B635" s="29">
        <f>IF(Dataset!B635&lt;25,0.3,IF(Dataset!B635&lt;75,0.5,IF(Dataset!B635&lt;120,0.65,0.8)))</f>
        <v>0.5</v>
      </c>
      <c r="C635" s="29">
        <f>IF(Dataset!B635&lt;25,1,IF(Dataset!B635&lt;75,2,IF(Dataset!B635&lt;120,3,4)))</f>
        <v>2</v>
      </c>
      <c r="D635" s="29">
        <f t="shared" si="72"/>
        <v>1</v>
      </c>
      <c r="E635" s="29">
        <f>IF(Dataset!C635&lt;=1,0.3,IF(Dataset!C635=2,0.4,IF(Dataset!C635=3,0.5,IF(Dataset!C635=4,0.65,0.8))))</f>
        <v>0.65</v>
      </c>
      <c r="F635" s="29">
        <f>IF(Dataset!C635&lt;=2,1,IF(Dataset!C635=3,2,IF(Dataset!C635=4,3,4)))</f>
        <v>3</v>
      </c>
      <c r="G635" s="29">
        <f t="shared" si="73"/>
        <v>1.9500000000000002</v>
      </c>
      <c r="H635" s="29">
        <f>IF(Dataset!G635&lt;=3,0.25,IF(Dataset!G635&lt;=6,0.45,IF(Dataset!G635&lt;=9,0.65,0.85)))</f>
        <v>0.45</v>
      </c>
      <c r="I635" s="29">
        <f>IF(Dataset!G635&lt;=3,1,IF(Dataset!G635&lt;=6,2,IF(Dataset!G635&lt;=9,3,4)))</f>
        <v>2</v>
      </c>
      <c r="J635" s="29">
        <f t="shared" si="74"/>
        <v>0.9</v>
      </c>
      <c r="K635" s="29">
        <f>IF(Dataset!H635&lt;1,0.2,IF(Dataset!H635&lt;1.3,0.45,IF(Dataset!H635&lt;1.8,0.7,0.9)))</f>
        <v>0.2</v>
      </c>
      <c r="L635" s="29">
        <f>IF(Dataset!H635&lt;1,1,IF(Dataset!H635&lt;1.3,2,IF(Dataset!H635&lt;1.8,3,4)))</f>
        <v>1</v>
      </c>
      <c r="M635" s="29">
        <f t="shared" si="75"/>
        <v>0.2</v>
      </c>
      <c r="N635" s="29">
        <f>IF(Dataset!F635=1,0.75,IF(Dataset!F635=2,0.45,0.2))</f>
        <v>0.45</v>
      </c>
      <c r="O635" s="29">
        <f>IF(Dataset!F635=1,3,IF(Dataset!F635=2,2,1))</f>
        <v>2</v>
      </c>
      <c r="P635" s="29">
        <f t="shared" si="76"/>
        <v>0.9</v>
      </c>
      <c r="Q635" s="29">
        <f>IF(Dataset!K635&lt;5,0.2,IF(Dataset!K635&lt;10,0.45,IF(Dataset!K635&lt;18,0.7,0.9)))</f>
        <v>0.7</v>
      </c>
      <c r="R635" s="29">
        <f>IF(Dataset!K635&lt;5,1,IF(Dataset!K635&lt;10,2,IF(Dataset!K635&lt;18,3,4)))</f>
        <v>3</v>
      </c>
      <c r="S635" s="29">
        <f t="shared" si="77"/>
        <v>2.0999999999999996</v>
      </c>
      <c r="T635" s="29">
        <f t="shared" si="78"/>
        <v>1.0650000000000002</v>
      </c>
      <c r="U635" s="29" t="str">
        <f t="shared" si="79"/>
        <v>Low</v>
      </c>
    </row>
    <row r="636" spans="1:21" ht="15" customHeight="1" x14ac:dyDescent="0.25">
      <c r="A636" s="29">
        <f>Dataset!A636</f>
        <v>632</v>
      </c>
      <c r="B636" s="29">
        <f>IF(Dataset!B636&lt;25,0.3,IF(Dataset!B636&lt;75,0.5,IF(Dataset!B636&lt;120,0.65,0.8)))</f>
        <v>0.65</v>
      </c>
      <c r="C636" s="29">
        <f>IF(Dataset!B636&lt;25,1,IF(Dataset!B636&lt;75,2,IF(Dataset!B636&lt;120,3,4)))</f>
        <v>3</v>
      </c>
      <c r="D636" s="29">
        <f t="shared" si="72"/>
        <v>1.9500000000000002</v>
      </c>
      <c r="E636" s="29">
        <f>IF(Dataset!C636&lt;=1,0.3,IF(Dataset!C636=2,0.4,IF(Dataset!C636=3,0.5,IF(Dataset!C636=4,0.65,0.8))))</f>
        <v>0.5</v>
      </c>
      <c r="F636" s="29">
        <f>IF(Dataset!C636&lt;=2,1,IF(Dataset!C636=3,2,IF(Dataset!C636=4,3,4)))</f>
        <v>2</v>
      </c>
      <c r="G636" s="29">
        <f t="shared" si="73"/>
        <v>1</v>
      </c>
      <c r="H636" s="29">
        <f>IF(Dataset!G636&lt;=3,0.25,IF(Dataset!G636&lt;=6,0.45,IF(Dataset!G636&lt;=9,0.65,0.85)))</f>
        <v>0.65</v>
      </c>
      <c r="I636" s="29">
        <f>IF(Dataset!G636&lt;=3,1,IF(Dataset!G636&lt;=6,2,IF(Dataset!G636&lt;=9,3,4)))</f>
        <v>3</v>
      </c>
      <c r="J636" s="29">
        <f t="shared" si="74"/>
        <v>1.9500000000000002</v>
      </c>
      <c r="K636" s="29">
        <f>IF(Dataset!H636&lt;1,0.2,IF(Dataset!H636&lt;1.3,0.45,IF(Dataset!H636&lt;1.8,0.7,0.9)))</f>
        <v>0.45</v>
      </c>
      <c r="L636" s="29">
        <f>IF(Dataset!H636&lt;1,1,IF(Dataset!H636&lt;1.3,2,IF(Dataset!H636&lt;1.8,3,4)))</f>
        <v>2</v>
      </c>
      <c r="M636" s="29">
        <f t="shared" si="75"/>
        <v>0.9</v>
      </c>
      <c r="N636" s="29">
        <f>IF(Dataset!F636=1,0.75,IF(Dataset!F636=2,0.45,0.2))</f>
        <v>0.45</v>
      </c>
      <c r="O636" s="29">
        <f>IF(Dataset!F636=1,3,IF(Dataset!F636=2,2,1))</f>
        <v>2</v>
      </c>
      <c r="P636" s="29">
        <f t="shared" si="76"/>
        <v>0.9</v>
      </c>
      <c r="Q636" s="29">
        <f>IF(Dataset!K636&lt;5,0.2,IF(Dataset!K636&lt;10,0.45,IF(Dataset!K636&lt;18,0.7,0.9)))</f>
        <v>0.45</v>
      </c>
      <c r="R636" s="29">
        <f>IF(Dataset!K636&lt;5,1,IF(Dataset!K636&lt;10,2,IF(Dataset!K636&lt;18,3,4)))</f>
        <v>2</v>
      </c>
      <c r="S636" s="29">
        <f t="shared" si="77"/>
        <v>0.9</v>
      </c>
      <c r="T636" s="29">
        <f t="shared" si="78"/>
        <v>1.3130000000000004</v>
      </c>
      <c r="U636" s="29" t="str">
        <f t="shared" si="79"/>
        <v>Low</v>
      </c>
    </row>
    <row r="637" spans="1:21" ht="15" customHeight="1" x14ac:dyDescent="0.25">
      <c r="A637" s="29">
        <f>Dataset!A637</f>
        <v>633</v>
      </c>
      <c r="B637" s="29">
        <f>IF(Dataset!B637&lt;25,0.3,IF(Dataset!B637&lt;75,0.5,IF(Dataset!B637&lt;120,0.65,0.8)))</f>
        <v>0.65</v>
      </c>
      <c r="C637" s="29">
        <f>IF(Dataset!B637&lt;25,1,IF(Dataset!B637&lt;75,2,IF(Dataset!B637&lt;120,3,4)))</f>
        <v>3</v>
      </c>
      <c r="D637" s="29">
        <f t="shared" si="72"/>
        <v>1.9500000000000002</v>
      </c>
      <c r="E637" s="29">
        <f>IF(Dataset!C637&lt;=1,0.3,IF(Dataset!C637=2,0.4,IF(Dataset!C637=3,0.5,IF(Dataset!C637=4,0.65,0.8))))</f>
        <v>0.8</v>
      </c>
      <c r="F637" s="29">
        <f>IF(Dataset!C637&lt;=2,1,IF(Dataset!C637=3,2,IF(Dataset!C637=4,3,4)))</f>
        <v>4</v>
      </c>
      <c r="G637" s="29">
        <f t="shared" si="73"/>
        <v>3.2</v>
      </c>
      <c r="H637" s="29">
        <f>IF(Dataset!G637&lt;=3,0.25,IF(Dataset!G637&lt;=6,0.45,IF(Dataset!G637&lt;=9,0.65,0.85)))</f>
        <v>0.25</v>
      </c>
      <c r="I637" s="29">
        <f>IF(Dataset!G637&lt;=3,1,IF(Dataset!G637&lt;=6,2,IF(Dataset!G637&lt;=9,3,4)))</f>
        <v>1</v>
      </c>
      <c r="J637" s="29">
        <f t="shared" si="74"/>
        <v>0.25</v>
      </c>
      <c r="K637" s="29">
        <f>IF(Dataset!H637&lt;1,0.2,IF(Dataset!H637&lt;1.3,0.45,IF(Dataset!H637&lt;1.8,0.7,0.9)))</f>
        <v>0.2</v>
      </c>
      <c r="L637" s="29">
        <f>IF(Dataset!H637&lt;1,1,IF(Dataset!H637&lt;1.3,2,IF(Dataset!H637&lt;1.8,3,4)))</f>
        <v>1</v>
      </c>
      <c r="M637" s="29">
        <f t="shared" si="75"/>
        <v>0.2</v>
      </c>
      <c r="N637" s="29">
        <f>IF(Dataset!F637=1,0.75,IF(Dataset!F637=2,0.45,0.2))</f>
        <v>0.2</v>
      </c>
      <c r="O637" s="29">
        <f>IF(Dataset!F637=1,3,IF(Dataset!F637=2,2,1))</f>
        <v>1</v>
      </c>
      <c r="P637" s="29">
        <f t="shared" si="76"/>
        <v>0.2</v>
      </c>
      <c r="Q637" s="29">
        <f>IF(Dataset!K637&lt;5,0.2,IF(Dataset!K637&lt;10,0.45,IF(Dataset!K637&lt;18,0.7,0.9)))</f>
        <v>0.7</v>
      </c>
      <c r="R637" s="29">
        <f>IF(Dataset!K637&lt;5,1,IF(Dataset!K637&lt;10,2,IF(Dataset!K637&lt;18,3,4)))</f>
        <v>3</v>
      </c>
      <c r="S637" s="29">
        <f t="shared" si="77"/>
        <v>2.0999999999999996</v>
      </c>
      <c r="T637" s="29">
        <f t="shared" si="78"/>
        <v>1.2110000000000003</v>
      </c>
      <c r="U637" s="29" t="str">
        <f t="shared" si="79"/>
        <v>Low</v>
      </c>
    </row>
    <row r="638" spans="1:21" ht="15" customHeight="1" x14ac:dyDescent="0.25">
      <c r="A638" s="29">
        <f>Dataset!A638</f>
        <v>634</v>
      </c>
      <c r="B638" s="29">
        <f>IF(Dataset!B638&lt;25,0.3,IF(Dataset!B638&lt;75,0.5,IF(Dataset!B638&lt;120,0.65,0.8)))</f>
        <v>0.8</v>
      </c>
      <c r="C638" s="29">
        <f>IF(Dataset!B638&lt;25,1,IF(Dataset!B638&lt;75,2,IF(Dataset!B638&lt;120,3,4)))</f>
        <v>4</v>
      </c>
      <c r="D638" s="29">
        <f t="shared" si="72"/>
        <v>3.2</v>
      </c>
      <c r="E638" s="29">
        <f>IF(Dataset!C638&lt;=1,0.3,IF(Dataset!C638=2,0.4,IF(Dataset!C638=3,0.5,IF(Dataset!C638=4,0.65,0.8))))</f>
        <v>0.5</v>
      </c>
      <c r="F638" s="29">
        <f>IF(Dataset!C638&lt;=2,1,IF(Dataset!C638=3,2,IF(Dataset!C638=4,3,4)))</f>
        <v>2</v>
      </c>
      <c r="G638" s="29">
        <f t="shared" si="73"/>
        <v>1</v>
      </c>
      <c r="H638" s="29">
        <f>IF(Dataset!G638&lt;=3,0.25,IF(Dataset!G638&lt;=6,0.45,IF(Dataset!G638&lt;=9,0.65,0.85)))</f>
        <v>0.45</v>
      </c>
      <c r="I638" s="29">
        <f>IF(Dataset!G638&lt;=3,1,IF(Dataset!G638&lt;=6,2,IF(Dataset!G638&lt;=9,3,4)))</f>
        <v>2</v>
      </c>
      <c r="J638" s="29">
        <f t="shared" si="74"/>
        <v>0.9</v>
      </c>
      <c r="K638" s="29">
        <f>IF(Dataset!H638&lt;1,0.2,IF(Dataset!H638&lt;1.3,0.45,IF(Dataset!H638&lt;1.8,0.7,0.9)))</f>
        <v>0.45</v>
      </c>
      <c r="L638" s="29">
        <f>IF(Dataset!H638&lt;1,1,IF(Dataset!H638&lt;1.3,2,IF(Dataset!H638&lt;1.8,3,4)))</f>
        <v>2</v>
      </c>
      <c r="M638" s="29">
        <f t="shared" si="75"/>
        <v>0.9</v>
      </c>
      <c r="N638" s="29">
        <f>IF(Dataset!F638=1,0.75,IF(Dataset!F638=2,0.45,0.2))</f>
        <v>0.2</v>
      </c>
      <c r="O638" s="29">
        <f>IF(Dataset!F638=1,3,IF(Dataset!F638=2,2,1))</f>
        <v>1</v>
      </c>
      <c r="P638" s="29">
        <f t="shared" si="76"/>
        <v>0.2</v>
      </c>
      <c r="Q638" s="29">
        <f>IF(Dataset!K638&lt;5,0.2,IF(Dataset!K638&lt;10,0.45,IF(Dataset!K638&lt;18,0.7,0.9)))</f>
        <v>0.2</v>
      </c>
      <c r="R638" s="29">
        <f>IF(Dataset!K638&lt;5,1,IF(Dataset!K638&lt;10,2,IF(Dataset!K638&lt;18,3,4)))</f>
        <v>1</v>
      </c>
      <c r="S638" s="29">
        <f t="shared" si="77"/>
        <v>0.2</v>
      </c>
      <c r="T638" s="29">
        <f t="shared" si="78"/>
        <v>1.1600000000000001</v>
      </c>
      <c r="U638" s="29" t="str">
        <f t="shared" si="79"/>
        <v>Low</v>
      </c>
    </row>
    <row r="639" spans="1:21" ht="15" customHeight="1" x14ac:dyDescent="0.25">
      <c r="A639" s="29">
        <f>Dataset!A639</f>
        <v>635</v>
      </c>
      <c r="B639" s="29">
        <f>IF(Dataset!B639&lt;25,0.3,IF(Dataset!B639&lt;75,0.5,IF(Dataset!B639&lt;120,0.65,0.8)))</f>
        <v>0.65</v>
      </c>
      <c r="C639" s="29">
        <f>IF(Dataset!B639&lt;25,1,IF(Dataset!B639&lt;75,2,IF(Dataset!B639&lt;120,3,4)))</f>
        <v>3</v>
      </c>
      <c r="D639" s="29">
        <f t="shared" si="72"/>
        <v>1.9500000000000002</v>
      </c>
      <c r="E639" s="29">
        <f>IF(Dataset!C639&lt;=1,0.3,IF(Dataset!C639=2,0.4,IF(Dataset!C639=3,0.5,IF(Dataset!C639=4,0.65,0.8))))</f>
        <v>0.4</v>
      </c>
      <c r="F639" s="29">
        <f>IF(Dataset!C639&lt;=2,1,IF(Dataset!C639=3,2,IF(Dataset!C639=4,3,4)))</f>
        <v>1</v>
      </c>
      <c r="G639" s="29">
        <f t="shared" si="73"/>
        <v>0.4</v>
      </c>
      <c r="H639" s="29">
        <f>IF(Dataset!G639&lt;=3,0.25,IF(Dataset!G639&lt;=6,0.45,IF(Dataset!G639&lt;=9,0.65,0.85)))</f>
        <v>0.45</v>
      </c>
      <c r="I639" s="29">
        <f>IF(Dataset!G639&lt;=3,1,IF(Dataset!G639&lt;=6,2,IF(Dataset!G639&lt;=9,3,4)))</f>
        <v>2</v>
      </c>
      <c r="J639" s="29">
        <f t="shared" si="74"/>
        <v>0.9</v>
      </c>
      <c r="K639" s="29">
        <f>IF(Dataset!H639&lt;1,0.2,IF(Dataset!H639&lt;1.3,0.45,IF(Dataset!H639&lt;1.8,0.7,0.9)))</f>
        <v>0.9</v>
      </c>
      <c r="L639" s="29">
        <f>IF(Dataset!H639&lt;1,1,IF(Dataset!H639&lt;1.3,2,IF(Dataset!H639&lt;1.8,3,4)))</f>
        <v>4</v>
      </c>
      <c r="M639" s="29">
        <f t="shared" si="75"/>
        <v>3.6</v>
      </c>
      <c r="N639" s="29">
        <f>IF(Dataset!F639=1,0.75,IF(Dataset!F639=2,0.45,0.2))</f>
        <v>0.2</v>
      </c>
      <c r="O639" s="29">
        <f>IF(Dataset!F639=1,3,IF(Dataset!F639=2,2,1))</f>
        <v>1</v>
      </c>
      <c r="P639" s="29">
        <f t="shared" si="76"/>
        <v>0.2</v>
      </c>
      <c r="Q639" s="29">
        <f>IF(Dataset!K639&lt;5,0.2,IF(Dataset!K639&lt;10,0.45,IF(Dataset!K639&lt;18,0.7,0.9)))</f>
        <v>0.2</v>
      </c>
      <c r="R639" s="29">
        <f>IF(Dataset!K639&lt;5,1,IF(Dataset!K639&lt;10,2,IF(Dataset!K639&lt;18,3,4)))</f>
        <v>1</v>
      </c>
      <c r="S639" s="29">
        <f t="shared" si="77"/>
        <v>0.2</v>
      </c>
      <c r="T639" s="29">
        <f t="shared" si="78"/>
        <v>1.4990000000000001</v>
      </c>
      <c r="U639" s="29" t="str">
        <f t="shared" si="79"/>
        <v>Medium</v>
      </c>
    </row>
    <row r="640" spans="1:21" ht="15" customHeight="1" x14ac:dyDescent="0.25">
      <c r="A640" s="29">
        <f>Dataset!A640</f>
        <v>636</v>
      </c>
      <c r="B640" s="29">
        <f>IF(Dataset!B640&lt;25,0.3,IF(Dataset!B640&lt;75,0.5,IF(Dataset!B640&lt;120,0.65,0.8)))</f>
        <v>0.5</v>
      </c>
      <c r="C640" s="29">
        <f>IF(Dataset!B640&lt;25,1,IF(Dataset!B640&lt;75,2,IF(Dataset!B640&lt;120,3,4)))</f>
        <v>2</v>
      </c>
      <c r="D640" s="29">
        <f t="shared" si="72"/>
        <v>1</v>
      </c>
      <c r="E640" s="29">
        <f>IF(Dataset!C640&lt;=1,0.3,IF(Dataset!C640=2,0.4,IF(Dataset!C640=3,0.5,IF(Dataset!C640=4,0.65,0.8))))</f>
        <v>0.4</v>
      </c>
      <c r="F640" s="29">
        <f>IF(Dataset!C640&lt;=2,1,IF(Dataset!C640=3,2,IF(Dataset!C640=4,3,4)))</f>
        <v>1</v>
      </c>
      <c r="G640" s="29">
        <f t="shared" si="73"/>
        <v>0.4</v>
      </c>
      <c r="H640" s="29">
        <f>IF(Dataset!G640&lt;=3,0.25,IF(Dataset!G640&lt;=6,0.45,IF(Dataset!G640&lt;=9,0.65,0.85)))</f>
        <v>0.45</v>
      </c>
      <c r="I640" s="29">
        <f>IF(Dataset!G640&lt;=3,1,IF(Dataset!G640&lt;=6,2,IF(Dataset!G640&lt;=9,3,4)))</f>
        <v>2</v>
      </c>
      <c r="J640" s="29">
        <f t="shared" si="74"/>
        <v>0.9</v>
      </c>
      <c r="K640" s="29">
        <f>IF(Dataset!H640&lt;1,0.2,IF(Dataset!H640&lt;1.3,0.45,IF(Dataset!H640&lt;1.8,0.7,0.9)))</f>
        <v>0.7</v>
      </c>
      <c r="L640" s="29">
        <f>IF(Dataset!H640&lt;1,1,IF(Dataset!H640&lt;1.3,2,IF(Dataset!H640&lt;1.8,3,4)))</f>
        <v>3</v>
      </c>
      <c r="M640" s="29">
        <f t="shared" si="75"/>
        <v>2.0999999999999996</v>
      </c>
      <c r="N640" s="29">
        <f>IF(Dataset!F640=1,0.75,IF(Dataset!F640=2,0.45,0.2))</f>
        <v>0.45</v>
      </c>
      <c r="O640" s="29">
        <f>IF(Dataset!F640=1,3,IF(Dataset!F640=2,2,1))</f>
        <v>2</v>
      </c>
      <c r="P640" s="29">
        <f t="shared" si="76"/>
        <v>0.9</v>
      </c>
      <c r="Q640" s="29">
        <f>IF(Dataset!K640&lt;5,0.2,IF(Dataset!K640&lt;10,0.45,IF(Dataset!K640&lt;18,0.7,0.9)))</f>
        <v>0.2</v>
      </c>
      <c r="R640" s="29">
        <f>IF(Dataset!K640&lt;5,1,IF(Dataset!K640&lt;10,2,IF(Dataset!K640&lt;18,3,4)))</f>
        <v>1</v>
      </c>
      <c r="S640" s="29">
        <f t="shared" si="77"/>
        <v>0.2</v>
      </c>
      <c r="T640" s="29">
        <f t="shared" si="78"/>
        <v>1.038</v>
      </c>
      <c r="U640" s="29" t="str">
        <f t="shared" si="79"/>
        <v>Low</v>
      </c>
    </row>
    <row r="641" spans="1:21" ht="15" customHeight="1" x14ac:dyDescent="0.25">
      <c r="A641" s="29">
        <f>Dataset!A641</f>
        <v>637</v>
      </c>
      <c r="B641" s="29">
        <f>IF(Dataset!B641&lt;25,0.3,IF(Dataset!B641&lt;75,0.5,IF(Dataset!B641&lt;120,0.65,0.8)))</f>
        <v>0.8</v>
      </c>
      <c r="C641" s="29">
        <f>IF(Dataset!B641&lt;25,1,IF(Dataset!B641&lt;75,2,IF(Dataset!B641&lt;120,3,4)))</f>
        <v>4</v>
      </c>
      <c r="D641" s="29">
        <f t="shared" si="72"/>
        <v>3.2</v>
      </c>
      <c r="E641" s="29">
        <f>IF(Dataset!C641&lt;=1,0.3,IF(Dataset!C641=2,0.4,IF(Dataset!C641=3,0.5,IF(Dataset!C641=4,0.65,0.8))))</f>
        <v>0.5</v>
      </c>
      <c r="F641" s="29">
        <f>IF(Dataset!C641&lt;=2,1,IF(Dataset!C641=3,2,IF(Dataset!C641=4,3,4)))</f>
        <v>2</v>
      </c>
      <c r="G641" s="29">
        <f t="shared" si="73"/>
        <v>1</v>
      </c>
      <c r="H641" s="29">
        <f>IF(Dataset!G641&lt;=3,0.25,IF(Dataset!G641&lt;=6,0.45,IF(Dataset!G641&lt;=9,0.65,0.85)))</f>
        <v>0.45</v>
      </c>
      <c r="I641" s="29">
        <f>IF(Dataset!G641&lt;=3,1,IF(Dataset!G641&lt;=6,2,IF(Dataset!G641&lt;=9,3,4)))</f>
        <v>2</v>
      </c>
      <c r="J641" s="29">
        <f t="shared" si="74"/>
        <v>0.9</v>
      </c>
      <c r="K641" s="29">
        <f>IF(Dataset!H641&lt;1,0.2,IF(Dataset!H641&lt;1.3,0.45,IF(Dataset!H641&lt;1.8,0.7,0.9)))</f>
        <v>0.7</v>
      </c>
      <c r="L641" s="29">
        <f>IF(Dataset!H641&lt;1,1,IF(Dataset!H641&lt;1.3,2,IF(Dataset!H641&lt;1.8,3,4)))</f>
        <v>3</v>
      </c>
      <c r="M641" s="29">
        <f t="shared" si="75"/>
        <v>2.0999999999999996</v>
      </c>
      <c r="N641" s="29">
        <f>IF(Dataset!F641=1,0.75,IF(Dataset!F641=2,0.45,0.2))</f>
        <v>0.75</v>
      </c>
      <c r="O641" s="29">
        <f>IF(Dataset!F641=1,3,IF(Dataset!F641=2,2,1))</f>
        <v>3</v>
      </c>
      <c r="P641" s="29">
        <f t="shared" si="76"/>
        <v>2.25</v>
      </c>
      <c r="Q641" s="29">
        <f>IF(Dataset!K641&lt;5,0.2,IF(Dataset!K641&lt;10,0.45,IF(Dataset!K641&lt;18,0.7,0.9)))</f>
        <v>0.45</v>
      </c>
      <c r="R641" s="29">
        <f>IF(Dataset!K641&lt;5,1,IF(Dataset!K641&lt;10,2,IF(Dataset!K641&lt;18,3,4)))</f>
        <v>2</v>
      </c>
      <c r="S641" s="29">
        <f t="shared" si="77"/>
        <v>0.9</v>
      </c>
      <c r="T641" s="29">
        <f t="shared" si="78"/>
        <v>1.7510000000000001</v>
      </c>
      <c r="U641" s="29" t="str">
        <f t="shared" si="79"/>
        <v>Medium</v>
      </c>
    </row>
    <row r="642" spans="1:21" ht="15" customHeight="1" x14ac:dyDescent="0.25">
      <c r="A642" s="29">
        <f>Dataset!A642</f>
        <v>638</v>
      </c>
      <c r="B642" s="29">
        <f>IF(Dataset!B642&lt;25,0.3,IF(Dataset!B642&lt;75,0.5,IF(Dataset!B642&lt;120,0.65,0.8)))</f>
        <v>0.5</v>
      </c>
      <c r="C642" s="29">
        <f>IF(Dataset!B642&lt;25,1,IF(Dataset!B642&lt;75,2,IF(Dataset!B642&lt;120,3,4)))</f>
        <v>2</v>
      </c>
      <c r="D642" s="29">
        <f t="shared" si="72"/>
        <v>1</v>
      </c>
      <c r="E642" s="29">
        <f>IF(Dataset!C642&lt;=1,0.3,IF(Dataset!C642=2,0.4,IF(Dataset!C642=3,0.5,IF(Dataset!C642=4,0.65,0.8))))</f>
        <v>0.5</v>
      </c>
      <c r="F642" s="29">
        <f>IF(Dataset!C642&lt;=2,1,IF(Dataset!C642=3,2,IF(Dataset!C642=4,3,4)))</f>
        <v>2</v>
      </c>
      <c r="G642" s="29">
        <f t="shared" si="73"/>
        <v>1</v>
      </c>
      <c r="H642" s="29">
        <f>IF(Dataset!G642&lt;=3,0.25,IF(Dataset!G642&lt;=6,0.45,IF(Dataset!G642&lt;=9,0.65,0.85)))</f>
        <v>0.65</v>
      </c>
      <c r="I642" s="29">
        <f>IF(Dataset!G642&lt;=3,1,IF(Dataset!G642&lt;=6,2,IF(Dataset!G642&lt;=9,3,4)))</f>
        <v>3</v>
      </c>
      <c r="J642" s="29">
        <f t="shared" si="74"/>
        <v>1.9500000000000002</v>
      </c>
      <c r="K642" s="29">
        <f>IF(Dataset!H642&lt;1,0.2,IF(Dataset!H642&lt;1.3,0.45,IF(Dataset!H642&lt;1.8,0.7,0.9)))</f>
        <v>0.7</v>
      </c>
      <c r="L642" s="29">
        <f>IF(Dataset!H642&lt;1,1,IF(Dataset!H642&lt;1.3,2,IF(Dataset!H642&lt;1.8,3,4)))</f>
        <v>3</v>
      </c>
      <c r="M642" s="29">
        <f t="shared" si="75"/>
        <v>2.0999999999999996</v>
      </c>
      <c r="N642" s="29">
        <f>IF(Dataset!F642=1,0.75,IF(Dataset!F642=2,0.45,0.2))</f>
        <v>0.45</v>
      </c>
      <c r="O642" s="29">
        <f>IF(Dataset!F642=1,3,IF(Dataset!F642=2,2,1))</f>
        <v>2</v>
      </c>
      <c r="P642" s="29">
        <f t="shared" si="76"/>
        <v>0.9</v>
      </c>
      <c r="Q642" s="29">
        <f>IF(Dataset!K642&lt;5,0.2,IF(Dataset!K642&lt;10,0.45,IF(Dataset!K642&lt;18,0.7,0.9)))</f>
        <v>0.45</v>
      </c>
      <c r="R642" s="29">
        <f>IF(Dataset!K642&lt;5,1,IF(Dataset!K642&lt;10,2,IF(Dataset!K642&lt;18,3,4)))</f>
        <v>2</v>
      </c>
      <c r="S642" s="29">
        <f t="shared" si="77"/>
        <v>0.9</v>
      </c>
      <c r="T642" s="29">
        <f t="shared" si="78"/>
        <v>1.4300000000000002</v>
      </c>
      <c r="U642" s="29" t="str">
        <f t="shared" si="79"/>
        <v>Medium</v>
      </c>
    </row>
    <row r="643" spans="1:21" ht="15" customHeight="1" x14ac:dyDescent="0.25">
      <c r="A643" s="29">
        <f>Dataset!A643</f>
        <v>639</v>
      </c>
      <c r="B643" s="29">
        <f>IF(Dataset!B643&lt;25,0.3,IF(Dataset!B643&lt;75,0.5,IF(Dataset!B643&lt;120,0.65,0.8)))</f>
        <v>0.3</v>
      </c>
      <c r="C643" s="29">
        <f>IF(Dataset!B643&lt;25,1,IF(Dataset!B643&lt;75,2,IF(Dataset!B643&lt;120,3,4)))</f>
        <v>1</v>
      </c>
      <c r="D643" s="29">
        <f t="shared" si="72"/>
        <v>0.3</v>
      </c>
      <c r="E643" s="29">
        <f>IF(Dataset!C643&lt;=1,0.3,IF(Dataset!C643=2,0.4,IF(Dataset!C643=3,0.5,IF(Dataset!C643=4,0.65,0.8))))</f>
        <v>0.65</v>
      </c>
      <c r="F643" s="29">
        <f>IF(Dataset!C643&lt;=2,1,IF(Dataset!C643=3,2,IF(Dataset!C643=4,3,4)))</f>
        <v>3</v>
      </c>
      <c r="G643" s="29">
        <f t="shared" si="73"/>
        <v>1.9500000000000002</v>
      </c>
      <c r="H643" s="29">
        <f>IF(Dataset!G643&lt;=3,0.25,IF(Dataset!G643&lt;=6,0.45,IF(Dataset!G643&lt;=9,0.65,0.85)))</f>
        <v>0.65</v>
      </c>
      <c r="I643" s="29">
        <f>IF(Dataset!G643&lt;=3,1,IF(Dataset!G643&lt;=6,2,IF(Dataset!G643&lt;=9,3,4)))</f>
        <v>3</v>
      </c>
      <c r="J643" s="29">
        <f t="shared" si="74"/>
        <v>1.9500000000000002</v>
      </c>
      <c r="K643" s="29">
        <f>IF(Dataset!H643&lt;1,0.2,IF(Dataset!H643&lt;1.3,0.45,IF(Dataset!H643&lt;1.8,0.7,0.9)))</f>
        <v>0.9</v>
      </c>
      <c r="L643" s="29">
        <f>IF(Dataset!H643&lt;1,1,IF(Dataset!H643&lt;1.3,2,IF(Dataset!H643&lt;1.8,3,4)))</f>
        <v>4</v>
      </c>
      <c r="M643" s="29">
        <f t="shared" si="75"/>
        <v>3.6</v>
      </c>
      <c r="N643" s="29">
        <f>IF(Dataset!F643=1,0.75,IF(Dataset!F643=2,0.45,0.2))</f>
        <v>0.75</v>
      </c>
      <c r="O643" s="29">
        <f>IF(Dataset!F643=1,3,IF(Dataset!F643=2,2,1))</f>
        <v>3</v>
      </c>
      <c r="P643" s="29">
        <f t="shared" si="76"/>
        <v>2.25</v>
      </c>
      <c r="Q643" s="29">
        <f>IF(Dataset!K643&lt;5,0.2,IF(Dataset!K643&lt;10,0.45,IF(Dataset!K643&lt;18,0.7,0.9)))</f>
        <v>0.45</v>
      </c>
      <c r="R643" s="29">
        <f>IF(Dataset!K643&lt;5,1,IF(Dataset!K643&lt;10,2,IF(Dataset!K643&lt;18,3,4)))</f>
        <v>2</v>
      </c>
      <c r="S643" s="29">
        <f t="shared" si="77"/>
        <v>0.9</v>
      </c>
      <c r="T643" s="29">
        <f t="shared" si="78"/>
        <v>1.9320000000000002</v>
      </c>
      <c r="U643" s="29" t="str">
        <f t="shared" si="79"/>
        <v>High</v>
      </c>
    </row>
    <row r="644" spans="1:21" ht="15" customHeight="1" x14ac:dyDescent="0.25">
      <c r="A644" s="29">
        <f>Dataset!A644</f>
        <v>640</v>
      </c>
      <c r="B644" s="29">
        <f>IF(Dataset!B644&lt;25,0.3,IF(Dataset!B644&lt;75,0.5,IF(Dataset!B644&lt;120,0.65,0.8)))</f>
        <v>0.65</v>
      </c>
      <c r="C644" s="29">
        <f>IF(Dataset!B644&lt;25,1,IF(Dataset!B644&lt;75,2,IF(Dataset!B644&lt;120,3,4)))</f>
        <v>3</v>
      </c>
      <c r="D644" s="29">
        <f t="shared" si="72"/>
        <v>1.9500000000000002</v>
      </c>
      <c r="E644" s="29">
        <f>IF(Dataset!C644&lt;=1,0.3,IF(Dataset!C644=2,0.4,IF(Dataset!C644=3,0.5,IF(Dataset!C644=4,0.65,0.8))))</f>
        <v>0.5</v>
      </c>
      <c r="F644" s="29">
        <f>IF(Dataset!C644&lt;=2,1,IF(Dataset!C644=3,2,IF(Dataset!C644=4,3,4)))</f>
        <v>2</v>
      </c>
      <c r="G644" s="29">
        <f t="shared" si="73"/>
        <v>1</v>
      </c>
      <c r="H644" s="29">
        <f>IF(Dataset!G644&lt;=3,0.25,IF(Dataset!G644&lt;=6,0.45,IF(Dataset!G644&lt;=9,0.65,0.85)))</f>
        <v>0.45</v>
      </c>
      <c r="I644" s="29">
        <f>IF(Dataset!G644&lt;=3,1,IF(Dataset!G644&lt;=6,2,IF(Dataset!G644&lt;=9,3,4)))</f>
        <v>2</v>
      </c>
      <c r="J644" s="29">
        <f t="shared" si="74"/>
        <v>0.9</v>
      </c>
      <c r="K644" s="29">
        <f>IF(Dataset!H644&lt;1,0.2,IF(Dataset!H644&lt;1.3,0.45,IF(Dataset!H644&lt;1.8,0.7,0.9)))</f>
        <v>0.45</v>
      </c>
      <c r="L644" s="29">
        <f>IF(Dataset!H644&lt;1,1,IF(Dataset!H644&lt;1.3,2,IF(Dataset!H644&lt;1.8,3,4)))</f>
        <v>2</v>
      </c>
      <c r="M644" s="29">
        <f t="shared" si="75"/>
        <v>0.9</v>
      </c>
      <c r="N644" s="29">
        <f>IF(Dataset!F644=1,0.75,IF(Dataset!F644=2,0.45,0.2))</f>
        <v>0.75</v>
      </c>
      <c r="O644" s="29">
        <f>IF(Dataset!F644=1,3,IF(Dataset!F644=2,2,1))</f>
        <v>3</v>
      </c>
      <c r="P644" s="29">
        <f t="shared" si="76"/>
        <v>2.25</v>
      </c>
      <c r="Q644" s="29">
        <f>IF(Dataset!K644&lt;5,0.2,IF(Dataset!K644&lt;10,0.45,IF(Dataset!K644&lt;18,0.7,0.9)))</f>
        <v>0.45</v>
      </c>
      <c r="R644" s="29">
        <f>IF(Dataset!K644&lt;5,1,IF(Dataset!K644&lt;10,2,IF(Dataset!K644&lt;18,3,4)))</f>
        <v>2</v>
      </c>
      <c r="S644" s="29">
        <f t="shared" si="77"/>
        <v>0.9</v>
      </c>
      <c r="T644" s="29">
        <f t="shared" si="78"/>
        <v>1.2380000000000002</v>
      </c>
      <c r="U644" s="29" t="str">
        <f t="shared" si="79"/>
        <v>Low</v>
      </c>
    </row>
    <row r="645" spans="1:21" ht="15" customHeight="1" x14ac:dyDescent="0.25">
      <c r="A645" s="29">
        <f>Dataset!A645</f>
        <v>641</v>
      </c>
      <c r="B645" s="29">
        <f>IF(Dataset!B645&lt;25,0.3,IF(Dataset!B645&lt;75,0.5,IF(Dataset!B645&lt;120,0.65,0.8)))</f>
        <v>0.65</v>
      </c>
      <c r="C645" s="29">
        <f>IF(Dataset!B645&lt;25,1,IF(Dataset!B645&lt;75,2,IF(Dataset!B645&lt;120,3,4)))</f>
        <v>3</v>
      </c>
      <c r="D645" s="29">
        <f t="shared" ref="D645:D708" si="80">B645*C645</f>
        <v>1.9500000000000002</v>
      </c>
      <c r="E645" s="29">
        <f>IF(Dataset!C645&lt;=1,0.3,IF(Dataset!C645=2,0.4,IF(Dataset!C645=3,0.5,IF(Dataset!C645=4,0.65,0.8))))</f>
        <v>0.5</v>
      </c>
      <c r="F645" s="29">
        <f>IF(Dataset!C645&lt;=2,1,IF(Dataset!C645=3,2,IF(Dataset!C645=4,3,4)))</f>
        <v>2</v>
      </c>
      <c r="G645" s="29">
        <f t="shared" ref="G645:G708" si="81">E645*F645</f>
        <v>1</v>
      </c>
      <c r="H645" s="29">
        <f>IF(Dataset!G645&lt;=3,0.25,IF(Dataset!G645&lt;=6,0.45,IF(Dataset!G645&lt;=9,0.65,0.85)))</f>
        <v>0.45</v>
      </c>
      <c r="I645" s="29">
        <f>IF(Dataset!G645&lt;=3,1,IF(Dataset!G645&lt;=6,2,IF(Dataset!G645&lt;=9,3,4)))</f>
        <v>2</v>
      </c>
      <c r="J645" s="29">
        <f t="shared" ref="J645:J708" si="82">H645*I645</f>
        <v>0.9</v>
      </c>
      <c r="K645" s="29">
        <f>IF(Dataset!H645&lt;1,0.2,IF(Dataset!H645&lt;1.3,0.45,IF(Dataset!H645&lt;1.8,0.7,0.9)))</f>
        <v>0.9</v>
      </c>
      <c r="L645" s="29">
        <f>IF(Dataset!H645&lt;1,1,IF(Dataset!H645&lt;1.3,2,IF(Dataset!H645&lt;1.8,3,4)))</f>
        <v>4</v>
      </c>
      <c r="M645" s="29">
        <f t="shared" ref="M645:M708" si="83">K645*L645</f>
        <v>3.6</v>
      </c>
      <c r="N645" s="29">
        <f>IF(Dataset!F645=1,0.75,IF(Dataset!F645=2,0.45,0.2))</f>
        <v>0.45</v>
      </c>
      <c r="O645" s="29">
        <f>IF(Dataset!F645=1,3,IF(Dataset!F645=2,2,1))</f>
        <v>2</v>
      </c>
      <c r="P645" s="29">
        <f t="shared" ref="P645:P708" si="84">N645*O645</f>
        <v>0.9</v>
      </c>
      <c r="Q645" s="29">
        <f>IF(Dataset!K645&lt;5,0.2,IF(Dataset!K645&lt;10,0.45,IF(Dataset!K645&lt;18,0.7,0.9)))</f>
        <v>0.45</v>
      </c>
      <c r="R645" s="29">
        <f>IF(Dataset!K645&lt;5,1,IF(Dataset!K645&lt;10,2,IF(Dataset!K645&lt;18,3,4)))</f>
        <v>2</v>
      </c>
      <c r="S645" s="29">
        <f t="shared" ref="S645:S708" si="85">Q645*R645</f>
        <v>0.9</v>
      </c>
      <c r="T645" s="29">
        <f t="shared" ref="T645:T708" si="86">$Y$6*D645+$Y$7*G645+$Y$8*J645+$Y$9*M645+$Y$10*P645+$Y$11*S645</f>
        <v>1.7510000000000003</v>
      </c>
      <c r="U645" s="29" t="str">
        <f t="shared" ref="U645:U708" si="87">IF(T645&lt;=$Y$15,"Low",IF(T645&lt;=$Y$16,"Medium","High"))</f>
        <v>Medium</v>
      </c>
    </row>
    <row r="646" spans="1:21" ht="15" customHeight="1" x14ac:dyDescent="0.25">
      <c r="A646" s="29">
        <f>Dataset!A646</f>
        <v>642</v>
      </c>
      <c r="B646" s="29">
        <f>IF(Dataset!B646&lt;25,0.3,IF(Dataset!B646&lt;75,0.5,IF(Dataset!B646&lt;120,0.65,0.8)))</f>
        <v>0.5</v>
      </c>
      <c r="C646" s="29">
        <f>IF(Dataset!B646&lt;25,1,IF(Dataset!B646&lt;75,2,IF(Dataset!B646&lt;120,3,4)))</f>
        <v>2</v>
      </c>
      <c r="D646" s="29">
        <f t="shared" si="80"/>
        <v>1</v>
      </c>
      <c r="E646" s="29">
        <f>IF(Dataset!C646&lt;=1,0.3,IF(Dataset!C646=2,0.4,IF(Dataset!C646=3,0.5,IF(Dataset!C646=4,0.65,0.8))))</f>
        <v>0.5</v>
      </c>
      <c r="F646" s="29">
        <f>IF(Dataset!C646&lt;=2,1,IF(Dataset!C646=3,2,IF(Dataset!C646=4,3,4)))</f>
        <v>2</v>
      </c>
      <c r="G646" s="29">
        <f t="shared" si="81"/>
        <v>1</v>
      </c>
      <c r="H646" s="29">
        <f>IF(Dataset!G646&lt;=3,0.25,IF(Dataset!G646&lt;=6,0.45,IF(Dataset!G646&lt;=9,0.65,0.85)))</f>
        <v>0.45</v>
      </c>
      <c r="I646" s="29">
        <f>IF(Dataset!G646&lt;=3,1,IF(Dataset!G646&lt;=6,2,IF(Dataset!G646&lt;=9,3,4)))</f>
        <v>2</v>
      </c>
      <c r="J646" s="29">
        <f t="shared" si="82"/>
        <v>0.9</v>
      </c>
      <c r="K646" s="29">
        <f>IF(Dataset!H646&lt;1,0.2,IF(Dataset!H646&lt;1.3,0.45,IF(Dataset!H646&lt;1.8,0.7,0.9)))</f>
        <v>0.7</v>
      </c>
      <c r="L646" s="29">
        <f>IF(Dataset!H646&lt;1,1,IF(Dataset!H646&lt;1.3,2,IF(Dataset!H646&lt;1.8,3,4)))</f>
        <v>3</v>
      </c>
      <c r="M646" s="29">
        <f t="shared" si="83"/>
        <v>2.0999999999999996</v>
      </c>
      <c r="N646" s="29">
        <f>IF(Dataset!F646=1,0.75,IF(Dataset!F646=2,0.45,0.2))</f>
        <v>0.45</v>
      </c>
      <c r="O646" s="29">
        <f>IF(Dataset!F646=1,3,IF(Dataset!F646=2,2,1))</f>
        <v>2</v>
      </c>
      <c r="P646" s="29">
        <f t="shared" si="84"/>
        <v>0.9</v>
      </c>
      <c r="Q646" s="29">
        <f>IF(Dataset!K646&lt;5,0.2,IF(Dataset!K646&lt;10,0.45,IF(Dataset!K646&lt;18,0.7,0.9)))</f>
        <v>0.2</v>
      </c>
      <c r="R646" s="29">
        <f>IF(Dataset!K646&lt;5,1,IF(Dataset!K646&lt;10,2,IF(Dataset!K646&lt;18,3,4)))</f>
        <v>1</v>
      </c>
      <c r="S646" s="29">
        <f t="shared" si="85"/>
        <v>0.2</v>
      </c>
      <c r="T646" s="29">
        <f t="shared" si="86"/>
        <v>1.1220000000000001</v>
      </c>
      <c r="U646" s="29" t="str">
        <f t="shared" si="87"/>
        <v>Low</v>
      </c>
    </row>
    <row r="647" spans="1:21" ht="15" customHeight="1" x14ac:dyDescent="0.25">
      <c r="A647" s="29">
        <f>Dataset!A647</f>
        <v>643</v>
      </c>
      <c r="B647" s="29">
        <f>IF(Dataset!B647&lt;25,0.3,IF(Dataset!B647&lt;75,0.5,IF(Dataset!B647&lt;120,0.65,0.8)))</f>
        <v>0.65</v>
      </c>
      <c r="C647" s="29">
        <f>IF(Dataset!B647&lt;25,1,IF(Dataset!B647&lt;75,2,IF(Dataset!B647&lt;120,3,4)))</f>
        <v>3</v>
      </c>
      <c r="D647" s="29">
        <f t="shared" si="80"/>
        <v>1.9500000000000002</v>
      </c>
      <c r="E647" s="29">
        <f>IF(Dataset!C647&lt;=1,0.3,IF(Dataset!C647=2,0.4,IF(Dataset!C647=3,0.5,IF(Dataset!C647=4,0.65,0.8))))</f>
        <v>0.5</v>
      </c>
      <c r="F647" s="29">
        <f>IF(Dataset!C647&lt;=2,1,IF(Dataset!C647=3,2,IF(Dataset!C647=4,3,4)))</f>
        <v>2</v>
      </c>
      <c r="G647" s="29">
        <f t="shared" si="81"/>
        <v>1</v>
      </c>
      <c r="H647" s="29">
        <f>IF(Dataset!G647&lt;=3,0.25,IF(Dataset!G647&lt;=6,0.45,IF(Dataset!G647&lt;=9,0.65,0.85)))</f>
        <v>0.65</v>
      </c>
      <c r="I647" s="29">
        <f>IF(Dataset!G647&lt;=3,1,IF(Dataset!G647&lt;=6,2,IF(Dataset!G647&lt;=9,3,4)))</f>
        <v>3</v>
      </c>
      <c r="J647" s="29">
        <f t="shared" si="82"/>
        <v>1.9500000000000002</v>
      </c>
      <c r="K647" s="29">
        <f>IF(Dataset!H647&lt;1,0.2,IF(Dataset!H647&lt;1.3,0.45,IF(Dataset!H647&lt;1.8,0.7,0.9)))</f>
        <v>0.9</v>
      </c>
      <c r="L647" s="29">
        <f>IF(Dataset!H647&lt;1,1,IF(Dataset!H647&lt;1.3,2,IF(Dataset!H647&lt;1.8,3,4)))</f>
        <v>4</v>
      </c>
      <c r="M647" s="29">
        <f t="shared" si="83"/>
        <v>3.6</v>
      </c>
      <c r="N647" s="29">
        <f>IF(Dataset!F647=1,0.75,IF(Dataset!F647=2,0.45,0.2))</f>
        <v>0.2</v>
      </c>
      <c r="O647" s="29">
        <f>IF(Dataset!F647=1,3,IF(Dataset!F647=2,2,1))</f>
        <v>1</v>
      </c>
      <c r="P647" s="29">
        <f t="shared" si="84"/>
        <v>0.2</v>
      </c>
      <c r="Q647" s="29">
        <f>IF(Dataset!K647&lt;5,0.2,IF(Dataset!K647&lt;10,0.45,IF(Dataset!K647&lt;18,0.7,0.9)))</f>
        <v>0.2</v>
      </c>
      <c r="R647" s="29">
        <f>IF(Dataset!K647&lt;5,1,IF(Dataset!K647&lt;10,2,IF(Dataset!K647&lt;18,3,4)))</f>
        <v>1</v>
      </c>
      <c r="S647" s="29">
        <f t="shared" si="85"/>
        <v>0.2</v>
      </c>
      <c r="T647" s="29">
        <f t="shared" si="86"/>
        <v>1.7930000000000001</v>
      </c>
      <c r="U647" s="29" t="str">
        <f t="shared" si="87"/>
        <v>High</v>
      </c>
    </row>
    <row r="648" spans="1:21" ht="15" customHeight="1" x14ac:dyDescent="0.25">
      <c r="A648" s="29">
        <f>Dataset!A648</f>
        <v>644</v>
      </c>
      <c r="B648" s="29">
        <f>IF(Dataset!B648&lt;25,0.3,IF(Dataset!B648&lt;75,0.5,IF(Dataset!B648&lt;120,0.65,0.8)))</f>
        <v>0.5</v>
      </c>
      <c r="C648" s="29">
        <f>IF(Dataset!B648&lt;25,1,IF(Dataset!B648&lt;75,2,IF(Dataset!B648&lt;120,3,4)))</f>
        <v>2</v>
      </c>
      <c r="D648" s="29">
        <f t="shared" si="80"/>
        <v>1</v>
      </c>
      <c r="E648" s="29">
        <f>IF(Dataset!C648&lt;=1,0.3,IF(Dataset!C648=2,0.4,IF(Dataset!C648=3,0.5,IF(Dataset!C648=4,0.65,0.8))))</f>
        <v>0.8</v>
      </c>
      <c r="F648" s="29">
        <f>IF(Dataset!C648&lt;=2,1,IF(Dataset!C648=3,2,IF(Dataset!C648=4,3,4)))</f>
        <v>4</v>
      </c>
      <c r="G648" s="29">
        <f t="shared" si="81"/>
        <v>3.2</v>
      </c>
      <c r="H648" s="29">
        <f>IF(Dataset!G648&lt;=3,0.25,IF(Dataset!G648&lt;=6,0.45,IF(Dataset!G648&lt;=9,0.65,0.85)))</f>
        <v>0.45</v>
      </c>
      <c r="I648" s="29">
        <f>IF(Dataset!G648&lt;=3,1,IF(Dataset!G648&lt;=6,2,IF(Dataset!G648&lt;=9,3,4)))</f>
        <v>2</v>
      </c>
      <c r="J648" s="29">
        <f t="shared" si="82"/>
        <v>0.9</v>
      </c>
      <c r="K648" s="29">
        <f>IF(Dataset!H648&lt;1,0.2,IF(Dataset!H648&lt;1.3,0.45,IF(Dataset!H648&lt;1.8,0.7,0.9)))</f>
        <v>0.45</v>
      </c>
      <c r="L648" s="29">
        <f>IF(Dataset!H648&lt;1,1,IF(Dataset!H648&lt;1.3,2,IF(Dataset!H648&lt;1.8,3,4)))</f>
        <v>2</v>
      </c>
      <c r="M648" s="29">
        <f t="shared" si="83"/>
        <v>0.9</v>
      </c>
      <c r="N648" s="29">
        <f>IF(Dataset!F648=1,0.75,IF(Dataset!F648=2,0.45,0.2))</f>
        <v>0.2</v>
      </c>
      <c r="O648" s="29">
        <f>IF(Dataset!F648=1,3,IF(Dataset!F648=2,2,1))</f>
        <v>1</v>
      </c>
      <c r="P648" s="29">
        <f t="shared" si="84"/>
        <v>0.2</v>
      </c>
      <c r="Q648" s="29">
        <f>IF(Dataset!K648&lt;5,0.2,IF(Dataset!K648&lt;10,0.45,IF(Dataset!K648&lt;18,0.7,0.9)))</f>
        <v>0.9</v>
      </c>
      <c r="R648" s="29">
        <f>IF(Dataset!K648&lt;5,1,IF(Dataset!K648&lt;10,2,IF(Dataset!K648&lt;18,3,4)))</f>
        <v>4</v>
      </c>
      <c r="S648" s="29">
        <f t="shared" si="85"/>
        <v>3.6</v>
      </c>
      <c r="T648" s="29">
        <f t="shared" si="86"/>
        <v>1.5480000000000005</v>
      </c>
      <c r="U648" s="29" t="str">
        <f t="shared" si="87"/>
        <v>Medium</v>
      </c>
    </row>
    <row r="649" spans="1:21" ht="15" customHeight="1" x14ac:dyDescent="0.25">
      <c r="A649" s="29">
        <f>Dataset!A649</f>
        <v>645</v>
      </c>
      <c r="B649" s="29">
        <f>IF(Dataset!B649&lt;25,0.3,IF(Dataset!B649&lt;75,0.5,IF(Dataset!B649&lt;120,0.65,0.8)))</f>
        <v>0.3</v>
      </c>
      <c r="C649" s="29">
        <f>IF(Dataset!B649&lt;25,1,IF(Dataset!B649&lt;75,2,IF(Dataset!B649&lt;120,3,4)))</f>
        <v>1</v>
      </c>
      <c r="D649" s="29">
        <f t="shared" si="80"/>
        <v>0.3</v>
      </c>
      <c r="E649" s="29">
        <f>IF(Dataset!C649&lt;=1,0.3,IF(Dataset!C649=2,0.4,IF(Dataset!C649=3,0.5,IF(Dataset!C649=4,0.65,0.8))))</f>
        <v>0.4</v>
      </c>
      <c r="F649" s="29">
        <f>IF(Dataset!C649&lt;=2,1,IF(Dataset!C649=3,2,IF(Dataset!C649=4,3,4)))</f>
        <v>1</v>
      </c>
      <c r="G649" s="29">
        <f t="shared" si="81"/>
        <v>0.4</v>
      </c>
      <c r="H649" s="29">
        <f>IF(Dataset!G649&lt;=3,0.25,IF(Dataset!G649&lt;=6,0.45,IF(Dataset!G649&lt;=9,0.65,0.85)))</f>
        <v>0.85</v>
      </c>
      <c r="I649" s="29">
        <f>IF(Dataset!G649&lt;=3,1,IF(Dataset!G649&lt;=6,2,IF(Dataset!G649&lt;=9,3,4)))</f>
        <v>4</v>
      </c>
      <c r="J649" s="29">
        <f t="shared" si="82"/>
        <v>3.4</v>
      </c>
      <c r="K649" s="29">
        <f>IF(Dataset!H649&lt;1,0.2,IF(Dataset!H649&lt;1.3,0.45,IF(Dataset!H649&lt;1.8,0.7,0.9)))</f>
        <v>0.7</v>
      </c>
      <c r="L649" s="29">
        <f>IF(Dataset!H649&lt;1,1,IF(Dataset!H649&lt;1.3,2,IF(Dataset!H649&lt;1.8,3,4)))</f>
        <v>3</v>
      </c>
      <c r="M649" s="29">
        <f t="shared" si="83"/>
        <v>2.0999999999999996</v>
      </c>
      <c r="N649" s="29">
        <f>IF(Dataset!F649=1,0.75,IF(Dataset!F649=2,0.45,0.2))</f>
        <v>0.2</v>
      </c>
      <c r="O649" s="29">
        <f>IF(Dataset!F649=1,3,IF(Dataset!F649=2,2,1))</f>
        <v>1</v>
      </c>
      <c r="P649" s="29">
        <f t="shared" si="84"/>
        <v>0.2</v>
      </c>
      <c r="Q649" s="29">
        <f>IF(Dataset!K649&lt;5,0.2,IF(Dataset!K649&lt;10,0.45,IF(Dataset!K649&lt;18,0.7,0.9)))</f>
        <v>0.2</v>
      </c>
      <c r="R649" s="29">
        <f>IF(Dataset!K649&lt;5,1,IF(Dataset!K649&lt;10,2,IF(Dataset!K649&lt;18,3,4)))</f>
        <v>1</v>
      </c>
      <c r="S649" s="29">
        <f t="shared" si="85"/>
        <v>0.2</v>
      </c>
      <c r="T649" s="29">
        <f t="shared" si="86"/>
        <v>1.3420000000000001</v>
      </c>
      <c r="U649" s="29" t="str">
        <f t="shared" si="87"/>
        <v>Low</v>
      </c>
    </row>
    <row r="650" spans="1:21" ht="15" customHeight="1" x14ac:dyDescent="0.25">
      <c r="A650" s="29">
        <f>Dataset!A650</f>
        <v>646</v>
      </c>
      <c r="B650" s="29">
        <f>IF(Dataset!B650&lt;25,0.3,IF(Dataset!B650&lt;75,0.5,IF(Dataset!B650&lt;120,0.65,0.8)))</f>
        <v>0.65</v>
      </c>
      <c r="C650" s="29">
        <f>IF(Dataset!B650&lt;25,1,IF(Dataset!B650&lt;75,2,IF(Dataset!B650&lt;120,3,4)))</f>
        <v>3</v>
      </c>
      <c r="D650" s="29">
        <f t="shared" si="80"/>
        <v>1.9500000000000002</v>
      </c>
      <c r="E650" s="29">
        <f>IF(Dataset!C650&lt;=1,0.3,IF(Dataset!C650=2,0.4,IF(Dataset!C650=3,0.5,IF(Dataset!C650=4,0.65,0.8))))</f>
        <v>0.8</v>
      </c>
      <c r="F650" s="29">
        <f>IF(Dataset!C650&lt;=2,1,IF(Dataset!C650=3,2,IF(Dataset!C650=4,3,4)))</f>
        <v>4</v>
      </c>
      <c r="G650" s="29">
        <f t="shared" si="81"/>
        <v>3.2</v>
      </c>
      <c r="H650" s="29">
        <f>IF(Dataset!G650&lt;=3,0.25,IF(Dataset!G650&lt;=6,0.45,IF(Dataset!G650&lt;=9,0.65,0.85)))</f>
        <v>0.45</v>
      </c>
      <c r="I650" s="29">
        <f>IF(Dataset!G650&lt;=3,1,IF(Dataset!G650&lt;=6,2,IF(Dataset!G650&lt;=9,3,4)))</f>
        <v>2</v>
      </c>
      <c r="J650" s="29">
        <f t="shared" si="82"/>
        <v>0.9</v>
      </c>
      <c r="K650" s="29">
        <f>IF(Dataset!H650&lt;1,0.2,IF(Dataset!H650&lt;1.3,0.45,IF(Dataset!H650&lt;1.8,0.7,0.9)))</f>
        <v>0.9</v>
      </c>
      <c r="L650" s="29">
        <f>IF(Dataset!H650&lt;1,1,IF(Dataset!H650&lt;1.3,2,IF(Dataset!H650&lt;1.8,3,4)))</f>
        <v>4</v>
      </c>
      <c r="M650" s="29">
        <f t="shared" si="83"/>
        <v>3.6</v>
      </c>
      <c r="N650" s="29">
        <f>IF(Dataset!F650=1,0.75,IF(Dataset!F650=2,0.45,0.2))</f>
        <v>0.2</v>
      </c>
      <c r="O650" s="29">
        <f>IF(Dataset!F650=1,3,IF(Dataset!F650=2,2,1))</f>
        <v>1</v>
      </c>
      <c r="P650" s="29">
        <f t="shared" si="84"/>
        <v>0.2</v>
      </c>
      <c r="Q650" s="29">
        <f>IF(Dataset!K650&lt;5,0.2,IF(Dataset!K650&lt;10,0.45,IF(Dataset!K650&lt;18,0.7,0.9)))</f>
        <v>0.7</v>
      </c>
      <c r="R650" s="29">
        <f>IF(Dataset!K650&lt;5,1,IF(Dataset!K650&lt;10,2,IF(Dataset!K650&lt;18,3,4)))</f>
        <v>3</v>
      </c>
      <c r="S650" s="29">
        <f t="shared" si="85"/>
        <v>2.0999999999999996</v>
      </c>
      <c r="T650" s="29">
        <f t="shared" si="86"/>
        <v>2.157</v>
      </c>
      <c r="U650" s="29" t="str">
        <f t="shared" si="87"/>
        <v>High</v>
      </c>
    </row>
    <row r="651" spans="1:21" ht="15" customHeight="1" x14ac:dyDescent="0.25">
      <c r="A651" s="29">
        <f>Dataset!A651</f>
        <v>647</v>
      </c>
      <c r="B651" s="29">
        <f>IF(Dataset!B651&lt;25,0.3,IF(Dataset!B651&lt;75,0.5,IF(Dataset!B651&lt;120,0.65,0.8)))</f>
        <v>0.5</v>
      </c>
      <c r="C651" s="29">
        <f>IF(Dataset!B651&lt;25,1,IF(Dataset!B651&lt;75,2,IF(Dataset!B651&lt;120,3,4)))</f>
        <v>2</v>
      </c>
      <c r="D651" s="29">
        <f t="shared" si="80"/>
        <v>1</v>
      </c>
      <c r="E651" s="29">
        <f>IF(Dataset!C651&lt;=1,0.3,IF(Dataset!C651=2,0.4,IF(Dataset!C651=3,0.5,IF(Dataset!C651=4,0.65,0.8))))</f>
        <v>0.5</v>
      </c>
      <c r="F651" s="29">
        <f>IF(Dataset!C651&lt;=2,1,IF(Dataset!C651=3,2,IF(Dataset!C651=4,3,4)))</f>
        <v>2</v>
      </c>
      <c r="G651" s="29">
        <f t="shared" si="81"/>
        <v>1</v>
      </c>
      <c r="H651" s="29">
        <f>IF(Dataset!G651&lt;=3,0.25,IF(Dataset!G651&lt;=6,0.45,IF(Dataset!G651&lt;=9,0.65,0.85)))</f>
        <v>0.25</v>
      </c>
      <c r="I651" s="29">
        <f>IF(Dataset!G651&lt;=3,1,IF(Dataset!G651&lt;=6,2,IF(Dataset!G651&lt;=9,3,4)))</f>
        <v>1</v>
      </c>
      <c r="J651" s="29">
        <f t="shared" si="82"/>
        <v>0.25</v>
      </c>
      <c r="K651" s="29">
        <f>IF(Dataset!H651&lt;1,0.2,IF(Dataset!H651&lt;1.3,0.45,IF(Dataset!H651&lt;1.8,0.7,0.9)))</f>
        <v>0.9</v>
      </c>
      <c r="L651" s="29">
        <f>IF(Dataset!H651&lt;1,1,IF(Dataset!H651&lt;1.3,2,IF(Dataset!H651&lt;1.8,3,4)))</f>
        <v>4</v>
      </c>
      <c r="M651" s="29">
        <f t="shared" si="83"/>
        <v>3.6</v>
      </c>
      <c r="N651" s="29">
        <f>IF(Dataset!F651=1,0.75,IF(Dataset!F651=2,0.45,0.2))</f>
        <v>0.45</v>
      </c>
      <c r="O651" s="29">
        <f>IF(Dataset!F651=1,3,IF(Dataset!F651=2,2,1))</f>
        <v>2</v>
      </c>
      <c r="P651" s="29">
        <f t="shared" si="84"/>
        <v>0.9</v>
      </c>
      <c r="Q651" s="29">
        <f>IF(Dataset!K651&lt;5,0.2,IF(Dataset!K651&lt;10,0.45,IF(Dataset!K651&lt;18,0.7,0.9)))</f>
        <v>0.2</v>
      </c>
      <c r="R651" s="29">
        <f>IF(Dataset!K651&lt;5,1,IF(Dataset!K651&lt;10,2,IF(Dataset!K651&lt;18,3,4)))</f>
        <v>1</v>
      </c>
      <c r="S651" s="29">
        <f t="shared" si="85"/>
        <v>0.2</v>
      </c>
      <c r="T651" s="29">
        <f t="shared" si="86"/>
        <v>1.3520000000000001</v>
      </c>
      <c r="U651" s="29" t="str">
        <f t="shared" si="87"/>
        <v>Low</v>
      </c>
    </row>
    <row r="652" spans="1:21" ht="15" customHeight="1" x14ac:dyDescent="0.25">
      <c r="A652" s="29">
        <f>Dataset!A652</f>
        <v>648</v>
      </c>
      <c r="B652" s="29">
        <f>IF(Dataset!B652&lt;25,0.3,IF(Dataset!B652&lt;75,0.5,IF(Dataset!B652&lt;120,0.65,0.8)))</f>
        <v>0.3</v>
      </c>
      <c r="C652" s="29">
        <f>IF(Dataset!B652&lt;25,1,IF(Dataset!B652&lt;75,2,IF(Dataset!B652&lt;120,3,4)))</f>
        <v>1</v>
      </c>
      <c r="D652" s="29">
        <f t="shared" si="80"/>
        <v>0.3</v>
      </c>
      <c r="E652" s="29">
        <f>IF(Dataset!C652&lt;=1,0.3,IF(Dataset!C652=2,0.4,IF(Dataset!C652=3,0.5,IF(Dataset!C652=4,0.65,0.8))))</f>
        <v>0.4</v>
      </c>
      <c r="F652" s="29">
        <f>IF(Dataset!C652&lt;=2,1,IF(Dataset!C652=3,2,IF(Dataset!C652=4,3,4)))</f>
        <v>1</v>
      </c>
      <c r="G652" s="29">
        <f t="shared" si="81"/>
        <v>0.4</v>
      </c>
      <c r="H652" s="29">
        <f>IF(Dataset!G652&lt;=3,0.25,IF(Dataset!G652&lt;=6,0.45,IF(Dataset!G652&lt;=9,0.65,0.85)))</f>
        <v>0.65</v>
      </c>
      <c r="I652" s="29">
        <f>IF(Dataset!G652&lt;=3,1,IF(Dataset!G652&lt;=6,2,IF(Dataset!G652&lt;=9,3,4)))</f>
        <v>3</v>
      </c>
      <c r="J652" s="29">
        <f t="shared" si="82"/>
        <v>1.9500000000000002</v>
      </c>
      <c r="K652" s="29">
        <f>IF(Dataset!H652&lt;1,0.2,IF(Dataset!H652&lt;1.3,0.45,IF(Dataset!H652&lt;1.8,0.7,0.9)))</f>
        <v>0.9</v>
      </c>
      <c r="L652" s="29">
        <f>IF(Dataset!H652&lt;1,1,IF(Dataset!H652&lt;1.3,2,IF(Dataset!H652&lt;1.8,3,4)))</f>
        <v>4</v>
      </c>
      <c r="M652" s="29">
        <f t="shared" si="83"/>
        <v>3.6</v>
      </c>
      <c r="N652" s="29">
        <f>IF(Dataset!F652=1,0.75,IF(Dataset!F652=2,0.45,0.2))</f>
        <v>0.75</v>
      </c>
      <c r="O652" s="29">
        <f>IF(Dataset!F652=1,3,IF(Dataset!F652=2,2,1))</f>
        <v>3</v>
      </c>
      <c r="P652" s="29">
        <f t="shared" si="84"/>
        <v>2.25</v>
      </c>
      <c r="Q652" s="29">
        <f>IF(Dataset!K652&lt;5,0.2,IF(Dataset!K652&lt;10,0.45,IF(Dataset!K652&lt;18,0.7,0.9)))</f>
        <v>0.2</v>
      </c>
      <c r="R652" s="29">
        <f>IF(Dataset!K652&lt;5,1,IF(Dataset!K652&lt;10,2,IF(Dataset!K652&lt;18,3,4)))</f>
        <v>1</v>
      </c>
      <c r="S652" s="29">
        <f t="shared" si="85"/>
        <v>0.2</v>
      </c>
      <c r="T652" s="29">
        <f t="shared" si="86"/>
        <v>1.6170000000000002</v>
      </c>
      <c r="U652" s="29" t="str">
        <f t="shared" si="87"/>
        <v>Medium</v>
      </c>
    </row>
    <row r="653" spans="1:21" ht="15" customHeight="1" x14ac:dyDescent="0.25">
      <c r="A653" s="29">
        <f>Dataset!A653</f>
        <v>649</v>
      </c>
      <c r="B653" s="29">
        <f>IF(Dataset!B653&lt;25,0.3,IF(Dataset!B653&lt;75,0.5,IF(Dataset!B653&lt;120,0.65,0.8)))</f>
        <v>0.65</v>
      </c>
      <c r="C653" s="29">
        <f>IF(Dataset!B653&lt;25,1,IF(Dataset!B653&lt;75,2,IF(Dataset!B653&lt;120,3,4)))</f>
        <v>3</v>
      </c>
      <c r="D653" s="29">
        <f t="shared" si="80"/>
        <v>1.9500000000000002</v>
      </c>
      <c r="E653" s="29">
        <f>IF(Dataset!C653&lt;=1,0.3,IF(Dataset!C653=2,0.4,IF(Dataset!C653=3,0.5,IF(Dataset!C653=4,0.65,0.8))))</f>
        <v>0.5</v>
      </c>
      <c r="F653" s="29">
        <f>IF(Dataset!C653&lt;=2,1,IF(Dataset!C653=3,2,IF(Dataset!C653=4,3,4)))</f>
        <v>2</v>
      </c>
      <c r="G653" s="29">
        <f t="shared" si="81"/>
        <v>1</v>
      </c>
      <c r="H653" s="29">
        <f>IF(Dataset!G653&lt;=3,0.25,IF(Dataset!G653&lt;=6,0.45,IF(Dataset!G653&lt;=9,0.65,0.85)))</f>
        <v>0.25</v>
      </c>
      <c r="I653" s="29">
        <f>IF(Dataset!G653&lt;=3,1,IF(Dataset!G653&lt;=6,2,IF(Dataset!G653&lt;=9,3,4)))</f>
        <v>1</v>
      </c>
      <c r="J653" s="29">
        <f t="shared" si="82"/>
        <v>0.25</v>
      </c>
      <c r="K653" s="29">
        <f>IF(Dataset!H653&lt;1,0.2,IF(Dataset!H653&lt;1.3,0.45,IF(Dataset!H653&lt;1.8,0.7,0.9)))</f>
        <v>0.45</v>
      </c>
      <c r="L653" s="29">
        <f>IF(Dataset!H653&lt;1,1,IF(Dataset!H653&lt;1.3,2,IF(Dataset!H653&lt;1.8,3,4)))</f>
        <v>2</v>
      </c>
      <c r="M653" s="29">
        <f t="shared" si="83"/>
        <v>0.9</v>
      </c>
      <c r="N653" s="29">
        <f>IF(Dataset!F653=1,0.75,IF(Dataset!F653=2,0.45,0.2))</f>
        <v>0.45</v>
      </c>
      <c r="O653" s="29">
        <f>IF(Dataset!F653=1,3,IF(Dataset!F653=2,2,1))</f>
        <v>2</v>
      </c>
      <c r="P653" s="29">
        <f t="shared" si="84"/>
        <v>0.9</v>
      </c>
      <c r="Q653" s="29">
        <f>IF(Dataset!K653&lt;5,0.2,IF(Dataset!K653&lt;10,0.45,IF(Dataset!K653&lt;18,0.7,0.9)))</f>
        <v>0.2</v>
      </c>
      <c r="R653" s="29">
        <f>IF(Dataset!K653&lt;5,1,IF(Dataset!K653&lt;10,2,IF(Dataset!K653&lt;18,3,4)))</f>
        <v>1</v>
      </c>
      <c r="S653" s="29">
        <f t="shared" si="85"/>
        <v>0.2</v>
      </c>
      <c r="T653" s="29">
        <f t="shared" si="86"/>
        <v>0.875</v>
      </c>
      <c r="U653" s="29" t="str">
        <f t="shared" si="87"/>
        <v>Low</v>
      </c>
    </row>
    <row r="654" spans="1:21" ht="15" customHeight="1" x14ac:dyDescent="0.25">
      <c r="A654" s="29">
        <f>Dataset!A654</f>
        <v>650</v>
      </c>
      <c r="B654" s="29">
        <f>IF(Dataset!B654&lt;25,0.3,IF(Dataset!B654&lt;75,0.5,IF(Dataset!B654&lt;120,0.65,0.8)))</f>
        <v>0.8</v>
      </c>
      <c r="C654" s="29">
        <f>IF(Dataset!B654&lt;25,1,IF(Dataset!B654&lt;75,2,IF(Dataset!B654&lt;120,3,4)))</f>
        <v>4</v>
      </c>
      <c r="D654" s="29">
        <f t="shared" si="80"/>
        <v>3.2</v>
      </c>
      <c r="E654" s="29">
        <f>IF(Dataset!C654&lt;=1,0.3,IF(Dataset!C654=2,0.4,IF(Dataset!C654=3,0.5,IF(Dataset!C654=4,0.65,0.8))))</f>
        <v>0.3</v>
      </c>
      <c r="F654" s="29">
        <f>IF(Dataset!C654&lt;=2,1,IF(Dataset!C654=3,2,IF(Dataset!C654=4,3,4)))</f>
        <v>1</v>
      </c>
      <c r="G654" s="29">
        <f t="shared" si="81"/>
        <v>0.3</v>
      </c>
      <c r="H654" s="29">
        <f>IF(Dataset!G654&lt;=3,0.25,IF(Dataset!G654&lt;=6,0.45,IF(Dataset!G654&lt;=9,0.65,0.85)))</f>
        <v>0.65</v>
      </c>
      <c r="I654" s="29">
        <f>IF(Dataset!G654&lt;=3,1,IF(Dataset!G654&lt;=6,2,IF(Dataset!G654&lt;=9,3,4)))</f>
        <v>3</v>
      </c>
      <c r="J654" s="29">
        <f t="shared" si="82"/>
        <v>1.9500000000000002</v>
      </c>
      <c r="K654" s="29">
        <f>IF(Dataset!H654&lt;1,0.2,IF(Dataset!H654&lt;1.3,0.45,IF(Dataset!H654&lt;1.8,0.7,0.9)))</f>
        <v>0.2</v>
      </c>
      <c r="L654" s="29">
        <f>IF(Dataset!H654&lt;1,1,IF(Dataset!H654&lt;1.3,2,IF(Dataset!H654&lt;1.8,3,4)))</f>
        <v>1</v>
      </c>
      <c r="M654" s="29">
        <f t="shared" si="83"/>
        <v>0.2</v>
      </c>
      <c r="N654" s="29">
        <f>IF(Dataset!F654=1,0.75,IF(Dataset!F654=2,0.45,0.2))</f>
        <v>0.75</v>
      </c>
      <c r="O654" s="29">
        <f>IF(Dataset!F654=1,3,IF(Dataset!F654=2,2,1))</f>
        <v>3</v>
      </c>
      <c r="P654" s="29">
        <f t="shared" si="84"/>
        <v>2.25</v>
      </c>
      <c r="Q654" s="29">
        <f>IF(Dataset!K654&lt;5,0.2,IF(Dataset!K654&lt;10,0.45,IF(Dataset!K654&lt;18,0.7,0.9)))</f>
        <v>0.2</v>
      </c>
      <c r="R654" s="29">
        <f>IF(Dataset!K654&lt;5,1,IF(Dataset!K654&lt;10,2,IF(Dataset!K654&lt;18,3,4)))</f>
        <v>1</v>
      </c>
      <c r="S654" s="29">
        <f t="shared" si="85"/>
        <v>0.2</v>
      </c>
      <c r="T654" s="29">
        <f t="shared" si="86"/>
        <v>1.3090000000000002</v>
      </c>
      <c r="U654" s="29" t="str">
        <f t="shared" si="87"/>
        <v>Low</v>
      </c>
    </row>
    <row r="655" spans="1:21" ht="15" customHeight="1" x14ac:dyDescent="0.25">
      <c r="A655" s="29">
        <f>Dataset!A655</f>
        <v>651</v>
      </c>
      <c r="B655" s="29">
        <f>IF(Dataset!B655&lt;25,0.3,IF(Dataset!B655&lt;75,0.5,IF(Dataset!B655&lt;120,0.65,0.8)))</f>
        <v>0.5</v>
      </c>
      <c r="C655" s="29">
        <f>IF(Dataset!B655&lt;25,1,IF(Dataset!B655&lt;75,2,IF(Dataset!B655&lt;120,3,4)))</f>
        <v>2</v>
      </c>
      <c r="D655" s="29">
        <f t="shared" si="80"/>
        <v>1</v>
      </c>
      <c r="E655" s="29">
        <f>IF(Dataset!C655&lt;=1,0.3,IF(Dataset!C655=2,0.4,IF(Dataset!C655=3,0.5,IF(Dataset!C655=4,0.65,0.8))))</f>
        <v>0.65</v>
      </c>
      <c r="F655" s="29">
        <f>IF(Dataset!C655&lt;=2,1,IF(Dataset!C655=3,2,IF(Dataset!C655=4,3,4)))</f>
        <v>3</v>
      </c>
      <c r="G655" s="29">
        <f t="shared" si="81"/>
        <v>1.9500000000000002</v>
      </c>
      <c r="H655" s="29">
        <f>IF(Dataset!G655&lt;=3,0.25,IF(Dataset!G655&lt;=6,0.45,IF(Dataset!G655&lt;=9,0.65,0.85)))</f>
        <v>0.25</v>
      </c>
      <c r="I655" s="29">
        <f>IF(Dataset!G655&lt;=3,1,IF(Dataset!G655&lt;=6,2,IF(Dataset!G655&lt;=9,3,4)))</f>
        <v>1</v>
      </c>
      <c r="J655" s="29">
        <f t="shared" si="82"/>
        <v>0.25</v>
      </c>
      <c r="K655" s="29">
        <f>IF(Dataset!H655&lt;1,0.2,IF(Dataset!H655&lt;1.3,0.45,IF(Dataset!H655&lt;1.8,0.7,0.9)))</f>
        <v>0.2</v>
      </c>
      <c r="L655" s="29">
        <f>IF(Dataset!H655&lt;1,1,IF(Dataset!H655&lt;1.3,2,IF(Dataset!H655&lt;1.8,3,4)))</f>
        <v>1</v>
      </c>
      <c r="M655" s="29">
        <f t="shared" si="83"/>
        <v>0.2</v>
      </c>
      <c r="N655" s="29">
        <f>IF(Dataset!F655=1,0.75,IF(Dataset!F655=2,0.45,0.2))</f>
        <v>0.75</v>
      </c>
      <c r="O655" s="29">
        <f>IF(Dataset!F655=1,3,IF(Dataset!F655=2,2,1))</f>
        <v>3</v>
      </c>
      <c r="P655" s="29">
        <f t="shared" si="84"/>
        <v>2.25</v>
      </c>
      <c r="Q655" s="29">
        <f>IF(Dataset!K655&lt;5,0.2,IF(Dataset!K655&lt;10,0.45,IF(Dataset!K655&lt;18,0.7,0.9)))</f>
        <v>0.45</v>
      </c>
      <c r="R655" s="29">
        <f>IF(Dataset!K655&lt;5,1,IF(Dataset!K655&lt;10,2,IF(Dataset!K655&lt;18,3,4)))</f>
        <v>2</v>
      </c>
      <c r="S655" s="29">
        <f t="shared" si="85"/>
        <v>0.9</v>
      </c>
      <c r="T655" s="29">
        <f t="shared" si="86"/>
        <v>0.90200000000000014</v>
      </c>
      <c r="U655" s="29" t="str">
        <f t="shared" si="87"/>
        <v>Low</v>
      </c>
    </row>
    <row r="656" spans="1:21" ht="15" customHeight="1" x14ac:dyDescent="0.25">
      <c r="A656" s="29">
        <f>Dataset!A656</f>
        <v>652</v>
      </c>
      <c r="B656" s="29">
        <f>IF(Dataset!B656&lt;25,0.3,IF(Dataset!B656&lt;75,0.5,IF(Dataset!B656&lt;120,0.65,0.8)))</f>
        <v>0.65</v>
      </c>
      <c r="C656" s="29">
        <f>IF(Dataset!B656&lt;25,1,IF(Dataset!B656&lt;75,2,IF(Dataset!B656&lt;120,3,4)))</f>
        <v>3</v>
      </c>
      <c r="D656" s="29">
        <f t="shared" si="80"/>
        <v>1.9500000000000002</v>
      </c>
      <c r="E656" s="29">
        <f>IF(Dataset!C656&lt;=1,0.3,IF(Dataset!C656=2,0.4,IF(Dataset!C656=3,0.5,IF(Dataset!C656=4,0.65,0.8))))</f>
        <v>0.5</v>
      </c>
      <c r="F656" s="29">
        <f>IF(Dataset!C656&lt;=2,1,IF(Dataset!C656=3,2,IF(Dataset!C656=4,3,4)))</f>
        <v>2</v>
      </c>
      <c r="G656" s="29">
        <f t="shared" si="81"/>
        <v>1</v>
      </c>
      <c r="H656" s="29">
        <f>IF(Dataset!G656&lt;=3,0.25,IF(Dataset!G656&lt;=6,0.45,IF(Dataset!G656&lt;=9,0.65,0.85)))</f>
        <v>0.25</v>
      </c>
      <c r="I656" s="29">
        <f>IF(Dataset!G656&lt;=3,1,IF(Dataset!G656&lt;=6,2,IF(Dataset!G656&lt;=9,3,4)))</f>
        <v>1</v>
      </c>
      <c r="J656" s="29">
        <f t="shared" si="82"/>
        <v>0.25</v>
      </c>
      <c r="K656" s="29">
        <f>IF(Dataset!H656&lt;1,0.2,IF(Dataset!H656&lt;1.3,0.45,IF(Dataset!H656&lt;1.8,0.7,0.9)))</f>
        <v>0.45</v>
      </c>
      <c r="L656" s="29">
        <f>IF(Dataset!H656&lt;1,1,IF(Dataset!H656&lt;1.3,2,IF(Dataset!H656&lt;1.8,3,4)))</f>
        <v>2</v>
      </c>
      <c r="M656" s="29">
        <f t="shared" si="83"/>
        <v>0.9</v>
      </c>
      <c r="N656" s="29">
        <f>IF(Dataset!F656=1,0.75,IF(Dataset!F656=2,0.45,0.2))</f>
        <v>0.75</v>
      </c>
      <c r="O656" s="29">
        <f>IF(Dataset!F656=1,3,IF(Dataset!F656=2,2,1))</f>
        <v>3</v>
      </c>
      <c r="P656" s="29">
        <f t="shared" si="84"/>
        <v>2.25</v>
      </c>
      <c r="Q656" s="29">
        <f>IF(Dataset!K656&lt;5,0.2,IF(Dataset!K656&lt;10,0.45,IF(Dataset!K656&lt;18,0.7,0.9)))</f>
        <v>0.2</v>
      </c>
      <c r="R656" s="29">
        <f>IF(Dataset!K656&lt;5,1,IF(Dataset!K656&lt;10,2,IF(Dataset!K656&lt;18,3,4)))</f>
        <v>1</v>
      </c>
      <c r="S656" s="29">
        <f t="shared" si="85"/>
        <v>0.2</v>
      </c>
      <c r="T656" s="29">
        <f t="shared" si="86"/>
        <v>1.01</v>
      </c>
      <c r="U656" s="29" t="str">
        <f t="shared" si="87"/>
        <v>Low</v>
      </c>
    </row>
    <row r="657" spans="1:21" ht="15" customHeight="1" x14ac:dyDescent="0.25">
      <c r="A657" s="29">
        <f>Dataset!A657</f>
        <v>653</v>
      </c>
      <c r="B657" s="29">
        <f>IF(Dataset!B657&lt;25,0.3,IF(Dataset!B657&lt;75,0.5,IF(Dataset!B657&lt;120,0.65,0.8)))</f>
        <v>0.65</v>
      </c>
      <c r="C657" s="29">
        <f>IF(Dataset!B657&lt;25,1,IF(Dataset!B657&lt;75,2,IF(Dataset!B657&lt;120,3,4)))</f>
        <v>3</v>
      </c>
      <c r="D657" s="29">
        <f t="shared" si="80"/>
        <v>1.9500000000000002</v>
      </c>
      <c r="E657" s="29">
        <f>IF(Dataset!C657&lt;=1,0.3,IF(Dataset!C657=2,0.4,IF(Dataset!C657=3,0.5,IF(Dataset!C657=4,0.65,0.8))))</f>
        <v>0.5</v>
      </c>
      <c r="F657" s="29">
        <f>IF(Dataset!C657&lt;=2,1,IF(Dataset!C657=3,2,IF(Dataset!C657=4,3,4)))</f>
        <v>2</v>
      </c>
      <c r="G657" s="29">
        <f t="shared" si="81"/>
        <v>1</v>
      </c>
      <c r="H657" s="29">
        <f>IF(Dataset!G657&lt;=3,0.25,IF(Dataset!G657&lt;=6,0.45,IF(Dataset!G657&lt;=9,0.65,0.85)))</f>
        <v>0.65</v>
      </c>
      <c r="I657" s="29">
        <f>IF(Dataset!G657&lt;=3,1,IF(Dataset!G657&lt;=6,2,IF(Dataset!G657&lt;=9,3,4)))</f>
        <v>3</v>
      </c>
      <c r="J657" s="29">
        <f t="shared" si="82"/>
        <v>1.9500000000000002</v>
      </c>
      <c r="K657" s="29">
        <f>IF(Dataset!H657&lt;1,0.2,IF(Dataset!H657&lt;1.3,0.45,IF(Dataset!H657&lt;1.8,0.7,0.9)))</f>
        <v>0.45</v>
      </c>
      <c r="L657" s="29">
        <f>IF(Dataset!H657&lt;1,1,IF(Dataset!H657&lt;1.3,2,IF(Dataset!H657&lt;1.8,3,4)))</f>
        <v>2</v>
      </c>
      <c r="M657" s="29">
        <f t="shared" si="83"/>
        <v>0.9</v>
      </c>
      <c r="N657" s="29">
        <f>IF(Dataset!F657=1,0.75,IF(Dataset!F657=2,0.45,0.2))</f>
        <v>0.2</v>
      </c>
      <c r="O657" s="29">
        <f>IF(Dataset!F657=1,3,IF(Dataset!F657=2,2,1))</f>
        <v>1</v>
      </c>
      <c r="P657" s="29">
        <f t="shared" si="84"/>
        <v>0.2</v>
      </c>
      <c r="Q657" s="29">
        <f>IF(Dataset!K657&lt;5,0.2,IF(Dataset!K657&lt;10,0.45,IF(Dataset!K657&lt;18,0.7,0.9)))</f>
        <v>0.45</v>
      </c>
      <c r="R657" s="29">
        <f>IF(Dataset!K657&lt;5,1,IF(Dataset!K657&lt;10,2,IF(Dataset!K657&lt;18,3,4)))</f>
        <v>2</v>
      </c>
      <c r="S657" s="29">
        <f t="shared" si="85"/>
        <v>0.9</v>
      </c>
      <c r="T657" s="29">
        <f t="shared" si="86"/>
        <v>1.2430000000000003</v>
      </c>
      <c r="U657" s="29" t="str">
        <f t="shared" si="87"/>
        <v>Low</v>
      </c>
    </row>
    <row r="658" spans="1:21" ht="15" customHeight="1" x14ac:dyDescent="0.25">
      <c r="A658" s="29">
        <f>Dataset!A658</f>
        <v>654</v>
      </c>
      <c r="B658" s="29">
        <f>IF(Dataset!B658&lt;25,0.3,IF(Dataset!B658&lt;75,0.5,IF(Dataset!B658&lt;120,0.65,0.8)))</f>
        <v>0.8</v>
      </c>
      <c r="C658" s="29">
        <f>IF(Dataset!B658&lt;25,1,IF(Dataset!B658&lt;75,2,IF(Dataset!B658&lt;120,3,4)))</f>
        <v>4</v>
      </c>
      <c r="D658" s="29">
        <f t="shared" si="80"/>
        <v>3.2</v>
      </c>
      <c r="E658" s="29">
        <f>IF(Dataset!C658&lt;=1,0.3,IF(Dataset!C658=2,0.4,IF(Dataset!C658=3,0.5,IF(Dataset!C658=4,0.65,0.8))))</f>
        <v>0.65</v>
      </c>
      <c r="F658" s="29">
        <f>IF(Dataset!C658&lt;=2,1,IF(Dataset!C658=3,2,IF(Dataset!C658=4,3,4)))</f>
        <v>3</v>
      </c>
      <c r="G658" s="29">
        <f t="shared" si="81"/>
        <v>1.9500000000000002</v>
      </c>
      <c r="H658" s="29">
        <f>IF(Dataset!G658&lt;=3,0.25,IF(Dataset!G658&lt;=6,0.45,IF(Dataset!G658&lt;=9,0.65,0.85)))</f>
        <v>0.25</v>
      </c>
      <c r="I658" s="29">
        <f>IF(Dataset!G658&lt;=3,1,IF(Dataset!G658&lt;=6,2,IF(Dataset!G658&lt;=9,3,4)))</f>
        <v>1</v>
      </c>
      <c r="J658" s="29">
        <f t="shared" si="82"/>
        <v>0.25</v>
      </c>
      <c r="K658" s="29">
        <f>IF(Dataset!H658&lt;1,0.2,IF(Dataset!H658&lt;1.3,0.45,IF(Dataset!H658&lt;1.8,0.7,0.9)))</f>
        <v>0.9</v>
      </c>
      <c r="L658" s="29">
        <f>IF(Dataset!H658&lt;1,1,IF(Dataset!H658&lt;1.3,2,IF(Dataset!H658&lt;1.8,3,4)))</f>
        <v>4</v>
      </c>
      <c r="M658" s="29">
        <f t="shared" si="83"/>
        <v>3.6</v>
      </c>
      <c r="N658" s="29">
        <f>IF(Dataset!F658=1,0.75,IF(Dataset!F658=2,0.45,0.2))</f>
        <v>0.45</v>
      </c>
      <c r="O658" s="29">
        <f>IF(Dataset!F658=1,3,IF(Dataset!F658=2,2,1))</f>
        <v>2</v>
      </c>
      <c r="P658" s="29">
        <f t="shared" si="84"/>
        <v>0.9</v>
      </c>
      <c r="Q658" s="29">
        <f>IF(Dataset!K658&lt;5,0.2,IF(Dataset!K658&lt;10,0.45,IF(Dataset!K658&lt;18,0.7,0.9)))</f>
        <v>0.7</v>
      </c>
      <c r="R658" s="29">
        <f>IF(Dataset!K658&lt;5,1,IF(Dataset!K658&lt;10,2,IF(Dataset!K658&lt;18,3,4)))</f>
        <v>3</v>
      </c>
      <c r="S658" s="29">
        <f t="shared" si="85"/>
        <v>2.0999999999999996</v>
      </c>
      <c r="T658" s="29">
        <f t="shared" si="86"/>
        <v>2.1469999999999998</v>
      </c>
      <c r="U658" s="29" t="str">
        <f t="shared" si="87"/>
        <v>High</v>
      </c>
    </row>
    <row r="659" spans="1:21" ht="15" customHeight="1" x14ac:dyDescent="0.25">
      <c r="A659" s="29">
        <f>Dataset!A659</f>
        <v>655</v>
      </c>
      <c r="B659" s="29">
        <f>IF(Dataset!B659&lt;25,0.3,IF(Dataset!B659&lt;75,0.5,IF(Dataset!B659&lt;120,0.65,0.8)))</f>
        <v>0.65</v>
      </c>
      <c r="C659" s="29">
        <f>IF(Dataset!B659&lt;25,1,IF(Dataset!B659&lt;75,2,IF(Dataset!B659&lt;120,3,4)))</f>
        <v>3</v>
      </c>
      <c r="D659" s="29">
        <f t="shared" si="80"/>
        <v>1.9500000000000002</v>
      </c>
      <c r="E659" s="29">
        <f>IF(Dataset!C659&lt;=1,0.3,IF(Dataset!C659=2,0.4,IF(Dataset!C659=3,0.5,IF(Dataset!C659=4,0.65,0.8))))</f>
        <v>0.65</v>
      </c>
      <c r="F659" s="29">
        <f>IF(Dataset!C659&lt;=2,1,IF(Dataset!C659=3,2,IF(Dataset!C659=4,3,4)))</f>
        <v>3</v>
      </c>
      <c r="G659" s="29">
        <f t="shared" si="81"/>
        <v>1.9500000000000002</v>
      </c>
      <c r="H659" s="29">
        <f>IF(Dataset!G659&lt;=3,0.25,IF(Dataset!G659&lt;=6,0.45,IF(Dataset!G659&lt;=9,0.65,0.85)))</f>
        <v>0.25</v>
      </c>
      <c r="I659" s="29">
        <f>IF(Dataset!G659&lt;=3,1,IF(Dataset!G659&lt;=6,2,IF(Dataset!G659&lt;=9,3,4)))</f>
        <v>1</v>
      </c>
      <c r="J659" s="29">
        <f t="shared" si="82"/>
        <v>0.25</v>
      </c>
      <c r="K659" s="29">
        <f>IF(Dataset!H659&lt;1,0.2,IF(Dataset!H659&lt;1.3,0.45,IF(Dataset!H659&lt;1.8,0.7,0.9)))</f>
        <v>0.7</v>
      </c>
      <c r="L659" s="29">
        <f>IF(Dataset!H659&lt;1,1,IF(Dataset!H659&lt;1.3,2,IF(Dataset!H659&lt;1.8,3,4)))</f>
        <v>3</v>
      </c>
      <c r="M659" s="29">
        <f t="shared" si="83"/>
        <v>2.0999999999999996</v>
      </c>
      <c r="N659" s="29">
        <f>IF(Dataset!F659=1,0.75,IF(Dataset!F659=2,0.45,0.2))</f>
        <v>0.2</v>
      </c>
      <c r="O659" s="29">
        <f>IF(Dataset!F659=1,3,IF(Dataset!F659=2,2,1))</f>
        <v>1</v>
      </c>
      <c r="P659" s="29">
        <f t="shared" si="84"/>
        <v>0.2</v>
      </c>
      <c r="Q659" s="29">
        <f>IF(Dataset!K659&lt;5,0.2,IF(Dataset!K659&lt;10,0.45,IF(Dataset!K659&lt;18,0.7,0.9)))</f>
        <v>0.45</v>
      </c>
      <c r="R659" s="29">
        <f>IF(Dataset!K659&lt;5,1,IF(Dataset!K659&lt;10,2,IF(Dataset!K659&lt;18,3,4)))</f>
        <v>2</v>
      </c>
      <c r="S659" s="29">
        <f t="shared" si="85"/>
        <v>0.9</v>
      </c>
      <c r="T659" s="29">
        <f t="shared" si="86"/>
        <v>1.3240000000000001</v>
      </c>
      <c r="U659" s="29" t="str">
        <f t="shared" si="87"/>
        <v>Low</v>
      </c>
    </row>
    <row r="660" spans="1:21" ht="15" customHeight="1" x14ac:dyDescent="0.25">
      <c r="A660" s="29">
        <f>Dataset!A660</f>
        <v>656</v>
      </c>
      <c r="B660" s="29">
        <f>IF(Dataset!B660&lt;25,0.3,IF(Dataset!B660&lt;75,0.5,IF(Dataset!B660&lt;120,0.65,0.8)))</f>
        <v>0.8</v>
      </c>
      <c r="C660" s="29">
        <f>IF(Dataset!B660&lt;25,1,IF(Dataset!B660&lt;75,2,IF(Dataset!B660&lt;120,3,4)))</f>
        <v>4</v>
      </c>
      <c r="D660" s="29">
        <f t="shared" si="80"/>
        <v>3.2</v>
      </c>
      <c r="E660" s="29">
        <f>IF(Dataset!C660&lt;=1,0.3,IF(Dataset!C660=2,0.4,IF(Dataset!C660=3,0.5,IF(Dataset!C660=4,0.65,0.8))))</f>
        <v>0.8</v>
      </c>
      <c r="F660" s="29">
        <f>IF(Dataset!C660&lt;=2,1,IF(Dataset!C660=3,2,IF(Dataset!C660=4,3,4)))</f>
        <v>4</v>
      </c>
      <c r="G660" s="29">
        <f t="shared" si="81"/>
        <v>3.2</v>
      </c>
      <c r="H660" s="29">
        <f>IF(Dataset!G660&lt;=3,0.25,IF(Dataset!G660&lt;=6,0.45,IF(Dataset!G660&lt;=9,0.65,0.85)))</f>
        <v>0.65</v>
      </c>
      <c r="I660" s="29">
        <f>IF(Dataset!G660&lt;=3,1,IF(Dataset!G660&lt;=6,2,IF(Dataset!G660&lt;=9,3,4)))</f>
        <v>3</v>
      </c>
      <c r="J660" s="29">
        <f t="shared" si="82"/>
        <v>1.9500000000000002</v>
      </c>
      <c r="K660" s="29">
        <f>IF(Dataset!H660&lt;1,0.2,IF(Dataset!H660&lt;1.3,0.45,IF(Dataset!H660&lt;1.8,0.7,0.9)))</f>
        <v>0.2</v>
      </c>
      <c r="L660" s="29">
        <f>IF(Dataset!H660&lt;1,1,IF(Dataset!H660&lt;1.3,2,IF(Dataset!H660&lt;1.8,3,4)))</f>
        <v>1</v>
      </c>
      <c r="M660" s="29">
        <f t="shared" si="83"/>
        <v>0.2</v>
      </c>
      <c r="N660" s="29">
        <f>IF(Dataset!F660=1,0.75,IF(Dataset!F660=2,0.45,0.2))</f>
        <v>0.2</v>
      </c>
      <c r="O660" s="29">
        <f>IF(Dataset!F660=1,3,IF(Dataset!F660=2,2,1))</f>
        <v>1</v>
      </c>
      <c r="P660" s="29">
        <f t="shared" si="84"/>
        <v>0.2</v>
      </c>
      <c r="Q660" s="29">
        <f>IF(Dataset!K660&lt;5,0.2,IF(Dataset!K660&lt;10,0.45,IF(Dataset!K660&lt;18,0.7,0.9)))</f>
        <v>0.9</v>
      </c>
      <c r="R660" s="29">
        <f>IF(Dataset!K660&lt;5,1,IF(Dataset!K660&lt;10,2,IF(Dataset!K660&lt;18,3,4)))</f>
        <v>4</v>
      </c>
      <c r="S660" s="29">
        <f t="shared" si="85"/>
        <v>3.6</v>
      </c>
      <c r="T660" s="29">
        <f t="shared" si="86"/>
        <v>1.9860000000000002</v>
      </c>
      <c r="U660" s="29" t="str">
        <f t="shared" si="87"/>
        <v>High</v>
      </c>
    </row>
    <row r="661" spans="1:21" ht="15" customHeight="1" x14ac:dyDescent="0.25">
      <c r="A661" s="29">
        <f>Dataset!A661</f>
        <v>657</v>
      </c>
      <c r="B661" s="29">
        <f>IF(Dataset!B661&lt;25,0.3,IF(Dataset!B661&lt;75,0.5,IF(Dataset!B661&lt;120,0.65,0.8)))</f>
        <v>0.5</v>
      </c>
      <c r="C661" s="29">
        <f>IF(Dataset!B661&lt;25,1,IF(Dataset!B661&lt;75,2,IF(Dataset!B661&lt;120,3,4)))</f>
        <v>2</v>
      </c>
      <c r="D661" s="29">
        <f t="shared" si="80"/>
        <v>1</v>
      </c>
      <c r="E661" s="29">
        <f>IF(Dataset!C661&lt;=1,0.3,IF(Dataset!C661=2,0.4,IF(Dataset!C661=3,0.5,IF(Dataset!C661=4,0.65,0.8))))</f>
        <v>0.8</v>
      </c>
      <c r="F661" s="29">
        <f>IF(Dataset!C661&lt;=2,1,IF(Dataset!C661=3,2,IF(Dataset!C661=4,3,4)))</f>
        <v>4</v>
      </c>
      <c r="G661" s="29">
        <f t="shared" si="81"/>
        <v>3.2</v>
      </c>
      <c r="H661" s="29">
        <f>IF(Dataset!G661&lt;=3,0.25,IF(Dataset!G661&lt;=6,0.45,IF(Dataset!G661&lt;=9,0.65,0.85)))</f>
        <v>0.45</v>
      </c>
      <c r="I661" s="29">
        <f>IF(Dataset!G661&lt;=3,1,IF(Dataset!G661&lt;=6,2,IF(Dataset!G661&lt;=9,3,4)))</f>
        <v>2</v>
      </c>
      <c r="J661" s="29">
        <f t="shared" si="82"/>
        <v>0.9</v>
      </c>
      <c r="K661" s="29">
        <f>IF(Dataset!H661&lt;1,0.2,IF(Dataset!H661&lt;1.3,0.45,IF(Dataset!H661&lt;1.8,0.7,0.9)))</f>
        <v>0.9</v>
      </c>
      <c r="L661" s="29">
        <f>IF(Dataset!H661&lt;1,1,IF(Dataset!H661&lt;1.3,2,IF(Dataset!H661&lt;1.8,3,4)))</f>
        <v>4</v>
      </c>
      <c r="M661" s="29">
        <f t="shared" si="83"/>
        <v>3.6</v>
      </c>
      <c r="N661" s="29">
        <f>IF(Dataset!F661=1,0.75,IF(Dataset!F661=2,0.45,0.2))</f>
        <v>0.2</v>
      </c>
      <c r="O661" s="29">
        <f>IF(Dataset!F661=1,3,IF(Dataset!F661=2,2,1))</f>
        <v>1</v>
      </c>
      <c r="P661" s="29">
        <f t="shared" si="84"/>
        <v>0.2</v>
      </c>
      <c r="Q661" s="29">
        <f>IF(Dataset!K661&lt;5,0.2,IF(Dataset!K661&lt;10,0.45,IF(Dataset!K661&lt;18,0.7,0.9)))</f>
        <v>0.7</v>
      </c>
      <c r="R661" s="29">
        <f>IF(Dataset!K661&lt;5,1,IF(Dataset!K661&lt;10,2,IF(Dataset!K661&lt;18,3,4)))</f>
        <v>3</v>
      </c>
      <c r="S661" s="29">
        <f t="shared" si="85"/>
        <v>2.0999999999999996</v>
      </c>
      <c r="T661" s="29">
        <f t="shared" si="86"/>
        <v>1.9860000000000002</v>
      </c>
      <c r="U661" s="29" t="str">
        <f t="shared" si="87"/>
        <v>High</v>
      </c>
    </row>
    <row r="662" spans="1:21" ht="15" customHeight="1" x14ac:dyDescent="0.25">
      <c r="A662" s="29">
        <f>Dataset!A662</f>
        <v>658</v>
      </c>
      <c r="B662" s="29">
        <f>IF(Dataset!B662&lt;25,0.3,IF(Dataset!B662&lt;75,0.5,IF(Dataset!B662&lt;120,0.65,0.8)))</f>
        <v>0.3</v>
      </c>
      <c r="C662" s="29">
        <f>IF(Dataset!B662&lt;25,1,IF(Dataset!B662&lt;75,2,IF(Dataset!B662&lt;120,3,4)))</f>
        <v>1</v>
      </c>
      <c r="D662" s="29">
        <f t="shared" si="80"/>
        <v>0.3</v>
      </c>
      <c r="E662" s="29">
        <f>IF(Dataset!C662&lt;=1,0.3,IF(Dataset!C662=2,0.4,IF(Dataset!C662=3,0.5,IF(Dataset!C662=4,0.65,0.8))))</f>
        <v>0.65</v>
      </c>
      <c r="F662" s="29">
        <f>IF(Dataset!C662&lt;=2,1,IF(Dataset!C662=3,2,IF(Dataset!C662=4,3,4)))</f>
        <v>3</v>
      </c>
      <c r="G662" s="29">
        <f t="shared" si="81"/>
        <v>1.9500000000000002</v>
      </c>
      <c r="H662" s="29">
        <f>IF(Dataset!G662&lt;=3,0.25,IF(Dataset!G662&lt;=6,0.45,IF(Dataset!G662&lt;=9,0.65,0.85)))</f>
        <v>0.25</v>
      </c>
      <c r="I662" s="29">
        <f>IF(Dataset!G662&lt;=3,1,IF(Dataset!G662&lt;=6,2,IF(Dataset!G662&lt;=9,3,4)))</f>
        <v>1</v>
      </c>
      <c r="J662" s="29">
        <f t="shared" si="82"/>
        <v>0.25</v>
      </c>
      <c r="K662" s="29">
        <f>IF(Dataset!H662&lt;1,0.2,IF(Dataset!H662&lt;1.3,0.45,IF(Dataset!H662&lt;1.8,0.7,0.9)))</f>
        <v>0.7</v>
      </c>
      <c r="L662" s="29">
        <f>IF(Dataset!H662&lt;1,1,IF(Dataset!H662&lt;1.3,2,IF(Dataset!H662&lt;1.8,3,4)))</f>
        <v>3</v>
      </c>
      <c r="M662" s="29">
        <f t="shared" si="83"/>
        <v>2.0999999999999996</v>
      </c>
      <c r="N662" s="29">
        <f>IF(Dataset!F662=1,0.75,IF(Dataset!F662=2,0.45,0.2))</f>
        <v>0.75</v>
      </c>
      <c r="O662" s="29">
        <f>IF(Dataset!F662=1,3,IF(Dataset!F662=2,2,1))</f>
        <v>3</v>
      </c>
      <c r="P662" s="29">
        <f t="shared" si="84"/>
        <v>2.25</v>
      </c>
      <c r="Q662" s="29">
        <f>IF(Dataset!K662&lt;5,0.2,IF(Dataset!K662&lt;10,0.45,IF(Dataset!K662&lt;18,0.7,0.9)))</f>
        <v>0.45</v>
      </c>
      <c r="R662" s="29">
        <f>IF(Dataset!K662&lt;5,1,IF(Dataset!K662&lt;10,2,IF(Dataset!K662&lt;18,3,4)))</f>
        <v>2</v>
      </c>
      <c r="S662" s="29">
        <f t="shared" si="85"/>
        <v>0.9</v>
      </c>
      <c r="T662" s="29">
        <f t="shared" si="86"/>
        <v>1.2320000000000002</v>
      </c>
      <c r="U662" s="29" t="str">
        <f t="shared" si="87"/>
        <v>Low</v>
      </c>
    </row>
    <row r="663" spans="1:21" ht="15" customHeight="1" x14ac:dyDescent="0.25">
      <c r="A663" s="29">
        <f>Dataset!A663</f>
        <v>659</v>
      </c>
      <c r="B663" s="29">
        <f>IF(Dataset!B663&lt;25,0.3,IF(Dataset!B663&lt;75,0.5,IF(Dataset!B663&lt;120,0.65,0.8)))</f>
        <v>0.8</v>
      </c>
      <c r="C663" s="29">
        <f>IF(Dataset!B663&lt;25,1,IF(Dataset!B663&lt;75,2,IF(Dataset!B663&lt;120,3,4)))</f>
        <v>4</v>
      </c>
      <c r="D663" s="29">
        <f t="shared" si="80"/>
        <v>3.2</v>
      </c>
      <c r="E663" s="29">
        <f>IF(Dataset!C663&lt;=1,0.3,IF(Dataset!C663=2,0.4,IF(Dataset!C663=3,0.5,IF(Dataset!C663=4,0.65,0.8))))</f>
        <v>0.65</v>
      </c>
      <c r="F663" s="29">
        <f>IF(Dataset!C663&lt;=2,1,IF(Dataset!C663=3,2,IF(Dataset!C663=4,3,4)))</f>
        <v>3</v>
      </c>
      <c r="G663" s="29">
        <f t="shared" si="81"/>
        <v>1.9500000000000002</v>
      </c>
      <c r="H663" s="29">
        <f>IF(Dataset!G663&lt;=3,0.25,IF(Dataset!G663&lt;=6,0.45,IF(Dataset!G663&lt;=9,0.65,0.85)))</f>
        <v>0.45</v>
      </c>
      <c r="I663" s="29">
        <f>IF(Dataset!G663&lt;=3,1,IF(Dataset!G663&lt;=6,2,IF(Dataset!G663&lt;=9,3,4)))</f>
        <v>2</v>
      </c>
      <c r="J663" s="29">
        <f t="shared" si="82"/>
        <v>0.9</v>
      </c>
      <c r="K663" s="29">
        <f>IF(Dataset!H663&lt;1,0.2,IF(Dataset!H663&lt;1.3,0.45,IF(Dataset!H663&lt;1.8,0.7,0.9)))</f>
        <v>0.45</v>
      </c>
      <c r="L663" s="29">
        <f>IF(Dataset!H663&lt;1,1,IF(Dataset!H663&lt;1.3,2,IF(Dataset!H663&lt;1.8,3,4)))</f>
        <v>2</v>
      </c>
      <c r="M663" s="29">
        <f t="shared" si="83"/>
        <v>0.9</v>
      </c>
      <c r="N663" s="29">
        <f>IF(Dataset!F663=1,0.75,IF(Dataset!F663=2,0.45,0.2))</f>
        <v>0.2</v>
      </c>
      <c r="O663" s="29">
        <f>IF(Dataset!F663=1,3,IF(Dataset!F663=2,2,1))</f>
        <v>1</v>
      </c>
      <c r="P663" s="29">
        <f t="shared" si="84"/>
        <v>0.2</v>
      </c>
      <c r="Q663" s="29">
        <f>IF(Dataset!K663&lt;5,0.2,IF(Dataset!K663&lt;10,0.45,IF(Dataset!K663&lt;18,0.7,0.9)))</f>
        <v>0.7</v>
      </c>
      <c r="R663" s="29">
        <f>IF(Dataset!K663&lt;5,1,IF(Dataset!K663&lt;10,2,IF(Dataset!K663&lt;18,3,4)))</f>
        <v>3</v>
      </c>
      <c r="S663" s="29">
        <f t="shared" si="85"/>
        <v>2.0999999999999996</v>
      </c>
      <c r="T663" s="29">
        <f t="shared" si="86"/>
        <v>1.5589999999999999</v>
      </c>
      <c r="U663" s="29" t="str">
        <f t="shared" si="87"/>
        <v>Medium</v>
      </c>
    </row>
    <row r="664" spans="1:21" ht="15" customHeight="1" x14ac:dyDescent="0.25">
      <c r="A664" s="29">
        <f>Dataset!A664</f>
        <v>660</v>
      </c>
      <c r="B664" s="29">
        <f>IF(Dataset!B664&lt;25,0.3,IF(Dataset!B664&lt;75,0.5,IF(Dataset!B664&lt;120,0.65,0.8)))</f>
        <v>0.3</v>
      </c>
      <c r="C664" s="29">
        <f>IF(Dataset!B664&lt;25,1,IF(Dataset!B664&lt;75,2,IF(Dataset!B664&lt;120,3,4)))</f>
        <v>1</v>
      </c>
      <c r="D664" s="29">
        <f t="shared" si="80"/>
        <v>0.3</v>
      </c>
      <c r="E664" s="29">
        <f>IF(Dataset!C664&lt;=1,0.3,IF(Dataset!C664=2,0.4,IF(Dataset!C664=3,0.5,IF(Dataset!C664=4,0.65,0.8))))</f>
        <v>0.65</v>
      </c>
      <c r="F664" s="29">
        <f>IF(Dataset!C664&lt;=2,1,IF(Dataset!C664=3,2,IF(Dataset!C664=4,3,4)))</f>
        <v>3</v>
      </c>
      <c r="G664" s="29">
        <f t="shared" si="81"/>
        <v>1.9500000000000002</v>
      </c>
      <c r="H664" s="29">
        <f>IF(Dataset!G664&lt;=3,0.25,IF(Dataset!G664&lt;=6,0.45,IF(Dataset!G664&lt;=9,0.65,0.85)))</f>
        <v>0.45</v>
      </c>
      <c r="I664" s="29">
        <f>IF(Dataset!G664&lt;=3,1,IF(Dataset!G664&lt;=6,2,IF(Dataset!G664&lt;=9,3,4)))</f>
        <v>2</v>
      </c>
      <c r="J664" s="29">
        <f t="shared" si="82"/>
        <v>0.9</v>
      </c>
      <c r="K664" s="29">
        <f>IF(Dataset!H664&lt;1,0.2,IF(Dataset!H664&lt;1.3,0.45,IF(Dataset!H664&lt;1.8,0.7,0.9)))</f>
        <v>0.45</v>
      </c>
      <c r="L664" s="29">
        <f>IF(Dataset!H664&lt;1,1,IF(Dataset!H664&lt;1.3,2,IF(Dataset!H664&lt;1.8,3,4)))</f>
        <v>2</v>
      </c>
      <c r="M664" s="29">
        <f t="shared" si="83"/>
        <v>0.9</v>
      </c>
      <c r="N664" s="29">
        <f>IF(Dataset!F664=1,0.75,IF(Dataset!F664=2,0.45,0.2))</f>
        <v>0.2</v>
      </c>
      <c r="O664" s="29">
        <f>IF(Dataset!F664=1,3,IF(Dataset!F664=2,2,1))</f>
        <v>1</v>
      </c>
      <c r="P664" s="29">
        <f t="shared" si="84"/>
        <v>0.2</v>
      </c>
      <c r="Q664" s="29">
        <f>IF(Dataset!K664&lt;5,0.2,IF(Dataset!K664&lt;10,0.45,IF(Dataset!K664&lt;18,0.7,0.9)))</f>
        <v>0.45</v>
      </c>
      <c r="R664" s="29">
        <f>IF(Dataset!K664&lt;5,1,IF(Dataset!K664&lt;10,2,IF(Dataset!K664&lt;18,3,4)))</f>
        <v>2</v>
      </c>
      <c r="S664" s="29">
        <f t="shared" si="85"/>
        <v>0.9</v>
      </c>
      <c r="T664" s="29">
        <f t="shared" si="86"/>
        <v>0.86900000000000011</v>
      </c>
      <c r="U664" s="29" t="str">
        <f t="shared" si="87"/>
        <v>Low</v>
      </c>
    </row>
    <row r="665" spans="1:21" ht="15" customHeight="1" x14ac:dyDescent="0.25">
      <c r="A665" s="29">
        <f>Dataset!A665</f>
        <v>661</v>
      </c>
      <c r="B665" s="29">
        <f>IF(Dataset!B665&lt;25,0.3,IF(Dataset!B665&lt;75,0.5,IF(Dataset!B665&lt;120,0.65,0.8)))</f>
        <v>0.65</v>
      </c>
      <c r="C665" s="29">
        <f>IF(Dataset!B665&lt;25,1,IF(Dataset!B665&lt;75,2,IF(Dataset!B665&lt;120,3,4)))</f>
        <v>3</v>
      </c>
      <c r="D665" s="29">
        <f t="shared" si="80"/>
        <v>1.9500000000000002</v>
      </c>
      <c r="E665" s="29">
        <f>IF(Dataset!C665&lt;=1,0.3,IF(Dataset!C665=2,0.4,IF(Dataset!C665=3,0.5,IF(Dataset!C665=4,0.65,0.8))))</f>
        <v>0.5</v>
      </c>
      <c r="F665" s="29">
        <f>IF(Dataset!C665&lt;=2,1,IF(Dataset!C665=3,2,IF(Dataset!C665=4,3,4)))</f>
        <v>2</v>
      </c>
      <c r="G665" s="29">
        <f t="shared" si="81"/>
        <v>1</v>
      </c>
      <c r="H665" s="29">
        <f>IF(Dataset!G665&lt;=3,0.25,IF(Dataset!G665&lt;=6,0.45,IF(Dataset!G665&lt;=9,0.65,0.85)))</f>
        <v>0.45</v>
      </c>
      <c r="I665" s="29">
        <f>IF(Dataset!G665&lt;=3,1,IF(Dataset!G665&lt;=6,2,IF(Dataset!G665&lt;=9,3,4)))</f>
        <v>2</v>
      </c>
      <c r="J665" s="29">
        <f t="shared" si="82"/>
        <v>0.9</v>
      </c>
      <c r="K665" s="29">
        <f>IF(Dataset!H665&lt;1,0.2,IF(Dataset!H665&lt;1.3,0.45,IF(Dataset!H665&lt;1.8,0.7,0.9)))</f>
        <v>0.9</v>
      </c>
      <c r="L665" s="29">
        <f>IF(Dataset!H665&lt;1,1,IF(Dataset!H665&lt;1.3,2,IF(Dataset!H665&lt;1.8,3,4)))</f>
        <v>4</v>
      </c>
      <c r="M665" s="29">
        <f t="shared" si="83"/>
        <v>3.6</v>
      </c>
      <c r="N665" s="29">
        <f>IF(Dataset!F665=1,0.75,IF(Dataset!F665=2,0.45,0.2))</f>
        <v>0.2</v>
      </c>
      <c r="O665" s="29">
        <f>IF(Dataset!F665=1,3,IF(Dataset!F665=2,2,1))</f>
        <v>1</v>
      </c>
      <c r="P665" s="29">
        <f t="shared" si="84"/>
        <v>0.2</v>
      </c>
      <c r="Q665" s="29">
        <f>IF(Dataset!K665&lt;5,0.2,IF(Dataset!K665&lt;10,0.45,IF(Dataset!K665&lt;18,0.7,0.9)))</f>
        <v>0.45</v>
      </c>
      <c r="R665" s="29">
        <f>IF(Dataset!K665&lt;5,1,IF(Dataset!K665&lt;10,2,IF(Dataset!K665&lt;18,3,4)))</f>
        <v>2</v>
      </c>
      <c r="S665" s="29">
        <f t="shared" si="85"/>
        <v>0.9</v>
      </c>
      <c r="T665" s="29">
        <f t="shared" si="86"/>
        <v>1.6810000000000003</v>
      </c>
      <c r="U665" s="29" t="str">
        <f t="shared" si="87"/>
        <v>Medium</v>
      </c>
    </row>
    <row r="666" spans="1:21" ht="15" customHeight="1" x14ac:dyDescent="0.25">
      <c r="A666" s="29">
        <f>Dataset!A666</f>
        <v>662</v>
      </c>
      <c r="B666" s="29">
        <f>IF(Dataset!B666&lt;25,0.3,IF(Dataset!B666&lt;75,0.5,IF(Dataset!B666&lt;120,0.65,0.8)))</f>
        <v>0.3</v>
      </c>
      <c r="C666" s="29">
        <f>IF(Dataset!B666&lt;25,1,IF(Dataset!B666&lt;75,2,IF(Dataset!B666&lt;120,3,4)))</f>
        <v>1</v>
      </c>
      <c r="D666" s="29">
        <f t="shared" si="80"/>
        <v>0.3</v>
      </c>
      <c r="E666" s="29">
        <f>IF(Dataset!C666&lt;=1,0.3,IF(Dataset!C666=2,0.4,IF(Dataset!C666=3,0.5,IF(Dataset!C666=4,0.65,0.8))))</f>
        <v>0.65</v>
      </c>
      <c r="F666" s="29">
        <f>IF(Dataset!C666&lt;=2,1,IF(Dataset!C666=3,2,IF(Dataset!C666=4,3,4)))</f>
        <v>3</v>
      </c>
      <c r="G666" s="29">
        <f t="shared" si="81"/>
        <v>1.9500000000000002</v>
      </c>
      <c r="H666" s="29">
        <f>IF(Dataset!G666&lt;=3,0.25,IF(Dataset!G666&lt;=6,0.45,IF(Dataset!G666&lt;=9,0.65,0.85)))</f>
        <v>0.45</v>
      </c>
      <c r="I666" s="29">
        <f>IF(Dataset!G666&lt;=3,1,IF(Dataset!G666&lt;=6,2,IF(Dataset!G666&lt;=9,3,4)))</f>
        <v>2</v>
      </c>
      <c r="J666" s="29">
        <f t="shared" si="82"/>
        <v>0.9</v>
      </c>
      <c r="K666" s="29">
        <f>IF(Dataset!H666&lt;1,0.2,IF(Dataset!H666&lt;1.3,0.45,IF(Dataset!H666&lt;1.8,0.7,0.9)))</f>
        <v>0.2</v>
      </c>
      <c r="L666" s="29">
        <f>IF(Dataset!H666&lt;1,1,IF(Dataset!H666&lt;1.3,2,IF(Dataset!H666&lt;1.8,3,4)))</f>
        <v>1</v>
      </c>
      <c r="M666" s="29">
        <f t="shared" si="83"/>
        <v>0.2</v>
      </c>
      <c r="N666" s="29">
        <f>IF(Dataset!F666=1,0.75,IF(Dataset!F666=2,0.45,0.2))</f>
        <v>0.75</v>
      </c>
      <c r="O666" s="29">
        <f>IF(Dataset!F666=1,3,IF(Dataset!F666=2,2,1))</f>
        <v>3</v>
      </c>
      <c r="P666" s="29">
        <f t="shared" si="84"/>
        <v>2.25</v>
      </c>
      <c r="Q666" s="29">
        <f>IF(Dataset!K666&lt;5,0.2,IF(Dataset!K666&lt;10,0.45,IF(Dataset!K666&lt;18,0.7,0.9)))</f>
        <v>0.7</v>
      </c>
      <c r="R666" s="29">
        <f>IF(Dataset!K666&lt;5,1,IF(Dataset!K666&lt;10,2,IF(Dataset!K666&lt;18,3,4)))</f>
        <v>3</v>
      </c>
      <c r="S666" s="29">
        <f t="shared" si="85"/>
        <v>2.0999999999999996</v>
      </c>
      <c r="T666" s="29">
        <f t="shared" si="86"/>
        <v>1.0740000000000001</v>
      </c>
      <c r="U666" s="29" t="str">
        <f t="shared" si="87"/>
        <v>Low</v>
      </c>
    </row>
    <row r="667" spans="1:21" ht="15" customHeight="1" x14ac:dyDescent="0.25">
      <c r="A667" s="29">
        <f>Dataset!A667</f>
        <v>663</v>
      </c>
      <c r="B667" s="29">
        <f>IF(Dataset!B667&lt;25,0.3,IF(Dataset!B667&lt;75,0.5,IF(Dataset!B667&lt;120,0.65,0.8)))</f>
        <v>0.65</v>
      </c>
      <c r="C667" s="29">
        <f>IF(Dataset!B667&lt;25,1,IF(Dataset!B667&lt;75,2,IF(Dataset!B667&lt;120,3,4)))</f>
        <v>3</v>
      </c>
      <c r="D667" s="29">
        <f t="shared" si="80"/>
        <v>1.9500000000000002</v>
      </c>
      <c r="E667" s="29">
        <f>IF(Dataset!C667&lt;=1,0.3,IF(Dataset!C667=2,0.4,IF(Dataset!C667=3,0.5,IF(Dataset!C667=4,0.65,0.8))))</f>
        <v>0.3</v>
      </c>
      <c r="F667" s="29">
        <f>IF(Dataset!C667&lt;=2,1,IF(Dataset!C667=3,2,IF(Dataset!C667=4,3,4)))</f>
        <v>1</v>
      </c>
      <c r="G667" s="29">
        <f t="shared" si="81"/>
        <v>0.3</v>
      </c>
      <c r="H667" s="29">
        <f>IF(Dataset!G667&lt;=3,0.25,IF(Dataset!G667&lt;=6,0.45,IF(Dataset!G667&lt;=9,0.65,0.85)))</f>
        <v>0.45</v>
      </c>
      <c r="I667" s="29">
        <f>IF(Dataset!G667&lt;=3,1,IF(Dataset!G667&lt;=6,2,IF(Dataset!G667&lt;=9,3,4)))</f>
        <v>2</v>
      </c>
      <c r="J667" s="29">
        <f t="shared" si="82"/>
        <v>0.9</v>
      </c>
      <c r="K667" s="29">
        <f>IF(Dataset!H667&lt;1,0.2,IF(Dataset!H667&lt;1.3,0.45,IF(Dataset!H667&lt;1.8,0.7,0.9)))</f>
        <v>0.9</v>
      </c>
      <c r="L667" s="29">
        <f>IF(Dataset!H667&lt;1,1,IF(Dataset!H667&lt;1.3,2,IF(Dataset!H667&lt;1.8,3,4)))</f>
        <v>4</v>
      </c>
      <c r="M667" s="29">
        <f t="shared" si="83"/>
        <v>3.6</v>
      </c>
      <c r="N667" s="29">
        <f>IF(Dataset!F667=1,0.75,IF(Dataset!F667=2,0.45,0.2))</f>
        <v>0.75</v>
      </c>
      <c r="O667" s="29">
        <f>IF(Dataset!F667=1,3,IF(Dataset!F667=2,2,1))</f>
        <v>3</v>
      </c>
      <c r="P667" s="29">
        <f t="shared" si="84"/>
        <v>2.25</v>
      </c>
      <c r="Q667" s="29">
        <f>IF(Dataset!K667&lt;5,0.2,IF(Dataset!K667&lt;10,0.45,IF(Dataset!K667&lt;18,0.7,0.9)))</f>
        <v>0.2</v>
      </c>
      <c r="R667" s="29">
        <f>IF(Dataset!K667&lt;5,1,IF(Dataset!K667&lt;10,2,IF(Dataset!K667&lt;18,3,4)))</f>
        <v>1</v>
      </c>
      <c r="S667" s="29">
        <f t="shared" si="85"/>
        <v>0.2</v>
      </c>
      <c r="T667" s="29">
        <f t="shared" si="86"/>
        <v>1.6900000000000002</v>
      </c>
      <c r="U667" s="29" t="str">
        <f t="shared" si="87"/>
        <v>Medium</v>
      </c>
    </row>
    <row r="668" spans="1:21" ht="15" customHeight="1" x14ac:dyDescent="0.25">
      <c r="A668" s="29">
        <f>Dataset!A668</f>
        <v>664</v>
      </c>
      <c r="B668" s="29">
        <f>IF(Dataset!B668&lt;25,0.3,IF(Dataset!B668&lt;75,0.5,IF(Dataset!B668&lt;120,0.65,0.8)))</f>
        <v>0.8</v>
      </c>
      <c r="C668" s="29">
        <f>IF(Dataset!B668&lt;25,1,IF(Dataset!B668&lt;75,2,IF(Dataset!B668&lt;120,3,4)))</f>
        <v>4</v>
      </c>
      <c r="D668" s="29">
        <f t="shared" si="80"/>
        <v>3.2</v>
      </c>
      <c r="E668" s="29">
        <f>IF(Dataset!C668&lt;=1,0.3,IF(Dataset!C668=2,0.4,IF(Dataset!C668=3,0.5,IF(Dataset!C668=4,0.65,0.8))))</f>
        <v>0.65</v>
      </c>
      <c r="F668" s="29">
        <f>IF(Dataset!C668&lt;=2,1,IF(Dataset!C668=3,2,IF(Dataset!C668=4,3,4)))</f>
        <v>3</v>
      </c>
      <c r="G668" s="29">
        <f t="shared" si="81"/>
        <v>1.9500000000000002</v>
      </c>
      <c r="H668" s="29">
        <f>IF(Dataset!G668&lt;=3,0.25,IF(Dataset!G668&lt;=6,0.45,IF(Dataset!G668&lt;=9,0.65,0.85)))</f>
        <v>0.45</v>
      </c>
      <c r="I668" s="29">
        <f>IF(Dataset!G668&lt;=3,1,IF(Dataset!G668&lt;=6,2,IF(Dataset!G668&lt;=9,3,4)))</f>
        <v>2</v>
      </c>
      <c r="J668" s="29">
        <f t="shared" si="82"/>
        <v>0.9</v>
      </c>
      <c r="K668" s="29">
        <f>IF(Dataset!H668&lt;1,0.2,IF(Dataset!H668&lt;1.3,0.45,IF(Dataset!H668&lt;1.8,0.7,0.9)))</f>
        <v>0.7</v>
      </c>
      <c r="L668" s="29">
        <f>IF(Dataset!H668&lt;1,1,IF(Dataset!H668&lt;1.3,2,IF(Dataset!H668&lt;1.8,3,4)))</f>
        <v>3</v>
      </c>
      <c r="M668" s="29">
        <f t="shared" si="83"/>
        <v>2.0999999999999996</v>
      </c>
      <c r="N668" s="29">
        <f>IF(Dataset!F668=1,0.75,IF(Dataset!F668=2,0.45,0.2))</f>
        <v>0.2</v>
      </c>
      <c r="O668" s="29">
        <f>IF(Dataset!F668=1,3,IF(Dataset!F668=2,2,1))</f>
        <v>1</v>
      </c>
      <c r="P668" s="29">
        <f t="shared" si="84"/>
        <v>0.2</v>
      </c>
      <c r="Q668" s="29">
        <f>IF(Dataset!K668&lt;5,0.2,IF(Dataset!K668&lt;10,0.45,IF(Dataset!K668&lt;18,0.7,0.9)))</f>
        <v>0.7</v>
      </c>
      <c r="R668" s="29">
        <f>IF(Dataset!K668&lt;5,1,IF(Dataset!K668&lt;10,2,IF(Dataset!K668&lt;18,3,4)))</f>
        <v>3</v>
      </c>
      <c r="S668" s="29">
        <f t="shared" si="85"/>
        <v>2.0999999999999996</v>
      </c>
      <c r="T668" s="29">
        <f t="shared" si="86"/>
        <v>1.847</v>
      </c>
      <c r="U668" s="29" t="str">
        <f t="shared" si="87"/>
        <v>High</v>
      </c>
    </row>
    <row r="669" spans="1:21" ht="15" customHeight="1" x14ac:dyDescent="0.25">
      <c r="A669" s="29">
        <f>Dataset!A669</f>
        <v>665</v>
      </c>
      <c r="B669" s="29">
        <f>IF(Dataset!B669&lt;25,0.3,IF(Dataset!B669&lt;75,0.5,IF(Dataset!B669&lt;120,0.65,0.8)))</f>
        <v>0.65</v>
      </c>
      <c r="C669" s="29">
        <f>IF(Dataset!B669&lt;25,1,IF(Dataset!B669&lt;75,2,IF(Dataset!B669&lt;120,3,4)))</f>
        <v>3</v>
      </c>
      <c r="D669" s="29">
        <f t="shared" si="80"/>
        <v>1.9500000000000002</v>
      </c>
      <c r="E669" s="29">
        <f>IF(Dataset!C669&lt;=1,0.3,IF(Dataset!C669=2,0.4,IF(Dataset!C669=3,0.5,IF(Dataset!C669=4,0.65,0.8))))</f>
        <v>0.8</v>
      </c>
      <c r="F669" s="29">
        <f>IF(Dataset!C669&lt;=2,1,IF(Dataset!C669=3,2,IF(Dataset!C669=4,3,4)))</f>
        <v>4</v>
      </c>
      <c r="G669" s="29">
        <f t="shared" si="81"/>
        <v>3.2</v>
      </c>
      <c r="H669" s="29">
        <f>IF(Dataset!G669&lt;=3,0.25,IF(Dataset!G669&lt;=6,0.45,IF(Dataset!G669&lt;=9,0.65,0.85)))</f>
        <v>0.45</v>
      </c>
      <c r="I669" s="29">
        <f>IF(Dataset!G669&lt;=3,1,IF(Dataset!G669&lt;=6,2,IF(Dataset!G669&lt;=9,3,4)))</f>
        <v>2</v>
      </c>
      <c r="J669" s="29">
        <f t="shared" si="82"/>
        <v>0.9</v>
      </c>
      <c r="K669" s="29">
        <f>IF(Dataset!H669&lt;1,0.2,IF(Dataset!H669&lt;1.3,0.45,IF(Dataset!H669&lt;1.8,0.7,0.9)))</f>
        <v>0.7</v>
      </c>
      <c r="L669" s="29">
        <f>IF(Dataset!H669&lt;1,1,IF(Dataset!H669&lt;1.3,2,IF(Dataset!H669&lt;1.8,3,4)))</f>
        <v>3</v>
      </c>
      <c r="M669" s="29">
        <f t="shared" si="83"/>
        <v>2.0999999999999996</v>
      </c>
      <c r="N669" s="29">
        <f>IF(Dataset!F669=1,0.75,IF(Dataset!F669=2,0.45,0.2))</f>
        <v>0.75</v>
      </c>
      <c r="O669" s="29">
        <f>IF(Dataset!F669=1,3,IF(Dataset!F669=2,2,1))</f>
        <v>3</v>
      </c>
      <c r="P669" s="29">
        <f t="shared" si="84"/>
        <v>2.25</v>
      </c>
      <c r="Q669" s="29">
        <f>IF(Dataset!K669&lt;5,0.2,IF(Dataset!K669&lt;10,0.45,IF(Dataset!K669&lt;18,0.7,0.9)))</f>
        <v>0.7</v>
      </c>
      <c r="R669" s="29">
        <f>IF(Dataset!K669&lt;5,1,IF(Dataset!K669&lt;10,2,IF(Dataset!K669&lt;18,3,4)))</f>
        <v>3</v>
      </c>
      <c r="S669" s="29">
        <f t="shared" si="85"/>
        <v>2.0999999999999996</v>
      </c>
      <c r="T669" s="29">
        <f t="shared" si="86"/>
        <v>2.0020000000000002</v>
      </c>
      <c r="U669" s="29" t="str">
        <f t="shared" si="87"/>
        <v>High</v>
      </c>
    </row>
    <row r="670" spans="1:21" ht="15" customHeight="1" x14ac:dyDescent="0.25">
      <c r="A670" s="29">
        <f>Dataset!A670</f>
        <v>666</v>
      </c>
      <c r="B670" s="29">
        <f>IF(Dataset!B670&lt;25,0.3,IF(Dataset!B670&lt;75,0.5,IF(Dataset!B670&lt;120,0.65,0.8)))</f>
        <v>0.5</v>
      </c>
      <c r="C670" s="29">
        <f>IF(Dataset!B670&lt;25,1,IF(Dataset!B670&lt;75,2,IF(Dataset!B670&lt;120,3,4)))</f>
        <v>2</v>
      </c>
      <c r="D670" s="29">
        <f t="shared" si="80"/>
        <v>1</v>
      </c>
      <c r="E670" s="29">
        <f>IF(Dataset!C670&lt;=1,0.3,IF(Dataset!C670=2,0.4,IF(Dataset!C670=3,0.5,IF(Dataset!C670=4,0.65,0.8))))</f>
        <v>0.4</v>
      </c>
      <c r="F670" s="29">
        <f>IF(Dataset!C670&lt;=2,1,IF(Dataset!C670=3,2,IF(Dataset!C670=4,3,4)))</f>
        <v>1</v>
      </c>
      <c r="G670" s="29">
        <f t="shared" si="81"/>
        <v>0.4</v>
      </c>
      <c r="H670" s="29">
        <f>IF(Dataset!G670&lt;=3,0.25,IF(Dataset!G670&lt;=6,0.45,IF(Dataset!G670&lt;=9,0.65,0.85)))</f>
        <v>0.65</v>
      </c>
      <c r="I670" s="29">
        <f>IF(Dataset!G670&lt;=3,1,IF(Dataset!G670&lt;=6,2,IF(Dataset!G670&lt;=9,3,4)))</f>
        <v>3</v>
      </c>
      <c r="J670" s="29">
        <f t="shared" si="82"/>
        <v>1.9500000000000002</v>
      </c>
      <c r="K670" s="29">
        <f>IF(Dataset!H670&lt;1,0.2,IF(Dataset!H670&lt;1.3,0.45,IF(Dataset!H670&lt;1.8,0.7,0.9)))</f>
        <v>0.7</v>
      </c>
      <c r="L670" s="29">
        <f>IF(Dataset!H670&lt;1,1,IF(Dataset!H670&lt;1.3,2,IF(Dataset!H670&lt;1.8,3,4)))</f>
        <v>3</v>
      </c>
      <c r="M670" s="29">
        <f t="shared" si="83"/>
        <v>2.0999999999999996</v>
      </c>
      <c r="N670" s="29">
        <f>IF(Dataset!F670=1,0.75,IF(Dataset!F670=2,0.45,0.2))</f>
        <v>0.45</v>
      </c>
      <c r="O670" s="29">
        <f>IF(Dataset!F670=1,3,IF(Dataset!F670=2,2,1))</f>
        <v>2</v>
      </c>
      <c r="P670" s="29">
        <f t="shared" si="84"/>
        <v>0.9</v>
      </c>
      <c r="Q670" s="29">
        <f>IF(Dataset!K670&lt;5,0.2,IF(Dataset!K670&lt;10,0.45,IF(Dataset!K670&lt;18,0.7,0.9)))</f>
        <v>0.2</v>
      </c>
      <c r="R670" s="29">
        <f>IF(Dataset!K670&lt;5,1,IF(Dataset!K670&lt;10,2,IF(Dataset!K670&lt;18,3,4)))</f>
        <v>1</v>
      </c>
      <c r="S670" s="29">
        <f t="shared" si="85"/>
        <v>0.2</v>
      </c>
      <c r="T670" s="29">
        <f t="shared" si="86"/>
        <v>1.248</v>
      </c>
      <c r="U670" s="29" t="str">
        <f t="shared" si="87"/>
        <v>Low</v>
      </c>
    </row>
    <row r="671" spans="1:21" ht="15" customHeight="1" x14ac:dyDescent="0.25">
      <c r="A671" s="29">
        <f>Dataset!A671</f>
        <v>667</v>
      </c>
      <c r="B671" s="29">
        <f>IF(Dataset!B671&lt;25,0.3,IF(Dataset!B671&lt;75,0.5,IF(Dataset!B671&lt;120,0.65,0.8)))</f>
        <v>0.65</v>
      </c>
      <c r="C671" s="29">
        <f>IF(Dataset!B671&lt;25,1,IF(Dataset!B671&lt;75,2,IF(Dataset!B671&lt;120,3,4)))</f>
        <v>3</v>
      </c>
      <c r="D671" s="29">
        <f t="shared" si="80"/>
        <v>1.9500000000000002</v>
      </c>
      <c r="E671" s="29">
        <f>IF(Dataset!C671&lt;=1,0.3,IF(Dataset!C671=2,0.4,IF(Dataset!C671=3,0.5,IF(Dataset!C671=4,0.65,0.8))))</f>
        <v>0.65</v>
      </c>
      <c r="F671" s="29">
        <f>IF(Dataset!C671&lt;=2,1,IF(Dataset!C671=3,2,IF(Dataset!C671=4,3,4)))</f>
        <v>3</v>
      </c>
      <c r="G671" s="29">
        <f t="shared" si="81"/>
        <v>1.9500000000000002</v>
      </c>
      <c r="H671" s="29">
        <f>IF(Dataset!G671&lt;=3,0.25,IF(Dataset!G671&lt;=6,0.45,IF(Dataset!G671&lt;=9,0.65,0.85)))</f>
        <v>0.45</v>
      </c>
      <c r="I671" s="29">
        <f>IF(Dataset!G671&lt;=3,1,IF(Dataset!G671&lt;=6,2,IF(Dataset!G671&lt;=9,3,4)))</f>
        <v>2</v>
      </c>
      <c r="J671" s="29">
        <f t="shared" si="82"/>
        <v>0.9</v>
      </c>
      <c r="K671" s="29">
        <f>IF(Dataset!H671&lt;1,0.2,IF(Dataset!H671&lt;1.3,0.45,IF(Dataset!H671&lt;1.8,0.7,0.9)))</f>
        <v>0.2</v>
      </c>
      <c r="L671" s="29">
        <f>IF(Dataset!H671&lt;1,1,IF(Dataset!H671&lt;1.3,2,IF(Dataset!H671&lt;1.8,3,4)))</f>
        <v>1</v>
      </c>
      <c r="M671" s="29">
        <f t="shared" si="83"/>
        <v>0.2</v>
      </c>
      <c r="N671" s="29">
        <f>IF(Dataset!F671=1,0.75,IF(Dataset!F671=2,0.45,0.2))</f>
        <v>0.45</v>
      </c>
      <c r="O671" s="29">
        <f>IF(Dataset!F671=1,3,IF(Dataset!F671=2,2,1))</f>
        <v>2</v>
      </c>
      <c r="P671" s="29">
        <f t="shared" si="84"/>
        <v>0.9</v>
      </c>
      <c r="Q671" s="29">
        <f>IF(Dataset!K671&lt;5,0.2,IF(Dataset!K671&lt;10,0.45,IF(Dataset!K671&lt;18,0.7,0.9)))</f>
        <v>0.45</v>
      </c>
      <c r="R671" s="29">
        <f>IF(Dataset!K671&lt;5,1,IF(Dataset!K671&lt;10,2,IF(Dataset!K671&lt;18,3,4)))</f>
        <v>2</v>
      </c>
      <c r="S671" s="29">
        <f t="shared" si="85"/>
        <v>0.9</v>
      </c>
      <c r="T671" s="29">
        <f t="shared" si="86"/>
        <v>1.0680000000000003</v>
      </c>
      <c r="U671" s="29" t="str">
        <f t="shared" si="87"/>
        <v>Low</v>
      </c>
    </row>
    <row r="672" spans="1:21" ht="15" customHeight="1" x14ac:dyDescent="0.25">
      <c r="A672" s="29">
        <f>Dataset!A672</f>
        <v>668</v>
      </c>
      <c r="B672" s="29">
        <f>IF(Dataset!B672&lt;25,0.3,IF(Dataset!B672&lt;75,0.5,IF(Dataset!B672&lt;120,0.65,0.8)))</f>
        <v>0.5</v>
      </c>
      <c r="C672" s="29">
        <f>IF(Dataset!B672&lt;25,1,IF(Dataset!B672&lt;75,2,IF(Dataset!B672&lt;120,3,4)))</f>
        <v>2</v>
      </c>
      <c r="D672" s="29">
        <f t="shared" si="80"/>
        <v>1</v>
      </c>
      <c r="E672" s="29">
        <f>IF(Dataset!C672&lt;=1,0.3,IF(Dataset!C672=2,0.4,IF(Dataset!C672=3,0.5,IF(Dataset!C672=4,0.65,0.8))))</f>
        <v>0.8</v>
      </c>
      <c r="F672" s="29">
        <f>IF(Dataset!C672&lt;=2,1,IF(Dataset!C672=3,2,IF(Dataset!C672=4,3,4)))</f>
        <v>4</v>
      </c>
      <c r="G672" s="29">
        <f t="shared" si="81"/>
        <v>3.2</v>
      </c>
      <c r="H672" s="29">
        <f>IF(Dataset!G672&lt;=3,0.25,IF(Dataset!G672&lt;=6,0.45,IF(Dataset!G672&lt;=9,0.65,0.85)))</f>
        <v>0.65</v>
      </c>
      <c r="I672" s="29">
        <f>IF(Dataset!G672&lt;=3,1,IF(Dataset!G672&lt;=6,2,IF(Dataset!G672&lt;=9,3,4)))</f>
        <v>3</v>
      </c>
      <c r="J672" s="29">
        <f t="shared" si="82"/>
        <v>1.9500000000000002</v>
      </c>
      <c r="K672" s="29">
        <f>IF(Dataset!H672&lt;1,0.2,IF(Dataset!H672&lt;1.3,0.45,IF(Dataset!H672&lt;1.8,0.7,0.9)))</f>
        <v>0.7</v>
      </c>
      <c r="L672" s="29">
        <f>IF(Dataset!H672&lt;1,1,IF(Dataset!H672&lt;1.3,2,IF(Dataset!H672&lt;1.8,3,4)))</f>
        <v>3</v>
      </c>
      <c r="M672" s="29">
        <f t="shared" si="83"/>
        <v>2.0999999999999996</v>
      </c>
      <c r="N672" s="29">
        <f>IF(Dataset!F672=1,0.75,IF(Dataset!F672=2,0.45,0.2))</f>
        <v>0.75</v>
      </c>
      <c r="O672" s="29">
        <f>IF(Dataset!F672=1,3,IF(Dataset!F672=2,2,1))</f>
        <v>3</v>
      </c>
      <c r="P672" s="29">
        <f t="shared" si="84"/>
        <v>2.25</v>
      </c>
      <c r="Q672" s="29">
        <f>IF(Dataset!K672&lt;5,0.2,IF(Dataset!K672&lt;10,0.45,IF(Dataset!K672&lt;18,0.7,0.9)))</f>
        <v>0.9</v>
      </c>
      <c r="R672" s="29">
        <f>IF(Dataset!K672&lt;5,1,IF(Dataset!K672&lt;10,2,IF(Dataset!K672&lt;18,3,4)))</f>
        <v>4</v>
      </c>
      <c r="S672" s="29">
        <f t="shared" si="85"/>
        <v>3.6</v>
      </c>
      <c r="T672" s="29">
        <f t="shared" si="86"/>
        <v>2.2510000000000003</v>
      </c>
      <c r="U672" s="29" t="str">
        <f t="shared" si="87"/>
        <v>High</v>
      </c>
    </row>
    <row r="673" spans="1:21" ht="15" customHeight="1" x14ac:dyDescent="0.25">
      <c r="A673" s="29">
        <f>Dataset!A673</f>
        <v>669</v>
      </c>
      <c r="B673" s="29">
        <f>IF(Dataset!B673&lt;25,0.3,IF(Dataset!B673&lt;75,0.5,IF(Dataset!B673&lt;120,0.65,0.8)))</f>
        <v>0.8</v>
      </c>
      <c r="C673" s="29">
        <f>IF(Dataset!B673&lt;25,1,IF(Dataset!B673&lt;75,2,IF(Dataset!B673&lt;120,3,4)))</f>
        <v>4</v>
      </c>
      <c r="D673" s="29">
        <f t="shared" si="80"/>
        <v>3.2</v>
      </c>
      <c r="E673" s="29">
        <f>IF(Dataset!C673&lt;=1,0.3,IF(Dataset!C673=2,0.4,IF(Dataset!C673=3,0.5,IF(Dataset!C673=4,0.65,0.8))))</f>
        <v>0.4</v>
      </c>
      <c r="F673" s="29">
        <f>IF(Dataset!C673&lt;=2,1,IF(Dataset!C673=3,2,IF(Dataset!C673=4,3,4)))</f>
        <v>1</v>
      </c>
      <c r="G673" s="29">
        <f t="shared" si="81"/>
        <v>0.4</v>
      </c>
      <c r="H673" s="29">
        <f>IF(Dataset!G673&lt;=3,0.25,IF(Dataset!G673&lt;=6,0.45,IF(Dataset!G673&lt;=9,0.65,0.85)))</f>
        <v>0.45</v>
      </c>
      <c r="I673" s="29">
        <f>IF(Dataset!G673&lt;=3,1,IF(Dataset!G673&lt;=6,2,IF(Dataset!G673&lt;=9,3,4)))</f>
        <v>2</v>
      </c>
      <c r="J673" s="29">
        <f t="shared" si="82"/>
        <v>0.9</v>
      </c>
      <c r="K673" s="29">
        <f>IF(Dataset!H673&lt;1,0.2,IF(Dataset!H673&lt;1.3,0.45,IF(Dataset!H673&lt;1.8,0.7,0.9)))</f>
        <v>0.9</v>
      </c>
      <c r="L673" s="29">
        <f>IF(Dataset!H673&lt;1,1,IF(Dataset!H673&lt;1.3,2,IF(Dataset!H673&lt;1.8,3,4)))</f>
        <v>4</v>
      </c>
      <c r="M673" s="29">
        <f t="shared" si="83"/>
        <v>3.6</v>
      </c>
      <c r="N673" s="29">
        <f>IF(Dataset!F673=1,0.75,IF(Dataset!F673=2,0.45,0.2))</f>
        <v>0.75</v>
      </c>
      <c r="O673" s="29">
        <f>IF(Dataset!F673=1,3,IF(Dataset!F673=2,2,1))</f>
        <v>3</v>
      </c>
      <c r="P673" s="29">
        <f t="shared" si="84"/>
        <v>2.25</v>
      </c>
      <c r="Q673" s="29">
        <f>IF(Dataset!K673&lt;5,0.2,IF(Dataset!K673&lt;10,0.45,IF(Dataset!K673&lt;18,0.7,0.9)))</f>
        <v>0.2</v>
      </c>
      <c r="R673" s="29">
        <f>IF(Dataset!K673&lt;5,1,IF(Dataset!K673&lt;10,2,IF(Dataset!K673&lt;18,3,4)))</f>
        <v>1</v>
      </c>
      <c r="S673" s="29">
        <f t="shared" si="85"/>
        <v>0.2</v>
      </c>
      <c r="T673" s="29">
        <f t="shared" si="86"/>
        <v>1.9290000000000003</v>
      </c>
      <c r="U673" s="29" t="str">
        <f t="shared" si="87"/>
        <v>High</v>
      </c>
    </row>
    <row r="674" spans="1:21" ht="15" customHeight="1" x14ac:dyDescent="0.25">
      <c r="A674" s="29">
        <f>Dataset!A674</f>
        <v>670</v>
      </c>
      <c r="B674" s="29">
        <f>IF(Dataset!B674&lt;25,0.3,IF(Dataset!B674&lt;75,0.5,IF(Dataset!B674&lt;120,0.65,0.8)))</f>
        <v>0.5</v>
      </c>
      <c r="C674" s="29">
        <f>IF(Dataset!B674&lt;25,1,IF(Dataset!B674&lt;75,2,IF(Dataset!B674&lt;120,3,4)))</f>
        <v>2</v>
      </c>
      <c r="D674" s="29">
        <f t="shared" si="80"/>
        <v>1</v>
      </c>
      <c r="E674" s="29">
        <f>IF(Dataset!C674&lt;=1,0.3,IF(Dataset!C674=2,0.4,IF(Dataset!C674=3,0.5,IF(Dataset!C674=4,0.65,0.8))))</f>
        <v>0.5</v>
      </c>
      <c r="F674" s="29">
        <f>IF(Dataset!C674&lt;=2,1,IF(Dataset!C674=3,2,IF(Dataset!C674=4,3,4)))</f>
        <v>2</v>
      </c>
      <c r="G674" s="29">
        <f t="shared" si="81"/>
        <v>1</v>
      </c>
      <c r="H674" s="29">
        <f>IF(Dataset!G674&lt;=3,0.25,IF(Dataset!G674&lt;=6,0.45,IF(Dataset!G674&lt;=9,0.65,0.85)))</f>
        <v>0.65</v>
      </c>
      <c r="I674" s="29">
        <f>IF(Dataset!G674&lt;=3,1,IF(Dataset!G674&lt;=6,2,IF(Dataset!G674&lt;=9,3,4)))</f>
        <v>3</v>
      </c>
      <c r="J674" s="29">
        <f t="shared" si="82"/>
        <v>1.9500000000000002</v>
      </c>
      <c r="K674" s="29">
        <f>IF(Dataset!H674&lt;1,0.2,IF(Dataset!H674&lt;1.3,0.45,IF(Dataset!H674&lt;1.8,0.7,0.9)))</f>
        <v>0.45</v>
      </c>
      <c r="L674" s="29">
        <f>IF(Dataset!H674&lt;1,1,IF(Dataset!H674&lt;1.3,2,IF(Dataset!H674&lt;1.8,3,4)))</f>
        <v>2</v>
      </c>
      <c r="M674" s="29">
        <f t="shared" si="83"/>
        <v>0.9</v>
      </c>
      <c r="N674" s="29">
        <f>IF(Dataset!F674=1,0.75,IF(Dataset!F674=2,0.45,0.2))</f>
        <v>0.2</v>
      </c>
      <c r="O674" s="29">
        <f>IF(Dataset!F674=1,3,IF(Dataset!F674=2,2,1))</f>
        <v>1</v>
      </c>
      <c r="P674" s="29">
        <f t="shared" si="84"/>
        <v>0.2</v>
      </c>
      <c r="Q674" s="29">
        <f>IF(Dataset!K674&lt;5,0.2,IF(Dataset!K674&lt;10,0.45,IF(Dataset!K674&lt;18,0.7,0.9)))</f>
        <v>0.45</v>
      </c>
      <c r="R674" s="29">
        <f>IF(Dataset!K674&lt;5,1,IF(Dataset!K674&lt;10,2,IF(Dataset!K674&lt;18,3,4)))</f>
        <v>2</v>
      </c>
      <c r="S674" s="29">
        <f t="shared" si="85"/>
        <v>0.9</v>
      </c>
      <c r="T674" s="29">
        <f t="shared" si="86"/>
        <v>1.0720000000000001</v>
      </c>
      <c r="U674" s="29" t="str">
        <f t="shared" si="87"/>
        <v>Low</v>
      </c>
    </row>
    <row r="675" spans="1:21" ht="15" customHeight="1" x14ac:dyDescent="0.25">
      <c r="A675" s="29">
        <f>Dataset!A675</f>
        <v>671</v>
      </c>
      <c r="B675" s="29">
        <f>IF(Dataset!B675&lt;25,0.3,IF(Dataset!B675&lt;75,0.5,IF(Dataset!B675&lt;120,0.65,0.8)))</f>
        <v>0.5</v>
      </c>
      <c r="C675" s="29">
        <f>IF(Dataset!B675&lt;25,1,IF(Dataset!B675&lt;75,2,IF(Dataset!B675&lt;120,3,4)))</f>
        <v>2</v>
      </c>
      <c r="D675" s="29">
        <f t="shared" si="80"/>
        <v>1</v>
      </c>
      <c r="E675" s="29">
        <f>IF(Dataset!C675&lt;=1,0.3,IF(Dataset!C675=2,0.4,IF(Dataset!C675=3,0.5,IF(Dataset!C675=4,0.65,0.8))))</f>
        <v>0.8</v>
      </c>
      <c r="F675" s="29">
        <f>IF(Dataset!C675&lt;=2,1,IF(Dataset!C675=3,2,IF(Dataset!C675=4,3,4)))</f>
        <v>4</v>
      </c>
      <c r="G675" s="29">
        <f t="shared" si="81"/>
        <v>3.2</v>
      </c>
      <c r="H675" s="29">
        <f>IF(Dataset!G675&lt;=3,0.25,IF(Dataset!G675&lt;=6,0.45,IF(Dataset!G675&lt;=9,0.65,0.85)))</f>
        <v>0.85</v>
      </c>
      <c r="I675" s="29">
        <f>IF(Dataset!G675&lt;=3,1,IF(Dataset!G675&lt;=6,2,IF(Dataset!G675&lt;=9,3,4)))</f>
        <v>4</v>
      </c>
      <c r="J675" s="29">
        <f t="shared" si="82"/>
        <v>3.4</v>
      </c>
      <c r="K675" s="29">
        <f>IF(Dataset!H675&lt;1,0.2,IF(Dataset!H675&lt;1.3,0.45,IF(Dataset!H675&lt;1.8,0.7,0.9)))</f>
        <v>0.7</v>
      </c>
      <c r="L675" s="29">
        <f>IF(Dataset!H675&lt;1,1,IF(Dataset!H675&lt;1.3,2,IF(Dataset!H675&lt;1.8,3,4)))</f>
        <v>3</v>
      </c>
      <c r="M675" s="29">
        <f t="shared" si="83"/>
        <v>2.0999999999999996</v>
      </c>
      <c r="N675" s="29">
        <f>IF(Dataset!F675=1,0.75,IF(Dataset!F675=2,0.45,0.2))</f>
        <v>0.2</v>
      </c>
      <c r="O675" s="29">
        <f>IF(Dataset!F675=1,3,IF(Dataset!F675=2,2,1))</f>
        <v>1</v>
      </c>
      <c r="P675" s="29">
        <f t="shared" si="84"/>
        <v>0.2</v>
      </c>
      <c r="Q675" s="29">
        <f>IF(Dataset!K675&lt;5,0.2,IF(Dataset!K675&lt;10,0.45,IF(Dataset!K675&lt;18,0.7,0.9)))</f>
        <v>0.9</v>
      </c>
      <c r="R675" s="29">
        <f>IF(Dataset!K675&lt;5,1,IF(Dataset!K675&lt;10,2,IF(Dataset!K675&lt;18,3,4)))</f>
        <v>4</v>
      </c>
      <c r="S675" s="29">
        <f t="shared" si="85"/>
        <v>3.6</v>
      </c>
      <c r="T675" s="29">
        <f t="shared" si="86"/>
        <v>2.3360000000000003</v>
      </c>
      <c r="U675" s="29" t="str">
        <f t="shared" si="87"/>
        <v>High</v>
      </c>
    </row>
    <row r="676" spans="1:21" ht="15" customHeight="1" x14ac:dyDescent="0.25">
      <c r="A676" s="29">
        <f>Dataset!A676</f>
        <v>672</v>
      </c>
      <c r="B676" s="29">
        <f>IF(Dataset!B676&lt;25,0.3,IF(Dataset!B676&lt;75,0.5,IF(Dataset!B676&lt;120,0.65,0.8)))</f>
        <v>0.65</v>
      </c>
      <c r="C676" s="29">
        <f>IF(Dataset!B676&lt;25,1,IF(Dataset!B676&lt;75,2,IF(Dataset!B676&lt;120,3,4)))</f>
        <v>3</v>
      </c>
      <c r="D676" s="29">
        <f t="shared" si="80"/>
        <v>1.9500000000000002</v>
      </c>
      <c r="E676" s="29">
        <f>IF(Dataset!C676&lt;=1,0.3,IF(Dataset!C676=2,0.4,IF(Dataset!C676=3,0.5,IF(Dataset!C676=4,0.65,0.8))))</f>
        <v>0.8</v>
      </c>
      <c r="F676" s="29">
        <f>IF(Dataset!C676&lt;=2,1,IF(Dataset!C676=3,2,IF(Dataset!C676=4,3,4)))</f>
        <v>4</v>
      </c>
      <c r="G676" s="29">
        <f t="shared" si="81"/>
        <v>3.2</v>
      </c>
      <c r="H676" s="29">
        <f>IF(Dataset!G676&lt;=3,0.25,IF(Dataset!G676&lt;=6,0.45,IF(Dataset!G676&lt;=9,0.65,0.85)))</f>
        <v>0.25</v>
      </c>
      <c r="I676" s="29">
        <f>IF(Dataset!G676&lt;=3,1,IF(Dataset!G676&lt;=6,2,IF(Dataset!G676&lt;=9,3,4)))</f>
        <v>1</v>
      </c>
      <c r="J676" s="29">
        <f t="shared" si="82"/>
        <v>0.25</v>
      </c>
      <c r="K676" s="29">
        <f>IF(Dataset!H676&lt;1,0.2,IF(Dataset!H676&lt;1.3,0.45,IF(Dataset!H676&lt;1.8,0.7,0.9)))</f>
        <v>0.9</v>
      </c>
      <c r="L676" s="29">
        <f>IF(Dataset!H676&lt;1,1,IF(Dataset!H676&lt;1.3,2,IF(Dataset!H676&lt;1.8,3,4)))</f>
        <v>4</v>
      </c>
      <c r="M676" s="29">
        <f t="shared" si="83"/>
        <v>3.6</v>
      </c>
      <c r="N676" s="29">
        <f>IF(Dataset!F676=1,0.75,IF(Dataset!F676=2,0.45,0.2))</f>
        <v>0.2</v>
      </c>
      <c r="O676" s="29">
        <f>IF(Dataset!F676=1,3,IF(Dataset!F676=2,2,1))</f>
        <v>1</v>
      </c>
      <c r="P676" s="29">
        <f t="shared" si="84"/>
        <v>0.2</v>
      </c>
      <c r="Q676" s="29">
        <f>IF(Dataset!K676&lt;5,0.2,IF(Dataset!K676&lt;10,0.45,IF(Dataset!K676&lt;18,0.7,0.9)))</f>
        <v>0.9</v>
      </c>
      <c r="R676" s="29">
        <f>IF(Dataset!K676&lt;5,1,IF(Dataset!K676&lt;10,2,IF(Dataset!K676&lt;18,3,4)))</f>
        <v>4</v>
      </c>
      <c r="S676" s="29">
        <f t="shared" si="85"/>
        <v>3.6</v>
      </c>
      <c r="T676" s="29">
        <f t="shared" si="86"/>
        <v>2.2370000000000001</v>
      </c>
      <c r="U676" s="29" t="str">
        <f t="shared" si="87"/>
        <v>High</v>
      </c>
    </row>
    <row r="677" spans="1:21" ht="15" customHeight="1" x14ac:dyDescent="0.25">
      <c r="A677" s="29">
        <f>Dataset!A677</f>
        <v>673</v>
      </c>
      <c r="B677" s="29">
        <f>IF(Dataset!B677&lt;25,0.3,IF(Dataset!B677&lt;75,0.5,IF(Dataset!B677&lt;120,0.65,0.8)))</f>
        <v>0.65</v>
      </c>
      <c r="C677" s="29">
        <f>IF(Dataset!B677&lt;25,1,IF(Dataset!B677&lt;75,2,IF(Dataset!B677&lt;120,3,4)))</f>
        <v>3</v>
      </c>
      <c r="D677" s="29">
        <f t="shared" si="80"/>
        <v>1.9500000000000002</v>
      </c>
      <c r="E677" s="29">
        <f>IF(Dataset!C677&lt;=1,0.3,IF(Dataset!C677=2,0.4,IF(Dataset!C677=3,0.5,IF(Dataset!C677=4,0.65,0.8))))</f>
        <v>0.4</v>
      </c>
      <c r="F677" s="29">
        <f>IF(Dataset!C677&lt;=2,1,IF(Dataset!C677=3,2,IF(Dataset!C677=4,3,4)))</f>
        <v>1</v>
      </c>
      <c r="G677" s="29">
        <f t="shared" si="81"/>
        <v>0.4</v>
      </c>
      <c r="H677" s="29">
        <f>IF(Dataset!G677&lt;=3,0.25,IF(Dataset!G677&lt;=6,0.45,IF(Dataset!G677&lt;=9,0.65,0.85)))</f>
        <v>0.65</v>
      </c>
      <c r="I677" s="29">
        <f>IF(Dataset!G677&lt;=3,1,IF(Dataset!G677&lt;=6,2,IF(Dataset!G677&lt;=9,3,4)))</f>
        <v>3</v>
      </c>
      <c r="J677" s="29">
        <f t="shared" si="82"/>
        <v>1.9500000000000002</v>
      </c>
      <c r="K677" s="29">
        <f>IF(Dataset!H677&lt;1,0.2,IF(Dataset!H677&lt;1.3,0.45,IF(Dataset!H677&lt;1.8,0.7,0.9)))</f>
        <v>0.9</v>
      </c>
      <c r="L677" s="29">
        <f>IF(Dataset!H677&lt;1,1,IF(Dataset!H677&lt;1.3,2,IF(Dataset!H677&lt;1.8,3,4)))</f>
        <v>4</v>
      </c>
      <c r="M677" s="29">
        <f t="shared" si="83"/>
        <v>3.6</v>
      </c>
      <c r="N677" s="29">
        <f>IF(Dataset!F677=1,0.75,IF(Dataset!F677=2,0.45,0.2))</f>
        <v>0.75</v>
      </c>
      <c r="O677" s="29">
        <f>IF(Dataset!F677=1,3,IF(Dataset!F677=2,2,1))</f>
        <v>3</v>
      </c>
      <c r="P677" s="29">
        <f t="shared" si="84"/>
        <v>2.25</v>
      </c>
      <c r="Q677" s="29">
        <f>IF(Dataset!K677&lt;5,0.2,IF(Dataset!K677&lt;10,0.45,IF(Dataset!K677&lt;18,0.7,0.9)))</f>
        <v>0.2</v>
      </c>
      <c r="R677" s="29">
        <f>IF(Dataset!K677&lt;5,1,IF(Dataset!K677&lt;10,2,IF(Dataset!K677&lt;18,3,4)))</f>
        <v>1</v>
      </c>
      <c r="S677" s="29">
        <f t="shared" si="85"/>
        <v>0.2</v>
      </c>
      <c r="T677" s="29">
        <f t="shared" si="86"/>
        <v>1.9140000000000001</v>
      </c>
      <c r="U677" s="29" t="str">
        <f t="shared" si="87"/>
        <v>High</v>
      </c>
    </row>
    <row r="678" spans="1:21" ht="15" customHeight="1" x14ac:dyDescent="0.25">
      <c r="A678" s="29">
        <f>Dataset!A678</f>
        <v>674</v>
      </c>
      <c r="B678" s="29">
        <f>IF(Dataset!B678&lt;25,0.3,IF(Dataset!B678&lt;75,0.5,IF(Dataset!B678&lt;120,0.65,0.8)))</f>
        <v>0.65</v>
      </c>
      <c r="C678" s="29">
        <f>IF(Dataset!B678&lt;25,1,IF(Dataset!B678&lt;75,2,IF(Dataset!B678&lt;120,3,4)))</f>
        <v>3</v>
      </c>
      <c r="D678" s="29">
        <f t="shared" si="80"/>
        <v>1.9500000000000002</v>
      </c>
      <c r="E678" s="29">
        <f>IF(Dataset!C678&lt;=1,0.3,IF(Dataset!C678=2,0.4,IF(Dataset!C678=3,0.5,IF(Dataset!C678=4,0.65,0.8))))</f>
        <v>0.5</v>
      </c>
      <c r="F678" s="29">
        <f>IF(Dataset!C678&lt;=2,1,IF(Dataset!C678=3,2,IF(Dataset!C678=4,3,4)))</f>
        <v>2</v>
      </c>
      <c r="G678" s="29">
        <f t="shared" si="81"/>
        <v>1</v>
      </c>
      <c r="H678" s="29">
        <f>IF(Dataset!G678&lt;=3,0.25,IF(Dataset!G678&lt;=6,0.45,IF(Dataset!G678&lt;=9,0.65,0.85)))</f>
        <v>0.45</v>
      </c>
      <c r="I678" s="29">
        <f>IF(Dataset!G678&lt;=3,1,IF(Dataset!G678&lt;=6,2,IF(Dataset!G678&lt;=9,3,4)))</f>
        <v>2</v>
      </c>
      <c r="J678" s="29">
        <f t="shared" si="82"/>
        <v>0.9</v>
      </c>
      <c r="K678" s="29">
        <f>IF(Dataset!H678&lt;1,0.2,IF(Dataset!H678&lt;1.3,0.45,IF(Dataset!H678&lt;1.8,0.7,0.9)))</f>
        <v>0.45</v>
      </c>
      <c r="L678" s="29">
        <f>IF(Dataset!H678&lt;1,1,IF(Dataset!H678&lt;1.3,2,IF(Dataset!H678&lt;1.8,3,4)))</f>
        <v>2</v>
      </c>
      <c r="M678" s="29">
        <f t="shared" si="83"/>
        <v>0.9</v>
      </c>
      <c r="N678" s="29">
        <f>IF(Dataset!F678=1,0.75,IF(Dataset!F678=2,0.45,0.2))</f>
        <v>0.75</v>
      </c>
      <c r="O678" s="29">
        <f>IF(Dataset!F678=1,3,IF(Dataset!F678=2,2,1))</f>
        <v>3</v>
      </c>
      <c r="P678" s="29">
        <f t="shared" si="84"/>
        <v>2.25</v>
      </c>
      <c r="Q678" s="29">
        <f>IF(Dataset!K678&lt;5,0.2,IF(Dataset!K678&lt;10,0.45,IF(Dataset!K678&lt;18,0.7,0.9)))</f>
        <v>0.45</v>
      </c>
      <c r="R678" s="29">
        <f>IF(Dataset!K678&lt;5,1,IF(Dataset!K678&lt;10,2,IF(Dataset!K678&lt;18,3,4)))</f>
        <v>2</v>
      </c>
      <c r="S678" s="29">
        <f t="shared" si="85"/>
        <v>0.9</v>
      </c>
      <c r="T678" s="29">
        <f t="shared" si="86"/>
        <v>1.2380000000000002</v>
      </c>
      <c r="U678" s="29" t="str">
        <f t="shared" si="87"/>
        <v>Low</v>
      </c>
    </row>
    <row r="679" spans="1:21" ht="15" customHeight="1" x14ac:dyDescent="0.25">
      <c r="A679" s="29">
        <f>Dataset!A679</f>
        <v>675</v>
      </c>
      <c r="B679" s="29">
        <f>IF(Dataset!B679&lt;25,0.3,IF(Dataset!B679&lt;75,0.5,IF(Dataset!B679&lt;120,0.65,0.8)))</f>
        <v>0.5</v>
      </c>
      <c r="C679" s="29">
        <f>IF(Dataset!B679&lt;25,1,IF(Dataset!B679&lt;75,2,IF(Dataset!B679&lt;120,3,4)))</f>
        <v>2</v>
      </c>
      <c r="D679" s="29">
        <f t="shared" si="80"/>
        <v>1</v>
      </c>
      <c r="E679" s="29">
        <f>IF(Dataset!C679&lt;=1,0.3,IF(Dataset!C679=2,0.4,IF(Dataset!C679=3,0.5,IF(Dataset!C679=4,0.65,0.8))))</f>
        <v>0.65</v>
      </c>
      <c r="F679" s="29">
        <f>IF(Dataset!C679&lt;=2,1,IF(Dataset!C679=3,2,IF(Dataset!C679=4,3,4)))</f>
        <v>3</v>
      </c>
      <c r="G679" s="29">
        <f t="shared" si="81"/>
        <v>1.9500000000000002</v>
      </c>
      <c r="H679" s="29">
        <f>IF(Dataset!G679&lt;=3,0.25,IF(Dataset!G679&lt;=6,0.45,IF(Dataset!G679&lt;=9,0.65,0.85)))</f>
        <v>0.25</v>
      </c>
      <c r="I679" s="29">
        <f>IF(Dataset!G679&lt;=3,1,IF(Dataset!G679&lt;=6,2,IF(Dataset!G679&lt;=9,3,4)))</f>
        <v>1</v>
      </c>
      <c r="J679" s="29">
        <f t="shared" si="82"/>
        <v>0.25</v>
      </c>
      <c r="K679" s="29">
        <f>IF(Dataset!H679&lt;1,0.2,IF(Dataset!H679&lt;1.3,0.45,IF(Dataset!H679&lt;1.8,0.7,0.9)))</f>
        <v>0.45</v>
      </c>
      <c r="L679" s="29">
        <f>IF(Dataset!H679&lt;1,1,IF(Dataset!H679&lt;1.3,2,IF(Dataset!H679&lt;1.8,3,4)))</f>
        <v>2</v>
      </c>
      <c r="M679" s="29">
        <f t="shared" si="83"/>
        <v>0.9</v>
      </c>
      <c r="N679" s="29">
        <f>IF(Dataset!F679=1,0.75,IF(Dataset!F679=2,0.45,0.2))</f>
        <v>0.45</v>
      </c>
      <c r="O679" s="29">
        <f>IF(Dataset!F679=1,3,IF(Dataset!F679=2,2,1))</f>
        <v>2</v>
      </c>
      <c r="P679" s="29">
        <f t="shared" si="84"/>
        <v>0.9</v>
      </c>
      <c r="Q679" s="29">
        <f>IF(Dataset!K679&lt;5,0.2,IF(Dataset!K679&lt;10,0.45,IF(Dataset!K679&lt;18,0.7,0.9)))</f>
        <v>0.45</v>
      </c>
      <c r="R679" s="29">
        <f>IF(Dataset!K679&lt;5,1,IF(Dataset!K679&lt;10,2,IF(Dataset!K679&lt;18,3,4)))</f>
        <v>2</v>
      </c>
      <c r="S679" s="29">
        <f t="shared" si="85"/>
        <v>0.9</v>
      </c>
      <c r="T679" s="29">
        <f t="shared" si="86"/>
        <v>0.93500000000000005</v>
      </c>
      <c r="U679" s="29" t="str">
        <f t="shared" si="87"/>
        <v>Low</v>
      </c>
    </row>
    <row r="680" spans="1:21" ht="15" customHeight="1" x14ac:dyDescent="0.25">
      <c r="A680" s="29">
        <f>Dataset!A680</f>
        <v>676</v>
      </c>
      <c r="B680" s="29">
        <f>IF(Dataset!B680&lt;25,0.3,IF(Dataset!B680&lt;75,0.5,IF(Dataset!B680&lt;120,0.65,0.8)))</f>
        <v>0.5</v>
      </c>
      <c r="C680" s="29">
        <f>IF(Dataset!B680&lt;25,1,IF(Dataset!B680&lt;75,2,IF(Dataset!B680&lt;120,3,4)))</f>
        <v>2</v>
      </c>
      <c r="D680" s="29">
        <f t="shared" si="80"/>
        <v>1</v>
      </c>
      <c r="E680" s="29">
        <f>IF(Dataset!C680&lt;=1,0.3,IF(Dataset!C680=2,0.4,IF(Dataset!C680=3,0.5,IF(Dataset!C680=4,0.65,0.8))))</f>
        <v>0.4</v>
      </c>
      <c r="F680" s="29">
        <f>IF(Dataset!C680&lt;=2,1,IF(Dataset!C680=3,2,IF(Dataset!C680=4,3,4)))</f>
        <v>1</v>
      </c>
      <c r="G680" s="29">
        <f t="shared" si="81"/>
        <v>0.4</v>
      </c>
      <c r="H680" s="29">
        <f>IF(Dataset!G680&lt;=3,0.25,IF(Dataset!G680&lt;=6,0.45,IF(Dataset!G680&lt;=9,0.65,0.85)))</f>
        <v>0.45</v>
      </c>
      <c r="I680" s="29">
        <f>IF(Dataset!G680&lt;=3,1,IF(Dataset!G680&lt;=6,2,IF(Dataset!G680&lt;=9,3,4)))</f>
        <v>2</v>
      </c>
      <c r="J680" s="29">
        <f t="shared" si="82"/>
        <v>0.9</v>
      </c>
      <c r="K680" s="29">
        <f>IF(Dataset!H680&lt;1,0.2,IF(Dataset!H680&lt;1.3,0.45,IF(Dataset!H680&lt;1.8,0.7,0.9)))</f>
        <v>0.7</v>
      </c>
      <c r="L680" s="29">
        <f>IF(Dataset!H680&lt;1,1,IF(Dataset!H680&lt;1.3,2,IF(Dataset!H680&lt;1.8,3,4)))</f>
        <v>3</v>
      </c>
      <c r="M680" s="29">
        <f t="shared" si="83"/>
        <v>2.0999999999999996</v>
      </c>
      <c r="N680" s="29">
        <f>IF(Dataset!F680=1,0.75,IF(Dataset!F680=2,0.45,0.2))</f>
        <v>0.45</v>
      </c>
      <c r="O680" s="29">
        <f>IF(Dataset!F680=1,3,IF(Dataset!F680=2,2,1))</f>
        <v>2</v>
      </c>
      <c r="P680" s="29">
        <f t="shared" si="84"/>
        <v>0.9</v>
      </c>
      <c r="Q680" s="29">
        <f>IF(Dataset!K680&lt;5,0.2,IF(Dataset!K680&lt;10,0.45,IF(Dataset!K680&lt;18,0.7,0.9)))</f>
        <v>0.45</v>
      </c>
      <c r="R680" s="29">
        <f>IF(Dataset!K680&lt;5,1,IF(Dataset!K680&lt;10,2,IF(Dataset!K680&lt;18,3,4)))</f>
        <v>2</v>
      </c>
      <c r="S680" s="29">
        <f t="shared" si="85"/>
        <v>0.9</v>
      </c>
      <c r="T680" s="29">
        <f t="shared" si="86"/>
        <v>1.1360000000000001</v>
      </c>
      <c r="U680" s="29" t="str">
        <f t="shared" si="87"/>
        <v>Low</v>
      </c>
    </row>
    <row r="681" spans="1:21" ht="15" customHeight="1" x14ac:dyDescent="0.25">
      <c r="A681" s="29">
        <f>Dataset!A681</f>
        <v>677</v>
      </c>
      <c r="B681" s="29">
        <f>IF(Dataset!B681&lt;25,0.3,IF(Dataset!B681&lt;75,0.5,IF(Dataset!B681&lt;120,0.65,0.8)))</f>
        <v>0.8</v>
      </c>
      <c r="C681" s="29">
        <f>IF(Dataset!B681&lt;25,1,IF(Dataset!B681&lt;75,2,IF(Dataset!B681&lt;120,3,4)))</f>
        <v>4</v>
      </c>
      <c r="D681" s="29">
        <f t="shared" si="80"/>
        <v>3.2</v>
      </c>
      <c r="E681" s="29">
        <f>IF(Dataset!C681&lt;=1,0.3,IF(Dataset!C681=2,0.4,IF(Dataset!C681=3,0.5,IF(Dataset!C681=4,0.65,0.8))))</f>
        <v>0.5</v>
      </c>
      <c r="F681" s="29">
        <f>IF(Dataset!C681&lt;=2,1,IF(Dataset!C681=3,2,IF(Dataset!C681=4,3,4)))</f>
        <v>2</v>
      </c>
      <c r="G681" s="29">
        <f t="shared" si="81"/>
        <v>1</v>
      </c>
      <c r="H681" s="29">
        <f>IF(Dataset!G681&lt;=3,0.25,IF(Dataset!G681&lt;=6,0.45,IF(Dataset!G681&lt;=9,0.65,0.85)))</f>
        <v>0.45</v>
      </c>
      <c r="I681" s="29">
        <f>IF(Dataset!G681&lt;=3,1,IF(Dataset!G681&lt;=6,2,IF(Dataset!G681&lt;=9,3,4)))</f>
        <v>2</v>
      </c>
      <c r="J681" s="29">
        <f t="shared" si="82"/>
        <v>0.9</v>
      </c>
      <c r="K681" s="29">
        <f>IF(Dataset!H681&lt;1,0.2,IF(Dataset!H681&lt;1.3,0.45,IF(Dataset!H681&lt;1.8,0.7,0.9)))</f>
        <v>0.9</v>
      </c>
      <c r="L681" s="29">
        <f>IF(Dataset!H681&lt;1,1,IF(Dataset!H681&lt;1.3,2,IF(Dataset!H681&lt;1.8,3,4)))</f>
        <v>4</v>
      </c>
      <c r="M681" s="29">
        <f t="shared" si="83"/>
        <v>3.6</v>
      </c>
      <c r="N681" s="29">
        <f>IF(Dataset!F681=1,0.75,IF(Dataset!F681=2,0.45,0.2))</f>
        <v>0.75</v>
      </c>
      <c r="O681" s="29">
        <f>IF(Dataset!F681=1,3,IF(Dataset!F681=2,2,1))</f>
        <v>3</v>
      </c>
      <c r="P681" s="29">
        <f t="shared" si="84"/>
        <v>2.25</v>
      </c>
      <c r="Q681" s="29">
        <f>IF(Dataset!K681&lt;5,0.2,IF(Dataset!K681&lt;10,0.45,IF(Dataset!K681&lt;18,0.7,0.9)))</f>
        <v>0.2</v>
      </c>
      <c r="R681" s="29">
        <f>IF(Dataset!K681&lt;5,1,IF(Dataset!K681&lt;10,2,IF(Dataset!K681&lt;18,3,4)))</f>
        <v>1</v>
      </c>
      <c r="S681" s="29">
        <f t="shared" si="85"/>
        <v>0.2</v>
      </c>
      <c r="T681" s="29">
        <f t="shared" si="86"/>
        <v>2.0129999999999999</v>
      </c>
      <c r="U681" s="29" t="str">
        <f t="shared" si="87"/>
        <v>High</v>
      </c>
    </row>
    <row r="682" spans="1:21" ht="15" customHeight="1" x14ac:dyDescent="0.25">
      <c r="A682" s="29">
        <f>Dataset!A682</f>
        <v>678</v>
      </c>
      <c r="B682" s="29">
        <f>IF(Dataset!B682&lt;25,0.3,IF(Dataset!B682&lt;75,0.5,IF(Dataset!B682&lt;120,0.65,0.8)))</f>
        <v>0.65</v>
      </c>
      <c r="C682" s="29">
        <f>IF(Dataset!B682&lt;25,1,IF(Dataset!B682&lt;75,2,IF(Dataset!B682&lt;120,3,4)))</f>
        <v>3</v>
      </c>
      <c r="D682" s="29">
        <f t="shared" si="80"/>
        <v>1.9500000000000002</v>
      </c>
      <c r="E682" s="29">
        <f>IF(Dataset!C682&lt;=1,0.3,IF(Dataset!C682=2,0.4,IF(Dataset!C682=3,0.5,IF(Dataset!C682=4,0.65,0.8))))</f>
        <v>0.3</v>
      </c>
      <c r="F682" s="29">
        <f>IF(Dataset!C682&lt;=2,1,IF(Dataset!C682=3,2,IF(Dataset!C682=4,3,4)))</f>
        <v>1</v>
      </c>
      <c r="G682" s="29">
        <f t="shared" si="81"/>
        <v>0.3</v>
      </c>
      <c r="H682" s="29">
        <f>IF(Dataset!G682&lt;=3,0.25,IF(Dataset!G682&lt;=6,0.45,IF(Dataset!G682&lt;=9,0.65,0.85)))</f>
        <v>0.65</v>
      </c>
      <c r="I682" s="29">
        <f>IF(Dataset!G682&lt;=3,1,IF(Dataset!G682&lt;=6,2,IF(Dataset!G682&lt;=9,3,4)))</f>
        <v>3</v>
      </c>
      <c r="J682" s="29">
        <f t="shared" si="82"/>
        <v>1.9500000000000002</v>
      </c>
      <c r="K682" s="29">
        <f>IF(Dataset!H682&lt;1,0.2,IF(Dataset!H682&lt;1.3,0.45,IF(Dataset!H682&lt;1.8,0.7,0.9)))</f>
        <v>0.45</v>
      </c>
      <c r="L682" s="29">
        <f>IF(Dataset!H682&lt;1,1,IF(Dataset!H682&lt;1.3,2,IF(Dataset!H682&lt;1.8,3,4)))</f>
        <v>2</v>
      </c>
      <c r="M682" s="29">
        <f t="shared" si="83"/>
        <v>0.9</v>
      </c>
      <c r="N682" s="29">
        <f>IF(Dataset!F682=1,0.75,IF(Dataset!F682=2,0.45,0.2))</f>
        <v>0.2</v>
      </c>
      <c r="O682" s="29">
        <f>IF(Dataset!F682=1,3,IF(Dataset!F682=2,2,1))</f>
        <v>1</v>
      </c>
      <c r="P682" s="29">
        <f t="shared" si="84"/>
        <v>0.2</v>
      </c>
      <c r="Q682" s="29">
        <f>IF(Dataset!K682&lt;5,0.2,IF(Dataset!K682&lt;10,0.45,IF(Dataset!K682&lt;18,0.7,0.9)))</f>
        <v>0.2</v>
      </c>
      <c r="R682" s="29">
        <f>IF(Dataset!K682&lt;5,1,IF(Dataset!K682&lt;10,2,IF(Dataset!K682&lt;18,3,4)))</f>
        <v>1</v>
      </c>
      <c r="S682" s="29">
        <f t="shared" si="85"/>
        <v>0.2</v>
      </c>
      <c r="T682" s="29">
        <f t="shared" si="86"/>
        <v>1.0470000000000002</v>
      </c>
      <c r="U682" s="29" t="str">
        <f t="shared" si="87"/>
        <v>Low</v>
      </c>
    </row>
    <row r="683" spans="1:21" ht="15" customHeight="1" x14ac:dyDescent="0.25">
      <c r="A683" s="29">
        <f>Dataset!A683</f>
        <v>679</v>
      </c>
      <c r="B683" s="29">
        <f>IF(Dataset!B683&lt;25,0.3,IF(Dataset!B683&lt;75,0.5,IF(Dataset!B683&lt;120,0.65,0.8)))</f>
        <v>0.65</v>
      </c>
      <c r="C683" s="29">
        <f>IF(Dataset!B683&lt;25,1,IF(Dataset!B683&lt;75,2,IF(Dataset!B683&lt;120,3,4)))</f>
        <v>3</v>
      </c>
      <c r="D683" s="29">
        <f t="shared" si="80"/>
        <v>1.9500000000000002</v>
      </c>
      <c r="E683" s="29">
        <f>IF(Dataset!C683&lt;=1,0.3,IF(Dataset!C683=2,0.4,IF(Dataset!C683=3,0.5,IF(Dataset!C683=4,0.65,0.8))))</f>
        <v>0.4</v>
      </c>
      <c r="F683" s="29">
        <f>IF(Dataset!C683&lt;=2,1,IF(Dataset!C683=3,2,IF(Dataset!C683=4,3,4)))</f>
        <v>1</v>
      </c>
      <c r="G683" s="29">
        <f t="shared" si="81"/>
        <v>0.4</v>
      </c>
      <c r="H683" s="29">
        <f>IF(Dataset!G683&lt;=3,0.25,IF(Dataset!G683&lt;=6,0.45,IF(Dataset!G683&lt;=9,0.65,0.85)))</f>
        <v>0.45</v>
      </c>
      <c r="I683" s="29">
        <f>IF(Dataset!G683&lt;=3,1,IF(Dataset!G683&lt;=6,2,IF(Dataset!G683&lt;=9,3,4)))</f>
        <v>2</v>
      </c>
      <c r="J683" s="29">
        <f t="shared" si="82"/>
        <v>0.9</v>
      </c>
      <c r="K683" s="29">
        <f>IF(Dataset!H683&lt;1,0.2,IF(Dataset!H683&lt;1.3,0.45,IF(Dataset!H683&lt;1.8,0.7,0.9)))</f>
        <v>0.9</v>
      </c>
      <c r="L683" s="29">
        <f>IF(Dataset!H683&lt;1,1,IF(Dataset!H683&lt;1.3,2,IF(Dataset!H683&lt;1.8,3,4)))</f>
        <v>4</v>
      </c>
      <c r="M683" s="29">
        <f t="shared" si="83"/>
        <v>3.6</v>
      </c>
      <c r="N683" s="29">
        <f>IF(Dataset!F683=1,0.75,IF(Dataset!F683=2,0.45,0.2))</f>
        <v>0.2</v>
      </c>
      <c r="O683" s="29">
        <f>IF(Dataset!F683=1,3,IF(Dataset!F683=2,2,1))</f>
        <v>1</v>
      </c>
      <c r="P683" s="29">
        <f t="shared" si="84"/>
        <v>0.2</v>
      </c>
      <c r="Q683" s="29">
        <f>IF(Dataset!K683&lt;5,0.2,IF(Dataset!K683&lt;10,0.45,IF(Dataset!K683&lt;18,0.7,0.9)))</f>
        <v>0.2</v>
      </c>
      <c r="R683" s="29">
        <f>IF(Dataset!K683&lt;5,1,IF(Dataset!K683&lt;10,2,IF(Dataset!K683&lt;18,3,4)))</f>
        <v>1</v>
      </c>
      <c r="S683" s="29">
        <f t="shared" si="85"/>
        <v>0.2</v>
      </c>
      <c r="T683" s="29">
        <f t="shared" si="86"/>
        <v>1.4990000000000001</v>
      </c>
      <c r="U683" s="29" t="str">
        <f t="shared" si="87"/>
        <v>Medium</v>
      </c>
    </row>
    <row r="684" spans="1:21" ht="15" customHeight="1" x14ac:dyDescent="0.25">
      <c r="A684" s="29">
        <f>Dataset!A684</f>
        <v>680</v>
      </c>
      <c r="B684" s="29">
        <f>IF(Dataset!B684&lt;25,0.3,IF(Dataset!B684&lt;75,0.5,IF(Dataset!B684&lt;120,0.65,0.8)))</f>
        <v>0.8</v>
      </c>
      <c r="C684" s="29">
        <f>IF(Dataset!B684&lt;25,1,IF(Dataset!B684&lt;75,2,IF(Dataset!B684&lt;120,3,4)))</f>
        <v>4</v>
      </c>
      <c r="D684" s="29">
        <f t="shared" si="80"/>
        <v>3.2</v>
      </c>
      <c r="E684" s="29">
        <f>IF(Dataset!C684&lt;=1,0.3,IF(Dataset!C684=2,0.4,IF(Dataset!C684=3,0.5,IF(Dataset!C684=4,0.65,0.8))))</f>
        <v>0.65</v>
      </c>
      <c r="F684" s="29">
        <f>IF(Dataset!C684&lt;=2,1,IF(Dataset!C684=3,2,IF(Dataset!C684=4,3,4)))</f>
        <v>3</v>
      </c>
      <c r="G684" s="29">
        <f t="shared" si="81"/>
        <v>1.9500000000000002</v>
      </c>
      <c r="H684" s="29">
        <f>IF(Dataset!G684&lt;=3,0.25,IF(Dataset!G684&lt;=6,0.45,IF(Dataset!G684&lt;=9,0.65,0.85)))</f>
        <v>0.65</v>
      </c>
      <c r="I684" s="29">
        <f>IF(Dataset!G684&lt;=3,1,IF(Dataset!G684&lt;=6,2,IF(Dataset!G684&lt;=9,3,4)))</f>
        <v>3</v>
      </c>
      <c r="J684" s="29">
        <f t="shared" si="82"/>
        <v>1.9500000000000002</v>
      </c>
      <c r="K684" s="29">
        <f>IF(Dataset!H684&lt;1,0.2,IF(Dataset!H684&lt;1.3,0.45,IF(Dataset!H684&lt;1.8,0.7,0.9)))</f>
        <v>0.9</v>
      </c>
      <c r="L684" s="29">
        <f>IF(Dataset!H684&lt;1,1,IF(Dataset!H684&lt;1.3,2,IF(Dataset!H684&lt;1.8,3,4)))</f>
        <v>4</v>
      </c>
      <c r="M684" s="29">
        <f t="shared" si="83"/>
        <v>3.6</v>
      </c>
      <c r="N684" s="29">
        <f>IF(Dataset!F684=1,0.75,IF(Dataset!F684=2,0.45,0.2))</f>
        <v>0.45</v>
      </c>
      <c r="O684" s="29">
        <f>IF(Dataset!F684=1,3,IF(Dataset!F684=2,2,1))</f>
        <v>2</v>
      </c>
      <c r="P684" s="29">
        <f t="shared" si="84"/>
        <v>0.9</v>
      </c>
      <c r="Q684" s="29">
        <f>IF(Dataset!K684&lt;5,0.2,IF(Dataset!K684&lt;10,0.45,IF(Dataset!K684&lt;18,0.7,0.9)))</f>
        <v>0.45</v>
      </c>
      <c r="R684" s="29">
        <f>IF(Dataset!K684&lt;5,1,IF(Dataset!K684&lt;10,2,IF(Dataset!K684&lt;18,3,4)))</f>
        <v>2</v>
      </c>
      <c r="S684" s="29">
        <f t="shared" si="85"/>
        <v>0.9</v>
      </c>
      <c r="T684" s="29">
        <f t="shared" si="86"/>
        <v>2.319</v>
      </c>
      <c r="U684" s="29" t="str">
        <f t="shared" si="87"/>
        <v>High</v>
      </c>
    </row>
    <row r="685" spans="1:21" ht="15" customHeight="1" x14ac:dyDescent="0.25">
      <c r="A685" s="29">
        <f>Dataset!A685</f>
        <v>681</v>
      </c>
      <c r="B685" s="29">
        <f>IF(Dataset!B685&lt;25,0.3,IF(Dataset!B685&lt;75,0.5,IF(Dataset!B685&lt;120,0.65,0.8)))</f>
        <v>0.8</v>
      </c>
      <c r="C685" s="29">
        <f>IF(Dataset!B685&lt;25,1,IF(Dataset!B685&lt;75,2,IF(Dataset!B685&lt;120,3,4)))</f>
        <v>4</v>
      </c>
      <c r="D685" s="29">
        <f t="shared" si="80"/>
        <v>3.2</v>
      </c>
      <c r="E685" s="29">
        <f>IF(Dataset!C685&lt;=1,0.3,IF(Dataset!C685=2,0.4,IF(Dataset!C685=3,0.5,IF(Dataset!C685=4,0.65,0.8))))</f>
        <v>0.65</v>
      </c>
      <c r="F685" s="29">
        <f>IF(Dataset!C685&lt;=2,1,IF(Dataset!C685=3,2,IF(Dataset!C685=4,3,4)))</f>
        <v>3</v>
      </c>
      <c r="G685" s="29">
        <f t="shared" si="81"/>
        <v>1.9500000000000002</v>
      </c>
      <c r="H685" s="29">
        <f>IF(Dataset!G685&lt;=3,0.25,IF(Dataset!G685&lt;=6,0.45,IF(Dataset!G685&lt;=9,0.65,0.85)))</f>
        <v>0.65</v>
      </c>
      <c r="I685" s="29">
        <f>IF(Dataset!G685&lt;=3,1,IF(Dataset!G685&lt;=6,2,IF(Dataset!G685&lt;=9,3,4)))</f>
        <v>3</v>
      </c>
      <c r="J685" s="29">
        <f t="shared" si="82"/>
        <v>1.9500000000000002</v>
      </c>
      <c r="K685" s="29">
        <f>IF(Dataset!H685&lt;1,0.2,IF(Dataset!H685&lt;1.3,0.45,IF(Dataset!H685&lt;1.8,0.7,0.9)))</f>
        <v>0.7</v>
      </c>
      <c r="L685" s="29">
        <f>IF(Dataset!H685&lt;1,1,IF(Dataset!H685&lt;1.3,2,IF(Dataset!H685&lt;1.8,3,4)))</f>
        <v>3</v>
      </c>
      <c r="M685" s="29">
        <f t="shared" si="83"/>
        <v>2.0999999999999996</v>
      </c>
      <c r="N685" s="29">
        <f>IF(Dataset!F685=1,0.75,IF(Dataset!F685=2,0.45,0.2))</f>
        <v>0.45</v>
      </c>
      <c r="O685" s="29">
        <f>IF(Dataset!F685=1,3,IF(Dataset!F685=2,2,1))</f>
        <v>2</v>
      </c>
      <c r="P685" s="29">
        <f t="shared" si="84"/>
        <v>0.9</v>
      </c>
      <c r="Q685" s="29">
        <f>IF(Dataset!K685&lt;5,0.2,IF(Dataset!K685&lt;10,0.45,IF(Dataset!K685&lt;18,0.7,0.9)))</f>
        <v>0.7</v>
      </c>
      <c r="R685" s="29">
        <f>IF(Dataset!K685&lt;5,1,IF(Dataset!K685&lt;10,2,IF(Dataset!K685&lt;18,3,4)))</f>
        <v>3</v>
      </c>
      <c r="S685" s="29">
        <f t="shared" si="85"/>
        <v>2.0999999999999996</v>
      </c>
      <c r="T685" s="29">
        <f t="shared" si="86"/>
        <v>2.1269999999999998</v>
      </c>
      <c r="U685" s="29" t="str">
        <f t="shared" si="87"/>
        <v>High</v>
      </c>
    </row>
    <row r="686" spans="1:21" ht="15" customHeight="1" x14ac:dyDescent="0.25">
      <c r="A686" s="29">
        <f>Dataset!A686</f>
        <v>682</v>
      </c>
      <c r="B686" s="29">
        <f>IF(Dataset!B686&lt;25,0.3,IF(Dataset!B686&lt;75,0.5,IF(Dataset!B686&lt;120,0.65,0.8)))</f>
        <v>0.65</v>
      </c>
      <c r="C686" s="29">
        <f>IF(Dataset!B686&lt;25,1,IF(Dataset!B686&lt;75,2,IF(Dataset!B686&lt;120,3,4)))</f>
        <v>3</v>
      </c>
      <c r="D686" s="29">
        <f t="shared" si="80"/>
        <v>1.9500000000000002</v>
      </c>
      <c r="E686" s="29">
        <f>IF(Dataset!C686&lt;=1,0.3,IF(Dataset!C686=2,0.4,IF(Dataset!C686=3,0.5,IF(Dataset!C686=4,0.65,0.8))))</f>
        <v>0.65</v>
      </c>
      <c r="F686" s="29">
        <f>IF(Dataset!C686&lt;=2,1,IF(Dataset!C686=3,2,IF(Dataset!C686=4,3,4)))</f>
        <v>3</v>
      </c>
      <c r="G686" s="29">
        <f t="shared" si="81"/>
        <v>1.9500000000000002</v>
      </c>
      <c r="H686" s="29">
        <f>IF(Dataset!G686&lt;=3,0.25,IF(Dataset!G686&lt;=6,0.45,IF(Dataset!G686&lt;=9,0.65,0.85)))</f>
        <v>0.65</v>
      </c>
      <c r="I686" s="29">
        <f>IF(Dataset!G686&lt;=3,1,IF(Dataset!G686&lt;=6,2,IF(Dataset!G686&lt;=9,3,4)))</f>
        <v>3</v>
      </c>
      <c r="J686" s="29">
        <f t="shared" si="82"/>
        <v>1.9500000000000002</v>
      </c>
      <c r="K686" s="29">
        <f>IF(Dataset!H686&lt;1,0.2,IF(Dataset!H686&lt;1.3,0.45,IF(Dataset!H686&lt;1.8,0.7,0.9)))</f>
        <v>0.9</v>
      </c>
      <c r="L686" s="29">
        <f>IF(Dataset!H686&lt;1,1,IF(Dataset!H686&lt;1.3,2,IF(Dataset!H686&lt;1.8,3,4)))</f>
        <v>4</v>
      </c>
      <c r="M686" s="29">
        <f t="shared" si="83"/>
        <v>3.6</v>
      </c>
      <c r="N686" s="29">
        <f>IF(Dataset!F686=1,0.75,IF(Dataset!F686=2,0.45,0.2))</f>
        <v>0.45</v>
      </c>
      <c r="O686" s="29">
        <f>IF(Dataset!F686=1,3,IF(Dataset!F686=2,2,1))</f>
        <v>2</v>
      </c>
      <c r="P686" s="29">
        <f t="shared" si="84"/>
        <v>0.9</v>
      </c>
      <c r="Q686" s="29">
        <f>IF(Dataset!K686&lt;5,0.2,IF(Dataset!K686&lt;10,0.45,IF(Dataset!K686&lt;18,0.7,0.9)))</f>
        <v>0.45</v>
      </c>
      <c r="R686" s="29">
        <f>IF(Dataset!K686&lt;5,1,IF(Dataset!K686&lt;10,2,IF(Dataset!K686&lt;18,3,4)))</f>
        <v>2</v>
      </c>
      <c r="S686" s="29">
        <f t="shared" si="85"/>
        <v>0.9</v>
      </c>
      <c r="T686" s="29">
        <f t="shared" si="86"/>
        <v>2.0940000000000003</v>
      </c>
      <c r="U686" s="29" t="str">
        <f t="shared" si="87"/>
        <v>High</v>
      </c>
    </row>
    <row r="687" spans="1:21" ht="15" customHeight="1" x14ac:dyDescent="0.25">
      <c r="A687" s="29">
        <f>Dataset!A687</f>
        <v>683</v>
      </c>
      <c r="B687" s="29">
        <f>IF(Dataset!B687&lt;25,0.3,IF(Dataset!B687&lt;75,0.5,IF(Dataset!B687&lt;120,0.65,0.8)))</f>
        <v>0.3</v>
      </c>
      <c r="C687" s="29">
        <f>IF(Dataset!B687&lt;25,1,IF(Dataset!B687&lt;75,2,IF(Dataset!B687&lt;120,3,4)))</f>
        <v>1</v>
      </c>
      <c r="D687" s="29">
        <f t="shared" si="80"/>
        <v>0.3</v>
      </c>
      <c r="E687" s="29">
        <f>IF(Dataset!C687&lt;=1,0.3,IF(Dataset!C687=2,0.4,IF(Dataset!C687=3,0.5,IF(Dataset!C687=4,0.65,0.8))))</f>
        <v>0.65</v>
      </c>
      <c r="F687" s="29">
        <f>IF(Dataset!C687&lt;=2,1,IF(Dataset!C687=3,2,IF(Dataset!C687=4,3,4)))</f>
        <v>3</v>
      </c>
      <c r="G687" s="29">
        <f t="shared" si="81"/>
        <v>1.9500000000000002</v>
      </c>
      <c r="H687" s="29">
        <f>IF(Dataset!G687&lt;=3,0.25,IF(Dataset!G687&lt;=6,0.45,IF(Dataset!G687&lt;=9,0.65,0.85)))</f>
        <v>0.85</v>
      </c>
      <c r="I687" s="29">
        <f>IF(Dataset!G687&lt;=3,1,IF(Dataset!G687&lt;=6,2,IF(Dataset!G687&lt;=9,3,4)))</f>
        <v>4</v>
      </c>
      <c r="J687" s="29">
        <f t="shared" si="82"/>
        <v>3.4</v>
      </c>
      <c r="K687" s="29">
        <f>IF(Dataset!H687&lt;1,0.2,IF(Dataset!H687&lt;1.3,0.45,IF(Dataset!H687&lt;1.8,0.7,0.9)))</f>
        <v>0.45</v>
      </c>
      <c r="L687" s="29">
        <f>IF(Dataset!H687&lt;1,1,IF(Dataset!H687&lt;1.3,2,IF(Dataset!H687&lt;1.8,3,4)))</f>
        <v>2</v>
      </c>
      <c r="M687" s="29">
        <f t="shared" si="83"/>
        <v>0.9</v>
      </c>
      <c r="N687" s="29">
        <f>IF(Dataset!F687=1,0.75,IF(Dataset!F687=2,0.45,0.2))</f>
        <v>0.75</v>
      </c>
      <c r="O687" s="29">
        <f>IF(Dataset!F687=1,3,IF(Dataset!F687=2,2,1))</f>
        <v>3</v>
      </c>
      <c r="P687" s="29">
        <f t="shared" si="84"/>
        <v>2.25</v>
      </c>
      <c r="Q687" s="29">
        <f>IF(Dataset!K687&lt;5,0.2,IF(Dataset!K687&lt;10,0.45,IF(Dataset!K687&lt;18,0.7,0.9)))</f>
        <v>0.45</v>
      </c>
      <c r="R687" s="29">
        <f>IF(Dataset!K687&lt;5,1,IF(Dataset!K687&lt;10,2,IF(Dataset!K687&lt;18,3,4)))</f>
        <v>2</v>
      </c>
      <c r="S687" s="29">
        <f t="shared" si="85"/>
        <v>0.9</v>
      </c>
      <c r="T687" s="29">
        <f t="shared" si="86"/>
        <v>1.5740000000000003</v>
      </c>
      <c r="U687" s="29" t="str">
        <f t="shared" si="87"/>
        <v>Medium</v>
      </c>
    </row>
    <row r="688" spans="1:21" ht="15" customHeight="1" x14ac:dyDescent="0.25">
      <c r="A688" s="29">
        <f>Dataset!A688</f>
        <v>684</v>
      </c>
      <c r="B688" s="29">
        <f>IF(Dataset!B688&lt;25,0.3,IF(Dataset!B688&lt;75,0.5,IF(Dataset!B688&lt;120,0.65,0.8)))</f>
        <v>0.65</v>
      </c>
      <c r="C688" s="29">
        <f>IF(Dataset!B688&lt;25,1,IF(Dataset!B688&lt;75,2,IF(Dataset!B688&lt;120,3,4)))</f>
        <v>3</v>
      </c>
      <c r="D688" s="29">
        <f t="shared" si="80"/>
        <v>1.9500000000000002</v>
      </c>
      <c r="E688" s="29">
        <f>IF(Dataset!C688&lt;=1,0.3,IF(Dataset!C688=2,0.4,IF(Dataset!C688=3,0.5,IF(Dataset!C688=4,0.65,0.8))))</f>
        <v>0.5</v>
      </c>
      <c r="F688" s="29">
        <f>IF(Dataset!C688&lt;=2,1,IF(Dataset!C688=3,2,IF(Dataset!C688=4,3,4)))</f>
        <v>2</v>
      </c>
      <c r="G688" s="29">
        <f t="shared" si="81"/>
        <v>1</v>
      </c>
      <c r="H688" s="29">
        <f>IF(Dataset!G688&lt;=3,0.25,IF(Dataset!G688&lt;=6,0.45,IF(Dataset!G688&lt;=9,0.65,0.85)))</f>
        <v>0.45</v>
      </c>
      <c r="I688" s="29">
        <f>IF(Dataset!G688&lt;=3,1,IF(Dataset!G688&lt;=6,2,IF(Dataset!G688&lt;=9,3,4)))</f>
        <v>2</v>
      </c>
      <c r="J688" s="29">
        <f t="shared" si="82"/>
        <v>0.9</v>
      </c>
      <c r="K688" s="29">
        <f>IF(Dataset!H688&lt;1,0.2,IF(Dataset!H688&lt;1.3,0.45,IF(Dataset!H688&lt;1.8,0.7,0.9)))</f>
        <v>0.9</v>
      </c>
      <c r="L688" s="29">
        <f>IF(Dataset!H688&lt;1,1,IF(Dataset!H688&lt;1.3,2,IF(Dataset!H688&lt;1.8,3,4)))</f>
        <v>4</v>
      </c>
      <c r="M688" s="29">
        <f t="shared" si="83"/>
        <v>3.6</v>
      </c>
      <c r="N688" s="29">
        <f>IF(Dataset!F688=1,0.75,IF(Dataset!F688=2,0.45,0.2))</f>
        <v>0.75</v>
      </c>
      <c r="O688" s="29">
        <f>IF(Dataset!F688=1,3,IF(Dataset!F688=2,2,1))</f>
        <v>3</v>
      </c>
      <c r="P688" s="29">
        <f t="shared" si="84"/>
        <v>2.25</v>
      </c>
      <c r="Q688" s="29">
        <f>IF(Dataset!K688&lt;5,0.2,IF(Dataset!K688&lt;10,0.45,IF(Dataset!K688&lt;18,0.7,0.9)))</f>
        <v>0.45</v>
      </c>
      <c r="R688" s="29">
        <f>IF(Dataset!K688&lt;5,1,IF(Dataset!K688&lt;10,2,IF(Dataset!K688&lt;18,3,4)))</f>
        <v>2</v>
      </c>
      <c r="S688" s="29">
        <f t="shared" si="85"/>
        <v>0.9</v>
      </c>
      <c r="T688" s="29">
        <f t="shared" si="86"/>
        <v>1.8860000000000003</v>
      </c>
      <c r="U688" s="29" t="str">
        <f t="shared" si="87"/>
        <v>High</v>
      </c>
    </row>
    <row r="689" spans="1:21" ht="15" customHeight="1" x14ac:dyDescent="0.25">
      <c r="A689" s="29">
        <f>Dataset!A689</f>
        <v>685</v>
      </c>
      <c r="B689" s="29">
        <f>IF(Dataset!B689&lt;25,0.3,IF(Dataset!B689&lt;75,0.5,IF(Dataset!B689&lt;120,0.65,0.8)))</f>
        <v>0.5</v>
      </c>
      <c r="C689" s="29">
        <f>IF(Dataset!B689&lt;25,1,IF(Dataset!B689&lt;75,2,IF(Dataset!B689&lt;120,3,4)))</f>
        <v>2</v>
      </c>
      <c r="D689" s="29">
        <f t="shared" si="80"/>
        <v>1</v>
      </c>
      <c r="E689" s="29">
        <f>IF(Dataset!C689&lt;=1,0.3,IF(Dataset!C689=2,0.4,IF(Dataset!C689=3,0.5,IF(Dataset!C689=4,0.65,0.8))))</f>
        <v>0.5</v>
      </c>
      <c r="F689" s="29">
        <f>IF(Dataset!C689&lt;=2,1,IF(Dataset!C689=3,2,IF(Dataset!C689=4,3,4)))</f>
        <v>2</v>
      </c>
      <c r="G689" s="29">
        <f t="shared" si="81"/>
        <v>1</v>
      </c>
      <c r="H689" s="29">
        <f>IF(Dataset!G689&lt;=3,0.25,IF(Dataset!G689&lt;=6,0.45,IF(Dataset!G689&lt;=9,0.65,0.85)))</f>
        <v>0.65</v>
      </c>
      <c r="I689" s="29">
        <f>IF(Dataset!G689&lt;=3,1,IF(Dataset!G689&lt;=6,2,IF(Dataset!G689&lt;=9,3,4)))</f>
        <v>3</v>
      </c>
      <c r="J689" s="29">
        <f t="shared" si="82"/>
        <v>1.9500000000000002</v>
      </c>
      <c r="K689" s="29">
        <f>IF(Dataset!H689&lt;1,0.2,IF(Dataset!H689&lt;1.3,0.45,IF(Dataset!H689&lt;1.8,0.7,0.9)))</f>
        <v>0.2</v>
      </c>
      <c r="L689" s="29">
        <f>IF(Dataset!H689&lt;1,1,IF(Dataset!H689&lt;1.3,2,IF(Dataset!H689&lt;1.8,3,4)))</f>
        <v>1</v>
      </c>
      <c r="M689" s="29">
        <f t="shared" si="83"/>
        <v>0.2</v>
      </c>
      <c r="N689" s="29">
        <f>IF(Dataset!F689=1,0.75,IF(Dataset!F689=2,0.45,0.2))</f>
        <v>0.45</v>
      </c>
      <c r="O689" s="29">
        <f>IF(Dataset!F689=1,3,IF(Dataset!F689=2,2,1))</f>
        <v>2</v>
      </c>
      <c r="P689" s="29">
        <f t="shared" si="84"/>
        <v>0.9</v>
      </c>
      <c r="Q689" s="29">
        <f>IF(Dataset!K689&lt;5,0.2,IF(Dataset!K689&lt;10,0.45,IF(Dataset!K689&lt;18,0.7,0.9)))</f>
        <v>0.45</v>
      </c>
      <c r="R689" s="29">
        <f>IF(Dataset!K689&lt;5,1,IF(Dataset!K689&lt;10,2,IF(Dataset!K689&lt;18,3,4)))</f>
        <v>2</v>
      </c>
      <c r="S689" s="29">
        <f t="shared" si="85"/>
        <v>0.9</v>
      </c>
      <c r="T689" s="29">
        <f t="shared" si="86"/>
        <v>0.97400000000000009</v>
      </c>
      <c r="U689" s="29" t="str">
        <f t="shared" si="87"/>
        <v>Low</v>
      </c>
    </row>
    <row r="690" spans="1:21" ht="15" customHeight="1" x14ac:dyDescent="0.25">
      <c r="A690" s="29">
        <f>Dataset!A690</f>
        <v>686</v>
      </c>
      <c r="B690" s="29">
        <f>IF(Dataset!B690&lt;25,0.3,IF(Dataset!B690&lt;75,0.5,IF(Dataset!B690&lt;120,0.65,0.8)))</f>
        <v>0.8</v>
      </c>
      <c r="C690" s="29">
        <f>IF(Dataset!B690&lt;25,1,IF(Dataset!B690&lt;75,2,IF(Dataset!B690&lt;120,3,4)))</f>
        <v>4</v>
      </c>
      <c r="D690" s="29">
        <f t="shared" si="80"/>
        <v>3.2</v>
      </c>
      <c r="E690" s="29">
        <f>IF(Dataset!C690&lt;=1,0.3,IF(Dataset!C690=2,0.4,IF(Dataset!C690=3,0.5,IF(Dataset!C690=4,0.65,0.8))))</f>
        <v>0.3</v>
      </c>
      <c r="F690" s="29">
        <f>IF(Dataset!C690&lt;=2,1,IF(Dataset!C690=3,2,IF(Dataset!C690=4,3,4)))</f>
        <v>1</v>
      </c>
      <c r="G690" s="29">
        <f t="shared" si="81"/>
        <v>0.3</v>
      </c>
      <c r="H690" s="29">
        <f>IF(Dataset!G690&lt;=3,0.25,IF(Dataset!G690&lt;=6,0.45,IF(Dataset!G690&lt;=9,0.65,0.85)))</f>
        <v>0.65</v>
      </c>
      <c r="I690" s="29">
        <f>IF(Dataset!G690&lt;=3,1,IF(Dataset!G690&lt;=6,2,IF(Dataset!G690&lt;=9,3,4)))</f>
        <v>3</v>
      </c>
      <c r="J690" s="29">
        <f t="shared" si="82"/>
        <v>1.9500000000000002</v>
      </c>
      <c r="K690" s="29">
        <f>IF(Dataset!H690&lt;1,0.2,IF(Dataset!H690&lt;1.3,0.45,IF(Dataset!H690&lt;1.8,0.7,0.9)))</f>
        <v>0.45</v>
      </c>
      <c r="L690" s="29">
        <f>IF(Dataset!H690&lt;1,1,IF(Dataset!H690&lt;1.3,2,IF(Dataset!H690&lt;1.8,3,4)))</f>
        <v>2</v>
      </c>
      <c r="M690" s="29">
        <f t="shared" si="83"/>
        <v>0.9</v>
      </c>
      <c r="N690" s="29">
        <f>IF(Dataset!F690=1,0.75,IF(Dataset!F690=2,0.45,0.2))</f>
        <v>0.45</v>
      </c>
      <c r="O690" s="29">
        <f>IF(Dataset!F690=1,3,IF(Dataset!F690=2,2,1))</f>
        <v>2</v>
      </c>
      <c r="P690" s="29">
        <f t="shared" si="84"/>
        <v>0.9</v>
      </c>
      <c r="Q690" s="29">
        <f>IF(Dataset!K690&lt;5,0.2,IF(Dataset!K690&lt;10,0.45,IF(Dataset!K690&lt;18,0.7,0.9)))</f>
        <v>0.2</v>
      </c>
      <c r="R690" s="29">
        <f>IF(Dataset!K690&lt;5,1,IF(Dataset!K690&lt;10,2,IF(Dataset!K690&lt;18,3,4)))</f>
        <v>1</v>
      </c>
      <c r="S690" s="29">
        <f t="shared" si="85"/>
        <v>0.2</v>
      </c>
      <c r="T690" s="29">
        <f t="shared" si="86"/>
        <v>1.3420000000000001</v>
      </c>
      <c r="U690" s="29" t="str">
        <f t="shared" si="87"/>
        <v>Low</v>
      </c>
    </row>
    <row r="691" spans="1:21" ht="15" customHeight="1" x14ac:dyDescent="0.25">
      <c r="A691" s="29">
        <f>Dataset!A691</f>
        <v>687</v>
      </c>
      <c r="B691" s="29">
        <f>IF(Dataset!B691&lt;25,0.3,IF(Dataset!B691&lt;75,0.5,IF(Dataset!B691&lt;120,0.65,0.8)))</f>
        <v>0.5</v>
      </c>
      <c r="C691" s="29">
        <f>IF(Dataset!B691&lt;25,1,IF(Dataset!B691&lt;75,2,IF(Dataset!B691&lt;120,3,4)))</f>
        <v>2</v>
      </c>
      <c r="D691" s="29">
        <f t="shared" si="80"/>
        <v>1</v>
      </c>
      <c r="E691" s="29">
        <f>IF(Dataset!C691&lt;=1,0.3,IF(Dataset!C691=2,0.4,IF(Dataset!C691=3,0.5,IF(Dataset!C691=4,0.65,0.8))))</f>
        <v>0.4</v>
      </c>
      <c r="F691" s="29">
        <f>IF(Dataset!C691&lt;=2,1,IF(Dataset!C691=3,2,IF(Dataset!C691=4,3,4)))</f>
        <v>1</v>
      </c>
      <c r="G691" s="29">
        <f t="shared" si="81"/>
        <v>0.4</v>
      </c>
      <c r="H691" s="29">
        <f>IF(Dataset!G691&lt;=3,0.25,IF(Dataset!G691&lt;=6,0.45,IF(Dataset!G691&lt;=9,0.65,0.85)))</f>
        <v>0.45</v>
      </c>
      <c r="I691" s="29">
        <f>IF(Dataset!G691&lt;=3,1,IF(Dataset!G691&lt;=6,2,IF(Dataset!G691&lt;=9,3,4)))</f>
        <v>2</v>
      </c>
      <c r="J691" s="29">
        <f t="shared" si="82"/>
        <v>0.9</v>
      </c>
      <c r="K691" s="29">
        <f>IF(Dataset!H691&lt;1,0.2,IF(Dataset!H691&lt;1.3,0.45,IF(Dataset!H691&lt;1.8,0.7,0.9)))</f>
        <v>0.2</v>
      </c>
      <c r="L691" s="29">
        <f>IF(Dataset!H691&lt;1,1,IF(Dataset!H691&lt;1.3,2,IF(Dataset!H691&lt;1.8,3,4)))</f>
        <v>1</v>
      </c>
      <c r="M691" s="29">
        <f t="shared" si="83"/>
        <v>0.2</v>
      </c>
      <c r="N691" s="29">
        <f>IF(Dataset!F691=1,0.75,IF(Dataset!F691=2,0.45,0.2))</f>
        <v>0.45</v>
      </c>
      <c r="O691" s="29">
        <f>IF(Dataset!F691=1,3,IF(Dataset!F691=2,2,1))</f>
        <v>2</v>
      </c>
      <c r="P691" s="29">
        <f t="shared" si="84"/>
        <v>0.9</v>
      </c>
      <c r="Q691" s="29">
        <f>IF(Dataset!K691&lt;5,0.2,IF(Dataset!K691&lt;10,0.45,IF(Dataset!K691&lt;18,0.7,0.9)))</f>
        <v>0.45</v>
      </c>
      <c r="R691" s="29">
        <f>IF(Dataset!K691&lt;5,1,IF(Dataset!K691&lt;10,2,IF(Dataset!K691&lt;18,3,4)))</f>
        <v>2</v>
      </c>
      <c r="S691" s="29">
        <f t="shared" si="85"/>
        <v>0.9</v>
      </c>
      <c r="T691" s="29">
        <f t="shared" si="86"/>
        <v>0.68</v>
      </c>
      <c r="U691" s="29" t="str">
        <f t="shared" si="87"/>
        <v>Low</v>
      </c>
    </row>
    <row r="692" spans="1:21" ht="15" customHeight="1" x14ac:dyDescent="0.25">
      <c r="A692" s="29">
        <f>Dataset!A692</f>
        <v>688</v>
      </c>
      <c r="B692" s="29">
        <f>IF(Dataset!B692&lt;25,0.3,IF(Dataset!B692&lt;75,0.5,IF(Dataset!B692&lt;120,0.65,0.8)))</f>
        <v>0.5</v>
      </c>
      <c r="C692" s="29">
        <f>IF(Dataset!B692&lt;25,1,IF(Dataset!B692&lt;75,2,IF(Dataset!B692&lt;120,3,4)))</f>
        <v>2</v>
      </c>
      <c r="D692" s="29">
        <f t="shared" si="80"/>
        <v>1</v>
      </c>
      <c r="E692" s="29">
        <f>IF(Dataset!C692&lt;=1,0.3,IF(Dataset!C692=2,0.4,IF(Dataset!C692=3,0.5,IF(Dataset!C692=4,0.65,0.8))))</f>
        <v>0.5</v>
      </c>
      <c r="F692" s="29">
        <f>IF(Dataset!C692&lt;=2,1,IF(Dataset!C692=3,2,IF(Dataset!C692=4,3,4)))</f>
        <v>2</v>
      </c>
      <c r="G692" s="29">
        <f t="shared" si="81"/>
        <v>1</v>
      </c>
      <c r="H692" s="29">
        <f>IF(Dataset!G692&lt;=3,0.25,IF(Dataset!G692&lt;=6,0.45,IF(Dataset!G692&lt;=9,0.65,0.85)))</f>
        <v>0.45</v>
      </c>
      <c r="I692" s="29">
        <f>IF(Dataset!G692&lt;=3,1,IF(Dataset!G692&lt;=6,2,IF(Dataset!G692&lt;=9,3,4)))</f>
        <v>2</v>
      </c>
      <c r="J692" s="29">
        <f t="shared" si="82"/>
        <v>0.9</v>
      </c>
      <c r="K692" s="29">
        <f>IF(Dataset!H692&lt;1,0.2,IF(Dataset!H692&lt;1.3,0.45,IF(Dataset!H692&lt;1.8,0.7,0.9)))</f>
        <v>0.45</v>
      </c>
      <c r="L692" s="29">
        <f>IF(Dataset!H692&lt;1,1,IF(Dataset!H692&lt;1.3,2,IF(Dataset!H692&lt;1.8,3,4)))</f>
        <v>2</v>
      </c>
      <c r="M692" s="29">
        <f t="shared" si="83"/>
        <v>0.9</v>
      </c>
      <c r="N692" s="29">
        <f>IF(Dataset!F692=1,0.75,IF(Dataset!F692=2,0.45,0.2))</f>
        <v>0.2</v>
      </c>
      <c r="O692" s="29">
        <f>IF(Dataset!F692=1,3,IF(Dataset!F692=2,2,1))</f>
        <v>1</v>
      </c>
      <c r="P692" s="29">
        <f t="shared" si="84"/>
        <v>0.2</v>
      </c>
      <c r="Q692" s="29">
        <f>IF(Dataset!K692&lt;5,0.2,IF(Dataset!K692&lt;10,0.45,IF(Dataset!K692&lt;18,0.7,0.9)))</f>
        <v>0.2</v>
      </c>
      <c r="R692" s="29">
        <f>IF(Dataset!K692&lt;5,1,IF(Dataset!K692&lt;10,2,IF(Dataset!K692&lt;18,3,4)))</f>
        <v>1</v>
      </c>
      <c r="S692" s="29">
        <f t="shared" si="85"/>
        <v>0.2</v>
      </c>
      <c r="T692" s="29">
        <f t="shared" si="86"/>
        <v>0.76400000000000001</v>
      </c>
      <c r="U692" s="29" t="str">
        <f t="shared" si="87"/>
        <v>Low</v>
      </c>
    </row>
    <row r="693" spans="1:21" ht="15" customHeight="1" x14ac:dyDescent="0.25">
      <c r="A693" s="29">
        <f>Dataset!A693</f>
        <v>689</v>
      </c>
      <c r="B693" s="29">
        <f>IF(Dataset!B693&lt;25,0.3,IF(Dataset!B693&lt;75,0.5,IF(Dataset!B693&lt;120,0.65,0.8)))</f>
        <v>0.3</v>
      </c>
      <c r="C693" s="29">
        <f>IF(Dataset!B693&lt;25,1,IF(Dataset!B693&lt;75,2,IF(Dataset!B693&lt;120,3,4)))</f>
        <v>1</v>
      </c>
      <c r="D693" s="29">
        <f t="shared" si="80"/>
        <v>0.3</v>
      </c>
      <c r="E693" s="29">
        <f>IF(Dataset!C693&lt;=1,0.3,IF(Dataset!C693=2,0.4,IF(Dataset!C693=3,0.5,IF(Dataset!C693=4,0.65,0.8))))</f>
        <v>0.4</v>
      </c>
      <c r="F693" s="29">
        <f>IF(Dataset!C693&lt;=2,1,IF(Dataset!C693=3,2,IF(Dataset!C693=4,3,4)))</f>
        <v>1</v>
      </c>
      <c r="G693" s="29">
        <f t="shared" si="81"/>
        <v>0.4</v>
      </c>
      <c r="H693" s="29">
        <f>IF(Dataset!G693&lt;=3,0.25,IF(Dataset!G693&lt;=6,0.45,IF(Dataset!G693&lt;=9,0.65,0.85)))</f>
        <v>0.65</v>
      </c>
      <c r="I693" s="29">
        <f>IF(Dataset!G693&lt;=3,1,IF(Dataset!G693&lt;=6,2,IF(Dataset!G693&lt;=9,3,4)))</f>
        <v>3</v>
      </c>
      <c r="J693" s="29">
        <f t="shared" si="82"/>
        <v>1.9500000000000002</v>
      </c>
      <c r="K693" s="29">
        <f>IF(Dataset!H693&lt;1,0.2,IF(Dataset!H693&lt;1.3,0.45,IF(Dataset!H693&lt;1.8,0.7,0.9)))</f>
        <v>0.9</v>
      </c>
      <c r="L693" s="29">
        <f>IF(Dataset!H693&lt;1,1,IF(Dataset!H693&lt;1.3,2,IF(Dataset!H693&lt;1.8,3,4)))</f>
        <v>4</v>
      </c>
      <c r="M693" s="29">
        <f t="shared" si="83"/>
        <v>3.6</v>
      </c>
      <c r="N693" s="29">
        <f>IF(Dataset!F693=1,0.75,IF(Dataset!F693=2,0.45,0.2))</f>
        <v>0.75</v>
      </c>
      <c r="O693" s="29">
        <f>IF(Dataset!F693=1,3,IF(Dataset!F693=2,2,1))</f>
        <v>3</v>
      </c>
      <c r="P693" s="29">
        <f t="shared" si="84"/>
        <v>2.25</v>
      </c>
      <c r="Q693" s="29">
        <f>IF(Dataset!K693&lt;5,0.2,IF(Dataset!K693&lt;10,0.45,IF(Dataset!K693&lt;18,0.7,0.9)))</f>
        <v>0.2</v>
      </c>
      <c r="R693" s="29">
        <f>IF(Dataset!K693&lt;5,1,IF(Dataset!K693&lt;10,2,IF(Dataset!K693&lt;18,3,4)))</f>
        <v>1</v>
      </c>
      <c r="S693" s="29">
        <f t="shared" si="85"/>
        <v>0.2</v>
      </c>
      <c r="T693" s="29">
        <f t="shared" si="86"/>
        <v>1.6170000000000002</v>
      </c>
      <c r="U693" s="29" t="str">
        <f t="shared" si="87"/>
        <v>Medium</v>
      </c>
    </row>
    <row r="694" spans="1:21" ht="15" customHeight="1" x14ac:dyDescent="0.25">
      <c r="A694" s="29">
        <f>Dataset!A694</f>
        <v>690</v>
      </c>
      <c r="B694" s="29">
        <f>IF(Dataset!B694&lt;25,0.3,IF(Dataset!B694&lt;75,0.5,IF(Dataset!B694&lt;120,0.65,0.8)))</f>
        <v>0.5</v>
      </c>
      <c r="C694" s="29">
        <f>IF(Dataset!B694&lt;25,1,IF(Dataset!B694&lt;75,2,IF(Dataset!B694&lt;120,3,4)))</f>
        <v>2</v>
      </c>
      <c r="D694" s="29">
        <f t="shared" si="80"/>
        <v>1</v>
      </c>
      <c r="E694" s="29">
        <f>IF(Dataset!C694&lt;=1,0.3,IF(Dataset!C694=2,0.4,IF(Dataset!C694=3,0.5,IF(Dataset!C694=4,0.65,0.8))))</f>
        <v>0.3</v>
      </c>
      <c r="F694" s="29">
        <f>IF(Dataset!C694&lt;=2,1,IF(Dataset!C694=3,2,IF(Dataset!C694=4,3,4)))</f>
        <v>1</v>
      </c>
      <c r="G694" s="29">
        <f t="shared" si="81"/>
        <v>0.3</v>
      </c>
      <c r="H694" s="29">
        <f>IF(Dataset!G694&lt;=3,0.25,IF(Dataset!G694&lt;=6,0.45,IF(Dataset!G694&lt;=9,0.65,0.85)))</f>
        <v>0.45</v>
      </c>
      <c r="I694" s="29">
        <f>IF(Dataset!G694&lt;=3,1,IF(Dataset!G694&lt;=6,2,IF(Dataset!G694&lt;=9,3,4)))</f>
        <v>2</v>
      </c>
      <c r="J694" s="29">
        <f t="shared" si="82"/>
        <v>0.9</v>
      </c>
      <c r="K694" s="29">
        <f>IF(Dataset!H694&lt;1,0.2,IF(Dataset!H694&lt;1.3,0.45,IF(Dataset!H694&lt;1.8,0.7,0.9)))</f>
        <v>0.7</v>
      </c>
      <c r="L694" s="29">
        <f>IF(Dataset!H694&lt;1,1,IF(Dataset!H694&lt;1.3,2,IF(Dataset!H694&lt;1.8,3,4)))</f>
        <v>3</v>
      </c>
      <c r="M694" s="29">
        <f t="shared" si="83"/>
        <v>2.0999999999999996</v>
      </c>
      <c r="N694" s="29">
        <f>IF(Dataset!F694=1,0.75,IF(Dataset!F694=2,0.45,0.2))</f>
        <v>0.75</v>
      </c>
      <c r="O694" s="29">
        <f>IF(Dataset!F694=1,3,IF(Dataset!F694=2,2,1))</f>
        <v>3</v>
      </c>
      <c r="P694" s="29">
        <f t="shared" si="84"/>
        <v>2.25</v>
      </c>
      <c r="Q694" s="29">
        <f>IF(Dataset!K694&lt;5,0.2,IF(Dataset!K694&lt;10,0.45,IF(Dataset!K694&lt;18,0.7,0.9)))</f>
        <v>0.2</v>
      </c>
      <c r="R694" s="29">
        <f>IF(Dataset!K694&lt;5,1,IF(Dataset!K694&lt;10,2,IF(Dataset!K694&lt;18,3,4)))</f>
        <v>1</v>
      </c>
      <c r="S694" s="29">
        <f t="shared" si="85"/>
        <v>0.2</v>
      </c>
      <c r="T694" s="29">
        <f t="shared" si="86"/>
        <v>1.159</v>
      </c>
      <c r="U694" s="29" t="str">
        <f t="shared" si="87"/>
        <v>Low</v>
      </c>
    </row>
    <row r="695" spans="1:21" ht="15" customHeight="1" x14ac:dyDescent="0.25">
      <c r="A695" s="29">
        <f>Dataset!A695</f>
        <v>691</v>
      </c>
      <c r="B695" s="29">
        <f>IF(Dataset!B695&lt;25,0.3,IF(Dataset!B695&lt;75,0.5,IF(Dataset!B695&lt;120,0.65,0.8)))</f>
        <v>0.8</v>
      </c>
      <c r="C695" s="29">
        <f>IF(Dataset!B695&lt;25,1,IF(Dataset!B695&lt;75,2,IF(Dataset!B695&lt;120,3,4)))</f>
        <v>4</v>
      </c>
      <c r="D695" s="29">
        <f t="shared" si="80"/>
        <v>3.2</v>
      </c>
      <c r="E695" s="29">
        <f>IF(Dataset!C695&lt;=1,0.3,IF(Dataset!C695=2,0.4,IF(Dataset!C695=3,0.5,IF(Dataset!C695=4,0.65,0.8))))</f>
        <v>0.4</v>
      </c>
      <c r="F695" s="29">
        <f>IF(Dataset!C695&lt;=2,1,IF(Dataset!C695=3,2,IF(Dataset!C695=4,3,4)))</f>
        <v>1</v>
      </c>
      <c r="G695" s="29">
        <f t="shared" si="81"/>
        <v>0.4</v>
      </c>
      <c r="H695" s="29">
        <f>IF(Dataset!G695&lt;=3,0.25,IF(Dataset!G695&lt;=6,0.45,IF(Dataset!G695&lt;=9,0.65,0.85)))</f>
        <v>0.65</v>
      </c>
      <c r="I695" s="29">
        <f>IF(Dataset!G695&lt;=3,1,IF(Dataset!G695&lt;=6,2,IF(Dataset!G695&lt;=9,3,4)))</f>
        <v>3</v>
      </c>
      <c r="J695" s="29">
        <f t="shared" si="82"/>
        <v>1.9500000000000002</v>
      </c>
      <c r="K695" s="29">
        <f>IF(Dataset!H695&lt;1,0.2,IF(Dataset!H695&lt;1.3,0.45,IF(Dataset!H695&lt;1.8,0.7,0.9)))</f>
        <v>0.7</v>
      </c>
      <c r="L695" s="29">
        <f>IF(Dataset!H695&lt;1,1,IF(Dataset!H695&lt;1.3,2,IF(Dataset!H695&lt;1.8,3,4)))</f>
        <v>3</v>
      </c>
      <c r="M695" s="29">
        <f t="shared" si="83"/>
        <v>2.0999999999999996</v>
      </c>
      <c r="N695" s="29">
        <f>IF(Dataset!F695=1,0.75,IF(Dataset!F695=2,0.45,0.2))</f>
        <v>0.75</v>
      </c>
      <c r="O695" s="29">
        <f>IF(Dataset!F695=1,3,IF(Dataset!F695=2,2,1))</f>
        <v>3</v>
      </c>
      <c r="P695" s="29">
        <f t="shared" si="84"/>
        <v>2.25</v>
      </c>
      <c r="Q695" s="29">
        <f>IF(Dataset!K695&lt;5,0.2,IF(Dataset!K695&lt;10,0.45,IF(Dataset!K695&lt;18,0.7,0.9)))</f>
        <v>0.2</v>
      </c>
      <c r="R695" s="29">
        <f>IF(Dataset!K695&lt;5,1,IF(Dataset!K695&lt;10,2,IF(Dataset!K695&lt;18,3,4)))</f>
        <v>1</v>
      </c>
      <c r="S695" s="29">
        <f t="shared" si="85"/>
        <v>0.2</v>
      </c>
      <c r="T695" s="29">
        <f t="shared" si="86"/>
        <v>1.7789999999999999</v>
      </c>
      <c r="U695" s="29" t="str">
        <f t="shared" si="87"/>
        <v>High</v>
      </c>
    </row>
    <row r="696" spans="1:21" ht="15" customHeight="1" x14ac:dyDescent="0.25">
      <c r="A696" s="29">
        <f>Dataset!A696</f>
        <v>692</v>
      </c>
      <c r="B696" s="29">
        <f>IF(Dataset!B696&lt;25,0.3,IF(Dataset!B696&lt;75,0.5,IF(Dataset!B696&lt;120,0.65,0.8)))</f>
        <v>0.65</v>
      </c>
      <c r="C696" s="29">
        <f>IF(Dataset!B696&lt;25,1,IF(Dataset!B696&lt;75,2,IF(Dataset!B696&lt;120,3,4)))</f>
        <v>3</v>
      </c>
      <c r="D696" s="29">
        <f t="shared" si="80"/>
        <v>1.9500000000000002</v>
      </c>
      <c r="E696" s="29">
        <f>IF(Dataset!C696&lt;=1,0.3,IF(Dataset!C696=2,0.4,IF(Dataset!C696=3,0.5,IF(Dataset!C696=4,0.65,0.8))))</f>
        <v>0.65</v>
      </c>
      <c r="F696" s="29">
        <f>IF(Dataset!C696&lt;=2,1,IF(Dataset!C696=3,2,IF(Dataset!C696=4,3,4)))</f>
        <v>3</v>
      </c>
      <c r="G696" s="29">
        <f t="shared" si="81"/>
        <v>1.9500000000000002</v>
      </c>
      <c r="H696" s="29">
        <f>IF(Dataset!G696&lt;=3,0.25,IF(Dataset!G696&lt;=6,0.45,IF(Dataset!G696&lt;=9,0.65,0.85)))</f>
        <v>0.85</v>
      </c>
      <c r="I696" s="29">
        <f>IF(Dataset!G696&lt;=3,1,IF(Dataset!G696&lt;=6,2,IF(Dataset!G696&lt;=9,3,4)))</f>
        <v>4</v>
      </c>
      <c r="J696" s="29">
        <f t="shared" si="82"/>
        <v>3.4</v>
      </c>
      <c r="K696" s="29">
        <f>IF(Dataset!H696&lt;1,0.2,IF(Dataset!H696&lt;1.3,0.45,IF(Dataset!H696&lt;1.8,0.7,0.9)))</f>
        <v>0.45</v>
      </c>
      <c r="L696" s="29">
        <f>IF(Dataset!H696&lt;1,1,IF(Dataset!H696&lt;1.3,2,IF(Dataset!H696&lt;1.8,3,4)))</f>
        <v>2</v>
      </c>
      <c r="M696" s="29">
        <f t="shared" si="83"/>
        <v>0.9</v>
      </c>
      <c r="N696" s="29">
        <f>IF(Dataset!F696=1,0.75,IF(Dataset!F696=2,0.45,0.2))</f>
        <v>0.75</v>
      </c>
      <c r="O696" s="29">
        <f>IF(Dataset!F696=1,3,IF(Dataset!F696=2,2,1))</f>
        <v>3</v>
      </c>
      <c r="P696" s="29">
        <f t="shared" si="84"/>
        <v>2.25</v>
      </c>
      <c r="Q696" s="29">
        <f>IF(Dataset!K696&lt;5,0.2,IF(Dataset!K696&lt;10,0.45,IF(Dataset!K696&lt;18,0.7,0.9)))</f>
        <v>0.45</v>
      </c>
      <c r="R696" s="29">
        <f>IF(Dataset!K696&lt;5,1,IF(Dataset!K696&lt;10,2,IF(Dataset!K696&lt;18,3,4)))</f>
        <v>2</v>
      </c>
      <c r="S696" s="29">
        <f t="shared" si="85"/>
        <v>0.9</v>
      </c>
      <c r="T696" s="29">
        <f t="shared" si="86"/>
        <v>1.8710000000000004</v>
      </c>
      <c r="U696" s="29" t="str">
        <f t="shared" si="87"/>
        <v>High</v>
      </c>
    </row>
    <row r="697" spans="1:21" ht="15" customHeight="1" x14ac:dyDescent="0.25">
      <c r="A697" s="29">
        <f>Dataset!A697</f>
        <v>693</v>
      </c>
      <c r="B697" s="29">
        <f>IF(Dataset!B697&lt;25,0.3,IF(Dataset!B697&lt;75,0.5,IF(Dataset!B697&lt;120,0.65,0.8)))</f>
        <v>0.8</v>
      </c>
      <c r="C697" s="29">
        <f>IF(Dataset!B697&lt;25,1,IF(Dataset!B697&lt;75,2,IF(Dataset!B697&lt;120,3,4)))</f>
        <v>4</v>
      </c>
      <c r="D697" s="29">
        <f t="shared" si="80"/>
        <v>3.2</v>
      </c>
      <c r="E697" s="29">
        <f>IF(Dataset!C697&lt;=1,0.3,IF(Dataset!C697=2,0.4,IF(Dataset!C697=3,0.5,IF(Dataset!C697=4,0.65,0.8))))</f>
        <v>0.65</v>
      </c>
      <c r="F697" s="29">
        <f>IF(Dataset!C697&lt;=2,1,IF(Dataset!C697=3,2,IF(Dataset!C697=4,3,4)))</f>
        <v>3</v>
      </c>
      <c r="G697" s="29">
        <f t="shared" si="81"/>
        <v>1.9500000000000002</v>
      </c>
      <c r="H697" s="29">
        <f>IF(Dataset!G697&lt;=3,0.25,IF(Dataset!G697&lt;=6,0.45,IF(Dataset!G697&lt;=9,0.65,0.85)))</f>
        <v>0.45</v>
      </c>
      <c r="I697" s="29">
        <f>IF(Dataset!G697&lt;=3,1,IF(Dataset!G697&lt;=6,2,IF(Dataset!G697&lt;=9,3,4)))</f>
        <v>2</v>
      </c>
      <c r="J697" s="29">
        <f t="shared" si="82"/>
        <v>0.9</v>
      </c>
      <c r="K697" s="29">
        <f>IF(Dataset!H697&lt;1,0.2,IF(Dataset!H697&lt;1.3,0.45,IF(Dataset!H697&lt;1.8,0.7,0.9)))</f>
        <v>0.7</v>
      </c>
      <c r="L697" s="29">
        <f>IF(Dataset!H697&lt;1,1,IF(Dataset!H697&lt;1.3,2,IF(Dataset!H697&lt;1.8,3,4)))</f>
        <v>3</v>
      </c>
      <c r="M697" s="29">
        <f t="shared" si="83"/>
        <v>2.0999999999999996</v>
      </c>
      <c r="N697" s="29">
        <f>IF(Dataset!F697=1,0.75,IF(Dataset!F697=2,0.45,0.2))</f>
        <v>0.45</v>
      </c>
      <c r="O697" s="29">
        <f>IF(Dataset!F697=1,3,IF(Dataset!F697=2,2,1))</f>
        <v>2</v>
      </c>
      <c r="P697" s="29">
        <f t="shared" si="84"/>
        <v>0.9</v>
      </c>
      <c r="Q697" s="29">
        <f>IF(Dataset!K697&lt;5,0.2,IF(Dataset!K697&lt;10,0.45,IF(Dataset!K697&lt;18,0.7,0.9)))</f>
        <v>0.7</v>
      </c>
      <c r="R697" s="29">
        <f>IF(Dataset!K697&lt;5,1,IF(Dataset!K697&lt;10,2,IF(Dataset!K697&lt;18,3,4)))</f>
        <v>3</v>
      </c>
      <c r="S697" s="29">
        <f t="shared" si="85"/>
        <v>2.0999999999999996</v>
      </c>
      <c r="T697" s="29">
        <f t="shared" si="86"/>
        <v>1.917</v>
      </c>
      <c r="U697" s="29" t="str">
        <f t="shared" si="87"/>
        <v>High</v>
      </c>
    </row>
    <row r="698" spans="1:21" ht="15" customHeight="1" x14ac:dyDescent="0.25">
      <c r="A698" s="29">
        <f>Dataset!A698</f>
        <v>694</v>
      </c>
      <c r="B698" s="29">
        <f>IF(Dataset!B698&lt;25,0.3,IF(Dataset!B698&lt;75,0.5,IF(Dataset!B698&lt;120,0.65,0.8)))</f>
        <v>0.5</v>
      </c>
      <c r="C698" s="29">
        <f>IF(Dataset!B698&lt;25,1,IF(Dataset!B698&lt;75,2,IF(Dataset!B698&lt;120,3,4)))</f>
        <v>2</v>
      </c>
      <c r="D698" s="29">
        <f t="shared" si="80"/>
        <v>1</v>
      </c>
      <c r="E698" s="29">
        <f>IF(Dataset!C698&lt;=1,0.3,IF(Dataset!C698=2,0.4,IF(Dataset!C698=3,0.5,IF(Dataset!C698=4,0.65,0.8))))</f>
        <v>0.8</v>
      </c>
      <c r="F698" s="29">
        <f>IF(Dataset!C698&lt;=2,1,IF(Dataset!C698=3,2,IF(Dataset!C698=4,3,4)))</f>
        <v>4</v>
      </c>
      <c r="G698" s="29">
        <f t="shared" si="81"/>
        <v>3.2</v>
      </c>
      <c r="H698" s="29">
        <f>IF(Dataset!G698&lt;=3,0.25,IF(Dataset!G698&lt;=6,0.45,IF(Dataset!G698&lt;=9,0.65,0.85)))</f>
        <v>0.65</v>
      </c>
      <c r="I698" s="29">
        <f>IF(Dataset!G698&lt;=3,1,IF(Dataset!G698&lt;=6,2,IF(Dataset!G698&lt;=9,3,4)))</f>
        <v>3</v>
      </c>
      <c r="J698" s="29">
        <f t="shared" si="82"/>
        <v>1.9500000000000002</v>
      </c>
      <c r="K698" s="29">
        <f>IF(Dataset!H698&lt;1,0.2,IF(Dataset!H698&lt;1.3,0.45,IF(Dataset!H698&lt;1.8,0.7,0.9)))</f>
        <v>0.9</v>
      </c>
      <c r="L698" s="29">
        <f>IF(Dataset!H698&lt;1,1,IF(Dataset!H698&lt;1.3,2,IF(Dataset!H698&lt;1.8,3,4)))</f>
        <v>4</v>
      </c>
      <c r="M698" s="29">
        <f t="shared" si="83"/>
        <v>3.6</v>
      </c>
      <c r="N698" s="29">
        <f>IF(Dataset!F698=1,0.75,IF(Dataset!F698=2,0.45,0.2))</f>
        <v>0.2</v>
      </c>
      <c r="O698" s="29">
        <f>IF(Dataset!F698=1,3,IF(Dataset!F698=2,2,1))</f>
        <v>1</v>
      </c>
      <c r="P698" s="29">
        <f t="shared" si="84"/>
        <v>0.2</v>
      </c>
      <c r="Q698" s="29">
        <f>IF(Dataset!K698&lt;5,0.2,IF(Dataset!K698&lt;10,0.45,IF(Dataset!K698&lt;18,0.7,0.9)))</f>
        <v>0.7</v>
      </c>
      <c r="R698" s="29">
        <f>IF(Dataset!K698&lt;5,1,IF(Dataset!K698&lt;10,2,IF(Dataset!K698&lt;18,3,4)))</f>
        <v>3</v>
      </c>
      <c r="S698" s="29">
        <f t="shared" si="85"/>
        <v>2.0999999999999996</v>
      </c>
      <c r="T698" s="29">
        <f t="shared" si="86"/>
        <v>2.1960000000000002</v>
      </c>
      <c r="U698" s="29" t="str">
        <f t="shared" si="87"/>
        <v>High</v>
      </c>
    </row>
    <row r="699" spans="1:21" ht="15" customHeight="1" x14ac:dyDescent="0.25">
      <c r="A699" s="29">
        <f>Dataset!A699</f>
        <v>695</v>
      </c>
      <c r="B699" s="29">
        <f>IF(Dataset!B699&lt;25,0.3,IF(Dataset!B699&lt;75,0.5,IF(Dataset!B699&lt;120,0.65,0.8)))</f>
        <v>0.3</v>
      </c>
      <c r="C699" s="29">
        <f>IF(Dataset!B699&lt;25,1,IF(Dataset!B699&lt;75,2,IF(Dataset!B699&lt;120,3,4)))</f>
        <v>1</v>
      </c>
      <c r="D699" s="29">
        <f t="shared" si="80"/>
        <v>0.3</v>
      </c>
      <c r="E699" s="29">
        <f>IF(Dataset!C699&lt;=1,0.3,IF(Dataset!C699=2,0.4,IF(Dataset!C699=3,0.5,IF(Dataset!C699=4,0.65,0.8))))</f>
        <v>0.65</v>
      </c>
      <c r="F699" s="29">
        <f>IF(Dataset!C699&lt;=2,1,IF(Dataset!C699=3,2,IF(Dataset!C699=4,3,4)))</f>
        <v>3</v>
      </c>
      <c r="G699" s="29">
        <f t="shared" si="81"/>
        <v>1.9500000000000002</v>
      </c>
      <c r="H699" s="29">
        <f>IF(Dataset!G699&lt;=3,0.25,IF(Dataset!G699&lt;=6,0.45,IF(Dataset!G699&lt;=9,0.65,0.85)))</f>
        <v>0.45</v>
      </c>
      <c r="I699" s="29">
        <f>IF(Dataset!G699&lt;=3,1,IF(Dataset!G699&lt;=6,2,IF(Dataset!G699&lt;=9,3,4)))</f>
        <v>2</v>
      </c>
      <c r="J699" s="29">
        <f t="shared" si="82"/>
        <v>0.9</v>
      </c>
      <c r="K699" s="29">
        <f>IF(Dataset!H699&lt;1,0.2,IF(Dataset!H699&lt;1.3,0.45,IF(Dataset!H699&lt;1.8,0.7,0.9)))</f>
        <v>0.45</v>
      </c>
      <c r="L699" s="29">
        <f>IF(Dataset!H699&lt;1,1,IF(Dataset!H699&lt;1.3,2,IF(Dataset!H699&lt;1.8,3,4)))</f>
        <v>2</v>
      </c>
      <c r="M699" s="29">
        <f t="shared" si="83"/>
        <v>0.9</v>
      </c>
      <c r="N699" s="29">
        <f>IF(Dataset!F699=1,0.75,IF(Dataset!F699=2,0.45,0.2))</f>
        <v>0.2</v>
      </c>
      <c r="O699" s="29">
        <f>IF(Dataset!F699=1,3,IF(Dataset!F699=2,2,1))</f>
        <v>1</v>
      </c>
      <c r="P699" s="29">
        <f t="shared" si="84"/>
        <v>0.2</v>
      </c>
      <c r="Q699" s="29">
        <f>IF(Dataset!K699&lt;5,0.2,IF(Dataset!K699&lt;10,0.45,IF(Dataset!K699&lt;18,0.7,0.9)))</f>
        <v>0.7</v>
      </c>
      <c r="R699" s="29">
        <f>IF(Dataset!K699&lt;5,1,IF(Dataset!K699&lt;10,2,IF(Dataset!K699&lt;18,3,4)))</f>
        <v>3</v>
      </c>
      <c r="S699" s="29">
        <f t="shared" si="85"/>
        <v>2.0999999999999996</v>
      </c>
      <c r="T699" s="29">
        <f t="shared" si="86"/>
        <v>1.0370000000000001</v>
      </c>
      <c r="U699" s="29" t="str">
        <f t="shared" si="87"/>
        <v>Low</v>
      </c>
    </row>
    <row r="700" spans="1:21" ht="15" customHeight="1" x14ac:dyDescent="0.25">
      <c r="A700" s="29">
        <f>Dataset!A700</f>
        <v>696</v>
      </c>
      <c r="B700" s="29">
        <f>IF(Dataset!B700&lt;25,0.3,IF(Dataset!B700&lt;75,0.5,IF(Dataset!B700&lt;120,0.65,0.8)))</f>
        <v>0.5</v>
      </c>
      <c r="C700" s="29">
        <f>IF(Dataset!B700&lt;25,1,IF(Dataset!B700&lt;75,2,IF(Dataset!B700&lt;120,3,4)))</f>
        <v>2</v>
      </c>
      <c r="D700" s="29">
        <f t="shared" si="80"/>
        <v>1</v>
      </c>
      <c r="E700" s="29">
        <f>IF(Dataset!C700&lt;=1,0.3,IF(Dataset!C700=2,0.4,IF(Dataset!C700=3,0.5,IF(Dataset!C700=4,0.65,0.8))))</f>
        <v>0.65</v>
      </c>
      <c r="F700" s="29">
        <f>IF(Dataset!C700&lt;=2,1,IF(Dataset!C700=3,2,IF(Dataset!C700=4,3,4)))</f>
        <v>3</v>
      </c>
      <c r="G700" s="29">
        <f t="shared" si="81"/>
        <v>1.9500000000000002</v>
      </c>
      <c r="H700" s="29">
        <f>IF(Dataset!G700&lt;=3,0.25,IF(Dataset!G700&lt;=6,0.45,IF(Dataset!G700&lt;=9,0.65,0.85)))</f>
        <v>0.45</v>
      </c>
      <c r="I700" s="29">
        <f>IF(Dataset!G700&lt;=3,1,IF(Dataset!G700&lt;=6,2,IF(Dataset!G700&lt;=9,3,4)))</f>
        <v>2</v>
      </c>
      <c r="J700" s="29">
        <f t="shared" si="82"/>
        <v>0.9</v>
      </c>
      <c r="K700" s="29">
        <f>IF(Dataset!H700&lt;1,0.2,IF(Dataset!H700&lt;1.3,0.45,IF(Dataset!H700&lt;1.8,0.7,0.9)))</f>
        <v>0.45</v>
      </c>
      <c r="L700" s="29">
        <f>IF(Dataset!H700&lt;1,1,IF(Dataset!H700&lt;1.3,2,IF(Dataset!H700&lt;1.8,3,4)))</f>
        <v>2</v>
      </c>
      <c r="M700" s="29">
        <f t="shared" si="83"/>
        <v>0.9</v>
      </c>
      <c r="N700" s="29">
        <f>IF(Dataset!F700=1,0.75,IF(Dataset!F700=2,0.45,0.2))</f>
        <v>0.45</v>
      </c>
      <c r="O700" s="29">
        <f>IF(Dataset!F700=1,3,IF(Dataset!F700=2,2,1))</f>
        <v>2</v>
      </c>
      <c r="P700" s="29">
        <f t="shared" si="84"/>
        <v>0.9</v>
      </c>
      <c r="Q700" s="29">
        <f>IF(Dataset!K700&lt;5,0.2,IF(Dataset!K700&lt;10,0.45,IF(Dataset!K700&lt;18,0.7,0.9)))</f>
        <v>0.7</v>
      </c>
      <c r="R700" s="29">
        <f>IF(Dataset!K700&lt;5,1,IF(Dataset!K700&lt;10,2,IF(Dataset!K700&lt;18,3,4)))</f>
        <v>3</v>
      </c>
      <c r="S700" s="29">
        <f t="shared" si="85"/>
        <v>2.0999999999999996</v>
      </c>
      <c r="T700" s="29">
        <f t="shared" si="86"/>
        <v>1.2330000000000001</v>
      </c>
      <c r="U700" s="29" t="str">
        <f t="shared" si="87"/>
        <v>Low</v>
      </c>
    </row>
    <row r="701" spans="1:21" ht="15" customHeight="1" x14ac:dyDescent="0.25">
      <c r="A701" s="29">
        <f>Dataset!A701</f>
        <v>697</v>
      </c>
      <c r="B701" s="29">
        <f>IF(Dataset!B701&lt;25,0.3,IF(Dataset!B701&lt;75,0.5,IF(Dataset!B701&lt;120,0.65,0.8)))</f>
        <v>0.5</v>
      </c>
      <c r="C701" s="29">
        <f>IF(Dataset!B701&lt;25,1,IF(Dataset!B701&lt;75,2,IF(Dataset!B701&lt;120,3,4)))</f>
        <v>2</v>
      </c>
      <c r="D701" s="29">
        <f t="shared" si="80"/>
        <v>1</v>
      </c>
      <c r="E701" s="29">
        <f>IF(Dataset!C701&lt;=1,0.3,IF(Dataset!C701=2,0.4,IF(Dataset!C701=3,0.5,IF(Dataset!C701=4,0.65,0.8))))</f>
        <v>0.4</v>
      </c>
      <c r="F701" s="29">
        <f>IF(Dataset!C701&lt;=2,1,IF(Dataset!C701=3,2,IF(Dataset!C701=4,3,4)))</f>
        <v>1</v>
      </c>
      <c r="G701" s="29">
        <f t="shared" si="81"/>
        <v>0.4</v>
      </c>
      <c r="H701" s="29">
        <f>IF(Dataset!G701&lt;=3,0.25,IF(Dataset!G701&lt;=6,0.45,IF(Dataset!G701&lt;=9,0.65,0.85)))</f>
        <v>0.25</v>
      </c>
      <c r="I701" s="29">
        <f>IF(Dataset!G701&lt;=3,1,IF(Dataset!G701&lt;=6,2,IF(Dataset!G701&lt;=9,3,4)))</f>
        <v>1</v>
      </c>
      <c r="J701" s="29">
        <f t="shared" si="82"/>
        <v>0.25</v>
      </c>
      <c r="K701" s="29">
        <f>IF(Dataset!H701&lt;1,0.2,IF(Dataset!H701&lt;1.3,0.45,IF(Dataset!H701&lt;1.8,0.7,0.9)))</f>
        <v>0.45</v>
      </c>
      <c r="L701" s="29">
        <f>IF(Dataset!H701&lt;1,1,IF(Dataset!H701&lt;1.3,2,IF(Dataset!H701&lt;1.8,3,4)))</f>
        <v>2</v>
      </c>
      <c r="M701" s="29">
        <f t="shared" si="83"/>
        <v>0.9</v>
      </c>
      <c r="N701" s="29">
        <f>IF(Dataset!F701=1,0.75,IF(Dataset!F701=2,0.45,0.2))</f>
        <v>0.45</v>
      </c>
      <c r="O701" s="29">
        <f>IF(Dataset!F701=1,3,IF(Dataset!F701=2,2,1))</f>
        <v>2</v>
      </c>
      <c r="P701" s="29">
        <f t="shared" si="84"/>
        <v>0.9</v>
      </c>
      <c r="Q701" s="29">
        <f>IF(Dataset!K701&lt;5,0.2,IF(Dataset!K701&lt;10,0.45,IF(Dataset!K701&lt;18,0.7,0.9)))</f>
        <v>0.2</v>
      </c>
      <c r="R701" s="29">
        <f>IF(Dataset!K701&lt;5,1,IF(Dataset!K701&lt;10,2,IF(Dataset!K701&lt;18,3,4)))</f>
        <v>1</v>
      </c>
      <c r="S701" s="29">
        <f t="shared" si="85"/>
        <v>0.2</v>
      </c>
      <c r="T701" s="29">
        <f t="shared" si="86"/>
        <v>0.62</v>
      </c>
      <c r="U701" s="29" t="str">
        <f t="shared" si="87"/>
        <v>Low</v>
      </c>
    </row>
    <row r="702" spans="1:21" ht="15" customHeight="1" x14ac:dyDescent="0.25">
      <c r="A702" s="29">
        <f>Dataset!A702</f>
        <v>698</v>
      </c>
      <c r="B702" s="29">
        <f>IF(Dataset!B702&lt;25,0.3,IF(Dataset!B702&lt;75,0.5,IF(Dataset!B702&lt;120,0.65,0.8)))</f>
        <v>0.65</v>
      </c>
      <c r="C702" s="29">
        <f>IF(Dataset!B702&lt;25,1,IF(Dataset!B702&lt;75,2,IF(Dataset!B702&lt;120,3,4)))</f>
        <v>3</v>
      </c>
      <c r="D702" s="29">
        <f t="shared" si="80"/>
        <v>1.9500000000000002</v>
      </c>
      <c r="E702" s="29">
        <f>IF(Dataset!C702&lt;=1,0.3,IF(Dataset!C702=2,0.4,IF(Dataset!C702=3,0.5,IF(Dataset!C702=4,0.65,0.8))))</f>
        <v>0.65</v>
      </c>
      <c r="F702" s="29">
        <f>IF(Dataset!C702&lt;=2,1,IF(Dataset!C702=3,2,IF(Dataset!C702=4,3,4)))</f>
        <v>3</v>
      </c>
      <c r="G702" s="29">
        <f t="shared" si="81"/>
        <v>1.9500000000000002</v>
      </c>
      <c r="H702" s="29">
        <f>IF(Dataset!G702&lt;=3,0.25,IF(Dataset!G702&lt;=6,0.45,IF(Dataset!G702&lt;=9,0.65,0.85)))</f>
        <v>0.45</v>
      </c>
      <c r="I702" s="29">
        <f>IF(Dataset!G702&lt;=3,1,IF(Dataset!G702&lt;=6,2,IF(Dataset!G702&lt;=9,3,4)))</f>
        <v>2</v>
      </c>
      <c r="J702" s="29">
        <f t="shared" si="82"/>
        <v>0.9</v>
      </c>
      <c r="K702" s="29">
        <f>IF(Dataset!H702&lt;1,0.2,IF(Dataset!H702&lt;1.3,0.45,IF(Dataset!H702&lt;1.8,0.7,0.9)))</f>
        <v>0.7</v>
      </c>
      <c r="L702" s="29">
        <f>IF(Dataset!H702&lt;1,1,IF(Dataset!H702&lt;1.3,2,IF(Dataset!H702&lt;1.8,3,4)))</f>
        <v>3</v>
      </c>
      <c r="M702" s="29">
        <f t="shared" si="83"/>
        <v>2.0999999999999996</v>
      </c>
      <c r="N702" s="29">
        <f>IF(Dataset!F702=1,0.75,IF(Dataset!F702=2,0.45,0.2))</f>
        <v>0.75</v>
      </c>
      <c r="O702" s="29">
        <f>IF(Dataset!F702=1,3,IF(Dataset!F702=2,2,1))</f>
        <v>3</v>
      </c>
      <c r="P702" s="29">
        <f t="shared" si="84"/>
        <v>2.25</v>
      </c>
      <c r="Q702" s="29">
        <f>IF(Dataset!K702&lt;5,0.2,IF(Dataset!K702&lt;10,0.45,IF(Dataset!K702&lt;18,0.7,0.9)))</f>
        <v>0.7</v>
      </c>
      <c r="R702" s="29">
        <f>IF(Dataset!K702&lt;5,1,IF(Dataset!K702&lt;10,2,IF(Dataset!K702&lt;18,3,4)))</f>
        <v>3</v>
      </c>
      <c r="S702" s="29">
        <f t="shared" si="85"/>
        <v>2.0999999999999996</v>
      </c>
      <c r="T702" s="29">
        <f t="shared" si="86"/>
        <v>1.8270000000000002</v>
      </c>
      <c r="U702" s="29" t="str">
        <f t="shared" si="87"/>
        <v>High</v>
      </c>
    </row>
    <row r="703" spans="1:21" ht="15" customHeight="1" x14ac:dyDescent="0.25">
      <c r="A703" s="29">
        <f>Dataset!A703</f>
        <v>699</v>
      </c>
      <c r="B703" s="29">
        <f>IF(Dataset!B703&lt;25,0.3,IF(Dataset!B703&lt;75,0.5,IF(Dataset!B703&lt;120,0.65,0.8)))</f>
        <v>0.65</v>
      </c>
      <c r="C703" s="29">
        <f>IF(Dataset!B703&lt;25,1,IF(Dataset!B703&lt;75,2,IF(Dataset!B703&lt;120,3,4)))</f>
        <v>3</v>
      </c>
      <c r="D703" s="29">
        <f t="shared" si="80"/>
        <v>1.9500000000000002</v>
      </c>
      <c r="E703" s="29">
        <f>IF(Dataset!C703&lt;=1,0.3,IF(Dataset!C703=2,0.4,IF(Dataset!C703=3,0.5,IF(Dataset!C703=4,0.65,0.8))))</f>
        <v>0.3</v>
      </c>
      <c r="F703" s="29">
        <f>IF(Dataset!C703&lt;=2,1,IF(Dataset!C703=3,2,IF(Dataset!C703=4,3,4)))</f>
        <v>1</v>
      </c>
      <c r="G703" s="29">
        <f t="shared" si="81"/>
        <v>0.3</v>
      </c>
      <c r="H703" s="29">
        <f>IF(Dataset!G703&lt;=3,0.25,IF(Dataset!G703&lt;=6,0.45,IF(Dataset!G703&lt;=9,0.65,0.85)))</f>
        <v>0.25</v>
      </c>
      <c r="I703" s="29">
        <f>IF(Dataset!G703&lt;=3,1,IF(Dataset!G703&lt;=6,2,IF(Dataset!G703&lt;=9,3,4)))</f>
        <v>1</v>
      </c>
      <c r="J703" s="29">
        <f t="shared" si="82"/>
        <v>0.25</v>
      </c>
      <c r="K703" s="29">
        <f>IF(Dataset!H703&lt;1,0.2,IF(Dataset!H703&lt;1.3,0.45,IF(Dataset!H703&lt;1.8,0.7,0.9)))</f>
        <v>0.9</v>
      </c>
      <c r="L703" s="29">
        <f>IF(Dataset!H703&lt;1,1,IF(Dataset!H703&lt;1.3,2,IF(Dataset!H703&lt;1.8,3,4)))</f>
        <v>4</v>
      </c>
      <c r="M703" s="29">
        <f t="shared" si="83"/>
        <v>3.6</v>
      </c>
      <c r="N703" s="29">
        <f>IF(Dataset!F703=1,0.75,IF(Dataset!F703=2,0.45,0.2))</f>
        <v>0.45</v>
      </c>
      <c r="O703" s="29">
        <f>IF(Dataset!F703=1,3,IF(Dataset!F703=2,2,1))</f>
        <v>2</v>
      </c>
      <c r="P703" s="29">
        <f t="shared" si="84"/>
        <v>0.9</v>
      </c>
      <c r="Q703" s="29">
        <f>IF(Dataset!K703&lt;5,0.2,IF(Dataset!K703&lt;10,0.45,IF(Dataset!K703&lt;18,0.7,0.9)))</f>
        <v>0.2</v>
      </c>
      <c r="R703" s="29">
        <f>IF(Dataset!K703&lt;5,1,IF(Dataset!K703&lt;10,2,IF(Dataset!K703&lt;18,3,4)))</f>
        <v>1</v>
      </c>
      <c r="S703" s="29">
        <f t="shared" si="85"/>
        <v>0.2</v>
      </c>
      <c r="T703" s="29">
        <f t="shared" si="86"/>
        <v>1.425</v>
      </c>
      <c r="U703" s="29" t="str">
        <f t="shared" si="87"/>
        <v>Medium</v>
      </c>
    </row>
    <row r="704" spans="1:21" ht="15" customHeight="1" x14ac:dyDescent="0.25">
      <c r="A704" s="29">
        <f>Dataset!A704</f>
        <v>700</v>
      </c>
      <c r="B704" s="29">
        <f>IF(Dataset!B704&lt;25,0.3,IF(Dataset!B704&lt;75,0.5,IF(Dataset!B704&lt;120,0.65,0.8)))</f>
        <v>0.65</v>
      </c>
      <c r="C704" s="29">
        <f>IF(Dataset!B704&lt;25,1,IF(Dataset!B704&lt;75,2,IF(Dataset!B704&lt;120,3,4)))</f>
        <v>3</v>
      </c>
      <c r="D704" s="29">
        <f t="shared" si="80"/>
        <v>1.9500000000000002</v>
      </c>
      <c r="E704" s="29">
        <f>IF(Dataset!C704&lt;=1,0.3,IF(Dataset!C704=2,0.4,IF(Dataset!C704=3,0.5,IF(Dataset!C704=4,0.65,0.8))))</f>
        <v>0.5</v>
      </c>
      <c r="F704" s="29">
        <f>IF(Dataset!C704&lt;=2,1,IF(Dataset!C704=3,2,IF(Dataset!C704=4,3,4)))</f>
        <v>2</v>
      </c>
      <c r="G704" s="29">
        <f t="shared" si="81"/>
        <v>1</v>
      </c>
      <c r="H704" s="29">
        <f>IF(Dataset!G704&lt;=3,0.25,IF(Dataset!G704&lt;=6,0.45,IF(Dataset!G704&lt;=9,0.65,0.85)))</f>
        <v>0.45</v>
      </c>
      <c r="I704" s="29">
        <f>IF(Dataset!G704&lt;=3,1,IF(Dataset!G704&lt;=6,2,IF(Dataset!G704&lt;=9,3,4)))</f>
        <v>2</v>
      </c>
      <c r="J704" s="29">
        <f t="shared" si="82"/>
        <v>0.9</v>
      </c>
      <c r="K704" s="29">
        <f>IF(Dataset!H704&lt;1,0.2,IF(Dataset!H704&lt;1.3,0.45,IF(Dataset!H704&lt;1.8,0.7,0.9)))</f>
        <v>0.9</v>
      </c>
      <c r="L704" s="29">
        <f>IF(Dataset!H704&lt;1,1,IF(Dataset!H704&lt;1.3,2,IF(Dataset!H704&lt;1.8,3,4)))</f>
        <v>4</v>
      </c>
      <c r="M704" s="29">
        <f t="shared" si="83"/>
        <v>3.6</v>
      </c>
      <c r="N704" s="29">
        <f>IF(Dataset!F704=1,0.75,IF(Dataset!F704=2,0.45,0.2))</f>
        <v>0.45</v>
      </c>
      <c r="O704" s="29">
        <f>IF(Dataset!F704=1,3,IF(Dataset!F704=2,2,1))</f>
        <v>2</v>
      </c>
      <c r="P704" s="29">
        <f t="shared" si="84"/>
        <v>0.9</v>
      </c>
      <c r="Q704" s="29">
        <f>IF(Dataset!K704&lt;5,0.2,IF(Dataset!K704&lt;10,0.45,IF(Dataset!K704&lt;18,0.7,0.9)))</f>
        <v>0.45</v>
      </c>
      <c r="R704" s="29">
        <f>IF(Dataset!K704&lt;5,1,IF(Dataset!K704&lt;10,2,IF(Dataset!K704&lt;18,3,4)))</f>
        <v>2</v>
      </c>
      <c r="S704" s="29">
        <f t="shared" si="85"/>
        <v>0.9</v>
      </c>
      <c r="T704" s="29">
        <f t="shared" si="86"/>
        <v>1.7510000000000003</v>
      </c>
      <c r="U704" s="29" t="str">
        <f t="shared" si="87"/>
        <v>Medium</v>
      </c>
    </row>
    <row r="705" spans="1:21" ht="15" customHeight="1" x14ac:dyDescent="0.25">
      <c r="A705" s="29">
        <f>Dataset!A705</f>
        <v>701</v>
      </c>
      <c r="B705" s="29">
        <f>IF(Dataset!B705&lt;25,0.3,IF(Dataset!B705&lt;75,0.5,IF(Dataset!B705&lt;120,0.65,0.8)))</f>
        <v>0.8</v>
      </c>
      <c r="C705" s="29">
        <f>IF(Dataset!B705&lt;25,1,IF(Dataset!B705&lt;75,2,IF(Dataset!B705&lt;120,3,4)))</f>
        <v>4</v>
      </c>
      <c r="D705" s="29">
        <f t="shared" si="80"/>
        <v>3.2</v>
      </c>
      <c r="E705" s="29">
        <f>IF(Dataset!C705&lt;=1,0.3,IF(Dataset!C705=2,0.4,IF(Dataset!C705=3,0.5,IF(Dataset!C705=4,0.65,0.8))))</f>
        <v>0.5</v>
      </c>
      <c r="F705" s="29">
        <f>IF(Dataset!C705&lt;=2,1,IF(Dataset!C705=3,2,IF(Dataset!C705=4,3,4)))</f>
        <v>2</v>
      </c>
      <c r="G705" s="29">
        <f t="shared" si="81"/>
        <v>1</v>
      </c>
      <c r="H705" s="29">
        <f>IF(Dataset!G705&lt;=3,0.25,IF(Dataset!G705&lt;=6,0.45,IF(Dataset!G705&lt;=9,0.65,0.85)))</f>
        <v>0.65</v>
      </c>
      <c r="I705" s="29">
        <f>IF(Dataset!G705&lt;=3,1,IF(Dataset!G705&lt;=6,2,IF(Dataset!G705&lt;=9,3,4)))</f>
        <v>3</v>
      </c>
      <c r="J705" s="29">
        <f t="shared" si="82"/>
        <v>1.9500000000000002</v>
      </c>
      <c r="K705" s="29">
        <f>IF(Dataset!H705&lt;1,0.2,IF(Dataset!H705&lt;1.3,0.45,IF(Dataset!H705&lt;1.8,0.7,0.9)))</f>
        <v>0.7</v>
      </c>
      <c r="L705" s="29">
        <f>IF(Dataset!H705&lt;1,1,IF(Dataset!H705&lt;1.3,2,IF(Dataset!H705&lt;1.8,3,4)))</f>
        <v>3</v>
      </c>
      <c r="M705" s="29">
        <f t="shared" si="83"/>
        <v>2.0999999999999996</v>
      </c>
      <c r="N705" s="29">
        <f>IF(Dataset!F705=1,0.75,IF(Dataset!F705=2,0.45,0.2))</f>
        <v>0.2</v>
      </c>
      <c r="O705" s="29">
        <f>IF(Dataset!F705=1,3,IF(Dataset!F705=2,2,1))</f>
        <v>1</v>
      </c>
      <c r="P705" s="29">
        <f t="shared" si="84"/>
        <v>0.2</v>
      </c>
      <c r="Q705" s="29">
        <f>IF(Dataset!K705&lt;5,0.2,IF(Dataset!K705&lt;10,0.45,IF(Dataset!K705&lt;18,0.7,0.9)))</f>
        <v>0.45</v>
      </c>
      <c r="R705" s="29">
        <f>IF(Dataset!K705&lt;5,1,IF(Dataset!K705&lt;10,2,IF(Dataset!K705&lt;18,3,4)))</f>
        <v>2</v>
      </c>
      <c r="S705" s="29">
        <f t="shared" si="85"/>
        <v>0.9</v>
      </c>
      <c r="T705" s="29">
        <f t="shared" si="86"/>
        <v>1.756</v>
      </c>
      <c r="U705" s="29" t="str">
        <f t="shared" si="87"/>
        <v>High</v>
      </c>
    </row>
    <row r="706" spans="1:21" ht="15" customHeight="1" x14ac:dyDescent="0.25">
      <c r="A706" s="29">
        <f>Dataset!A706</f>
        <v>702</v>
      </c>
      <c r="B706" s="29">
        <f>IF(Dataset!B706&lt;25,0.3,IF(Dataset!B706&lt;75,0.5,IF(Dataset!B706&lt;120,0.65,0.8)))</f>
        <v>0.8</v>
      </c>
      <c r="C706" s="29">
        <f>IF(Dataset!B706&lt;25,1,IF(Dataset!B706&lt;75,2,IF(Dataset!B706&lt;120,3,4)))</f>
        <v>4</v>
      </c>
      <c r="D706" s="29">
        <f t="shared" si="80"/>
        <v>3.2</v>
      </c>
      <c r="E706" s="29">
        <f>IF(Dataset!C706&lt;=1,0.3,IF(Dataset!C706=2,0.4,IF(Dataset!C706=3,0.5,IF(Dataset!C706=4,0.65,0.8))))</f>
        <v>0.5</v>
      </c>
      <c r="F706" s="29">
        <f>IF(Dataset!C706&lt;=2,1,IF(Dataset!C706=3,2,IF(Dataset!C706=4,3,4)))</f>
        <v>2</v>
      </c>
      <c r="G706" s="29">
        <f t="shared" si="81"/>
        <v>1</v>
      </c>
      <c r="H706" s="29">
        <f>IF(Dataset!G706&lt;=3,0.25,IF(Dataset!G706&lt;=6,0.45,IF(Dataset!G706&lt;=9,0.65,0.85)))</f>
        <v>0.85</v>
      </c>
      <c r="I706" s="29">
        <f>IF(Dataset!G706&lt;=3,1,IF(Dataset!G706&lt;=6,2,IF(Dataset!G706&lt;=9,3,4)))</f>
        <v>4</v>
      </c>
      <c r="J706" s="29">
        <f t="shared" si="82"/>
        <v>3.4</v>
      </c>
      <c r="K706" s="29">
        <f>IF(Dataset!H706&lt;1,0.2,IF(Dataset!H706&lt;1.3,0.45,IF(Dataset!H706&lt;1.8,0.7,0.9)))</f>
        <v>0.7</v>
      </c>
      <c r="L706" s="29">
        <f>IF(Dataset!H706&lt;1,1,IF(Dataset!H706&lt;1.3,2,IF(Dataset!H706&lt;1.8,3,4)))</f>
        <v>3</v>
      </c>
      <c r="M706" s="29">
        <f t="shared" si="83"/>
        <v>2.0999999999999996</v>
      </c>
      <c r="N706" s="29">
        <f>IF(Dataset!F706=1,0.75,IF(Dataset!F706=2,0.45,0.2))</f>
        <v>0.45</v>
      </c>
      <c r="O706" s="29">
        <f>IF(Dataset!F706=1,3,IF(Dataset!F706=2,2,1))</f>
        <v>2</v>
      </c>
      <c r="P706" s="29">
        <f t="shared" si="84"/>
        <v>0.9</v>
      </c>
      <c r="Q706" s="29">
        <f>IF(Dataset!K706&lt;5,0.2,IF(Dataset!K706&lt;10,0.45,IF(Dataset!K706&lt;18,0.7,0.9)))</f>
        <v>0.45</v>
      </c>
      <c r="R706" s="29">
        <f>IF(Dataset!K706&lt;5,1,IF(Dataset!K706&lt;10,2,IF(Dataset!K706&lt;18,3,4)))</f>
        <v>2</v>
      </c>
      <c r="S706" s="29">
        <f t="shared" si="85"/>
        <v>0.9</v>
      </c>
      <c r="T706" s="29">
        <f t="shared" si="86"/>
        <v>2.1160000000000001</v>
      </c>
      <c r="U706" s="29" t="str">
        <f t="shared" si="87"/>
        <v>High</v>
      </c>
    </row>
    <row r="707" spans="1:21" ht="15" customHeight="1" x14ac:dyDescent="0.25">
      <c r="A707" s="29">
        <f>Dataset!A707</f>
        <v>703</v>
      </c>
      <c r="B707" s="29">
        <f>IF(Dataset!B707&lt;25,0.3,IF(Dataset!B707&lt;75,0.5,IF(Dataset!B707&lt;120,0.65,0.8)))</f>
        <v>0.5</v>
      </c>
      <c r="C707" s="29">
        <f>IF(Dataset!B707&lt;25,1,IF(Dataset!B707&lt;75,2,IF(Dataset!B707&lt;120,3,4)))</f>
        <v>2</v>
      </c>
      <c r="D707" s="29">
        <f t="shared" si="80"/>
        <v>1</v>
      </c>
      <c r="E707" s="29">
        <f>IF(Dataset!C707&lt;=1,0.3,IF(Dataset!C707=2,0.4,IF(Dataset!C707=3,0.5,IF(Dataset!C707=4,0.65,0.8))))</f>
        <v>0.5</v>
      </c>
      <c r="F707" s="29">
        <f>IF(Dataset!C707&lt;=2,1,IF(Dataset!C707=3,2,IF(Dataset!C707=4,3,4)))</f>
        <v>2</v>
      </c>
      <c r="G707" s="29">
        <f t="shared" si="81"/>
        <v>1</v>
      </c>
      <c r="H707" s="29">
        <f>IF(Dataset!G707&lt;=3,0.25,IF(Dataset!G707&lt;=6,0.45,IF(Dataset!G707&lt;=9,0.65,0.85)))</f>
        <v>0.45</v>
      </c>
      <c r="I707" s="29">
        <f>IF(Dataset!G707&lt;=3,1,IF(Dataset!G707&lt;=6,2,IF(Dataset!G707&lt;=9,3,4)))</f>
        <v>2</v>
      </c>
      <c r="J707" s="29">
        <f t="shared" si="82"/>
        <v>0.9</v>
      </c>
      <c r="K707" s="29">
        <f>IF(Dataset!H707&lt;1,0.2,IF(Dataset!H707&lt;1.3,0.45,IF(Dataset!H707&lt;1.8,0.7,0.9)))</f>
        <v>0.45</v>
      </c>
      <c r="L707" s="29">
        <f>IF(Dataset!H707&lt;1,1,IF(Dataset!H707&lt;1.3,2,IF(Dataset!H707&lt;1.8,3,4)))</f>
        <v>2</v>
      </c>
      <c r="M707" s="29">
        <f t="shared" si="83"/>
        <v>0.9</v>
      </c>
      <c r="N707" s="29">
        <f>IF(Dataset!F707=1,0.75,IF(Dataset!F707=2,0.45,0.2))</f>
        <v>0.75</v>
      </c>
      <c r="O707" s="29">
        <f>IF(Dataset!F707=1,3,IF(Dataset!F707=2,2,1))</f>
        <v>3</v>
      </c>
      <c r="P707" s="29">
        <f t="shared" si="84"/>
        <v>2.25</v>
      </c>
      <c r="Q707" s="29">
        <f>IF(Dataset!K707&lt;5,0.2,IF(Dataset!K707&lt;10,0.45,IF(Dataset!K707&lt;18,0.7,0.9)))</f>
        <v>0.45</v>
      </c>
      <c r="R707" s="29">
        <f>IF(Dataset!K707&lt;5,1,IF(Dataset!K707&lt;10,2,IF(Dataset!K707&lt;18,3,4)))</f>
        <v>2</v>
      </c>
      <c r="S707" s="29">
        <f t="shared" si="85"/>
        <v>0.9</v>
      </c>
      <c r="T707" s="29">
        <f t="shared" si="86"/>
        <v>1.0669999999999999</v>
      </c>
      <c r="U707" s="29" t="str">
        <f t="shared" si="87"/>
        <v>Low</v>
      </c>
    </row>
    <row r="708" spans="1:21" ht="15" customHeight="1" x14ac:dyDescent="0.25">
      <c r="A708" s="29">
        <f>Dataset!A708</f>
        <v>704</v>
      </c>
      <c r="B708" s="29">
        <f>IF(Dataset!B708&lt;25,0.3,IF(Dataset!B708&lt;75,0.5,IF(Dataset!B708&lt;120,0.65,0.8)))</f>
        <v>0.8</v>
      </c>
      <c r="C708" s="29">
        <f>IF(Dataset!B708&lt;25,1,IF(Dataset!B708&lt;75,2,IF(Dataset!B708&lt;120,3,4)))</f>
        <v>4</v>
      </c>
      <c r="D708" s="29">
        <f t="shared" si="80"/>
        <v>3.2</v>
      </c>
      <c r="E708" s="29">
        <f>IF(Dataset!C708&lt;=1,0.3,IF(Dataset!C708=2,0.4,IF(Dataset!C708=3,0.5,IF(Dataset!C708=4,0.65,0.8))))</f>
        <v>0.65</v>
      </c>
      <c r="F708" s="29">
        <f>IF(Dataset!C708&lt;=2,1,IF(Dataset!C708=3,2,IF(Dataset!C708=4,3,4)))</f>
        <v>3</v>
      </c>
      <c r="G708" s="29">
        <f t="shared" si="81"/>
        <v>1.9500000000000002</v>
      </c>
      <c r="H708" s="29">
        <f>IF(Dataset!G708&lt;=3,0.25,IF(Dataset!G708&lt;=6,0.45,IF(Dataset!G708&lt;=9,0.65,0.85)))</f>
        <v>0.45</v>
      </c>
      <c r="I708" s="29">
        <f>IF(Dataset!G708&lt;=3,1,IF(Dataset!G708&lt;=6,2,IF(Dataset!G708&lt;=9,3,4)))</f>
        <v>2</v>
      </c>
      <c r="J708" s="29">
        <f t="shared" si="82"/>
        <v>0.9</v>
      </c>
      <c r="K708" s="29">
        <f>IF(Dataset!H708&lt;1,0.2,IF(Dataset!H708&lt;1.3,0.45,IF(Dataset!H708&lt;1.8,0.7,0.9)))</f>
        <v>0.9</v>
      </c>
      <c r="L708" s="29">
        <f>IF(Dataset!H708&lt;1,1,IF(Dataset!H708&lt;1.3,2,IF(Dataset!H708&lt;1.8,3,4)))</f>
        <v>4</v>
      </c>
      <c r="M708" s="29">
        <f t="shared" si="83"/>
        <v>3.6</v>
      </c>
      <c r="N708" s="29">
        <f>IF(Dataset!F708=1,0.75,IF(Dataset!F708=2,0.45,0.2))</f>
        <v>0.75</v>
      </c>
      <c r="O708" s="29">
        <f>IF(Dataset!F708=1,3,IF(Dataset!F708=2,2,1))</f>
        <v>3</v>
      </c>
      <c r="P708" s="29">
        <f t="shared" si="84"/>
        <v>2.25</v>
      </c>
      <c r="Q708" s="29">
        <f>IF(Dataset!K708&lt;5,0.2,IF(Dataset!K708&lt;10,0.45,IF(Dataset!K708&lt;18,0.7,0.9)))</f>
        <v>0.7</v>
      </c>
      <c r="R708" s="29">
        <f>IF(Dataset!K708&lt;5,1,IF(Dataset!K708&lt;10,2,IF(Dataset!K708&lt;18,3,4)))</f>
        <v>3</v>
      </c>
      <c r="S708" s="29">
        <f t="shared" si="85"/>
        <v>2.0999999999999996</v>
      </c>
      <c r="T708" s="29">
        <f t="shared" si="86"/>
        <v>2.4119999999999999</v>
      </c>
      <c r="U708" s="29" t="str">
        <f t="shared" si="87"/>
        <v>High</v>
      </c>
    </row>
    <row r="709" spans="1:21" ht="15" customHeight="1" x14ac:dyDescent="0.25">
      <c r="A709" s="29">
        <f>Dataset!A709</f>
        <v>705</v>
      </c>
      <c r="B709" s="29">
        <f>IF(Dataset!B709&lt;25,0.3,IF(Dataset!B709&lt;75,0.5,IF(Dataset!B709&lt;120,0.65,0.8)))</f>
        <v>0.5</v>
      </c>
      <c r="C709" s="29">
        <f>IF(Dataset!B709&lt;25,1,IF(Dataset!B709&lt;75,2,IF(Dataset!B709&lt;120,3,4)))</f>
        <v>2</v>
      </c>
      <c r="D709" s="29">
        <f t="shared" ref="D709:D772" si="88">B709*C709</f>
        <v>1</v>
      </c>
      <c r="E709" s="29">
        <f>IF(Dataset!C709&lt;=1,0.3,IF(Dataset!C709=2,0.4,IF(Dataset!C709=3,0.5,IF(Dataset!C709=4,0.65,0.8))))</f>
        <v>0.65</v>
      </c>
      <c r="F709" s="29">
        <f>IF(Dataset!C709&lt;=2,1,IF(Dataset!C709=3,2,IF(Dataset!C709=4,3,4)))</f>
        <v>3</v>
      </c>
      <c r="G709" s="29">
        <f t="shared" ref="G709:G772" si="89">E709*F709</f>
        <v>1.9500000000000002</v>
      </c>
      <c r="H709" s="29">
        <f>IF(Dataset!G709&lt;=3,0.25,IF(Dataset!G709&lt;=6,0.45,IF(Dataset!G709&lt;=9,0.65,0.85)))</f>
        <v>0.25</v>
      </c>
      <c r="I709" s="29">
        <f>IF(Dataset!G709&lt;=3,1,IF(Dataset!G709&lt;=6,2,IF(Dataset!G709&lt;=9,3,4)))</f>
        <v>1</v>
      </c>
      <c r="J709" s="29">
        <f t="shared" ref="J709:J772" si="90">H709*I709</f>
        <v>0.25</v>
      </c>
      <c r="K709" s="29">
        <f>IF(Dataset!H709&lt;1,0.2,IF(Dataset!H709&lt;1.3,0.45,IF(Dataset!H709&lt;1.8,0.7,0.9)))</f>
        <v>0.2</v>
      </c>
      <c r="L709" s="29">
        <f>IF(Dataset!H709&lt;1,1,IF(Dataset!H709&lt;1.3,2,IF(Dataset!H709&lt;1.8,3,4)))</f>
        <v>1</v>
      </c>
      <c r="M709" s="29">
        <f t="shared" ref="M709:M772" si="91">K709*L709</f>
        <v>0.2</v>
      </c>
      <c r="N709" s="29">
        <f>IF(Dataset!F709=1,0.75,IF(Dataset!F709=2,0.45,0.2))</f>
        <v>0.75</v>
      </c>
      <c r="O709" s="29">
        <f>IF(Dataset!F709=1,3,IF(Dataset!F709=2,2,1))</f>
        <v>3</v>
      </c>
      <c r="P709" s="29">
        <f t="shared" ref="P709:P772" si="92">N709*O709</f>
        <v>2.25</v>
      </c>
      <c r="Q709" s="29">
        <f>IF(Dataset!K709&lt;5,0.2,IF(Dataset!K709&lt;10,0.45,IF(Dataset!K709&lt;18,0.7,0.9)))</f>
        <v>0.45</v>
      </c>
      <c r="R709" s="29">
        <f>IF(Dataset!K709&lt;5,1,IF(Dataset!K709&lt;10,2,IF(Dataset!K709&lt;18,3,4)))</f>
        <v>2</v>
      </c>
      <c r="S709" s="29">
        <f t="shared" ref="S709:S772" si="93">Q709*R709</f>
        <v>0.9</v>
      </c>
      <c r="T709" s="29">
        <f t="shared" ref="T709:T772" si="94">$Y$6*D709+$Y$7*G709+$Y$8*J709+$Y$9*M709+$Y$10*P709+$Y$11*S709</f>
        <v>0.90200000000000014</v>
      </c>
      <c r="U709" s="29" t="str">
        <f t="shared" ref="U709:U772" si="95">IF(T709&lt;=$Y$15,"Low",IF(T709&lt;=$Y$16,"Medium","High"))</f>
        <v>Low</v>
      </c>
    </row>
    <row r="710" spans="1:21" ht="15" customHeight="1" x14ac:dyDescent="0.25">
      <c r="A710" s="29">
        <f>Dataset!A710</f>
        <v>706</v>
      </c>
      <c r="B710" s="29">
        <f>IF(Dataset!B710&lt;25,0.3,IF(Dataset!B710&lt;75,0.5,IF(Dataset!B710&lt;120,0.65,0.8)))</f>
        <v>0.5</v>
      </c>
      <c r="C710" s="29">
        <f>IF(Dataset!B710&lt;25,1,IF(Dataset!B710&lt;75,2,IF(Dataset!B710&lt;120,3,4)))</f>
        <v>2</v>
      </c>
      <c r="D710" s="29">
        <f t="shared" si="88"/>
        <v>1</v>
      </c>
      <c r="E710" s="29">
        <f>IF(Dataset!C710&lt;=1,0.3,IF(Dataset!C710=2,0.4,IF(Dataset!C710=3,0.5,IF(Dataset!C710=4,0.65,0.8))))</f>
        <v>0.65</v>
      </c>
      <c r="F710" s="29">
        <f>IF(Dataset!C710&lt;=2,1,IF(Dataset!C710=3,2,IF(Dataset!C710=4,3,4)))</f>
        <v>3</v>
      </c>
      <c r="G710" s="29">
        <f t="shared" si="89"/>
        <v>1.9500000000000002</v>
      </c>
      <c r="H710" s="29">
        <f>IF(Dataset!G710&lt;=3,0.25,IF(Dataset!G710&lt;=6,0.45,IF(Dataset!G710&lt;=9,0.65,0.85)))</f>
        <v>0.65</v>
      </c>
      <c r="I710" s="29">
        <f>IF(Dataset!G710&lt;=3,1,IF(Dataset!G710&lt;=6,2,IF(Dataset!G710&lt;=9,3,4)))</f>
        <v>3</v>
      </c>
      <c r="J710" s="29">
        <f t="shared" si="90"/>
        <v>1.9500000000000002</v>
      </c>
      <c r="K710" s="29">
        <f>IF(Dataset!H710&lt;1,0.2,IF(Dataset!H710&lt;1.3,0.45,IF(Dataset!H710&lt;1.8,0.7,0.9)))</f>
        <v>0.7</v>
      </c>
      <c r="L710" s="29">
        <f>IF(Dataset!H710&lt;1,1,IF(Dataset!H710&lt;1.3,2,IF(Dataset!H710&lt;1.8,3,4)))</f>
        <v>3</v>
      </c>
      <c r="M710" s="29">
        <f t="shared" si="91"/>
        <v>2.0999999999999996</v>
      </c>
      <c r="N710" s="29">
        <f>IF(Dataset!F710=1,0.75,IF(Dataset!F710=2,0.45,0.2))</f>
        <v>0.2</v>
      </c>
      <c r="O710" s="29">
        <f>IF(Dataset!F710=1,3,IF(Dataset!F710=2,2,1))</f>
        <v>1</v>
      </c>
      <c r="P710" s="29">
        <f t="shared" si="92"/>
        <v>0.2</v>
      </c>
      <c r="Q710" s="29">
        <f>IF(Dataset!K710&lt;5,0.2,IF(Dataset!K710&lt;10,0.45,IF(Dataset!K710&lt;18,0.7,0.9)))</f>
        <v>0.45</v>
      </c>
      <c r="R710" s="29">
        <f>IF(Dataset!K710&lt;5,1,IF(Dataset!K710&lt;10,2,IF(Dataset!K710&lt;18,3,4)))</f>
        <v>2</v>
      </c>
      <c r="S710" s="29">
        <f t="shared" si="93"/>
        <v>0.9</v>
      </c>
      <c r="T710" s="29">
        <f t="shared" si="94"/>
        <v>1.4930000000000001</v>
      </c>
      <c r="U710" s="29" t="str">
        <f t="shared" si="95"/>
        <v>Medium</v>
      </c>
    </row>
    <row r="711" spans="1:21" ht="15" customHeight="1" x14ac:dyDescent="0.25">
      <c r="A711" s="29">
        <f>Dataset!A711</f>
        <v>707</v>
      </c>
      <c r="B711" s="29">
        <f>IF(Dataset!B711&lt;25,0.3,IF(Dataset!B711&lt;75,0.5,IF(Dataset!B711&lt;120,0.65,0.8)))</f>
        <v>0.8</v>
      </c>
      <c r="C711" s="29">
        <f>IF(Dataset!B711&lt;25,1,IF(Dataset!B711&lt;75,2,IF(Dataset!B711&lt;120,3,4)))</f>
        <v>4</v>
      </c>
      <c r="D711" s="29">
        <f t="shared" si="88"/>
        <v>3.2</v>
      </c>
      <c r="E711" s="29">
        <f>IF(Dataset!C711&lt;=1,0.3,IF(Dataset!C711=2,0.4,IF(Dataset!C711=3,0.5,IF(Dataset!C711=4,0.65,0.8))))</f>
        <v>0.65</v>
      </c>
      <c r="F711" s="29">
        <f>IF(Dataset!C711&lt;=2,1,IF(Dataset!C711=3,2,IF(Dataset!C711=4,3,4)))</f>
        <v>3</v>
      </c>
      <c r="G711" s="29">
        <f t="shared" si="89"/>
        <v>1.9500000000000002</v>
      </c>
      <c r="H711" s="29">
        <f>IF(Dataset!G711&lt;=3,0.25,IF(Dataset!G711&lt;=6,0.45,IF(Dataset!G711&lt;=9,0.65,0.85)))</f>
        <v>0.65</v>
      </c>
      <c r="I711" s="29">
        <f>IF(Dataset!G711&lt;=3,1,IF(Dataset!G711&lt;=6,2,IF(Dataset!G711&lt;=9,3,4)))</f>
        <v>3</v>
      </c>
      <c r="J711" s="29">
        <f t="shared" si="90"/>
        <v>1.9500000000000002</v>
      </c>
      <c r="K711" s="29">
        <f>IF(Dataset!H711&lt;1,0.2,IF(Dataset!H711&lt;1.3,0.45,IF(Dataset!H711&lt;1.8,0.7,0.9)))</f>
        <v>0.7</v>
      </c>
      <c r="L711" s="29">
        <f>IF(Dataset!H711&lt;1,1,IF(Dataset!H711&lt;1.3,2,IF(Dataset!H711&lt;1.8,3,4)))</f>
        <v>3</v>
      </c>
      <c r="M711" s="29">
        <f t="shared" si="91"/>
        <v>2.0999999999999996</v>
      </c>
      <c r="N711" s="29">
        <f>IF(Dataset!F711=1,0.75,IF(Dataset!F711=2,0.45,0.2))</f>
        <v>0.75</v>
      </c>
      <c r="O711" s="29">
        <f>IF(Dataset!F711=1,3,IF(Dataset!F711=2,2,1))</f>
        <v>3</v>
      </c>
      <c r="P711" s="29">
        <f t="shared" si="92"/>
        <v>2.25</v>
      </c>
      <c r="Q711" s="29">
        <f>IF(Dataset!K711&lt;5,0.2,IF(Dataset!K711&lt;10,0.45,IF(Dataset!K711&lt;18,0.7,0.9)))</f>
        <v>0.45</v>
      </c>
      <c r="R711" s="29">
        <f>IF(Dataset!K711&lt;5,1,IF(Dataset!K711&lt;10,2,IF(Dataset!K711&lt;18,3,4)))</f>
        <v>2</v>
      </c>
      <c r="S711" s="29">
        <f t="shared" si="93"/>
        <v>0.9</v>
      </c>
      <c r="T711" s="29">
        <f t="shared" si="94"/>
        <v>2.0939999999999999</v>
      </c>
      <c r="U711" s="29" t="str">
        <f t="shared" si="95"/>
        <v>High</v>
      </c>
    </row>
    <row r="712" spans="1:21" ht="15" customHeight="1" x14ac:dyDescent="0.25">
      <c r="A712" s="29">
        <f>Dataset!A712</f>
        <v>708</v>
      </c>
      <c r="B712" s="29">
        <f>IF(Dataset!B712&lt;25,0.3,IF(Dataset!B712&lt;75,0.5,IF(Dataset!B712&lt;120,0.65,0.8)))</f>
        <v>0.5</v>
      </c>
      <c r="C712" s="29">
        <f>IF(Dataset!B712&lt;25,1,IF(Dataset!B712&lt;75,2,IF(Dataset!B712&lt;120,3,4)))</f>
        <v>2</v>
      </c>
      <c r="D712" s="29">
        <f t="shared" si="88"/>
        <v>1</v>
      </c>
      <c r="E712" s="29">
        <f>IF(Dataset!C712&lt;=1,0.3,IF(Dataset!C712=2,0.4,IF(Dataset!C712=3,0.5,IF(Dataset!C712=4,0.65,0.8))))</f>
        <v>0.5</v>
      </c>
      <c r="F712" s="29">
        <f>IF(Dataset!C712&lt;=2,1,IF(Dataset!C712=3,2,IF(Dataset!C712=4,3,4)))</f>
        <v>2</v>
      </c>
      <c r="G712" s="29">
        <f t="shared" si="89"/>
        <v>1</v>
      </c>
      <c r="H712" s="29">
        <f>IF(Dataset!G712&lt;=3,0.25,IF(Dataset!G712&lt;=6,0.45,IF(Dataset!G712&lt;=9,0.65,0.85)))</f>
        <v>0.45</v>
      </c>
      <c r="I712" s="29">
        <f>IF(Dataset!G712&lt;=3,1,IF(Dataset!G712&lt;=6,2,IF(Dataset!G712&lt;=9,3,4)))</f>
        <v>2</v>
      </c>
      <c r="J712" s="29">
        <f t="shared" si="90"/>
        <v>0.9</v>
      </c>
      <c r="K712" s="29">
        <f>IF(Dataset!H712&lt;1,0.2,IF(Dataset!H712&lt;1.3,0.45,IF(Dataset!H712&lt;1.8,0.7,0.9)))</f>
        <v>0.9</v>
      </c>
      <c r="L712" s="29">
        <f>IF(Dataset!H712&lt;1,1,IF(Dataset!H712&lt;1.3,2,IF(Dataset!H712&lt;1.8,3,4)))</f>
        <v>4</v>
      </c>
      <c r="M712" s="29">
        <f t="shared" si="91"/>
        <v>3.6</v>
      </c>
      <c r="N712" s="29">
        <f>IF(Dataset!F712=1,0.75,IF(Dataset!F712=2,0.45,0.2))</f>
        <v>0.75</v>
      </c>
      <c r="O712" s="29">
        <f>IF(Dataset!F712=1,3,IF(Dataset!F712=2,2,1))</f>
        <v>3</v>
      </c>
      <c r="P712" s="29">
        <f t="shared" si="92"/>
        <v>2.25</v>
      </c>
      <c r="Q712" s="29">
        <f>IF(Dataset!K712&lt;5,0.2,IF(Dataset!K712&lt;10,0.45,IF(Dataset!K712&lt;18,0.7,0.9)))</f>
        <v>0.45</v>
      </c>
      <c r="R712" s="29">
        <f>IF(Dataset!K712&lt;5,1,IF(Dataset!K712&lt;10,2,IF(Dataset!K712&lt;18,3,4)))</f>
        <v>2</v>
      </c>
      <c r="S712" s="29">
        <f t="shared" si="93"/>
        <v>0.9</v>
      </c>
      <c r="T712" s="29">
        <f t="shared" si="94"/>
        <v>1.7150000000000001</v>
      </c>
      <c r="U712" s="29" t="str">
        <f t="shared" si="95"/>
        <v>Medium</v>
      </c>
    </row>
    <row r="713" spans="1:21" ht="15" customHeight="1" x14ac:dyDescent="0.25">
      <c r="A713" s="29">
        <f>Dataset!A713</f>
        <v>709</v>
      </c>
      <c r="B713" s="29">
        <f>IF(Dataset!B713&lt;25,0.3,IF(Dataset!B713&lt;75,0.5,IF(Dataset!B713&lt;120,0.65,0.8)))</f>
        <v>0.8</v>
      </c>
      <c r="C713" s="29">
        <f>IF(Dataset!B713&lt;25,1,IF(Dataset!B713&lt;75,2,IF(Dataset!B713&lt;120,3,4)))</f>
        <v>4</v>
      </c>
      <c r="D713" s="29">
        <f t="shared" si="88"/>
        <v>3.2</v>
      </c>
      <c r="E713" s="29">
        <f>IF(Dataset!C713&lt;=1,0.3,IF(Dataset!C713=2,0.4,IF(Dataset!C713=3,0.5,IF(Dataset!C713=4,0.65,0.8))))</f>
        <v>0.3</v>
      </c>
      <c r="F713" s="29">
        <f>IF(Dataset!C713&lt;=2,1,IF(Dataset!C713=3,2,IF(Dataset!C713=4,3,4)))</f>
        <v>1</v>
      </c>
      <c r="G713" s="29">
        <f t="shared" si="89"/>
        <v>0.3</v>
      </c>
      <c r="H713" s="29">
        <f>IF(Dataset!G713&lt;=3,0.25,IF(Dataset!G713&lt;=6,0.45,IF(Dataset!G713&lt;=9,0.65,0.85)))</f>
        <v>0.85</v>
      </c>
      <c r="I713" s="29">
        <f>IF(Dataset!G713&lt;=3,1,IF(Dataset!G713&lt;=6,2,IF(Dataset!G713&lt;=9,3,4)))</f>
        <v>4</v>
      </c>
      <c r="J713" s="29">
        <f t="shared" si="90"/>
        <v>3.4</v>
      </c>
      <c r="K713" s="29">
        <f>IF(Dataset!H713&lt;1,0.2,IF(Dataset!H713&lt;1.3,0.45,IF(Dataset!H713&lt;1.8,0.7,0.9)))</f>
        <v>0.2</v>
      </c>
      <c r="L713" s="29">
        <f>IF(Dataset!H713&lt;1,1,IF(Dataset!H713&lt;1.3,2,IF(Dataset!H713&lt;1.8,3,4)))</f>
        <v>1</v>
      </c>
      <c r="M713" s="29">
        <f t="shared" si="91"/>
        <v>0.2</v>
      </c>
      <c r="N713" s="29">
        <f>IF(Dataset!F713=1,0.75,IF(Dataset!F713=2,0.45,0.2))</f>
        <v>0.75</v>
      </c>
      <c r="O713" s="29">
        <f>IF(Dataset!F713=1,3,IF(Dataset!F713=2,2,1))</f>
        <v>3</v>
      </c>
      <c r="P713" s="29">
        <f t="shared" si="92"/>
        <v>2.25</v>
      </c>
      <c r="Q713" s="29">
        <f>IF(Dataset!K713&lt;5,0.2,IF(Dataset!K713&lt;10,0.45,IF(Dataset!K713&lt;18,0.7,0.9)))</f>
        <v>0.2</v>
      </c>
      <c r="R713" s="29">
        <f>IF(Dataset!K713&lt;5,1,IF(Dataset!K713&lt;10,2,IF(Dataset!K713&lt;18,3,4)))</f>
        <v>1</v>
      </c>
      <c r="S713" s="29">
        <f t="shared" si="93"/>
        <v>0.2</v>
      </c>
      <c r="T713" s="29">
        <f t="shared" si="94"/>
        <v>1.5990000000000002</v>
      </c>
      <c r="U713" s="29" t="str">
        <f t="shared" si="95"/>
        <v>Medium</v>
      </c>
    </row>
    <row r="714" spans="1:21" ht="15" customHeight="1" x14ac:dyDescent="0.25">
      <c r="A714" s="29">
        <f>Dataset!A714</f>
        <v>710</v>
      </c>
      <c r="B714" s="29">
        <f>IF(Dataset!B714&lt;25,0.3,IF(Dataset!B714&lt;75,0.5,IF(Dataset!B714&lt;120,0.65,0.8)))</f>
        <v>0.65</v>
      </c>
      <c r="C714" s="29">
        <f>IF(Dataset!B714&lt;25,1,IF(Dataset!B714&lt;75,2,IF(Dataset!B714&lt;120,3,4)))</f>
        <v>3</v>
      </c>
      <c r="D714" s="29">
        <f t="shared" si="88"/>
        <v>1.9500000000000002</v>
      </c>
      <c r="E714" s="29">
        <f>IF(Dataset!C714&lt;=1,0.3,IF(Dataset!C714=2,0.4,IF(Dataset!C714=3,0.5,IF(Dataset!C714=4,0.65,0.8))))</f>
        <v>0.65</v>
      </c>
      <c r="F714" s="29">
        <f>IF(Dataset!C714&lt;=2,1,IF(Dataset!C714=3,2,IF(Dataset!C714=4,3,4)))</f>
        <v>3</v>
      </c>
      <c r="G714" s="29">
        <f t="shared" si="89"/>
        <v>1.9500000000000002</v>
      </c>
      <c r="H714" s="29">
        <f>IF(Dataset!G714&lt;=3,0.25,IF(Dataset!G714&lt;=6,0.45,IF(Dataset!G714&lt;=9,0.65,0.85)))</f>
        <v>0.25</v>
      </c>
      <c r="I714" s="29">
        <f>IF(Dataset!G714&lt;=3,1,IF(Dataset!G714&lt;=6,2,IF(Dataset!G714&lt;=9,3,4)))</f>
        <v>1</v>
      </c>
      <c r="J714" s="29">
        <f t="shared" si="90"/>
        <v>0.25</v>
      </c>
      <c r="K714" s="29">
        <f>IF(Dataset!H714&lt;1,0.2,IF(Dataset!H714&lt;1.3,0.45,IF(Dataset!H714&lt;1.8,0.7,0.9)))</f>
        <v>0.9</v>
      </c>
      <c r="L714" s="29">
        <f>IF(Dataset!H714&lt;1,1,IF(Dataset!H714&lt;1.3,2,IF(Dataset!H714&lt;1.8,3,4)))</f>
        <v>4</v>
      </c>
      <c r="M714" s="29">
        <f t="shared" si="91"/>
        <v>3.6</v>
      </c>
      <c r="N714" s="29">
        <f>IF(Dataset!F714=1,0.75,IF(Dataset!F714=2,0.45,0.2))</f>
        <v>0.2</v>
      </c>
      <c r="O714" s="29">
        <f>IF(Dataset!F714=1,3,IF(Dataset!F714=2,2,1))</f>
        <v>1</v>
      </c>
      <c r="P714" s="29">
        <f t="shared" si="92"/>
        <v>0.2</v>
      </c>
      <c r="Q714" s="29">
        <f>IF(Dataset!K714&lt;5,0.2,IF(Dataset!K714&lt;10,0.45,IF(Dataset!K714&lt;18,0.7,0.9)))</f>
        <v>0.7</v>
      </c>
      <c r="R714" s="29">
        <f>IF(Dataset!K714&lt;5,1,IF(Dataset!K714&lt;10,2,IF(Dataset!K714&lt;18,3,4)))</f>
        <v>3</v>
      </c>
      <c r="S714" s="29">
        <f t="shared" si="93"/>
        <v>2.0999999999999996</v>
      </c>
      <c r="T714" s="29">
        <f t="shared" si="94"/>
        <v>1.8520000000000003</v>
      </c>
      <c r="U714" s="29" t="str">
        <f t="shared" si="95"/>
        <v>High</v>
      </c>
    </row>
    <row r="715" spans="1:21" ht="15" customHeight="1" x14ac:dyDescent="0.25">
      <c r="A715" s="29">
        <f>Dataset!A715</f>
        <v>711</v>
      </c>
      <c r="B715" s="29">
        <f>IF(Dataset!B715&lt;25,0.3,IF(Dataset!B715&lt;75,0.5,IF(Dataset!B715&lt;120,0.65,0.8)))</f>
        <v>0.5</v>
      </c>
      <c r="C715" s="29">
        <f>IF(Dataset!B715&lt;25,1,IF(Dataset!B715&lt;75,2,IF(Dataset!B715&lt;120,3,4)))</f>
        <v>2</v>
      </c>
      <c r="D715" s="29">
        <f t="shared" si="88"/>
        <v>1</v>
      </c>
      <c r="E715" s="29">
        <f>IF(Dataset!C715&lt;=1,0.3,IF(Dataset!C715=2,0.4,IF(Dataset!C715=3,0.5,IF(Dataset!C715=4,0.65,0.8))))</f>
        <v>0.5</v>
      </c>
      <c r="F715" s="29">
        <f>IF(Dataset!C715&lt;=2,1,IF(Dataset!C715=3,2,IF(Dataset!C715=4,3,4)))</f>
        <v>2</v>
      </c>
      <c r="G715" s="29">
        <f t="shared" si="89"/>
        <v>1</v>
      </c>
      <c r="H715" s="29">
        <f>IF(Dataset!G715&lt;=3,0.25,IF(Dataset!G715&lt;=6,0.45,IF(Dataset!G715&lt;=9,0.65,0.85)))</f>
        <v>0.25</v>
      </c>
      <c r="I715" s="29">
        <f>IF(Dataset!G715&lt;=3,1,IF(Dataset!G715&lt;=6,2,IF(Dataset!G715&lt;=9,3,4)))</f>
        <v>1</v>
      </c>
      <c r="J715" s="29">
        <f t="shared" si="90"/>
        <v>0.25</v>
      </c>
      <c r="K715" s="29">
        <f>IF(Dataset!H715&lt;1,0.2,IF(Dataset!H715&lt;1.3,0.45,IF(Dataset!H715&lt;1.8,0.7,0.9)))</f>
        <v>0.9</v>
      </c>
      <c r="L715" s="29">
        <f>IF(Dataset!H715&lt;1,1,IF(Dataset!H715&lt;1.3,2,IF(Dataset!H715&lt;1.8,3,4)))</f>
        <v>4</v>
      </c>
      <c r="M715" s="29">
        <f t="shared" si="91"/>
        <v>3.6</v>
      </c>
      <c r="N715" s="29">
        <f>IF(Dataset!F715=1,0.75,IF(Dataset!F715=2,0.45,0.2))</f>
        <v>0.45</v>
      </c>
      <c r="O715" s="29">
        <f>IF(Dataset!F715=1,3,IF(Dataset!F715=2,2,1))</f>
        <v>2</v>
      </c>
      <c r="P715" s="29">
        <f t="shared" si="92"/>
        <v>0.9</v>
      </c>
      <c r="Q715" s="29">
        <f>IF(Dataset!K715&lt;5,0.2,IF(Dataset!K715&lt;10,0.45,IF(Dataset!K715&lt;18,0.7,0.9)))</f>
        <v>0.2</v>
      </c>
      <c r="R715" s="29">
        <f>IF(Dataset!K715&lt;5,1,IF(Dataset!K715&lt;10,2,IF(Dataset!K715&lt;18,3,4)))</f>
        <v>1</v>
      </c>
      <c r="S715" s="29">
        <f t="shared" si="93"/>
        <v>0.2</v>
      </c>
      <c r="T715" s="29">
        <f t="shared" si="94"/>
        <v>1.3520000000000001</v>
      </c>
      <c r="U715" s="29" t="str">
        <f t="shared" si="95"/>
        <v>Low</v>
      </c>
    </row>
    <row r="716" spans="1:21" ht="15" customHeight="1" x14ac:dyDescent="0.25">
      <c r="A716" s="29">
        <f>Dataset!A716</f>
        <v>712</v>
      </c>
      <c r="B716" s="29">
        <f>IF(Dataset!B716&lt;25,0.3,IF(Dataset!B716&lt;75,0.5,IF(Dataset!B716&lt;120,0.65,0.8)))</f>
        <v>0.3</v>
      </c>
      <c r="C716" s="29">
        <f>IF(Dataset!B716&lt;25,1,IF(Dataset!B716&lt;75,2,IF(Dataset!B716&lt;120,3,4)))</f>
        <v>1</v>
      </c>
      <c r="D716" s="29">
        <f t="shared" si="88"/>
        <v>0.3</v>
      </c>
      <c r="E716" s="29">
        <f>IF(Dataset!C716&lt;=1,0.3,IF(Dataset!C716=2,0.4,IF(Dataset!C716=3,0.5,IF(Dataset!C716=4,0.65,0.8))))</f>
        <v>0.5</v>
      </c>
      <c r="F716" s="29">
        <f>IF(Dataset!C716&lt;=2,1,IF(Dataset!C716=3,2,IF(Dataset!C716=4,3,4)))</f>
        <v>2</v>
      </c>
      <c r="G716" s="29">
        <f t="shared" si="89"/>
        <v>1</v>
      </c>
      <c r="H716" s="29">
        <f>IF(Dataset!G716&lt;=3,0.25,IF(Dataset!G716&lt;=6,0.45,IF(Dataset!G716&lt;=9,0.65,0.85)))</f>
        <v>0.45</v>
      </c>
      <c r="I716" s="29">
        <f>IF(Dataset!G716&lt;=3,1,IF(Dataset!G716&lt;=6,2,IF(Dataset!G716&lt;=9,3,4)))</f>
        <v>2</v>
      </c>
      <c r="J716" s="29">
        <f t="shared" si="90"/>
        <v>0.9</v>
      </c>
      <c r="K716" s="29">
        <f>IF(Dataset!H716&lt;1,0.2,IF(Dataset!H716&lt;1.3,0.45,IF(Dataset!H716&lt;1.8,0.7,0.9)))</f>
        <v>0.9</v>
      </c>
      <c r="L716" s="29">
        <f>IF(Dataset!H716&lt;1,1,IF(Dataset!H716&lt;1.3,2,IF(Dataset!H716&lt;1.8,3,4)))</f>
        <v>4</v>
      </c>
      <c r="M716" s="29">
        <f t="shared" si="91"/>
        <v>3.6</v>
      </c>
      <c r="N716" s="29">
        <f>IF(Dataset!F716=1,0.75,IF(Dataset!F716=2,0.45,0.2))</f>
        <v>0.45</v>
      </c>
      <c r="O716" s="29">
        <f>IF(Dataset!F716=1,3,IF(Dataset!F716=2,2,1))</f>
        <v>2</v>
      </c>
      <c r="P716" s="29">
        <f t="shared" si="92"/>
        <v>0.9</v>
      </c>
      <c r="Q716" s="29">
        <f>IF(Dataset!K716&lt;5,0.2,IF(Dataset!K716&lt;10,0.45,IF(Dataset!K716&lt;18,0.7,0.9)))</f>
        <v>0.45</v>
      </c>
      <c r="R716" s="29">
        <f>IF(Dataset!K716&lt;5,1,IF(Dataset!K716&lt;10,2,IF(Dataset!K716&lt;18,3,4)))</f>
        <v>2</v>
      </c>
      <c r="S716" s="29">
        <f t="shared" si="93"/>
        <v>0.9</v>
      </c>
      <c r="T716" s="29">
        <f t="shared" si="94"/>
        <v>1.4540000000000002</v>
      </c>
      <c r="U716" s="29" t="str">
        <f t="shared" si="95"/>
        <v>Medium</v>
      </c>
    </row>
    <row r="717" spans="1:21" ht="15" customHeight="1" x14ac:dyDescent="0.25">
      <c r="A717" s="29">
        <f>Dataset!A717</f>
        <v>713</v>
      </c>
      <c r="B717" s="29">
        <f>IF(Dataset!B717&lt;25,0.3,IF(Dataset!B717&lt;75,0.5,IF(Dataset!B717&lt;120,0.65,0.8)))</f>
        <v>0.5</v>
      </c>
      <c r="C717" s="29">
        <f>IF(Dataset!B717&lt;25,1,IF(Dataset!B717&lt;75,2,IF(Dataset!B717&lt;120,3,4)))</f>
        <v>2</v>
      </c>
      <c r="D717" s="29">
        <f t="shared" si="88"/>
        <v>1</v>
      </c>
      <c r="E717" s="29">
        <f>IF(Dataset!C717&lt;=1,0.3,IF(Dataset!C717=2,0.4,IF(Dataset!C717=3,0.5,IF(Dataset!C717=4,0.65,0.8))))</f>
        <v>0.5</v>
      </c>
      <c r="F717" s="29">
        <f>IF(Dataset!C717&lt;=2,1,IF(Dataset!C717=3,2,IF(Dataset!C717=4,3,4)))</f>
        <v>2</v>
      </c>
      <c r="G717" s="29">
        <f t="shared" si="89"/>
        <v>1</v>
      </c>
      <c r="H717" s="29">
        <f>IF(Dataset!G717&lt;=3,0.25,IF(Dataset!G717&lt;=6,0.45,IF(Dataset!G717&lt;=9,0.65,0.85)))</f>
        <v>0.65</v>
      </c>
      <c r="I717" s="29">
        <f>IF(Dataset!G717&lt;=3,1,IF(Dataset!G717&lt;=6,2,IF(Dataset!G717&lt;=9,3,4)))</f>
        <v>3</v>
      </c>
      <c r="J717" s="29">
        <f t="shared" si="90"/>
        <v>1.9500000000000002</v>
      </c>
      <c r="K717" s="29">
        <f>IF(Dataset!H717&lt;1,0.2,IF(Dataset!H717&lt;1.3,0.45,IF(Dataset!H717&lt;1.8,0.7,0.9)))</f>
        <v>0.9</v>
      </c>
      <c r="L717" s="29">
        <f>IF(Dataset!H717&lt;1,1,IF(Dataset!H717&lt;1.3,2,IF(Dataset!H717&lt;1.8,3,4)))</f>
        <v>4</v>
      </c>
      <c r="M717" s="29">
        <f t="shared" si="91"/>
        <v>3.6</v>
      </c>
      <c r="N717" s="29">
        <f>IF(Dataset!F717=1,0.75,IF(Dataset!F717=2,0.45,0.2))</f>
        <v>0.45</v>
      </c>
      <c r="O717" s="29">
        <f>IF(Dataset!F717=1,3,IF(Dataset!F717=2,2,1))</f>
        <v>2</v>
      </c>
      <c r="P717" s="29">
        <f t="shared" si="92"/>
        <v>0.9</v>
      </c>
      <c r="Q717" s="29">
        <f>IF(Dataset!K717&lt;5,0.2,IF(Dataset!K717&lt;10,0.45,IF(Dataset!K717&lt;18,0.7,0.9)))</f>
        <v>0.45</v>
      </c>
      <c r="R717" s="29">
        <f>IF(Dataset!K717&lt;5,1,IF(Dataset!K717&lt;10,2,IF(Dataset!K717&lt;18,3,4)))</f>
        <v>2</v>
      </c>
      <c r="S717" s="29">
        <f t="shared" si="93"/>
        <v>0.9</v>
      </c>
      <c r="T717" s="29">
        <f t="shared" si="94"/>
        <v>1.7900000000000003</v>
      </c>
      <c r="U717" s="29" t="str">
        <f t="shared" si="95"/>
        <v>High</v>
      </c>
    </row>
    <row r="718" spans="1:21" ht="15" customHeight="1" x14ac:dyDescent="0.25">
      <c r="A718" s="29">
        <f>Dataset!A718</f>
        <v>714</v>
      </c>
      <c r="B718" s="29">
        <f>IF(Dataset!B718&lt;25,0.3,IF(Dataset!B718&lt;75,0.5,IF(Dataset!B718&lt;120,0.65,0.8)))</f>
        <v>0.8</v>
      </c>
      <c r="C718" s="29">
        <f>IF(Dataset!B718&lt;25,1,IF(Dataset!B718&lt;75,2,IF(Dataset!B718&lt;120,3,4)))</f>
        <v>4</v>
      </c>
      <c r="D718" s="29">
        <f t="shared" si="88"/>
        <v>3.2</v>
      </c>
      <c r="E718" s="29">
        <f>IF(Dataset!C718&lt;=1,0.3,IF(Dataset!C718=2,0.4,IF(Dataset!C718=3,0.5,IF(Dataset!C718=4,0.65,0.8))))</f>
        <v>0.8</v>
      </c>
      <c r="F718" s="29">
        <f>IF(Dataset!C718&lt;=2,1,IF(Dataset!C718=3,2,IF(Dataset!C718=4,3,4)))</f>
        <v>4</v>
      </c>
      <c r="G718" s="29">
        <f t="shared" si="89"/>
        <v>3.2</v>
      </c>
      <c r="H718" s="29">
        <f>IF(Dataset!G718&lt;=3,0.25,IF(Dataset!G718&lt;=6,0.45,IF(Dataset!G718&lt;=9,0.65,0.85)))</f>
        <v>0.25</v>
      </c>
      <c r="I718" s="29">
        <f>IF(Dataset!G718&lt;=3,1,IF(Dataset!G718&lt;=6,2,IF(Dataset!G718&lt;=9,3,4)))</f>
        <v>1</v>
      </c>
      <c r="J718" s="29">
        <f t="shared" si="90"/>
        <v>0.25</v>
      </c>
      <c r="K718" s="29">
        <f>IF(Dataset!H718&lt;1,0.2,IF(Dataset!H718&lt;1.3,0.45,IF(Dataset!H718&lt;1.8,0.7,0.9)))</f>
        <v>0.9</v>
      </c>
      <c r="L718" s="29">
        <f>IF(Dataset!H718&lt;1,1,IF(Dataset!H718&lt;1.3,2,IF(Dataset!H718&lt;1.8,3,4)))</f>
        <v>4</v>
      </c>
      <c r="M718" s="29">
        <f t="shared" si="91"/>
        <v>3.6</v>
      </c>
      <c r="N718" s="29">
        <f>IF(Dataset!F718=1,0.75,IF(Dataset!F718=2,0.45,0.2))</f>
        <v>0.75</v>
      </c>
      <c r="O718" s="29">
        <f>IF(Dataset!F718=1,3,IF(Dataset!F718=2,2,1))</f>
        <v>3</v>
      </c>
      <c r="P718" s="29">
        <f t="shared" si="92"/>
        <v>2.25</v>
      </c>
      <c r="Q718" s="29">
        <f>IF(Dataset!K718&lt;5,0.2,IF(Dataset!K718&lt;10,0.45,IF(Dataset!K718&lt;18,0.7,0.9)))</f>
        <v>0.7</v>
      </c>
      <c r="R718" s="29">
        <f>IF(Dataset!K718&lt;5,1,IF(Dataset!K718&lt;10,2,IF(Dataset!K718&lt;18,3,4)))</f>
        <v>3</v>
      </c>
      <c r="S718" s="29">
        <f t="shared" si="93"/>
        <v>2.0999999999999996</v>
      </c>
      <c r="T718" s="29">
        <f t="shared" si="94"/>
        <v>2.4570000000000003</v>
      </c>
      <c r="U718" s="29" t="str">
        <f t="shared" si="95"/>
        <v>High</v>
      </c>
    </row>
    <row r="719" spans="1:21" ht="15" customHeight="1" x14ac:dyDescent="0.25">
      <c r="A719" s="29">
        <f>Dataset!A719</f>
        <v>715</v>
      </c>
      <c r="B719" s="29">
        <f>IF(Dataset!B719&lt;25,0.3,IF(Dataset!B719&lt;75,0.5,IF(Dataset!B719&lt;120,0.65,0.8)))</f>
        <v>0.65</v>
      </c>
      <c r="C719" s="29">
        <f>IF(Dataset!B719&lt;25,1,IF(Dataset!B719&lt;75,2,IF(Dataset!B719&lt;120,3,4)))</f>
        <v>3</v>
      </c>
      <c r="D719" s="29">
        <f t="shared" si="88"/>
        <v>1.9500000000000002</v>
      </c>
      <c r="E719" s="29">
        <f>IF(Dataset!C719&lt;=1,0.3,IF(Dataset!C719=2,0.4,IF(Dataset!C719=3,0.5,IF(Dataset!C719=4,0.65,0.8))))</f>
        <v>0.65</v>
      </c>
      <c r="F719" s="29">
        <f>IF(Dataset!C719&lt;=2,1,IF(Dataset!C719=3,2,IF(Dataset!C719=4,3,4)))</f>
        <v>3</v>
      </c>
      <c r="G719" s="29">
        <f t="shared" si="89"/>
        <v>1.9500000000000002</v>
      </c>
      <c r="H719" s="29">
        <f>IF(Dataset!G719&lt;=3,0.25,IF(Dataset!G719&lt;=6,0.45,IF(Dataset!G719&lt;=9,0.65,0.85)))</f>
        <v>0.45</v>
      </c>
      <c r="I719" s="29">
        <f>IF(Dataset!G719&lt;=3,1,IF(Dataset!G719&lt;=6,2,IF(Dataset!G719&lt;=9,3,4)))</f>
        <v>2</v>
      </c>
      <c r="J719" s="29">
        <f t="shared" si="90"/>
        <v>0.9</v>
      </c>
      <c r="K719" s="29">
        <f>IF(Dataset!H719&lt;1,0.2,IF(Dataset!H719&lt;1.3,0.45,IF(Dataset!H719&lt;1.8,0.7,0.9)))</f>
        <v>0.2</v>
      </c>
      <c r="L719" s="29">
        <f>IF(Dataset!H719&lt;1,1,IF(Dataset!H719&lt;1.3,2,IF(Dataset!H719&lt;1.8,3,4)))</f>
        <v>1</v>
      </c>
      <c r="M719" s="29">
        <f t="shared" si="91"/>
        <v>0.2</v>
      </c>
      <c r="N719" s="29">
        <f>IF(Dataset!F719=1,0.75,IF(Dataset!F719=2,0.45,0.2))</f>
        <v>0.2</v>
      </c>
      <c r="O719" s="29">
        <f>IF(Dataset!F719=1,3,IF(Dataset!F719=2,2,1))</f>
        <v>1</v>
      </c>
      <c r="P719" s="29">
        <f t="shared" si="92"/>
        <v>0.2</v>
      </c>
      <c r="Q719" s="29">
        <f>IF(Dataset!K719&lt;5,0.2,IF(Dataset!K719&lt;10,0.45,IF(Dataset!K719&lt;18,0.7,0.9)))</f>
        <v>0.45</v>
      </c>
      <c r="R719" s="29">
        <f>IF(Dataset!K719&lt;5,1,IF(Dataset!K719&lt;10,2,IF(Dataset!K719&lt;18,3,4)))</f>
        <v>2</v>
      </c>
      <c r="S719" s="29">
        <f t="shared" si="93"/>
        <v>0.9</v>
      </c>
      <c r="T719" s="29">
        <f t="shared" si="94"/>
        <v>0.99800000000000022</v>
      </c>
      <c r="U719" s="29" t="str">
        <f t="shared" si="95"/>
        <v>Low</v>
      </c>
    </row>
    <row r="720" spans="1:21" ht="15" customHeight="1" x14ac:dyDescent="0.25">
      <c r="A720" s="29">
        <f>Dataset!A720</f>
        <v>716</v>
      </c>
      <c r="B720" s="29">
        <f>IF(Dataset!B720&lt;25,0.3,IF(Dataset!B720&lt;75,0.5,IF(Dataset!B720&lt;120,0.65,0.8)))</f>
        <v>0.8</v>
      </c>
      <c r="C720" s="29">
        <f>IF(Dataset!B720&lt;25,1,IF(Dataset!B720&lt;75,2,IF(Dataset!B720&lt;120,3,4)))</f>
        <v>4</v>
      </c>
      <c r="D720" s="29">
        <f t="shared" si="88"/>
        <v>3.2</v>
      </c>
      <c r="E720" s="29">
        <f>IF(Dataset!C720&lt;=1,0.3,IF(Dataset!C720=2,0.4,IF(Dataset!C720=3,0.5,IF(Dataset!C720=4,0.65,0.8))))</f>
        <v>0.5</v>
      </c>
      <c r="F720" s="29">
        <f>IF(Dataset!C720&lt;=2,1,IF(Dataset!C720=3,2,IF(Dataset!C720=4,3,4)))</f>
        <v>2</v>
      </c>
      <c r="G720" s="29">
        <f t="shared" si="89"/>
        <v>1</v>
      </c>
      <c r="H720" s="29">
        <f>IF(Dataset!G720&lt;=3,0.25,IF(Dataset!G720&lt;=6,0.45,IF(Dataset!G720&lt;=9,0.65,0.85)))</f>
        <v>0.45</v>
      </c>
      <c r="I720" s="29">
        <f>IF(Dataset!G720&lt;=3,1,IF(Dataset!G720&lt;=6,2,IF(Dataset!G720&lt;=9,3,4)))</f>
        <v>2</v>
      </c>
      <c r="J720" s="29">
        <f t="shared" si="90"/>
        <v>0.9</v>
      </c>
      <c r="K720" s="29">
        <f>IF(Dataset!H720&lt;1,0.2,IF(Dataset!H720&lt;1.3,0.45,IF(Dataset!H720&lt;1.8,0.7,0.9)))</f>
        <v>0.2</v>
      </c>
      <c r="L720" s="29">
        <f>IF(Dataset!H720&lt;1,1,IF(Dataset!H720&lt;1.3,2,IF(Dataset!H720&lt;1.8,3,4)))</f>
        <v>1</v>
      </c>
      <c r="M720" s="29">
        <f t="shared" si="91"/>
        <v>0.2</v>
      </c>
      <c r="N720" s="29">
        <f>IF(Dataset!F720=1,0.75,IF(Dataset!F720=2,0.45,0.2))</f>
        <v>0.75</v>
      </c>
      <c r="O720" s="29">
        <f>IF(Dataset!F720=1,3,IF(Dataset!F720=2,2,1))</f>
        <v>3</v>
      </c>
      <c r="P720" s="29">
        <f t="shared" si="92"/>
        <v>2.25</v>
      </c>
      <c r="Q720" s="29">
        <f>IF(Dataset!K720&lt;5,0.2,IF(Dataset!K720&lt;10,0.45,IF(Dataset!K720&lt;18,0.7,0.9)))</f>
        <v>0.45</v>
      </c>
      <c r="R720" s="29">
        <f>IF(Dataset!K720&lt;5,1,IF(Dataset!K720&lt;10,2,IF(Dataset!K720&lt;18,3,4)))</f>
        <v>2</v>
      </c>
      <c r="S720" s="29">
        <f t="shared" si="93"/>
        <v>0.9</v>
      </c>
      <c r="T720" s="29">
        <f t="shared" si="94"/>
        <v>1.2950000000000002</v>
      </c>
      <c r="U720" s="29" t="str">
        <f t="shared" si="95"/>
        <v>Low</v>
      </c>
    </row>
    <row r="721" spans="1:21" ht="15" customHeight="1" x14ac:dyDescent="0.25">
      <c r="A721" s="29">
        <f>Dataset!A721</f>
        <v>717</v>
      </c>
      <c r="B721" s="29">
        <f>IF(Dataset!B721&lt;25,0.3,IF(Dataset!B721&lt;75,0.5,IF(Dataset!B721&lt;120,0.65,0.8)))</f>
        <v>0.65</v>
      </c>
      <c r="C721" s="29">
        <f>IF(Dataset!B721&lt;25,1,IF(Dataset!B721&lt;75,2,IF(Dataset!B721&lt;120,3,4)))</f>
        <v>3</v>
      </c>
      <c r="D721" s="29">
        <f t="shared" si="88"/>
        <v>1.9500000000000002</v>
      </c>
      <c r="E721" s="29">
        <f>IF(Dataset!C721&lt;=1,0.3,IF(Dataset!C721=2,0.4,IF(Dataset!C721=3,0.5,IF(Dataset!C721=4,0.65,0.8))))</f>
        <v>0.65</v>
      </c>
      <c r="F721" s="29">
        <f>IF(Dataset!C721&lt;=2,1,IF(Dataset!C721=3,2,IF(Dataset!C721=4,3,4)))</f>
        <v>3</v>
      </c>
      <c r="G721" s="29">
        <f t="shared" si="89"/>
        <v>1.9500000000000002</v>
      </c>
      <c r="H721" s="29">
        <f>IF(Dataset!G721&lt;=3,0.25,IF(Dataset!G721&lt;=6,0.45,IF(Dataset!G721&lt;=9,0.65,0.85)))</f>
        <v>0.85</v>
      </c>
      <c r="I721" s="29">
        <f>IF(Dataset!G721&lt;=3,1,IF(Dataset!G721&lt;=6,2,IF(Dataset!G721&lt;=9,3,4)))</f>
        <v>4</v>
      </c>
      <c r="J721" s="29">
        <f t="shared" si="90"/>
        <v>3.4</v>
      </c>
      <c r="K721" s="29">
        <f>IF(Dataset!H721&lt;1,0.2,IF(Dataset!H721&lt;1.3,0.45,IF(Dataset!H721&lt;1.8,0.7,0.9)))</f>
        <v>0.9</v>
      </c>
      <c r="L721" s="29">
        <f>IF(Dataset!H721&lt;1,1,IF(Dataset!H721&lt;1.3,2,IF(Dataset!H721&lt;1.8,3,4)))</f>
        <v>4</v>
      </c>
      <c r="M721" s="29">
        <f t="shared" si="91"/>
        <v>3.6</v>
      </c>
      <c r="N721" s="29">
        <f>IF(Dataset!F721=1,0.75,IF(Dataset!F721=2,0.45,0.2))</f>
        <v>0.75</v>
      </c>
      <c r="O721" s="29">
        <f>IF(Dataset!F721=1,3,IF(Dataset!F721=2,2,1))</f>
        <v>3</v>
      </c>
      <c r="P721" s="29">
        <f t="shared" si="92"/>
        <v>2.25</v>
      </c>
      <c r="Q721" s="29">
        <f>IF(Dataset!K721&lt;5,0.2,IF(Dataset!K721&lt;10,0.45,IF(Dataset!K721&lt;18,0.7,0.9)))</f>
        <v>0.45</v>
      </c>
      <c r="R721" s="29">
        <f>IF(Dataset!K721&lt;5,1,IF(Dataset!K721&lt;10,2,IF(Dataset!K721&lt;18,3,4)))</f>
        <v>2</v>
      </c>
      <c r="S721" s="29">
        <f t="shared" si="93"/>
        <v>0.9</v>
      </c>
      <c r="T721" s="29">
        <f t="shared" si="94"/>
        <v>2.5190000000000001</v>
      </c>
      <c r="U721" s="29" t="str">
        <f t="shared" si="95"/>
        <v>High</v>
      </c>
    </row>
    <row r="722" spans="1:21" ht="15" customHeight="1" x14ac:dyDescent="0.25">
      <c r="A722" s="29">
        <f>Dataset!A722</f>
        <v>718</v>
      </c>
      <c r="B722" s="29">
        <f>IF(Dataset!B722&lt;25,0.3,IF(Dataset!B722&lt;75,0.5,IF(Dataset!B722&lt;120,0.65,0.8)))</f>
        <v>0.8</v>
      </c>
      <c r="C722" s="29">
        <f>IF(Dataset!B722&lt;25,1,IF(Dataset!B722&lt;75,2,IF(Dataset!B722&lt;120,3,4)))</f>
        <v>4</v>
      </c>
      <c r="D722" s="29">
        <f t="shared" si="88"/>
        <v>3.2</v>
      </c>
      <c r="E722" s="29">
        <f>IF(Dataset!C722&lt;=1,0.3,IF(Dataset!C722=2,0.4,IF(Dataset!C722=3,0.5,IF(Dataset!C722=4,0.65,0.8))))</f>
        <v>0.5</v>
      </c>
      <c r="F722" s="29">
        <f>IF(Dataset!C722&lt;=2,1,IF(Dataset!C722=3,2,IF(Dataset!C722=4,3,4)))</f>
        <v>2</v>
      </c>
      <c r="G722" s="29">
        <f t="shared" si="89"/>
        <v>1</v>
      </c>
      <c r="H722" s="29">
        <f>IF(Dataset!G722&lt;=3,0.25,IF(Dataset!G722&lt;=6,0.45,IF(Dataset!G722&lt;=9,0.65,0.85)))</f>
        <v>0.85</v>
      </c>
      <c r="I722" s="29">
        <f>IF(Dataset!G722&lt;=3,1,IF(Dataset!G722&lt;=6,2,IF(Dataset!G722&lt;=9,3,4)))</f>
        <v>4</v>
      </c>
      <c r="J722" s="29">
        <f t="shared" si="90"/>
        <v>3.4</v>
      </c>
      <c r="K722" s="29">
        <f>IF(Dataset!H722&lt;1,0.2,IF(Dataset!H722&lt;1.3,0.45,IF(Dataset!H722&lt;1.8,0.7,0.9)))</f>
        <v>0.7</v>
      </c>
      <c r="L722" s="29">
        <f>IF(Dataset!H722&lt;1,1,IF(Dataset!H722&lt;1.3,2,IF(Dataset!H722&lt;1.8,3,4)))</f>
        <v>3</v>
      </c>
      <c r="M722" s="29">
        <f t="shared" si="91"/>
        <v>2.0999999999999996</v>
      </c>
      <c r="N722" s="29">
        <f>IF(Dataset!F722=1,0.75,IF(Dataset!F722=2,0.45,0.2))</f>
        <v>0.45</v>
      </c>
      <c r="O722" s="29">
        <f>IF(Dataset!F722=1,3,IF(Dataset!F722=2,2,1))</f>
        <v>2</v>
      </c>
      <c r="P722" s="29">
        <f t="shared" si="92"/>
        <v>0.9</v>
      </c>
      <c r="Q722" s="29">
        <f>IF(Dataset!K722&lt;5,0.2,IF(Dataset!K722&lt;10,0.45,IF(Dataset!K722&lt;18,0.7,0.9)))</f>
        <v>0.2</v>
      </c>
      <c r="R722" s="29">
        <f>IF(Dataset!K722&lt;5,1,IF(Dataset!K722&lt;10,2,IF(Dataset!K722&lt;18,3,4)))</f>
        <v>1</v>
      </c>
      <c r="S722" s="29">
        <f t="shared" si="93"/>
        <v>0.2</v>
      </c>
      <c r="T722" s="29">
        <f t="shared" si="94"/>
        <v>2.0179999999999998</v>
      </c>
      <c r="U722" s="29" t="str">
        <f t="shared" si="95"/>
        <v>High</v>
      </c>
    </row>
    <row r="723" spans="1:21" ht="15" customHeight="1" x14ac:dyDescent="0.25">
      <c r="A723" s="29">
        <f>Dataset!A723</f>
        <v>719</v>
      </c>
      <c r="B723" s="29">
        <f>IF(Dataset!B723&lt;25,0.3,IF(Dataset!B723&lt;75,0.5,IF(Dataset!B723&lt;120,0.65,0.8)))</f>
        <v>0.5</v>
      </c>
      <c r="C723" s="29">
        <f>IF(Dataset!B723&lt;25,1,IF(Dataset!B723&lt;75,2,IF(Dataset!B723&lt;120,3,4)))</f>
        <v>2</v>
      </c>
      <c r="D723" s="29">
        <f t="shared" si="88"/>
        <v>1</v>
      </c>
      <c r="E723" s="29">
        <f>IF(Dataset!C723&lt;=1,0.3,IF(Dataset!C723=2,0.4,IF(Dataset!C723=3,0.5,IF(Dataset!C723=4,0.65,0.8))))</f>
        <v>0.5</v>
      </c>
      <c r="F723" s="29">
        <f>IF(Dataset!C723&lt;=2,1,IF(Dataset!C723=3,2,IF(Dataset!C723=4,3,4)))</f>
        <v>2</v>
      </c>
      <c r="G723" s="29">
        <f t="shared" si="89"/>
        <v>1</v>
      </c>
      <c r="H723" s="29">
        <f>IF(Dataset!G723&lt;=3,0.25,IF(Dataset!G723&lt;=6,0.45,IF(Dataset!G723&lt;=9,0.65,0.85)))</f>
        <v>0.85</v>
      </c>
      <c r="I723" s="29">
        <f>IF(Dataset!G723&lt;=3,1,IF(Dataset!G723&lt;=6,2,IF(Dataset!G723&lt;=9,3,4)))</f>
        <v>4</v>
      </c>
      <c r="J723" s="29">
        <f t="shared" si="90"/>
        <v>3.4</v>
      </c>
      <c r="K723" s="29">
        <f>IF(Dataset!H723&lt;1,0.2,IF(Dataset!H723&lt;1.3,0.45,IF(Dataset!H723&lt;1.8,0.7,0.9)))</f>
        <v>0.9</v>
      </c>
      <c r="L723" s="29">
        <f>IF(Dataset!H723&lt;1,1,IF(Dataset!H723&lt;1.3,2,IF(Dataset!H723&lt;1.8,3,4)))</f>
        <v>4</v>
      </c>
      <c r="M723" s="29">
        <f t="shared" si="91"/>
        <v>3.6</v>
      </c>
      <c r="N723" s="29">
        <f>IF(Dataset!F723=1,0.75,IF(Dataset!F723=2,0.45,0.2))</f>
        <v>0.75</v>
      </c>
      <c r="O723" s="29">
        <f>IF(Dataset!F723=1,3,IF(Dataset!F723=2,2,1))</f>
        <v>3</v>
      </c>
      <c r="P723" s="29">
        <f t="shared" si="92"/>
        <v>2.25</v>
      </c>
      <c r="Q723" s="29">
        <f>IF(Dataset!K723&lt;5,0.2,IF(Dataset!K723&lt;10,0.45,IF(Dataset!K723&lt;18,0.7,0.9)))</f>
        <v>0.45</v>
      </c>
      <c r="R723" s="29">
        <f>IF(Dataset!K723&lt;5,1,IF(Dataset!K723&lt;10,2,IF(Dataset!K723&lt;18,3,4)))</f>
        <v>2</v>
      </c>
      <c r="S723" s="29">
        <f t="shared" si="93"/>
        <v>0.9</v>
      </c>
      <c r="T723" s="29">
        <f t="shared" si="94"/>
        <v>2.2149999999999999</v>
      </c>
      <c r="U723" s="29" t="str">
        <f t="shared" si="95"/>
        <v>High</v>
      </c>
    </row>
    <row r="724" spans="1:21" ht="15" customHeight="1" x14ac:dyDescent="0.25">
      <c r="A724" s="29">
        <f>Dataset!A724</f>
        <v>720</v>
      </c>
      <c r="B724" s="29">
        <f>IF(Dataset!B724&lt;25,0.3,IF(Dataset!B724&lt;75,0.5,IF(Dataset!B724&lt;120,0.65,0.8)))</f>
        <v>0.65</v>
      </c>
      <c r="C724" s="29">
        <f>IF(Dataset!B724&lt;25,1,IF(Dataset!B724&lt;75,2,IF(Dataset!B724&lt;120,3,4)))</f>
        <v>3</v>
      </c>
      <c r="D724" s="29">
        <f t="shared" si="88"/>
        <v>1.9500000000000002</v>
      </c>
      <c r="E724" s="29">
        <f>IF(Dataset!C724&lt;=1,0.3,IF(Dataset!C724=2,0.4,IF(Dataset!C724=3,0.5,IF(Dataset!C724=4,0.65,0.8))))</f>
        <v>0.5</v>
      </c>
      <c r="F724" s="29">
        <f>IF(Dataset!C724&lt;=2,1,IF(Dataset!C724=3,2,IF(Dataset!C724=4,3,4)))</f>
        <v>2</v>
      </c>
      <c r="G724" s="29">
        <f t="shared" si="89"/>
        <v>1</v>
      </c>
      <c r="H724" s="29">
        <f>IF(Dataset!G724&lt;=3,0.25,IF(Dataset!G724&lt;=6,0.45,IF(Dataset!G724&lt;=9,0.65,0.85)))</f>
        <v>0.45</v>
      </c>
      <c r="I724" s="29">
        <f>IF(Dataset!G724&lt;=3,1,IF(Dataset!G724&lt;=6,2,IF(Dataset!G724&lt;=9,3,4)))</f>
        <v>2</v>
      </c>
      <c r="J724" s="29">
        <f t="shared" si="90"/>
        <v>0.9</v>
      </c>
      <c r="K724" s="29">
        <f>IF(Dataset!H724&lt;1,0.2,IF(Dataset!H724&lt;1.3,0.45,IF(Dataset!H724&lt;1.8,0.7,0.9)))</f>
        <v>0.7</v>
      </c>
      <c r="L724" s="29">
        <f>IF(Dataset!H724&lt;1,1,IF(Dataset!H724&lt;1.3,2,IF(Dataset!H724&lt;1.8,3,4)))</f>
        <v>3</v>
      </c>
      <c r="M724" s="29">
        <f t="shared" si="91"/>
        <v>2.0999999999999996</v>
      </c>
      <c r="N724" s="29">
        <f>IF(Dataset!F724=1,0.75,IF(Dataset!F724=2,0.45,0.2))</f>
        <v>0.75</v>
      </c>
      <c r="O724" s="29">
        <f>IF(Dataset!F724=1,3,IF(Dataset!F724=2,2,1))</f>
        <v>3</v>
      </c>
      <c r="P724" s="29">
        <f t="shared" si="92"/>
        <v>2.25</v>
      </c>
      <c r="Q724" s="29">
        <f>IF(Dataset!K724&lt;5,0.2,IF(Dataset!K724&lt;10,0.45,IF(Dataset!K724&lt;18,0.7,0.9)))</f>
        <v>0.45</v>
      </c>
      <c r="R724" s="29">
        <f>IF(Dataset!K724&lt;5,1,IF(Dataset!K724&lt;10,2,IF(Dataset!K724&lt;18,3,4)))</f>
        <v>2</v>
      </c>
      <c r="S724" s="29">
        <f t="shared" si="93"/>
        <v>0.9</v>
      </c>
      <c r="T724" s="29">
        <f t="shared" si="94"/>
        <v>1.526</v>
      </c>
      <c r="U724" s="29" t="str">
        <f t="shared" si="95"/>
        <v>Medium</v>
      </c>
    </row>
    <row r="725" spans="1:21" ht="15" customHeight="1" x14ac:dyDescent="0.25">
      <c r="A725" s="29">
        <f>Dataset!A725</f>
        <v>721</v>
      </c>
      <c r="B725" s="29">
        <f>IF(Dataset!B725&lt;25,0.3,IF(Dataset!B725&lt;75,0.5,IF(Dataset!B725&lt;120,0.65,0.8)))</f>
        <v>0.5</v>
      </c>
      <c r="C725" s="29">
        <f>IF(Dataset!B725&lt;25,1,IF(Dataset!B725&lt;75,2,IF(Dataset!B725&lt;120,3,4)))</f>
        <v>2</v>
      </c>
      <c r="D725" s="29">
        <f t="shared" si="88"/>
        <v>1</v>
      </c>
      <c r="E725" s="29">
        <f>IF(Dataset!C725&lt;=1,0.3,IF(Dataset!C725=2,0.4,IF(Dataset!C725=3,0.5,IF(Dataset!C725=4,0.65,0.8))))</f>
        <v>0.5</v>
      </c>
      <c r="F725" s="29">
        <f>IF(Dataset!C725&lt;=2,1,IF(Dataset!C725=3,2,IF(Dataset!C725=4,3,4)))</f>
        <v>2</v>
      </c>
      <c r="G725" s="29">
        <f t="shared" si="89"/>
        <v>1</v>
      </c>
      <c r="H725" s="29">
        <f>IF(Dataset!G725&lt;=3,0.25,IF(Dataset!G725&lt;=6,0.45,IF(Dataset!G725&lt;=9,0.65,0.85)))</f>
        <v>0.45</v>
      </c>
      <c r="I725" s="29">
        <f>IF(Dataset!G725&lt;=3,1,IF(Dataset!G725&lt;=6,2,IF(Dataset!G725&lt;=9,3,4)))</f>
        <v>2</v>
      </c>
      <c r="J725" s="29">
        <f t="shared" si="90"/>
        <v>0.9</v>
      </c>
      <c r="K725" s="29">
        <f>IF(Dataset!H725&lt;1,0.2,IF(Dataset!H725&lt;1.3,0.45,IF(Dataset!H725&lt;1.8,0.7,0.9)))</f>
        <v>0.9</v>
      </c>
      <c r="L725" s="29">
        <f>IF(Dataset!H725&lt;1,1,IF(Dataset!H725&lt;1.3,2,IF(Dataset!H725&lt;1.8,3,4)))</f>
        <v>4</v>
      </c>
      <c r="M725" s="29">
        <f t="shared" si="91"/>
        <v>3.6</v>
      </c>
      <c r="N725" s="29">
        <f>IF(Dataset!F725=1,0.75,IF(Dataset!F725=2,0.45,0.2))</f>
        <v>0.2</v>
      </c>
      <c r="O725" s="29">
        <f>IF(Dataset!F725=1,3,IF(Dataset!F725=2,2,1))</f>
        <v>1</v>
      </c>
      <c r="P725" s="29">
        <f t="shared" si="92"/>
        <v>0.2</v>
      </c>
      <c r="Q725" s="29">
        <f>IF(Dataset!K725&lt;5,0.2,IF(Dataset!K725&lt;10,0.45,IF(Dataset!K725&lt;18,0.7,0.9)))</f>
        <v>0.2</v>
      </c>
      <c r="R725" s="29">
        <f>IF(Dataset!K725&lt;5,1,IF(Dataset!K725&lt;10,2,IF(Dataset!K725&lt;18,3,4)))</f>
        <v>1</v>
      </c>
      <c r="S725" s="29">
        <f t="shared" si="93"/>
        <v>0.2</v>
      </c>
      <c r="T725" s="29">
        <f t="shared" si="94"/>
        <v>1.4119999999999999</v>
      </c>
      <c r="U725" s="29" t="str">
        <f t="shared" si="95"/>
        <v>Medium</v>
      </c>
    </row>
    <row r="726" spans="1:21" ht="15" customHeight="1" x14ac:dyDescent="0.25">
      <c r="A726" s="29">
        <f>Dataset!A726</f>
        <v>722</v>
      </c>
      <c r="B726" s="29">
        <f>IF(Dataset!B726&lt;25,0.3,IF(Dataset!B726&lt;75,0.5,IF(Dataset!B726&lt;120,0.65,0.8)))</f>
        <v>0.5</v>
      </c>
      <c r="C726" s="29">
        <f>IF(Dataset!B726&lt;25,1,IF(Dataset!B726&lt;75,2,IF(Dataset!B726&lt;120,3,4)))</f>
        <v>2</v>
      </c>
      <c r="D726" s="29">
        <f t="shared" si="88"/>
        <v>1</v>
      </c>
      <c r="E726" s="29">
        <f>IF(Dataset!C726&lt;=1,0.3,IF(Dataset!C726=2,0.4,IF(Dataset!C726=3,0.5,IF(Dataset!C726=4,0.65,0.8))))</f>
        <v>0.65</v>
      </c>
      <c r="F726" s="29">
        <f>IF(Dataset!C726&lt;=2,1,IF(Dataset!C726=3,2,IF(Dataset!C726=4,3,4)))</f>
        <v>3</v>
      </c>
      <c r="G726" s="29">
        <f t="shared" si="89"/>
        <v>1.9500000000000002</v>
      </c>
      <c r="H726" s="29">
        <f>IF(Dataset!G726&lt;=3,0.25,IF(Dataset!G726&lt;=6,0.45,IF(Dataset!G726&lt;=9,0.65,0.85)))</f>
        <v>0.65</v>
      </c>
      <c r="I726" s="29">
        <f>IF(Dataset!G726&lt;=3,1,IF(Dataset!G726&lt;=6,2,IF(Dataset!G726&lt;=9,3,4)))</f>
        <v>3</v>
      </c>
      <c r="J726" s="29">
        <f t="shared" si="90"/>
        <v>1.9500000000000002</v>
      </c>
      <c r="K726" s="29">
        <f>IF(Dataset!H726&lt;1,0.2,IF(Dataset!H726&lt;1.3,0.45,IF(Dataset!H726&lt;1.8,0.7,0.9)))</f>
        <v>0.9</v>
      </c>
      <c r="L726" s="29">
        <f>IF(Dataset!H726&lt;1,1,IF(Dataset!H726&lt;1.3,2,IF(Dataset!H726&lt;1.8,3,4)))</f>
        <v>4</v>
      </c>
      <c r="M726" s="29">
        <f t="shared" si="91"/>
        <v>3.6</v>
      </c>
      <c r="N726" s="29">
        <f>IF(Dataset!F726=1,0.75,IF(Dataset!F726=2,0.45,0.2))</f>
        <v>0.45</v>
      </c>
      <c r="O726" s="29">
        <f>IF(Dataset!F726=1,3,IF(Dataset!F726=2,2,1))</f>
        <v>2</v>
      </c>
      <c r="P726" s="29">
        <f t="shared" si="92"/>
        <v>0.9</v>
      </c>
      <c r="Q726" s="29">
        <f>IF(Dataset!K726&lt;5,0.2,IF(Dataset!K726&lt;10,0.45,IF(Dataset!K726&lt;18,0.7,0.9)))</f>
        <v>0.7</v>
      </c>
      <c r="R726" s="29">
        <f>IF(Dataset!K726&lt;5,1,IF(Dataset!K726&lt;10,2,IF(Dataset!K726&lt;18,3,4)))</f>
        <v>3</v>
      </c>
      <c r="S726" s="29">
        <f t="shared" si="93"/>
        <v>2.0999999999999996</v>
      </c>
      <c r="T726" s="29">
        <f t="shared" si="94"/>
        <v>2.0910000000000002</v>
      </c>
      <c r="U726" s="29" t="str">
        <f t="shared" si="95"/>
        <v>High</v>
      </c>
    </row>
    <row r="727" spans="1:21" ht="15" customHeight="1" x14ac:dyDescent="0.25">
      <c r="A727" s="29">
        <f>Dataset!A727</f>
        <v>723</v>
      </c>
      <c r="B727" s="29">
        <f>IF(Dataset!B727&lt;25,0.3,IF(Dataset!B727&lt;75,0.5,IF(Dataset!B727&lt;120,0.65,0.8)))</f>
        <v>0.5</v>
      </c>
      <c r="C727" s="29">
        <f>IF(Dataset!B727&lt;25,1,IF(Dataset!B727&lt;75,2,IF(Dataset!B727&lt;120,3,4)))</f>
        <v>2</v>
      </c>
      <c r="D727" s="29">
        <f t="shared" si="88"/>
        <v>1</v>
      </c>
      <c r="E727" s="29">
        <f>IF(Dataset!C727&lt;=1,0.3,IF(Dataset!C727=2,0.4,IF(Dataset!C727=3,0.5,IF(Dataset!C727=4,0.65,0.8))))</f>
        <v>0.3</v>
      </c>
      <c r="F727" s="29">
        <f>IF(Dataset!C727&lt;=2,1,IF(Dataset!C727=3,2,IF(Dataset!C727=4,3,4)))</f>
        <v>1</v>
      </c>
      <c r="G727" s="29">
        <f t="shared" si="89"/>
        <v>0.3</v>
      </c>
      <c r="H727" s="29">
        <f>IF(Dataset!G727&lt;=3,0.25,IF(Dataset!G727&lt;=6,0.45,IF(Dataset!G727&lt;=9,0.65,0.85)))</f>
        <v>0.45</v>
      </c>
      <c r="I727" s="29">
        <f>IF(Dataset!G727&lt;=3,1,IF(Dataset!G727&lt;=6,2,IF(Dataset!G727&lt;=9,3,4)))</f>
        <v>2</v>
      </c>
      <c r="J727" s="29">
        <f t="shared" si="90"/>
        <v>0.9</v>
      </c>
      <c r="K727" s="29">
        <f>IF(Dataset!H727&lt;1,0.2,IF(Dataset!H727&lt;1.3,0.45,IF(Dataset!H727&lt;1.8,0.7,0.9)))</f>
        <v>0.7</v>
      </c>
      <c r="L727" s="29">
        <f>IF(Dataset!H727&lt;1,1,IF(Dataset!H727&lt;1.3,2,IF(Dataset!H727&lt;1.8,3,4)))</f>
        <v>3</v>
      </c>
      <c r="M727" s="29">
        <f t="shared" si="91"/>
        <v>2.0999999999999996</v>
      </c>
      <c r="N727" s="29">
        <f>IF(Dataset!F727=1,0.75,IF(Dataset!F727=2,0.45,0.2))</f>
        <v>0.75</v>
      </c>
      <c r="O727" s="29">
        <f>IF(Dataset!F727=1,3,IF(Dataset!F727=2,2,1))</f>
        <v>3</v>
      </c>
      <c r="P727" s="29">
        <f t="shared" si="92"/>
        <v>2.25</v>
      </c>
      <c r="Q727" s="29">
        <f>IF(Dataset!K727&lt;5,0.2,IF(Dataset!K727&lt;10,0.45,IF(Dataset!K727&lt;18,0.7,0.9)))</f>
        <v>0.2</v>
      </c>
      <c r="R727" s="29">
        <f>IF(Dataset!K727&lt;5,1,IF(Dataset!K727&lt;10,2,IF(Dataset!K727&lt;18,3,4)))</f>
        <v>1</v>
      </c>
      <c r="S727" s="29">
        <f t="shared" si="93"/>
        <v>0.2</v>
      </c>
      <c r="T727" s="29">
        <f t="shared" si="94"/>
        <v>1.159</v>
      </c>
      <c r="U727" s="29" t="str">
        <f t="shared" si="95"/>
        <v>Low</v>
      </c>
    </row>
    <row r="728" spans="1:21" ht="15" customHeight="1" x14ac:dyDescent="0.25">
      <c r="A728" s="29">
        <f>Dataset!A728</f>
        <v>724</v>
      </c>
      <c r="B728" s="29">
        <f>IF(Dataset!B728&lt;25,0.3,IF(Dataset!B728&lt;75,0.5,IF(Dataset!B728&lt;120,0.65,0.8)))</f>
        <v>0.65</v>
      </c>
      <c r="C728" s="29">
        <f>IF(Dataset!B728&lt;25,1,IF(Dataset!B728&lt;75,2,IF(Dataset!B728&lt;120,3,4)))</f>
        <v>3</v>
      </c>
      <c r="D728" s="29">
        <f t="shared" si="88"/>
        <v>1.9500000000000002</v>
      </c>
      <c r="E728" s="29">
        <f>IF(Dataset!C728&lt;=1,0.3,IF(Dataset!C728=2,0.4,IF(Dataset!C728=3,0.5,IF(Dataset!C728=4,0.65,0.8))))</f>
        <v>0.65</v>
      </c>
      <c r="F728" s="29">
        <f>IF(Dataset!C728&lt;=2,1,IF(Dataset!C728=3,2,IF(Dataset!C728=4,3,4)))</f>
        <v>3</v>
      </c>
      <c r="G728" s="29">
        <f t="shared" si="89"/>
        <v>1.9500000000000002</v>
      </c>
      <c r="H728" s="29">
        <f>IF(Dataset!G728&lt;=3,0.25,IF(Dataset!G728&lt;=6,0.45,IF(Dataset!G728&lt;=9,0.65,0.85)))</f>
        <v>0.45</v>
      </c>
      <c r="I728" s="29">
        <f>IF(Dataset!G728&lt;=3,1,IF(Dataset!G728&lt;=6,2,IF(Dataset!G728&lt;=9,3,4)))</f>
        <v>2</v>
      </c>
      <c r="J728" s="29">
        <f t="shared" si="90"/>
        <v>0.9</v>
      </c>
      <c r="K728" s="29">
        <f>IF(Dataset!H728&lt;1,0.2,IF(Dataset!H728&lt;1.3,0.45,IF(Dataset!H728&lt;1.8,0.7,0.9)))</f>
        <v>0.9</v>
      </c>
      <c r="L728" s="29">
        <f>IF(Dataset!H728&lt;1,1,IF(Dataset!H728&lt;1.3,2,IF(Dataset!H728&lt;1.8,3,4)))</f>
        <v>4</v>
      </c>
      <c r="M728" s="29">
        <f t="shared" si="91"/>
        <v>3.6</v>
      </c>
      <c r="N728" s="29">
        <f>IF(Dataset!F728=1,0.75,IF(Dataset!F728=2,0.45,0.2))</f>
        <v>0.45</v>
      </c>
      <c r="O728" s="29">
        <f>IF(Dataset!F728=1,3,IF(Dataset!F728=2,2,1))</f>
        <v>2</v>
      </c>
      <c r="P728" s="29">
        <f t="shared" si="92"/>
        <v>0.9</v>
      </c>
      <c r="Q728" s="29">
        <f>IF(Dataset!K728&lt;5,0.2,IF(Dataset!K728&lt;10,0.45,IF(Dataset!K728&lt;18,0.7,0.9)))</f>
        <v>0.45</v>
      </c>
      <c r="R728" s="29">
        <f>IF(Dataset!K728&lt;5,1,IF(Dataset!K728&lt;10,2,IF(Dataset!K728&lt;18,3,4)))</f>
        <v>2</v>
      </c>
      <c r="S728" s="29">
        <f t="shared" si="93"/>
        <v>0.9</v>
      </c>
      <c r="T728" s="29">
        <f t="shared" si="94"/>
        <v>1.8840000000000003</v>
      </c>
      <c r="U728" s="29" t="str">
        <f t="shared" si="95"/>
        <v>High</v>
      </c>
    </row>
    <row r="729" spans="1:21" ht="15" customHeight="1" x14ac:dyDescent="0.25">
      <c r="A729" s="29">
        <f>Dataset!A729</f>
        <v>725</v>
      </c>
      <c r="B729" s="29">
        <f>IF(Dataset!B729&lt;25,0.3,IF(Dataset!B729&lt;75,0.5,IF(Dataset!B729&lt;120,0.65,0.8)))</f>
        <v>0.5</v>
      </c>
      <c r="C729" s="29">
        <f>IF(Dataset!B729&lt;25,1,IF(Dataset!B729&lt;75,2,IF(Dataset!B729&lt;120,3,4)))</f>
        <v>2</v>
      </c>
      <c r="D729" s="29">
        <f t="shared" si="88"/>
        <v>1</v>
      </c>
      <c r="E729" s="29">
        <f>IF(Dataset!C729&lt;=1,0.3,IF(Dataset!C729=2,0.4,IF(Dataset!C729=3,0.5,IF(Dataset!C729=4,0.65,0.8))))</f>
        <v>0.5</v>
      </c>
      <c r="F729" s="29">
        <f>IF(Dataset!C729&lt;=2,1,IF(Dataset!C729=3,2,IF(Dataset!C729=4,3,4)))</f>
        <v>2</v>
      </c>
      <c r="G729" s="29">
        <f t="shared" si="89"/>
        <v>1</v>
      </c>
      <c r="H729" s="29">
        <f>IF(Dataset!G729&lt;=3,0.25,IF(Dataset!G729&lt;=6,0.45,IF(Dataset!G729&lt;=9,0.65,0.85)))</f>
        <v>0.25</v>
      </c>
      <c r="I729" s="29">
        <f>IF(Dataset!G729&lt;=3,1,IF(Dataset!G729&lt;=6,2,IF(Dataset!G729&lt;=9,3,4)))</f>
        <v>1</v>
      </c>
      <c r="J729" s="29">
        <f t="shared" si="90"/>
        <v>0.25</v>
      </c>
      <c r="K729" s="29">
        <f>IF(Dataset!H729&lt;1,0.2,IF(Dataset!H729&lt;1.3,0.45,IF(Dataset!H729&lt;1.8,0.7,0.9)))</f>
        <v>0.9</v>
      </c>
      <c r="L729" s="29">
        <f>IF(Dataset!H729&lt;1,1,IF(Dataset!H729&lt;1.3,2,IF(Dataset!H729&lt;1.8,3,4)))</f>
        <v>4</v>
      </c>
      <c r="M729" s="29">
        <f t="shared" si="91"/>
        <v>3.6</v>
      </c>
      <c r="N729" s="29">
        <f>IF(Dataset!F729=1,0.75,IF(Dataset!F729=2,0.45,0.2))</f>
        <v>0.45</v>
      </c>
      <c r="O729" s="29">
        <f>IF(Dataset!F729=1,3,IF(Dataset!F729=2,2,1))</f>
        <v>2</v>
      </c>
      <c r="P729" s="29">
        <f t="shared" si="92"/>
        <v>0.9</v>
      </c>
      <c r="Q729" s="29">
        <f>IF(Dataset!K729&lt;5,0.2,IF(Dataset!K729&lt;10,0.45,IF(Dataset!K729&lt;18,0.7,0.9)))</f>
        <v>0.2</v>
      </c>
      <c r="R729" s="29">
        <f>IF(Dataset!K729&lt;5,1,IF(Dataset!K729&lt;10,2,IF(Dataset!K729&lt;18,3,4)))</f>
        <v>1</v>
      </c>
      <c r="S729" s="29">
        <f t="shared" si="93"/>
        <v>0.2</v>
      </c>
      <c r="T729" s="29">
        <f t="shared" si="94"/>
        <v>1.3520000000000001</v>
      </c>
      <c r="U729" s="29" t="str">
        <f t="shared" si="95"/>
        <v>Low</v>
      </c>
    </row>
    <row r="730" spans="1:21" ht="15" customHeight="1" x14ac:dyDescent="0.25">
      <c r="A730" s="29">
        <f>Dataset!A730</f>
        <v>726</v>
      </c>
      <c r="B730" s="29">
        <f>IF(Dataset!B730&lt;25,0.3,IF(Dataset!B730&lt;75,0.5,IF(Dataset!B730&lt;120,0.65,0.8)))</f>
        <v>0.65</v>
      </c>
      <c r="C730" s="29">
        <f>IF(Dataset!B730&lt;25,1,IF(Dataset!B730&lt;75,2,IF(Dataset!B730&lt;120,3,4)))</f>
        <v>3</v>
      </c>
      <c r="D730" s="29">
        <f t="shared" si="88"/>
        <v>1.9500000000000002</v>
      </c>
      <c r="E730" s="29">
        <f>IF(Dataset!C730&lt;=1,0.3,IF(Dataset!C730=2,0.4,IF(Dataset!C730=3,0.5,IF(Dataset!C730=4,0.65,0.8))))</f>
        <v>0.65</v>
      </c>
      <c r="F730" s="29">
        <f>IF(Dataset!C730&lt;=2,1,IF(Dataset!C730=3,2,IF(Dataset!C730=4,3,4)))</f>
        <v>3</v>
      </c>
      <c r="G730" s="29">
        <f t="shared" si="89"/>
        <v>1.9500000000000002</v>
      </c>
      <c r="H730" s="29">
        <f>IF(Dataset!G730&lt;=3,0.25,IF(Dataset!G730&lt;=6,0.45,IF(Dataset!G730&lt;=9,0.65,0.85)))</f>
        <v>0.45</v>
      </c>
      <c r="I730" s="29">
        <f>IF(Dataset!G730&lt;=3,1,IF(Dataset!G730&lt;=6,2,IF(Dataset!G730&lt;=9,3,4)))</f>
        <v>2</v>
      </c>
      <c r="J730" s="29">
        <f t="shared" si="90"/>
        <v>0.9</v>
      </c>
      <c r="K730" s="29">
        <f>IF(Dataset!H730&lt;1,0.2,IF(Dataset!H730&lt;1.3,0.45,IF(Dataset!H730&lt;1.8,0.7,0.9)))</f>
        <v>0.45</v>
      </c>
      <c r="L730" s="29">
        <f>IF(Dataset!H730&lt;1,1,IF(Dataset!H730&lt;1.3,2,IF(Dataset!H730&lt;1.8,3,4)))</f>
        <v>2</v>
      </c>
      <c r="M730" s="29">
        <f t="shared" si="91"/>
        <v>0.9</v>
      </c>
      <c r="N730" s="29">
        <f>IF(Dataset!F730=1,0.75,IF(Dataset!F730=2,0.45,0.2))</f>
        <v>0.75</v>
      </c>
      <c r="O730" s="29">
        <f>IF(Dataset!F730=1,3,IF(Dataset!F730=2,2,1))</f>
        <v>3</v>
      </c>
      <c r="P730" s="29">
        <f t="shared" si="92"/>
        <v>2.25</v>
      </c>
      <c r="Q730" s="29">
        <f>IF(Dataset!K730&lt;5,0.2,IF(Dataset!K730&lt;10,0.45,IF(Dataset!K730&lt;18,0.7,0.9)))</f>
        <v>0.7</v>
      </c>
      <c r="R730" s="29">
        <f>IF(Dataset!K730&lt;5,1,IF(Dataset!K730&lt;10,2,IF(Dataset!K730&lt;18,3,4)))</f>
        <v>3</v>
      </c>
      <c r="S730" s="29">
        <f t="shared" si="93"/>
        <v>2.0999999999999996</v>
      </c>
      <c r="T730" s="29">
        <f t="shared" si="94"/>
        <v>1.5390000000000004</v>
      </c>
      <c r="U730" s="29" t="str">
        <f t="shared" si="95"/>
        <v>Medium</v>
      </c>
    </row>
    <row r="731" spans="1:21" ht="15" customHeight="1" x14ac:dyDescent="0.25">
      <c r="A731" s="29">
        <f>Dataset!A731</f>
        <v>727</v>
      </c>
      <c r="B731" s="29">
        <f>IF(Dataset!B731&lt;25,0.3,IF(Dataset!B731&lt;75,0.5,IF(Dataset!B731&lt;120,0.65,0.8)))</f>
        <v>0.5</v>
      </c>
      <c r="C731" s="29">
        <f>IF(Dataset!B731&lt;25,1,IF(Dataset!B731&lt;75,2,IF(Dataset!B731&lt;120,3,4)))</f>
        <v>2</v>
      </c>
      <c r="D731" s="29">
        <f t="shared" si="88"/>
        <v>1</v>
      </c>
      <c r="E731" s="29">
        <f>IF(Dataset!C731&lt;=1,0.3,IF(Dataset!C731=2,0.4,IF(Dataset!C731=3,0.5,IF(Dataset!C731=4,0.65,0.8))))</f>
        <v>0.65</v>
      </c>
      <c r="F731" s="29">
        <f>IF(Dataset!C731&lt;=2,1,IF(Dataset!C731=3,2,IF(Dataset!C731=4,3,4)))</f>
        <v>3</v>
      </c>
      <c r="G731" s="29">
        <f t="shared" si="89"/>
        <v>1.9500000000000002</v>
      </c>
      <c r="H731" s="29">
        <f>IF(Dataset!G731&lt;=3,0.25,IF(Dataset!G731&lt;=6,0.45,IF(Dataset!G731&lt;=9,0.65,0.85)))</f>
        <v>0.45</v>
      </c>
      <c r="I731" s="29">
        <f>IF(Dataset!G731&lt;=3,1,IF(Dataset!G731&lt;=6,2,IF(Dataset!G731&lt;=9,3,4)))</f>
        <v>2</v>
      </c>
      <c r="J731" s="29">
        <f t="shared" si="90"/>
        <v>0.9</v>
      </c>
      <c r="K731" s="29">
        <f>IF(Dataset!H731&lt;1,0.2,IF(Dataset!H731&lt;1.3,0.45,IF(Dataset!H731&lt;1.8,0.7,0.9)))</f>
        <v>0.9</v>
      </c>
      <c r="L731" s="29">
        <f>IF(Dataset!H731&lt;1,1,IF(Dataset!H731&lt;1.3,2,IF(Dataset!H731&lt;1.8,3,4)))</f>
        <v>4</v>
      </c>
      <c r="M731" s="29">
        <f t="shared" si="91"/>
        <v>3.6</v>
      </c>
      <c r="N731" s="29">
        <f>IF(Dataset!F731=1,0.75,IF(Dataset!F731=2,0.45,0.2))</f>
        <v>0.75</v>
      </c>
      <c r="O731" s="29">
        <f>IF(Dataset!F731=1,3,IF(Dataset!F731=2,2,1))</f>
        <v>3</v>
      </c>
      <c r="P731" s="29">
        <f t="shared" si="92"/>
        <v>2.25</v>
      </c>
      <c r="Q731" s="29">
        <f>IF(Dataset!K731&lt;5,0.2,IF(Dataset!K731&lt;10,0.45,IF(Dataset!K731&lt;18,0.7,0.9)))</f>
        <v>0.7</v>
      </c>
      <c r="R731" s="29">
        <f>IF(Dataset!K731&lt;5,1,IF(Dataset!K731&lt;10,2,IF(Dataset!K731&lt;18,3,4)))</f>
        <v>3</v>
      </c>
      <c r="S731" s="29">
        <f t="shared" si="93"/>
        <v>2.0999999999999996</v>
      </c>
      <c r="T731" s="29">
        <f t="shared" si="94"/>
        <v>2.016</v>
      </c>
      <c r="U731" s="29" t="str">
        <f t="shared" si="95"/>
        <v>High</v>
      </c>
    </row>
    <row r="732" spans="1:21" ht="15" customHeight="1" x14ac:dyDescent="0.25">
      <c r="A732" s="29">
        <f>Dataset!A732</f>
        <v>728</v>
      </c>
      <c r="B732" s="29">
        <f>IF(Dataset!B732&lt;25,0.3,IF(Dataset!B732&lt;75,0.5,IF(Dataset!B732&lt;120,0.65,0.8)))</f>
        <v>0.3</v>
      </c>
      <c r="C732" s="29">
        <f>IF(Dataset!B732&lt;25,1,IF(Dataset!B732&lt;75,2,IF(Dataset!B732&lt;120,3,4)))</f>
        <v>1</v>
      </c>
      <c r="D732" s="29">
        <f t="shared" si="88"/>
        <v>0.3</v>
      </c>
      <c r="E732" s="29">
        <f>IF(Dataset!C732&lt;=1,0.3,IF(Dataset!C732=2,0.4,IF(Dataset!C732=3,0.5,IF(Dataset!C732=4,0.65,0.8))))</f>
        <v>0.65</v>
      </c>
      <c r="F732" s="29">
        <f>IF(Dataset!C732&lt;=2,1,IF(Dataset!C732=3,2,IF(Dataset!C732=4,3,4)))</f>
        <v>3</v>
      </c>
      <c r="G732" s="29">
        <f t="shared" si="89"/>
        <v>1.9500000000000002</v>
      </c>
      <c r="H732" s="29">
        <f>IF(Dataset!G732&lt;=3,0.25,IF(Dataset!G732&lt;=6,0.45,IF(Dataset!G732&lt;=9,0.65,0.85)))</f>
        <v>0.45</v>
      </c>
      <c r="I732" s="29">
        <f>IF(Dataset!G732&lt;=3,1,IF(Dataset!G732&lt;=6,2,IF(Dataset!G732&lt;=9,3,4)))</f>
        <v>2</v>
      </c>
      <c r="J732" s="29">
        <f t="shared" si="90"/>
        <v>0.9</v>
      </c>
      <c r="K732" s="29">
        <f>IF(Dataset!H732&lt;1,0.2,IF(Dataset!H732&lt;1.3,0.45,IF(Dataset!H732&lt;1.8,0.7,0.9)))</f>
        <v>0.2</v>
      </c>
      <c r="L732" s="29">
        <f>IF(Dataset!H732&lt;1,1,IF(Dataset!H732&lt;1.3,2,IF(Dataset!H732&lt;1.8,3,4)))</f>
        <v>1</v>
      </c>
      <c r="M732" s="29">
        <f t="shared" si="91"/>
        <v>0.2</v>
      </c>
      <c r="N732" s="29">
        <f>IF(Dataset!F732=1,0.75,IF(Dataset!F732=2,0.45,0.2))</f>
        <v>0.45</v>
      </c>
      <c r="O732" s="29">
        <f>IF(Dataset!F732=1,3,IF(Dataset!F732=2,2,1))</f>
        <v>2</v>
      </c>
      <c r="P732" s="29">
        <f t="shared" si="92"/>
        <v>0.9</v>
      </c>
      <c r="Q732" s="29">
        <f>IF(Dataset!K732&lt;5,0.2,IF(Dataset!K732&lt;10,0.45,IF(Dataset!K732&lt;18,0.7,0.9)))</f>
        <v>0.45</v>
      </c>
      <c r="R732" s="29">
        <f>IF(Dataset!K732&lt;5,1,IF(Dataset!K732&lt;10,2,IF(Dataset!K732&lt;18,3,4)))</f>
        <v>2</v>
      </c>
      <c r="S732" s="29">
        <f t="shared" si="93"/>
        <v>0.9</v>
      </c>
      <c r="T732" s="29">
        <f t="shared" si="94"/>
        <v>0.77100000000000013</v>
      </c>
      <c r="U732" s="29" t="str">
        <f t="shared" si="95"/>
        <v>Low</v>
      </c>
    </row>
    <row r="733" spans="1:21" ht="15" customHeight="1" x14ac:dyDescent="0.25">
      <c r="A733" s="29">
        <f>Dataset!A733</f>
        <v>729</v>
      </c>
      <c r="B733" s="29">
        <f>IF(Dataset!B733&lt;25,0.3,IF(Dataset!B733&lt;75,0.5,IF(Dataset!B733&lt;120,0.65,0.8)))</f>
        <v>0.3</v>
      </c>
      <c r="C733" s="29">
        <f>IF(Dataset!B733&lt;25,1,IF(Dataset!B733&lt;75,2,IF(Dataset!B733&lt;120,3,4)))</f>
        <v>1</v>
      </c>
      <c r="D733" s="29">
        <f t="shared" si="88"/>
        <v>0.3</v>
      </c>
      <c r="E733" s="29">
        <f>IF(Dataset!C733&lt;=1,0.3,IF(Dataset!C733=2,0.4,IF(Dataset!C733=3,0.5,IF(Dataset!C733=4,0.65,0.8))))</f>
        <v>0.65</v>
      </c>
      <c r="F733" s="29">
        <f>IF(Dataset!C733&lt;=2,1,IF(Dataset!C733=3,2,IF(Dataset!C733=4,3,4)))</f>
        <v>3</v>
      </c>
      <c r="G733" s="29">
        <f t="shared" si="89"/>
        <v>1.9500000000000002</v>
      </c>
      <c r="H733" s="29">
        <f>IF(Dataset!G733&lt;=3,0.25,IF(Dataset!G733&lt;=6,0.45,IF(Dataset!G733&lt;=9,0.65,0.85)))</f>
        <v>0.65</v>
      </c>
      <c r="I733" s="29">
        <f>IF(Dataset!G733&lt;=3,1,IF(Dataset!G733&lt;=6,2,IF(Dataset!G733&lt;=9,3,4)))</f>
        <v>3</v>
      </c>
      <c r="J733" s="29">
        <f t="shared" si="90"/>
        <v>1.9500000000000002</v>
      </c>
      <c r="K733" s="29">
        <f>IF(Dataset!H733&lt;1,0.2,IF(Dataset!H733&lt;1.3,0.45,IF(Dataset!H733&lt;1.8,0.7,0.9)))</f>
        <v>0.45</v>
      </c>
      <c r="L733" s="29">
        <f>IF(Dataset!H733&lt;1,1,IF(Dataset!H733&lt;1.3,2,IF(Dataset!H733&lt;1.8,3,4)))</f>
        <v>2</v>
      </c>
      <c r="M733" s="29">
        <f t="shared" si="91"/>
        <v>0.9</v>
      </c>
      <c r="N733" s="29">
        <f>IF(Dataset!F733=1,0.75,IF(Dataset!F733=2,0.45,0.2))</f>
        <v>0.45</v>
      </c>
      <c r="O733" s="29">
        <f>IF(Dataset!F733=1,3,IF(Dataset!F733=2,2,1))</f>
        <v>2</v>
      </c>
      <c r="P733" s="29">
        <f t="shared" si="92"/>
        <v>0.9</v>
      </c>
      <c r="Q733" s="29">
        <f>IF(Dataset!K733&lt;5,0.2,IF(Dataset!K733&lt;10,0.45,IF(Dataset!K733&lt;18,0.7,0.9)))</f>
        <v>0.7</v>
      </c>
      <c r="R733" s="29">
        <f>IF(Dataset!K733&lt;5,1,IF(Dataset!K733&lt;10,2,IF(Dataset!K733&lt;18,3,4)))</f>
        <v>3</v>
      </c>
      <c r="S733" s="29">
        <f t="shared" si="93"/>
        <v>2.0999999999999996</v>
      </c>
      <c r="T733" s="29">
        <f t="shared" si="94"/>
        <v>1.3170000000000002</v>
      </c>
      <c r="U733" s="29" t="str">
        <f t="shared" si="95"/>
        <v>Low</v>
      </c>
    </row>
    <row r="734" spans="1:21" ht="15" customHeight="1" x14ac:dyDescent="0.25">
      <c r="A734" s="29">
        <f>Dataset!A734</f>
        <v>730</v>
      </c>
      <c r="B734" s="29">
        <f>IF(Dataset!B734&lt;25,0.3,IF(Dataset!B734&lt;75,0.5,IF(Dataset!B734&lt;120,0.65,0.8)))</f>
        <v>0.8</v>
      </c>
      <c r="C734" s="29">
        <f>IF(Dataset!B734&lt;25,1,IF(Dataset!B734&lt;75,2,IF(Dataset!B734&lt;120,3,4)))</f>
        <v>4</v>
      </c>
      <c r="D734" s="29">
        <f t="shared" si="88"/>
        <v>3.2</v>
      </c>
      <c r="E734" s="29">
        <f>IF(Dataset!C734&lt;=1,0.3,IF(Dataset!C734=2,0.4,IF(Dataset!C734=3,0.5,IF(Dataset!C734=4,0.65,0.8))))</f>
        <v>0.8</v>
      </c>
      <c r="F734" s="29">
        <f>IF(Dataset!C734&lt;=2,1,IF(Dataset!C734=3,2,IF(Dataset!C734=4,3,4)))</f>
        <v>4</v>
      </c>
      <c r="G734" s="29">
        <f t="shared" si="89"/>
        <v>3.2</v>
      </c>
      <c r="H734" s="29">
        <f>IF(Dataset!G734&lt;=3,0.25,IF(Dataset!G734&lt;=6,0.45,IF(Dataset!G734&lt;=9,0.65,0.85)))</f>
        <v>0.45</v>
      </c>
      <c r="I734" s="29">
        <f>IF(Dataset!G734&lt;=3,1,IF(Dataset!G734&lt;=6,2,IF(Dataset!G734&lt;=9,3,4)))</f>
        <v>2</v>
      </c>
      <c r="J734" s="29">
        <f t="shared" si="90"/>
        <v>0.9</v>
      </c>
      <c r="K734" s="29">
        <f>IF(Dataset!H734&lt;1,0.2,IF(Dataset!H734&lt;1.3,0.45,IF(Dataset!H734&lt;1.8,0.7,0.9)))</f>
        <v>0.9</v>
      </c>
      <c r="L734" s="29">
        <f>IF(Dataset!H734&lt;1,1,IF(Dataset!H734&lt;1.3,2,IF(Dataset!H734&lt;1.8,3,4)))</f>
        <v>4</v>
      </c>
      <c r="M734" s="29">
        <f t="shared" si="91"/>
        <v>3.6</v>
      </c>
      <c r="N734" s="29">
        <f>IF(Dataset!F734=1,0.75,IF(Dataset!F734=2,0.45,0.2))</f>
        <v>0.2</v>
      </c>
      <c r="O734" s="29">
        <f>IF(Dataset!F734=1,3,IF(Dataset!F734=2,2,1))</f>
        <v>1</v>
      </c>
      <c r="P734" s="29">
        <f t="shared" si="92"/>
        <v>0.2</v>
      </c>
      <c r="Q734" s="29">
        <f>IF(Dataset!K734&lt;5,0.2,IF(Dataset!K734&lt;10,0.45,IF(Dataset!K734&lt;18,0.7,0.9)))</f>
        <v>0.7</v>
      </c>
      <c r="R734" s="29">
        <f>IF(Dataset!K734&lt;5,1,IF(Dataset!K734&lt;10,2,IF(Dataset!K734&lt;18,3,4)))</f>
        <v>3</v>
      </c>
      <c r="S734" s="29">
        <f t="shared" si="93"/>
        <v>2.0999999999999996</v>
      </c>
      <c r="T734" s="29">
        <f t="shared" si="94"/>
        <v>2.3820000000000001</v>
      </c>
      <c r="U734" s="29" t="str">
        <f t="shared" si="95"/>
        <v>High</v>
      </c>
    </row>
    <row r="735" spans="1:21" ht="15" customHeight="1" x14ac:dyDescent="0.25">
      <c r="A735" s="29">
        <f>Dataset!A735</f>
        <v>731</v>
      </c>
      <c r="B735" s="29">
        <f>IF(Dataset!B735&lt;25,0.3,IF(Dataset!B735&lt;75,0.5,IF(Dataset!B735&lt;120,0.65,0.8)))</f>
        <v>0.5</v>
      </c>
      <c r="C735" s="29">
        <f>IF(Dataset!B735&lt;25,1,IF(Dataset!B735&lt;75,2,IF(Dataset!B735&lt;120,3,4)))</f>
        <v>2</v>
      </c>
      <c r="D735" s="29">
        <f t="shared" si="88"/>
        <v>1</v>
      </c>
      <c r="E735" s="29">
        <f>IF(Dataset!C735&lt;=1,0.3,IF(Dataset!C735=2,0.4,IF(Dataset!C735=3,0.5,IF(Dataset!C735=4,0.65,0.8))))</f>
        <v>0.5</v>
      </c>
      <c r="F735" s="29">
        <f>IF(Dataset!C735&lt;=2,1,IF(Dataset!C735=3,2,IF(Dataset!C735=4,3,4)))</f>
        <v>2</v>
      </c>
      <c r="G735" s="29">
        <f t="shared" si="89"/>
        <v>1</v>
      </c>
      <c r="H735" s="29">
        <f>IF(Dataset!G735&lt;=3,0.25,IF(Dataset!G735&lt;=6,0.45,IF(Dataset!G735&lt;=9,0.65,0.85)))</f>
        <v>0.25</v>
      </c>
      <c r="I735" s="29">
        <f>IF(Dataset!G735&lt;=3,1,IF(Dataset!G735&lt;=6,2,IF(Dataset!G735&lt;=9,3,4)))</f>
        <v>1</v>
      </c>
      <c r="J735" s="29">
        <f t="shared" si="90"/>
        <v>0.25</v>
      </c>
      <c r="K735" s="29">
        <f>IF(Dataset!H735&lt;1,0.2,IF(Dataset!H735&lt;1.3,0.45,IF(Dataset!H735&lt;1.8,0.7,0.9)))</f>
        <v>0.9</v>
      </c>
      <c r="L735" s="29">
        <f>IF(Dataset!H735&lt;1,1,IF(Dataset!H735&lt;1.3,2,IF(Dataset!H735&lt;1.8,3,4)))</f>
        <v>4</v>
      </c>
      <c r="M735" s="29">
        <f t="shared" si="91"/>
        <v>3.6</v>
      </c>
      <c r="N735" s="29">
        <f>IF(Dataset!F735=1,0.75,IF(Dataset!F735=2,0.45,0.2))</f>
        <v>0.45</v>
      </c>
      <c r="O735" s="29">
        <f>IF(Dataset!F735=1,3,IF(Dataset!F735=2,2,1))</f>
        <v>2</v>
      </c>
      <c r="P735" s="29">
        <f t="shared" si="92"/>
        <v>0.9</v>
      </c>
      <c r="Q735" s="29">
        <f>IF(Dataset!K735&lt;5,0.2,IF(Dataset!K735&lt;10,0.45,IF(Dataset!K735&lt;18,0.7,0.9)))</f>
        <v>0.2</v>
      </c>
      <c r="R735" s="29">
        <f>IF(Dataset!K735&lt;5,1,IF(Dataset!K735&lt;10,2,IF(Dataset!K735&lt;18,3,4)))</f>
        <v>1</v>
      </c>
      <c r="S735" s="29">
        <f t="shared" si="93"/>
        <v>0.2</v>
      </c>
      <c r="T735" s="29">
        <f t="shared" si="94"/>
        <v>1.3520000000000001</v>
      </c>
      <c r="U735" s="29" t="str">
        <f t="shared" si="95"/>
        <v>Low</v>
      </c>
    </row>
    <row r="736" spans="1:21" ht="15" customHeight="1" x14ac:dyDescent="0.25">
      <c r="A736" s="29">
        <f>Dataset!A736</f>
        <v>732</v>
      </c>
      <c r="B736" s="29">
        <f>IF(Dataset!B736&lt;25,0.3,IF(Dataset!B736&lt;75,0.5,IF(Dataset!B736&lt;120,0.65,0.8)))</f>
        <v>0.3</v>
      </c>
      <c r="C736" s="29">
        <f>IF(Dataset!B736&lt;25,1,IF(Dataset!B736&lt;75,2,IF(Dataset!B736&lt;120,3,4)))</f>
        <v>1</v>
      </c>
      <c r="D736" s="29">
        <f t="shared" si="88"/>
        <v>0.3</v>
      </c>
      <c r="E736" s="29">
        <f>IF(Dataset!C736&lt;=1,0.3,IF(Dataset!C736=2,0.4,IF(Dataset!C736=3,0.5,IF(Dataset!C736=4,0.65,0.8))))</f>
        <v>0.65</v>
      </c>
      <c r="F736" s="29">
        <f>IF(Dataset!C736&lt;=2,1,IF(Dataset!C736=3,2,IF(Dataset!C736=4,3,4)))</f>
        <v>3</v>
      </c>
      <c r="G736" s="29">
        <f t="shared" si="89"/>
        <v>1.9500000000000002</v>
      </c>
      <c r="H736" s="29">
        <f>IF(Dataset!G736&lt;=3,0.25,IF(Dataset!G736&lt;=6,0.45,IF(Dataset!G736&lt;=9,0.65,0.85)))</f>
        <v>0.65</v>
      </c>
      <c r="I736" s="29">
        <f>IF(Dataset!G736&lt;=3,1,IF(Dataset!G736&lt;=6,2,IF(Dataset!G736&lt;=9,3,4)))</f>
        <v>3</v>
      </c>
      <c r="J736" s="29">
        <f t="shared" si="90"/>
        <v>1.9500000000000002</v>
      </c>
      <c r="K736" s="29">
        <f>IF(Dataset!H736&lt;1,0.2,IF(Dataset!H736&lt;1.3,0.45,IF(Dataset!H736&lt;1.8,0.7,0.9)))</f>
        <v>0.9</v>
      </c>
      <c r="L736" s="29">
        <f>IF(Dataset!H736&lt;1,1,IF(Dataset!H736&lt;1.3,2,IF(Dataset!H736&lt;1.8,3,4)))</f>
        <v>4</v>
      </c>
      <c r="M736" s="29">
        <f t="shared" si="91"/>
        <v>3.6</v>
      </c>
      <c r="N736" s="29">
        <f>IF(Dataset!F736=1,0.75,IF(Dataset!F736=2,0.45,0.2))</f>
        <v>0.75</v>
      </c>
      <c r="O736" s="29">
        <f>IF(Dataset!F736=1,3,IF(Dataset!F736=2,2,1))</f>
        <v>3</v>
      </c>
      <c r="P736" s="29">
        <f t="shared" si="92"/>
        <v>2.25</v>
      </c>
      <c r="Q736" s="29">
        <f>IF(Dataset!K736&lt;5,0.2,IF(Dataset!K736&lt;10,0.45,IF(Dataset!K736&lt;18,0.7,0.9)))</f>
        <v>0.45</v>
      </c>
      <c r="R736" s="29">
        <f>IF(Dataset!K736&lt;5,1,IF(Dataset!K736&lt;10,2,IF(Dataset!K736&lt;18,3,4)))</f>
        <v>2</v>
      </c>
      <c r="S736" s="29">
        <f t="shared" si="93"/>
        <v>0.9</v>
      </c>
      <c r="T736" s="29">
        <f t="shared" si="94"/>
        <v>1.9320000000000002</v>
      </c>
      <c r="U736" s="29" t="str">
        <f t="shared" si="95"/>
        <v>High</v>
      </c>
    </row>
    <row r="737" spans="1:21" ht="15" customHeight="1" x14ac:dyDescent="0.25">
      <c r="A737" s="29">
        <f>Dataset!A737</f>
        <v>733</v>
      </c>
      <c r="B737" s="29">
        <f>IF(Dataset!B737&lt;25,0.3,IF(Dataset!B737&lt;75,0.5,IF(Dataset!B737&lt;120,0.65,0.8)))</f>
        <v>0.8</v>
      </c>
      <c r="C737" s="29">
        <f>IF(Dataset!B737&lt;25,1,IF(Dataset!B737&lt;75,2,IF(Dataset!B737&lt;120,3,4)))</f>
        <v>4</v>
      </c>
      <c r="D737" s="29">
        <f t="shared" si="88"/>
        <v>3.2</v>
      </c>
      <c r="E737" s="29">
        <f>IF(Dataset!C737&lt;=1,0.3,IF(Dataset!C737=2,0.4,IF(Dataset!C737=3,0.5,IF(Dataset!C737=4,0.65,0.8))))</f>
        <v>0.65</v>
      </c>
      <c r="F737" s="29">
        <f>IF(Dataset!C737&lt;=2,1,IF(Dataset!C737=3,2,IF(Dataset!C737=4,3,4)))</f>
        <v>3</v>
      </c>
      <c r="G737" s="29">
        <f t="shared" si="89"/>
        <v>1.9500000000000002</v>
      </c>
      <c r="H737" s="29">
        <f>IF(Dataset!G737&lt;=3,0.25,IF(Dataset!G737&lt;=6,0.45,IF(Dataset!G737&lt;=9,0.65,0.85)))</f>
        <v>0.65</v>
      </c>
      <c r="I737" s="29">
        <f>IF(Dataset!G737&lt;=3,1,IF(Dataset!G737&lt;=6,2,IF(Dataset!G737&lt;=9,3,4)))</f>
        <v>3</v>
      </c>
      <c r="J737" s="29">
        <f t="shared" si="90"/>
        <v>1.9500000000000002</v>
      </c>
      <c r="K737" s="29">
        <f>IF(Dataset!H737&lt;1,0.2,IF(Dataset!H737&lt;1.3,0.45,IF(Dataset!H737&lt;1.8,0.7,0.9)))</f>
        <v>0.7</v>
      </c>
      <c r="L737" s="29">
        <f>IF(Dataset!H737&lt;1,1,IF(Dataset!H737&lt;1.3,2,IF(Dataset!H737&lt;1.8,3,4)))</f>
        <v>3</v>
      </c>
      <c r="M737" s="29">
        <f t="shared" si="91"/>
        <v>2.0999999999999996</v>
      </c>
      <c r="N737" s="29">
        <f>IF(Dataset!F737=1,0.75,IF(Dataset!F737=2,0.45,0.2))</f>
        <v>0.45</v>
      </c>
      <c r="O737" s="29">
        <f>IF(Dataset!F737=1,3,IF(Dataset!F737=2,2,1))</f>
        <v>2</v>
      </c>
      <c r="P737" s="29">
        <f t="shared" si="92"/>
        <v>0.9</v>
      </c>
      <c r="Q737" s="29">
        <f>IF(Dataset!K737&lt;5,0.2,IF(Dataset!K737&lt;10,0.45,IF(Dataset!K737&lt;18,0.7,0.9)))</f>
        <v>0.7</v>
      </c>
      <c r="R737" s="29">
        <f>IF(Dataset!K737&lt;5,1,IF(Dataset!K737&lt;10,2,IF(Dataset!K737&lt;18,3,4)))</f>
        <v>3</v>
      </c>
      <c r="S737" s="29">
        <f t="shared" si="93"/>
        <v>2.0999999999999996</v>
      </c>
      <c r="T737" s="29">
        <f t="shared" si="94"/>
        <v>2.1269999999999998</v>
      </c>
      <c r="U737" s="29" t="str">
        <f t="shared" si="95"/>
        <v>High</v>
      </c>
    </row>
    <row r="738" spans="1:21" ht="15" customHeight="1" x14ac:dyDescent="0.25">
      <c r="A738" s="29">
        <f>Dataset!A738</f>
        <v>734</v>
      </c>
      <c r="B738" s="29">
        <f>IF(Dataset!B738&lt;25,0.3,IF(Dataset!B738&lt;75,0.5,IF(Dataset!B738&lt;120,0.65,0.8)))</f>
        <v>0.65</v>
      </c>
      <c r="C738" s="29">
        <f>IF(Dataset!B738&lt;25,1,IF(Dataset!B738&lt;75,2,IF(Dataset!B738&lt;120,3,4)))</f>
        <v>3</v>
      </c>
      <c r="D738" s="29">
        <f t="shared" si="88"/>
        <v>1.9500000000000002</v>
      </c>
      <c r="E738" s="29">
        <f>IF(Dataset!C738&lt;=1,0.3,IF(Dataset!C738=2,0.4,IF(Dataset!C738=3,0.5,IF(Dataset!C738=4,0.65,0.8))))</f>
        <v>0.5</v>
      </c>
      <c r="F738" s="29">
        <f>IF(Dataset!C738&lt;=2,1,IF(Dataset!C738=3,2,IF(Dataset!C738=4,3,4)))</f>
        <v>2</v>
      </c>
      <c r="G738" s="29">
        <f t="shared" si="89"/>
        <v>1</v>
      </c>
      <c r="H738" s="29">
        <f>IF(Dataset!G738&lt;=3,0.25,IF(Dataset!G738&lt;=6,0.45,IF(Dataset!G738&lt;=9,0.65,0.85)))</f>
        <v>0.45</v>
      </c>
      <c r="I738" s="29">
        <f>IF(Dataset!G738&lt;=3,1,IF(Dataset!G738&lt;=6,2,IF(Dataset!G738&lt;=9,3,4)))</f>
        <v>2</v>
      </c>
      <c r="J738" s="29">
        <f t="shared" si="90"/>
        <v>0.9</v>
      </c>
      <c r="K738" s="29">
        <f>IF(Dataset!H738&lt;1,0.2,IF(Dataset!H738&lt;1.3,0.45,IF(Dataset!H738&lt;1.8,0.7,0.9)))</f>
        <v>0.9</v>
      </c>
      <c r="L738" s="29">
        <f>IF(Dataset!H738&lt;1,1,IF(Dataset!H738&lt;1.3,2,IF(Dataset!H738&lt;1.8,3,4)))</f>
        <v>4</v>
      </c>
      <c r="M738" s="29">
        <f t="shared" si="91"/>
        <v>3.6</v>
      </c>
      <c r="N738" s="29">
        <f>IF(Dataset!F738=1,0.75,IF(Dataset!F738=2,0.45,0.2))</f>
        <v>0.45</v>
      </c>
      <c r="O738" s="29">
        <f>IF(Dataset!F738=1,3,IF(Dataset!F738=2,2,1))</f>
        <v>2</v>
      </c>
      <c r="P738" s="29">
        <f t="shared" si="92"/>
        <v>0.9</v>
      </c>
      <c r="Q738" s="29">
        <f>IF(Dataset!K738&lt;5,0.2,IF(Dataset!K738&lt;10,0.45,IF(Dataset!K738&lt;18,0.7,0.9)))</f>
        <v>0.45</v>
      </c>
      <c r="R738" s="29">
        <f>IF(Dataset!K738&lt;5,1,IF(Dataset!K738&lt;10,2,IF(Dataset!K738&lt;18,3,4)))</f>
        <v>2</v>
      </c>
      <c r="S738" s="29">
        <f t="shared" si="93"/>
        <v>0.9</v>
      </c>
      <c r="T738" s="29">
        <f t="shared" si="94"/>
        <v>1.7510000000000003</v>
      </c>
      <c r="U738" s="29" t="str">
        <f t="shared" si="95"/>
        <v>Medium</v>
      </c>
    </row>
    <row r="739" spans="1:21" ht="15" customHeight="1" x14ac:dyDescent="0.25">
      <c r="A739" s="29">
        <f>Dataset!A739</f>
        <v>735</v>
      </c>
      <c r="B739" s="29">
        <f>IF(Dataset!B739&lt;25,0.3,IF(Dataset!B739&lt;75,0.5,IF(Dataset!B739&lt;120,0.65,0.8)))</f>
        <v>0.65</v>
      </c>
      <c r="C739" s="29">
        <f>IF(Dataset!B739&lt;25,1,IF(Dataset!B739&lt;75,2,IF(Dataset!B739&lt;120,3,4)))</f>
        <v>3</v>
      </c>
      <c r="D739" s="29">
        <f t="shared" si="88"/>
        <v>1.9500000000000002</v>
      </c>
      <c r="E739" s="29">
        <f>IF(Dataset!C739&lt;=1,0.3,IF(Dataset!C739=2,0.4,IF(Dataset!C739=3,0.5,IF(Dataset!C739=4,0.65,0.8))))</f>
        <v>0.5</v>
      </c>
      <c r="F739" s="29">
        <f>IF(Dataset!C739&lt;=2,1,IF(Dataset!C739=3,2,IF(Dataset!C739=4,3,4)))</f>
        <v>2</v>
      </c>
      <c r="G739" s="29">
        <f t="shared" si="89"/>
        <v>1</v>
      </c>
      <c r="H739" s="29">
        <f>IF(Dataset!G739&lt;=3,0.25,IF(Dataset!G739&lt;=6,0.45,IF(Dataset!G739&lt;=9,0.65,0.85)))</f>
        <v>0.45</v>
      </c>
      <c r="I739" s="29">
        <f>IF(Dataset!G739&lt;=3,1,IF(Dataset!G739&lt;=6,2,IF(Dataset!G739&lt;=9,3,4)))</f>
        <v>2</v>
      </c>
      <c r="J739" s="29">
        <f t="shared" si="90"/>
        <v>0.9</v>
      </c>
      <c r="K739" s="29">
        <f>IF(Dataset!H739&lt;1,0.2,IF(Dataset!H739&lt;1.3,0.45,IF(Dataset!H739&lt;1.8,0.7,0.9)))</f>
        <v>0.45</v>
      </c>
      <c r="L739" s="29">
        <f>IF(Dataset!H739&lt;1,1,IF(Dataset!H739&lt;1.3,2,IF(Dataset!H739&lt;1.8,3,4)))</f>
        <v>2</v>
      </c>
      <c r="M739" s="29">
        <f t="shared" si="91"/>
        <v>0.9</v>
      </c>
      <c r="N739" s="29">
        <f>IF(Dataset!F739=1,0.75,IF(Dataset!F739=2,0.45,0.2))</f>
        <v>0.75</v>
      </c>
      <c r="O739" s="29">
        <f>IF(Dataset!F739=1,3,IF(Dataset!F739=2,2,1))</f>
        <v>3</v>
      </c>
      <c r="P739" s="29">
        <f t="shared" si="92"/>
        <v>2.25</v>
      </c>
      <c r="Q739" s="29">
        <f>IF(Dataset!K739&lt;5,0.2,IF(Dataset!K739&lt;10,0.45,IF(Dataset!K739&lt;18,0.7,0.9)))</f>
        <v>0.45</v>
      </c>
      <c r="R739" s="29">
        <f>IF(Dataset!K739&lt;5,1,IF(Dataset!K739&lt;10,2,IF(Dataset!K739&lt;18,3,4)))</f>
        <v>2</v>
      </c>
      <c r="S739" s="29">
        <f t="shared" si="93"/>
        <v>0.9</v>
      </c>
      <c r="T739" s="29">
        <f t="shared" si="94"/>
        <v>1.2380000000000002</v>
      </c>
      <c r="U739" s="29" t="str">
        <f t="shared" si="95"/>
        <v>Low</v>
      </c>
    </row>
    <row r="740" spans="1:21" ht="15" customHeight="1" x14ac:dyDescent="0.25">
      <c r="A740" s="29">
        <f>Dataset!A740</f>
        <v>736</v>
      </c>
      <c r="B740" s="29">
        <f>IF(Dataset!B740&lt;25,0.3,IF(Dataset!B740&lt;75,0.5,IF(Dataset!B740&lt;120,0.65,0.8)))</f>
        <v>0.5</v>
      </c>
      <c r="C740" s="29">
        <f>IF(Dataset!B740&lt;25,1,IF(Dataset!B740&lt;75,2,IF(Dataset!B740&lt;120,3,4)))</f>
        <v>2</v>
      </c>
      <c r="D740" s="29">
        <f t="shared" si="88"/>
        <v>1</v>
      </c>
      <c r="E740" s="29">
        <f>IF(Dataset!C740&lt;=1,0.3,IF(Dataset!C740=2,0.4,IF(Dataset!C740=3,0.5,IF(Dataset!C740=4,0.65,0.8))))</f>
        <v>0.5</v>
      </c>
      <c r="F740" s="29">
        <f>IF(Dataset!C740&lt;=2,1,IF(Dataset!C740=3,2,IF(Dataset!C740=4,3,4)))</f>
        <v>2</v>
      </c>
      <c r="G740" s="29">
        <f t="shared" si="89"/>
        <v>1</v>
      </c>
      <c r="H740" s="29">
        <f>IF(Dataset!G740&lt;=3,0.25,IF(Dataset!G740&lt;=6,0.45,IF(Dataset!G740&lt;=9,0.65,0.85)))</f>
        <v>0.45</v>
      </c>
      <c r="I740" s="29">
        <f>IF(Dataset!G740&lt;=3,1,IF(Dataset!G740&lt;=6,2,IF(Dataset!G740&lt;=9,3,4)))</f>
        <v>2</v>
      </c>
      <c r="J740" s="29">
        <f t="shared" si="90"/>
        <v>0.9</v>
      </c>
      <c r="K740" s="29">
        <f>IF(Dataset!H740&lt;1,0.2,IF(Dataset!H740&lt;1.3,0.45,IF(Dataset!H740&lt;1.8,0.7,0.9)))</f>
        <v>0.7</v>
      </c>
      <c r="L740" s="29">
        <f>IF(Dataset!H740&lt;1,1,IF(Dataset!H740&lt;1.3,2,IF(Dataset!H740&lt;1.8,3,4)))</f>
        <v>3</v>
      </c>
      <c r="M740" s="29">
        <f t="shared" si="91"/>
        <v>2.0999999999999996</v>
      </c>
      <c r="N740" s="29">
        <f>IF(Dataset!F740=1,0.75,IF(Dataset!F740=2,0.45,0.2))</f>
        <v>0.45</v>
      </c>
      <c r="O740" s="29">
        <f>IF(Dataset!F740=1,3,IF(Dataset!F740=2,2,1))</f>
        <v>2</v>
      </c>
      <c r="P740" s="29">
        <f t="shared" si="92"/>
        <v>0.9</v>
      </c>
      <c r="Q740" s="29">
        <f>IF(Dataset!K740&lt;5,0.2,IF(Dataset!K740&lt;10,0.45,IF(Dataset!K740&lt;18,0.7,0.9)))</f>
        <v>0.2</v>
      </c>
      <c r="R740" s="29">
        <f>IF(Dataset!K740&lt;5,1,IF(Dataset!K740&lt;10,2,IF(Dataset!K740&lt;18,3,4)))</f>
        <v>1</v>
      </c>
      <c r="S740" s="29">
        <f t="shared" si="93"/>
        <v>0.2</v>
      </c>
      <c r="T740" s="29">
        <f t="shared" si="94"/>
        <v>1.1220000000000001</v>
      </c>
      <c r="U740" s="29" t="str">
        <f t="shared" si="95"/>
        <v>Low</v>
      </c>
    </row>
    <row r="741" spans="1:21" ht="15" customHeight="1" x14ac:dyDescent="0.25">
      <c r="A741" s="29">
        <f>Dataset!A741</f>
        <v>737</v>
      </c>
      <c r="B741" s="29">
        <f>IF(Dataset!B741&lt;25,0.3,IF(Dataset!B741&lt;75,0.5,IF(Dataset!B741&lt;120,0.65,0.8)))</f>
        <v>0.3</v>
      </c>
      <c r="C741" s="29">
        <f>IF(Dataset!B741&lt;25,1,IF(Dataset!B741&lt;75,2,IF(Dataset!B741&lt;120,3,4)))</f>
        <v>1</v>
      </c>
      <c r="D741" s="29">
        <f t="shared" si="88"/>
        <v>0.3</v>
      </c>
      <c r="E741" s="29">
        <f>IF(Dataset!C741&lt;=1,0.3,IF(Dataset!C741=2,0.4,IF(Dataset!C741=3,0.5,IF(Dataset!C741=4,0.65,0.8))))</f>
        <v>0.5</v>
      </c>
      <c r="F741" s="29">
        <f>IF(Dataset!C741&lt;=2,1,IF(Dataset!C741=3,2,IF(Dataset!C741=4,3,4)))</f>
        <v>2</v>
      </c>
      <c r="G741" s="29">
        <f t="shared" si="89"/>
        <v>1</v>
      </c>
      <c r="H741" s="29">
        <f>IF(Dataset!G741&lt;=3,0.25,IF(Dataset!G741&lt;=6,0.45,IF(Dataset!G741&lt;=9,0.65,0.85)))</f>
        <v>0.65</v>
      </c>
      <c r="I741" s="29">
        <f>IF(Dataset!G741&lt;=3,1,IF(Dataset!G741&lt;=6,2,IF(Dataset!G741&lt;=9,3,4)))</f>
        <v>3</v>
      </c>
      <c r="J741" s="29">
        <f t="shared" si="90"/>
        <v>1.9500000000000002</v>
      </c>
      <c r="K741" s="29">
        <f>IF(Dataset!H741&lt;1,0.2,IF(Dataset!H741&lt;1.3,0.45,IF(Dataset!H741&lt;1.8,0.7,0.9)))</f>
        <v>0.9</v>
      </c>
      <c r="L741" s="29">
        <f>IF(Dataset!H741&lt;1,1,IF(Dataset!H741&lt;1.3,2,IF(Dataset!H741&lt;1.8,3,4)))</f>
        <v>4</v>
      </c>
      <c r="M741" s="29">
        <f t="shared" si="91"/>
        <v>3.6</v>
      </c>
      <c r="N741" s="29">
        <f>IF(Dataset!F741=1,0.75,IF(Dataset!F741=2,0.45,0.2))</f>
        <v>0.75</v>
      </c>
      <c r="O741" s="29">
        <f>IF(Dataset!F741=1,3,IF(Dataset!F741=2,2,1))</f>
        <v>3</v>
      </c>
      <c r="P741" s="29">
        <f t="shared" si="92"/>
        <v>2.25</v>
      </c>
      <c r="Q741" s="29">
        <f>IF(Dataset!K741&lt;5,0.2,IF(Dataset!K741&lt;10,0.45,IF(Dataset!K741&lt;18,0.7,0.9)))</f>
        <v>0.45</v>
      </c>
      <c r="R741" s="29">
        <f>IF(Dataset!K741&lt;5,1,IF(Dataset!K741&lt;10,2,IF(Dataset!K741&lt;18,3,4)))</f>
        <v>2</v>
      </c>
      <c r="S741" s="29">
        <f t="shared" si="93"/>
        <v>0.9</v>
      </c>
      <c r="T741" s="29">
        <f t="shared" si="94"/>
        <v>1.7990000000000002</v>
      </c>
      <c r="U741" s="29" t="str">
        <f t="shared" si="95"/>
        <v>High</v>
      </c>
    </row>
    <row r="742" spans="1:21" ht="15" customHeight="1" x14ac:dyDescent="0.25">
      <c r="A742" s="29">
        <f>Dataset!A742</f>
        <v>738</v>
      </c>
      <c r="B742" s="29">
        <f>IF(Dataset!B742&lt;25,0.3,IF(Dataset!B742&lt;75,0.5,IF(Dataset!B742&lt;120,0.65,0.8)))</f>
        <v>0.5</v>
      </c>
      <c r="C742" s="29">
        <f>IF(Dataset!B742&lt;25,1,IF(Dataset!B742&lt;75,2,IF(Dataset!B742&lt;120,3,4)))</f>
        <v>2</v>
      </c>
      <c r="D742" s="29">
        <f t="shared" si="88"/>
        <v>1</v>
      </c>
      <c r="E742" s="29">
        <f>IF(Dataset!C742&lt;=1,0.3,IF(Dataset!C742=2,0.4,IF(Dataset!C742=3,0.5,IF(Dataset!C742=4,0.65,0.8))))</f>
        <v>0.5</v>
      </c>
      <c r="F742" s="29">
        <f>IF(Dataset!C742&lt;=2,1,IF(Dataset!C742=3,2,IF(Dataset!C742=4,3,4)))</f>
        <v>2</v>
      </c>
      <c r="G742" s="29">
        <f t="shared" si="89"/>
        <v>1</v>
      </c>
      <c r="H742" s="29">
        <f>IF(Dataset!G742&lt;=3,0.25,IF(Dataset!G742&lt;=6,0.45,IF(Dataset!G742&lt;=9,0.65,0.85)))</f>
        <v>0.65</v>
      </c>
      <c r="I742" s="29">
        <f>IF(Dataset!G742&lt;=3,1,IF(Dataset!G742&lt;=6,2,IF(Dataset!G742&lt;=9,3,4)))</f>
        <v>3</v>
      </c>
      <c r="J742" s="29">
        <f t="shared" si="90"/>
        <v>1.9500000000000002</v>
      </c>
      <c r="K742" s="29">
        <f>IF(Dataset!H742&lt;1,0.2,IF(Dataset!H742&lt;1.3,0.45,IF(Dataset!H742&lt;1.8,0.7,0.9)))</f>
        <v>0.2</v>
      </c>
      <c r="L742" s="29">
        <f>IF(Dataset!H742&lt;1,1,IF(Dataset!H742&lt;1.3,2,IF(Dataset!H742&lt;1.8,3,4)))</f>
        <v>1</v>
      </c>
      <c r="M742" s="29">
        <f t="shared" si="91"/>
        <v>0.2</v>
      </c>
      <c r="N742" s="29">
        <f>IF(Dataset!F742=1,0.75,IF(Dataset!F742=2,0.45,0.2))</f>
        <v>0.2</v>
      </c>
      <c r="O742" s="29">
        <f>IF(Dataset!F742=1,3,IF(Dataset!F742=2,2,1))</f>
        <v>1</v>
      </c>
      <c r="P742" s="29">
        <f t="shared" si="92"/>
        <v>0.2</v>
      </c>
      <c r="Q742" s="29">
        <f>IF(Dataset!K742&lt;5,0.2,IF(Dataset!K742&lt;10,0.45,IF(Dataset!K742&lt;18,0.7,0.9)))</f>
        <v>0.45</v>
      </c>
      <c r="R742" s="29">
        <f>IF(Dataset!K742&lt;5,1,IF(Dataset!K742&lt;10,2,IF(Dataset!K742&lt;18,3,4)))</f>
        <v>2</v>
      </c>
      <c r="S742" s="29">
        <f t="shared" si="93"/>
        <v>0.9</v>
      </c>
      <c r="T742" s="29">
        <f t="shared" si="94"/>
        <v>0.90400000000000014</v>
      </c>
      <c r="U742" s="29" t="str">
        <f t="shared" si="95"/>
        <v>Low</v>
      </c>
    </row>
    <row r="743" spans="1:21" ht="15" customHeight="1" x14ac:dyDescent="0.25">
      <c r="A743" s="29">
        <f>Dataset!A743</f>
        <v>739</v>
      </c>
      <c r="B743" s="29">
        <f>IF(Dataset!B743&lt;25,0.3,IF(Dataset!B743&lt;75,0.5,IF(Dataset!B743&lt;120,0.65,0.8)))</f>
        <v>0.5</v>
      </c>
      <c r="C743" s="29">
        <f>IF(Dataset!B743&lt;25,1,IF(Dataset!B743&lt;75,2,IF(Dataset!B743&lt;120,3,4)))</f>
        <v>2</v>
      </c>
      <c r="D743" s="29">
        <f t="shared" si="88"/>
        <v>1</v>
      </c>
      <c r="E743" s="29">
        <f>IF(Dataset!C743&lt;=1,0.3,IF(Dataset!C743=2,0.4,IF(Dataset!C743=3,0.5,IF(Dataset!C743=4,0.65,0.8))))</f>
        <v>0.5</v>
      </c>
      <c r="F743" s="29">
        <f>IF(Dataset!C743&lt;=2,1,IF(Dataset!C743=3,2,IF(Dataset!C743=4,3,4)))</f>
        <v>2</v>
      </c>
      <c r="G743" s="29">
        <f t="shared" si="89"/>
        <v>1</v>
      </c>
      <c r="H743" s="29">
        <f>IF(Dataset!G743&lt;=3,0.25,IF(Dataset!G743&lt;=6,0.45,IF(Dataset!G743&lt;=9,0.65,0.85)))</f>
        <v>0.45</v>
      </c>
      <c r="I743" s="29">
        <f>IF(Dataset!G743&lt;=3,1,IF(Dataset!G743&lt;=6,2,IF(Dataset!G743&lt;=9,3,4)))</f>
        <v>2</v>
      </c>
      <c r="J743" s="29">
        <f t="shared" si="90"/>
        <v>0.9</v>
      </c>
      <c r="K743" s="29">
        <f>IF(Dataset!H743&lt;1,0.2,IF(Dataset!H743&lt;1.3,0.45,IF(Dataset!H743&lt;1.8,0.7,0.9)))</f>
        <v>0.9</v>
      </c>
      <c r="L743" s="29">
        <f>IF(Dataset!H743&lt;1,1,IF(Dataset!H743&lt;1.3,2,IF(Dataset!H743&lt;1.8,3,4)))</f>
        <v>4</v>
      </c>
      <c r="M743" s="29">
        <f t="shared" si="91"/>
        <v>3.6</v>
      </c>
      <c r="N743" s="29">
        <f>IF(Dataset!F743=1,0.75,IF(Dataset!F743=2,0.45,0.2))</f>
        <v>0.2</v>
      </c>
      <c r="O743" s="29">
        <f>IF(Dataset!F743=1,3,IF(Dataset!F743=2,2,1))</f>
        <v>1</v>
      </c>
      <c r="P743" s="29">
        <f t="shared" si="92"/>
        <v>0.2</v>
      </c>
      <c r="Q743" s="29">
        <f>IF(Dataset!K743&lt;5,0.2,IF(Dataset!K743&lt;10,0.45,IF(Dataset!K743&lt;18,0.7,0.9)))</f>
        <v>0.2</v>
      </c>
      <c r="R743" s="29">
        <f>IF(Dataset!K743&lt;5,1,IF(Dataset!K743&lt;10,2,IF(Dataset!K743&lt;18,3,4)))</f>
        <v>1</v>
      </c>
      <c r="S743" s="29">
        <f t="shared" si="93"/>
        <v>0.2</v>
      </c>
      <c r="T743" s="29">
        <f t="shared" si="94"/>
        <v>1.4119999999999999</v>
      </c>
      <c r="U743" s="29" t="str">
        <f t="shared" si="95"/>
        <v>Medium</v>
      </c>
    </row>
    <row r="744" spans="1:21" ht="15" customHeight="1" x14ac:dyDescent="0.25">
      <c r="A744" s="29">
        <f>Dataset!A744</f>
        <v>740</v>
      </c>
      <c r="B744" s="29">
        <f>IF(Dataset!B744&lt;25,0.3,IF(Dataset!B744&lt;75,0.5,IF(Dataset!B744&lt;120,0.65,0.8)))</f>
        <v>0.3</v>
      </c>
      <c r="C744" s="29">
        <f>IF(Dataset!B744&lt;25,1,IF(Dataset!B744&lt;75,2,IF(Dataset!B744&lt;120,3,4)))</f>
        <v>1</v>
      </c>
      <c r="D744" s="29">
        <f t="shared" si="88"/>
        <v>0.3</v>
      </c>
      <c r="E744" s="29">
        <f>IF(Dataset!C744&lt;=1,0.3,IF(Dataset!C744=2,0.4,IF(Dataset!C744=3,0.5,IF(Dataset!C744=4,0.65,0.8))))</f>
        <v>0.65</v>
      </c>
      <c r="F744" s="29">
        <f>IF(Dataset!C744&lt;=2,1,IF(Dataset!C744=3,2,IF(Dataset!C744=4,3,4)))</f>
        <v>3</v>
      </c>
      <c r="G744" s="29">
        <f t="shared" si="89"/>
        <v>1.9500000000000002</v>
      </c>
      <c r="H744" s="29">
        <f>IF(Dataset!G744&lt;=3,0.25,IF(Dataset!G744&lt;=6,0.45,IF(Dataset!G744&lt;=9,0.65,0.85)))</f>
        <v>0.65</v>
      </c>
      <c r="I744" s="29">
        <f>IF(Dataset!G744&lt;=3,1,IF(Dataset!G744&lt;=6,2,IF(Dataset!G744&lt;=9,3,4)))</f>
        <v>3</v>
      </c>
      <c r="J744" s="29">
        <f t="shared" si="90"/>
        <v>1.9500000000000002</v>
      </c>
      <c r="K744" s="29">
        <f>IF(Dataset!H744&lt;1,0.2,IF(Dataset!H744&lt;1.3,0.45,IF(Dataset!H744&lt;1.8,0.7,0.9)))</f>
        <v>0.7</v>
      </c>
      <c r="L744" s="29">
        <f>IF(Dataset!H744&lt;1,1,IF(Dataset!H744&lt;1.3,2,IF(Dataset!H744&lt;1.8,3,4)))</f>
        <v>3</v>
      </c>
      <c r="M744" s="29">
        <f t="shared" si="91"/>
        <v>2.0999999999999996</v>
      </c>
      <c r="N744" s="29">
        <f>IF(Dataset!F744=1,0.75,IF(Dataset!F744=2,0.45,0.2))</f>
        <v>0.45</v>
      </c>
      <c r="O744" s="29">
        <f>IF(Dataset!F744=1,3,IF(Dataset!F744=2,2,1))</f>
        <v>2</v>
      </c>
      <c r="P744" s="29">
        <f t="shared" si="92"/>
        <v>0.9</v>
      </c>
      <c r="Q744" s="29">
        <f>IF(Dataset!K744&lt;5,0.2,IF(Dataset!K744&lt;10,0.45,IF(Dataset!K744&lt;18,0.7,0.9)))</f>
        <v>0.7</v>
      </c>
      <c r="R744" s="29">
        <f>IF(Dataset!K744&lt;5,1,IF(Dataset!K744&lt;10,2,IF(Dataset!K744&lt;18,3,4)))</f>
        <v>3</v>
      </c>
      <c r="S744" s="29">
        <f t="shared" si="93"/>
        <v>2.0999999999999996</v>
      </c>
      <c r="T744" s="29">
        <f t="shared" si="94"/>
        <v>1.6050000000000002</v>
      </c>
      <c r="U744" s="29" t="str">
        <f t="shared" si="95"/>
        <v>Medium</v>
      </c>
    </row>
    <row r="745" spans="1:21" ht="15" customHeight="1" x14ac:dyDescent="0.25">
      <c r="A745" s="29">
        <f>Dataset!A745</f>
        <v>741</v>
      </c>
      <c r="B745" s="29">
        <f>IF(Dataset!B745&lt;25,0.3,IF(Dataset!B745&lt;75,0.5,IF(Dataset!B745&lt;120,0.65,0.8)))</f>
        <v>0.3</v>
      </c>
      <c r="C745" s="29">
        <f>IF(Dataset!B745&lt;25,1,IF(Dataset!B745&lt;75,2,IF(Dataset!B745&lt;120,3,4)))</f>
        <v>1</v>
      </c>
      <c r="D745" s="29">
        <f t="shared" si="88"/>
        <v>0.3</v>
      </c>
      <c r="E745" s="29">
        <f>IF(Dataset!C745&lt;=1,0.3,IF(Dataset!C745=2,0.4,IF(Dataset!C745=3,0.5,IF(Dataset!C745=4,0.65,0.8))))</f>
        <v>0.4</v>
      </c>
      <c r="F745" s="29">
        <f>IF(Dataset!C745&lt;=2,1,IF(Dataset!C745=3,2,IF(Dataset!C745=4,3,4)))</f>
        <v>1</v>
      </c>
      <c r="G745" s="29">
        <f t="shared" si="89"/>
        <v>0.4</v>
      </c>
      <c r="H745" s="29">
        <f>IF(Dataset!G745&lt;=3,0.25,IF(Dataset!G745&lt;=6,0.45,IF(Dataset!G745&lt;=9,0.65,0.85)))</f>
        <v>0.45</v>
      </c>
      <c r="I745" s="29">
        <f>IF(Dataset!G745&lt;=3,1,IF(Dataset!G745&lt;=6,2,IF(Dataset!G745&lt;=9,3,4)))</f>
        <v>2</v>
      </c>
      <c r="J745" s="29">
        <f t="shared" si="90"/>
        <v>0.9</v>
      </c>
      <c r="K745" s="29">
        <f>IF(Dataset!H745&lt;1,0.2,IF(Dataset!H745&lt;1.3,0.45,IF(Dataset!H745&lt;1.8,0.7,0.9)))</f>
        <v>0.45</v>
      </c>
      <c r="L745" s="29">
        <f>IF(Dataset!H745&lt;1,1,IF(Dataset!H745&lt;1.3,2,IF(Dataset!H745&lt;1.8,3,4)))</f>
        <v>2</v>
      </c>
      <c r="M745" s="29">
        <f t="shared" si="91"/>
        <v>0.9</v>
      </c>
      <c r="N745" s="29">
        <f>IF(Dataset!F745=1,0.75,IF(Dataset!F745=2,0.45,0.2))</f>
        <v>0.2</v>
      </c>
      <c r="O745" s="29">
        <f>IF(Dataset!F745=1,3,IF(Dataset!F745=2,2,1))</f>
        <v>1</v>
      </c>
      <c r="P745" s="29">
        <f t="shared" si="92"/>
        <v>0.2</v>
      </c>
      <c r="Q745" s="29">
        <f>IF(Dataset!K745&lt;5,0.2,IF(Dataset!K745&lt;10,0.45,IF(Dataset!K745&lt;18,0.7,0.9)))</f>
        <v>0.2</v>
      </c>
      <c r="R745" s="29">
        <f>IF(Dataset!K745&lt;5,1,IF(Dataset!K745&lt;10,2,IF(Dataset!K745&lt;18,3,4)))</f>
        <v>1</v>
      </c>
      <c r="S745" s="29">
        <f t="shared" si="93"/>
        <v>0.2</v>
      </c>
      <c r="T745" s="29">
        <f t="shared" si="94"/>
        <v>0.55400000000000005</v>
      </c>
      <c r="U745" s="29" t="str">
        <f t="shared" si="95"/>
        <v>Low</v>
      </c>
    </row>
    <row r="746" spans="1:21" ht="15" customHeight="1" x14ac:dyDescent="0.25">
      <c r="A746" s="29">
        <f>Dataset!A746</f>
        <v>742</v>
      </c>
      <c r="B746" s="29">
        <f>IF(Dataset!B746&lt;25,0.3,IF(Dataset!B746&lt;75,0.5,IF(Dataset!B746&lt;120,0.65,0.8)))</f>
        <v>0.3</v>
      </c>
      <c r="C746" s="29">
        <f>IF(Dataset!B746&lt;25,1,IF(Dataset!B746&lt;75,2,IF(Dataset!B746&lt;120,3,4)))</f>
        <v>1</v>
      </c>
      <c r="D746" s="29">
        <f t="shared" si="88"/>
        <v>0.3</v>
      </c>
      <c r="E746" s="29">
        <f>IF(Dataset!C746&lt;=1,0.3,IF(Dataset!C746=2,0.4,IF(Dataset!C746=3,0.5,IF(Dataset!C746=4,0.65,0.8))))</f>
        <v>0.65</v>
      </c>
      <c r="F746" s="29">
        <f>IF(Dataset!C746&lt;=2,1,IF(Dataset!C746=3,2,IF(Dataset!C746=4,3,4)))</f>
        <v>3</v>
      </c>
      <c r="G746" s="29">
        <f t="shared" si="89"/>
        <v>1.9500000000000002</v>
      </c>
      <c r="H746" s="29">
        <f>IF(Dataset!G746&lt;=3,0.25,IF(Dataset!G746&lt;=6,0.45,IF(Dataset!G746&lt;=9,0.65,0.85)))</f>
        <v>0.45</v>
      </c>
      <c r="I746" s="29">
        <f>IF(Dataset!G746&lt;=3,1,IF(Dataset!G746&lt;=6,2,IF(Dataset!G746&lt;=9,3,4)))</f>
        <v>2</v>
      </c>
      <c r="J746" s="29">
        <f t="shared" si="90"/>
        <v>0.9</v>
      </c>
      <c r="K746" s="29">
        <f>IF(Dataset!H746&lt;1,0.2,IF(Dataset!H746&lt;1.3,0.45,IF(Dataset!H746&lt;1.8,0.7,0.9)))</f>
        <v>0.45</v>
      </c>
      <c r="L746" s="29">
        <f>IF(Dataset!H746&lt;1,1,IF(Dataset!H746&lt;1.3,2,IF(Dataset!H746&lt;1.8,3,4)))</f>
        <v>2</v>
      </c>
      <c r="M746" s="29">
        <f t="shared" si="91"/>
        <v>0.9</v>
      </c>
      <c r="N746" s="29">
        <f>IF(Dataset!F746=1,0.75,IF(Dataset!F746=2,0.45,0.2))</f>
        <v>0.2</v>
      </c>
      <c r="O746" s="29">
        <f>IF(Dataset!F746=1,3,IF(Dataset!F746=2,2,1))</f>
        <v>1</v>
      </c>
      <c r="P746" s="29">
        <f t="shared" si="92"/>
        <v>0.2</v>
      </c>
      <c r="Q746" s="29">
        <f>IF(Dataset!K746&lt;5,0.2,IF(Dataset!K746&lt;10,0.45,IF(Dataset!K746&lt;18,0.7,0.9)))</f>
        <v>0.7</v>
      </c>
      <c r="R746" s="29">
        <f>IF(Dataset!K746&lt;5,1,IF(Dataset!K746&lt;10,2,IF(Dataset!K746&lt;18,3,4)))</f>
        <v>3</v>
      </c>
      <c r="S746" s="29">
        <f t="shared" si="93"/>
        <v>2.0999999999999996</v>
      </c>
      <c r="T746" s="29">
        <f t="shared" si="94"/>
        <v>1.0370000000000001</v>
      </c>
      <c r="U746" s="29" t="str">
        <f t="shared" si="95"/>
        <v>Low</v>
      </c>
    </row>
    <row r="747" spans="1:21" ht="15" customHeight="1" x14ac:dyDescent="0.25">
      <c r="A747" s="29">
        <f>Dataset!A747</f>
        <v>743</v>
      </c>
      <c r="B747" s="29">
        <f>IF(Dataset!B747&lt;25,0.3,IF(Dataset!B747&lt;75,0.5,IF(Dataset!B747&lt;120,0.65,0.8)))</f>
        <v>0.3</v>
      </c>
      <c r="C747" s="29">
        <f>IF(Dataset!B747&lt;25,1,IF(Dataset!B747&lt;75,2,IF(Dataset!B747&lt;120,3,4)))</f>
        <v>1</v>
      </c>
      <c r="D747" s="29">
        <f t="shared" si="88"/>
        <v>0.3</v>
      </c>
      <c r="E747" s="29">
        <f>IF(Dataset!C747&lt;=1,0.3,IF(Dataset!C747=2,0.4,IF(Dataset!C747=3,0.5,IF(Dataset!C747=4,0.65,0.8))))</f>
        <v>0.5</v>
      </c>
      <c r="F747" s="29">
        <f>IF(Dataset!C747&lt;=2,1,IF(Dataset!C747=3,2,IF(Dataset!C747=4,3,4)))</f>
        <v>2</v>
      </c>
      <c r="G747" s="29">
        <f t="shared" si="89"/>
        <v>1</v>
      </c>
      <c r="H747" s="29">
        <f>IF(Dataset!G747&lt;=3,0.25,IF(Dataset!G747&lt;=6,0.45,IF(Dataset!G747&lt;=9,0.65,0.85)))</f>
        <v>0.45</v>
      </c>
      <c r="I747" s="29">
        <f>IF(Dataset!G747&lt;=3,1,IF(Dataset!G747&lt;=6,2,IF(Dataset!G747&lt;=9,3,4)))</f>
        <v>2</v>
      </c>
      <c r="J747" s="29">
        <f t="shared" si="90"/>
        <v>0.9</v>
      </c>
      <c r="K747" s="29">
        <f>IF(Dataset!H747&lt;1,0.2,IF(Dataset!H747&lt;1.3,0.45,IF(Dataset!H747&lt;1.8,0.7,0.9)))</f>
        <v>0.7</v>
      </c>
      <c r="L747" s="29">
        <f>IF(Dataset!H747&lt;1,1,IF(Dataset!H747&lt;1.3,2,IF(Dataset!H747&lt;1.8,3,4)))</f>
        <v>3</v>
      </c>
      <c r="M747" s="29">
        <f t="shared" si="91"/>
        <v>2.0999999999999996</v>
      </c>
      <c r="N747" s="29">
        <f>IF(Dataset!F747=1,0.75,IF(Dataset!F747=2,0.45,0.2))</f>
        <v>0.75</v>
      </c>
      <c r="O747" s="29">
        <f>IF(Dataset!F747=1,3,IF(Dataset!F747=2,2,1))</f>
        <v>3</v>
      </c>
      <c r="P747" s="29">
        <f t="shared" si="92"/>
        <v>2.25</v>
      </c>
      <c r="Q747" s="29">
        <f>IF(Dataset!K747&lt;5,0.2,IF(Dataset!K747&lt;10,0.45,IF(Dataset!K747&lt;18,0.7,0.9)))</f>
        <v>0.45</v>
      </c>
      <c r="R747" s="29">
        <f>IF(Dataset!K747&lt;5,1,IF(Dataset!K747&lt;10,2,IF(Dataset!K747&lt;18,3,4)))</f>
        <v>2</v>
      </c>
      <c r="S747" s="29">
        <f t="shared" si="93"/>
        <v>0.9</v>
      </c>
      <c r="T747" s="29">
        <f t="shared" si="94"/>
        <v>1.2290000000000001</v>
      </c>
      <c r="U747" s="29" t="str">
        <f t="shared" si="95"/>
        <v>Low</v>
      </c>
    </row>
    <row r="748" spans="1:21" ht="15" customHeight="1" x14ac:dyDescent="0.25">
      <c r="A748" s="29">
        <f>Dataset!A748</f>
        <v>744</v>
      </c>
      <c r="B748" s="29">
        <f>IF(Dataset!B748&lt;25,0.3,IF(Dataset!B748&lt;75,0.5,IF(Dataset!B748&lt;120,0.65,0.8)))</f>
        <v>0.5</v>
      </c>
      <c r="C748" s="29">
        <f>IF(Dataset!B748&lt;25,1,IF(Dataset!B748&lt;75,2,IF(Dataset!B748&lt;120,3,4)))</f>
        <v>2</v>
      </c>
      <c r="D748" s="29">
        <f t="shared" si="88"/>
        <v>1</v>
      </c>
      <c r="E748" s="29">
        <f>IF(Dataset!C748&lt;=1,0.3,IF(Dataset!C748=2,0.4,IF(Dataset!C748=3,0.5,IF(Dataset!C748=4,0.65,0.8))))</f>
        <v>0.65</v>
      </c>
      <c r="F748" s="29">
        <f>IF(Dataset!C748&lt;=2,1,IF(Dataset!C748=3,2,IF(Dataset!C748=4,3,4)))</f>
        <v>3</v>
      </c>
      <c r="G748" s="29">
        <f t="shared" si="89"/>
        <v>1.9500000000000002</v>
      </c>
      <c r="H748" s="29">
        <f>IF(Dataset!G748&lt;=3,0.25,IF(Dataset!G748&lt;=6,0.45,IF(Dataset!G748&lt;=9,0.65,0.85)))</f>
        <v>0.45</v>
      </c>
      <c r="I748" s="29">
        <f>IF(Dataset!G748&lt;=3,1,IF(Dataset!G748&lt;=6,2,IF(Dataset!G748&lt;=9,3,4)))</f>
        <v>2</v>
      </c>
      <c r="J748" s="29">
        <f t="shared" si="90"/>
        <v>0.9</v>
      </c>
      <c r="K748" s="29">
        <f>IF(Dataset!H748&lt;1,0.2,IF(Dataset!H748&lt;1.3,0.45,IF(Dataset!H748&lt;1.8,0.7,0.9)))</f>
        <v>0.9</v>
      </c>
      <c r="L748" s="29">
        <f>IF(Dataset!H748&lt;1,1,IF(Dataset!H748&lt;1.3,2,IF(Dataset!H748&lt;1.8,3,4)))</f>
        <v>4</v>
      </c>
      <c r="M748" s="29">
        <f t="shared" si="91"/>
        <v>3.6</v>
      </c>
      <c r="N748" s="29">
        <f>IF(Dataset!F748=1,0.75,IF(Dataset!F748=2,0.45,0.2))</f>
        <v>0.45</v>
      </c>
      <c r="O748" s="29">
        <f>IF(Dataset!F748=1,3,IF(Dataset!F748=2,2,1))</f>
        <v>2</v>
      </c>
      <c r="P748" s="29">
        <f t="shared" si="92"/>
        <v>0.9</v>
      </c>
      <c r="Q748" s="29">
        <f>IF(Dataset!K748&lt;5,0.2,IF(Dataset!K748&lt;10,0.45,IF(Dataset!K748&lt;18,0.7,0.9)))</f>
        <v>0.45</v>
      </c>
      <c r="R748" s="29">
        <f>IF(Dataset!K748&lt;5,1,IF(Dataset!K748&lt;10,2,IF(Dataset!K748&lt;18,3,4)))</f>
        <v>2</v>
      </c>
      <c r="S748" s="29">
        <f t="shared" si="93"/>
        <v>0.9</v>
      </c>
      <c r="T748" s="29">
        <f t="shared" si="94"/>
        <v>1.7130000000000003</v>
      </c>
      <c r="U748" s="29" t="str">
        <f t="shared" si="95"/>
        <v>Medium</v>
      </c>
    </row>
    <row r="749" spans="1:21" ht="15" customHeight="1" x14ac:dyDescent="0.25">
      <c r="A749" s="29">
        <f>Dataset!A749</f>
        <v>745</v>
      </c>
      <c r="B749" s="29">
        <f>IF(Dataset!B749&lt;25,0.3,IF(Dataset!B749&lt;75,0.5,IF(Dataset!B749&lt;120,0.65,0.8)))</f>
        <v>0.65</v>
      </c>
      <c r="C749" s="29">
        <f>IF(Dataset!B749&lt;25,1,IF(Dataset!B749&lt;75,2,IF(Dataset!B749&lt;120,3,4)))</f>
        <v>3</v>
      </c>
      <c r="D749" s="29">
        <f t="shared" si="88"/>
        <v>1.9500000000000002</v>
      </c>
      <c r="E749" s="29">
        <f>IF(Dataset!C749&lt;=1,0.3,IF(Dataset!C749=2,0.4,IF(Dataset!C749=3,0.5,IF(Dataset!C749=4,0.65,0.8))))</f>
        <v>0.4</v>
      </c>
      <c r="F749" s="29">
        <f>IF(Dataset!C749&lt;=2,1,IF(Dataset!C749=3,2,IF(Dataset!C749=4,3,4)))</f>
        <v>1</v>
      </c>
      <c r="G749" s="29">
        <f t="shared" si="89"/>
        <v>0.4</v>
      </c>
      <c r="H749" s="29">
        <f>IF(Dataset!G749&lt;=3,0.25,IF(Dataset!G749&lt;=6,0.45,IF(Dataset!G749&lt;=9,0.65,0.85)))</f>
        <v>0.45</v>
      </c>
      <c r="I749" s="29">
        <f>IF(Dataset!G749&lt;=3,1,IF(Dataset!G749&lt;=6,2,IF(Dataset!G749&lt;=9,3,4)))</f>
        <v>2</v>
      </c>
      <c r="J749" s="29">
        <f t="shared" si="90"/>
        <v>0.9</v>
      </c>
      <c r="K749" s="29">
        <f>IF(Dataset!H749&lt;1,0.2,IF(Dataset!H749&lt;1.3,0.45,IF(Dataset!H749&lt;1.8,0.7,0.9)))</f>
        <v>0.9</v>
      </c>
      <c r="L749" s="29">
        <f>IF(Dataset!H749&lt;1,1,IF(Dataset!H749&lt;1.3,2,IF(Dataset!H749&lt;1.8,3,4)))</f>
        <v>4</v>
      </c>
      <c r="M749" s="29">
        <f t="shared" si="91"/>
        <v>3.6</v>
      </c>
      <c r="N749" s="29">
        <f>IF(Dataset!F749=1,0.75,IF(Dataset!F749=2,0.45,0.2))</f>
        <v>0.45</v>
      </c>
      <c r="O749" s="29">
        <f>IF(Dataset!F749=1,3,IF(Dataset!F749=2,2,1))</f>
        <v>2</v>
      </c>
      <c r="P749" s="29">
        <f t="shared" si="92"/>
        <v>0.9</v>
      </c>
      <c r="Q749" s="29">
        <f>IF(Dataset!K749&lt;5,0.2,IF(Dataset!K749&lt;10,0.45,IF(Dataset!K749&lt;18,0.7,0.9)))</f>
        <v>0.2</v>
      </c>
      <c r="R749" s="29">
        <f>IF(Dataset!K749&lt;5,1,IF(Dataset!K749&lt;10,2,IF(Dataset!K749&lt;18,3,4)))</f>
        <v>1</v>
      </c>
      <c r="S749" s="29">
        <f t="shared" si="93"/>
        <v>0.2</v>
      </c>
      <c r="T749" s="29">
        <f t="shared" si="94"/>
        <v>1.5690000000000002</v>
      </c>
      <c r="U749" s="29" t="str">
        <f t="shared" si="95"/>
        <v>Medium</v>
      </c>
    </row>
    <row r="750" spans="1:21" ht="15" customHeight="1" x14ac:dyDescent="0.25">
      <c r="A750" s="29">
        <f>Dataset!A750</f>
        <v>746</v>
      </c>
      <c r="B750" s="29">
        <f>IF(Dataset!B750&lt;25,0.3,IF(Dataset!B750&lt;75,0.5,IF(Dataset!B750&lt;120,0.65,0.8)))</f>
        <v>0.65</v>
      </c>
      <c r="C750" s="29">
        <f>IF(Dataset!B750&lt;25,1,IF(Dataset!B750&lt;75,2,IF(Dataset!B750&lt;120,3,4)))</f>
        <v>3</v>
      </c>
      <c r="D750" s="29">
        <f t="shared" si="88"/>
        <v>1.9500000000000002</v>
      </c>
      <c r="E750" s="29">
        <f>IF(Dataset!C750&lt;=1,0.3,IF(Dataset!C750=2,0.4,IF(Dataset!C750=3,0.5,IF(Dataset!C750=4,0.65,0.8))))</f>
        <v>0.5</v>
      </c>
      <c r="F750" s="29">
        <f>IF(Dataset!C750&lt;=2,1,IF(Dataset!C750=3,2,IF(Dataset!C750=4,3,4)))</f>
        <v>2</v>
      </c>
      <c r="G750" s="29">
        <f t="shared" si="89"/>
        <v>1</v>
      </c>
      <c r="H750" s="29">
        <f>IF(Dataset!G750&lt;=3,0.25,IF(Dataset!G750&lt;=6,0.45,IF(Dataset!G750&lt;=9,0.65,0.85)))</f>
        <v>0.45</v>
      </c>
      <c r="I750" s="29">
        <f>IF(Dataset!G750&lt;=3,1,IF(Dataset!G750&lt;=6,2,IF(Dataset!G750&lt;=9,3,4)))</f>
        <v>2</v>
      </c>
      <c r="J750" s="29">
        <f t="shared" si="90"/>
        <v>0.9</v>
      </c>
      <c r="K750" s="29">
        <f>IF(Dataset!H750&lt;1,0.2,IF(Dataset!H750&lt;1.3,0.45,IF(Dataset!H750&lt;1.8,0.7,0.9)))</f>
        <v>0.2</v>
      </c>
      <c r="L750" s="29">
        <f>IF(Dataset!H750&lt;1,1,IF(Dataset!H750&lt;1.3,2,IF(Dataset!H750&lt;1.8,3,4)))</f>
        <v>1</v>
      </c>
      <c r="M750" s="29">
        <f t="shared" si="91"/>
        <v>0.2</v>
      </c>
      <c r="N750" s="29">
        <f>IF(Dataset!F750=1,0.75,IF(Dataset!F750=2,0.45,0.2))</f>
        <v>0.75</v>
      </c>
      <c r="O750" s="29">
        <f>IF(Dataset!F750=1,3,IF(Dataset!F750=2,2,1))</f>
        <v>3</v>
      </c>
      <c r="P750" s="29">
        <f t="shared" si="92"/>
        <v>2.25</v>
      </c>
      <c r="Q750" s="29">
        <f>IF(Dataset!K750&lt;5,0.2,IF(Dataset!K750&lt;10,0.45,IF(Dataset!K750&lt;18,0.7,0.9)))</f>
        <v>0.45</v>
      </c>
      <c r="R750" s="29">
        <f>IF(Dataset!K750&lt;5,1,IF(Dataset!K750&lt;10,2,IF(Dataset!K750&lt;18,3,4)))</f>
        <v>2</v>
      </c>
      <c r="S750" s="29">
        <f t="shared" si="93"/>
        <v>0.9</v>
      </c>
      <c r="T750" s="29">
        <f t="shared" si="94"/>
        <v>1.07</v>
      </c>
      <c r="U750" s="29" t="str">
        <f t="shared" si="95"/>
        <v>Low</v>
      </c>
    </row>
    <row r="751" spans="1:21" ht="15" customHeight="1" x14ac:dyDescent="0.25">
      <c r="A751" s="29">
        <f>Dataset!A751</f>
        <v>747</v>
      </c>
      <c r="B751" s="29">
        <f>IF(Dataset!B751&lt;25,0.3,IF(Dataset!B751&lt;75,0.5,IF(Dataset!B751&lt;120,0.65,0.8)))</f>
        <v>0.5</v>
      </c>
      <c r="C751" s="29">
        <f>IF(Dataset!B751&lt;25,1,IF(Dataset!B751&lt;75,2,IF(Dataset!B751&lt;120,3,4)))</f>
        <v>2</v>
      </c>
      <c r="D751" s="29">
        <f t="shared" si="88"/>
        <v>1</v>
      </c>
      <c r="E751" s="29">
        <f>IF(Dataset!C751&lt;=1,0.3,IF(Dataset!C751=2,0.4,IF(Dataset!C751=3,0.5,IF(Dataset!C751=4,0.65,0.8))))</f>
        <v>0.3</v>
      </c>
      <c r="F751" s="29">
        <f>IF(Dataset!C751&lt;=2,1,IF(Dataset!C751=3,2,IF(Dataset!C751=4,3,4)))</f>
        <v>1</v>
      </c>
      <c r="G751" s="29">
        <f t="shared" si="89"/>
        <v>0.3</v>
      </c>
      <c r="H751" s="29">
        <f>IF(Dataset!G751&lt;=3,0.25,IF(Dataset!G751&lt;=6,0.45,IF(Dataset!G751&lt;=9,0.65,0.85)))</f>
        <v>0.65</v>
      </c>
      <c r="I751" s="29">
        <f>IF(Dataset!G751&lt;=3,1,IF(Dataset!G751&lt;=6,2,IF(Dataset!G751&lt;=9,3,4)))</f>
        <v>3</v>
      </c>
      <c r="J751" s="29">
        <f t="shared" si="90"/>
        <v>1.9500000000000002</v>
      </c>
      <c r="K751" s="29">
        <f>IF(Dataset!H751&lt;1,0.2,IF(Dataset!H751&lt;1.3,0.45,IF(Dataset!H751&lt;1.8,0.7,0.9)))</f>
        <v>0.9</v>
      </c>
      <c r="L751" s="29">
        <f>IF(Dataset!H751&lt;1,1,IF(Dataset!H751&lt;1.3,2,IF(Dataset!H751&lt;1.8,3,4)))</f>
        <v>4</v>
      </c>
      <c r="M751" s="29">
        <f t="shared" si="91"/>
        <v>3.6</v>
      </c>
      <c r="N751" s="29">
        <f>IF(Dataset!F751=1,0.75,IF(Dataset!F751=2,0.45,0.2))</f>
        <v>0.45</v>
      </c>
      <c r="O751" s="29">
        <f>IF(Dataset!F751=1,3,IF(Dataset!F751=2,2,1))</f>
        <v>2</v>
      </c>
      <c r="P751" s="29">
        <f t="shared" si="92"/>
        <v>0.9</v>
      </c>
      <c r="Q751" s="29">
        <f>IF(Dataset!K751&lt;5,0.2,IF(Dataset!K751&lt;10,0.45,IF(Dataset!K751&lt;18,0.7,0.9)))</f>
        <v>0.2</v>
      </c>
      <c r="R751" s="29">
        <f>IF(Dataset!K751&lt;5,1,IF(Dataset!K751&lt;10,2,IF(Dataset!K751&lt;18,3,4)))</f>
        <v>1</v>
      </c>
      <c r="S751" s="29">
        <f t="shared" si="93"/>
        <v>0.2</v>
      </c>
      <c r="T751" s="29">
        <f t="shared" si="94"/>
        <v>1.5940000000000001</v>
      </c>
      <c r="U751" s="29" t="str">
        <f t="shared" si="95"/>
        <v>Medium</v>
      </c>
    </row>
    <row r="752" spans="1:21" ht="15" customHeight="1" x14ac:dyDescent="0.25">
      <c r="A752" s="29">
        <f>Dataset!A752</f>
        <v>748</v>
      </c>
      <c r="B752" s="29">
        <f>IF(Dataset!B752&lt;25,0.3,IF(Dataset!B752&lt;75,0.5,IF(Dataset!B752&lt;120,0.65,0.8)))</f>
        <v>0.5</v>
      </c>
      <c r="C752" s="29">
        <f>IF(Dataset!B752&lt;25,1,IF(Dataset!B752&lt;75,2,IF(Dataset!B752&lt;120,3,4)))</f>
        <v>2</v>
      </c>
      <c r="D752" s="29">
        <f t="shared" si="88"/>
        <v>1</v>
      </c>
      <c r="E752" s="29">
        <f>IF(Dataset!C752&lt;=1,0.3,IF(Dataset!C752=2,0.4,IF(Dataset!C752=3,0.5,IF(Dataset!C752=4,0.65,0.8))))</f>
        <v>0.65</v>
      </c>
      <c r="F752" s="29">
        <f>IF(Dataset!C752&lt;=2,1,IF(Dataset!C752=3,2,IF(Dataset!C752=4,3,4)))</f>
        <v>3</v>
      </c>
      <c r="G752" s="29">
        <f t="shared" si="89"/>
        <v>1.9500000000000002</v>
      </c>
      <c r="H752" s="29">
        <f>IF(Dataset!G752&lt;=3,0.25,IF(Dataset!G752&lt;=6,0.45,IF(Dataset!G752&lt;=9,0.65,0.85)))</f>
        <v>0.85</v>
      </c>
      <c r="I752" s="29">
        <f>IF(Dataset!G752&lt;=3,1,IF(Dataset!G752&lt;=6,2,IF(Dataset!G752&lt;=9,3,4)))</f>
        <v>4</v>
      </c>
      <c r="J752" s="29">
        <f t="shared" si="90"/>
        <v>3.4</v>
      </c>
      <c r="K752" s="29">
        <f>IF(Dataset!H752&lt;1,0.2,IF(Dataset!H752&lt;1.3,0.45,IF(Dataset!H752&lt;1.8,0.7,0.9)))</f>
        <v>0.9</v>
      </c>
      <c r="L752" s="29">
        <f>IF(Dataset!H752&lt;1,1,IF(Dataset!H752&lt;1.3,2,IF(Dataset!H752&lt;1.8,3,4)))</f>
        <v>4</v>
      </c>
      <c r="M752" s="29">
        <f t="shared" si="91"/>
        <v>3.6</v>
      </c>
      <c r="N752" s="29">
        <f>IF(Dataset!F752=1,0.75,IF(Dataset!F752=2,0.45,0.2))</f>
        <v>0.75</v>
      </c>
      <c r="O752" s="29">
        <f>IF(Dataset!F752=1,3,IF(Dataset!F752=2,2,1))</f>
        <v>3</v>
      </c>
      <c r="P752" s="29">
        <f t="shared" si="92"/>
        <v>2.25</v>
      </c>
      <c r="Q752" s="29">
        <f>IF(Dataset!K752&lt;5,0.2,IF(Dataset!K752&lt;10,0.45,IF(Dataset!K752&lt;18,0.7,0.9)))</f>
        <v>0.45</v>
      </c>
      <c r="R752" s="29">
        <f>IF(Dataset!K752&lt;5,1,IF(Dataset!K752&lt;10,2,IF(Dataset!K752&lt;18,3,4)))</f>
        <v>2</v>
      </c>
      <c r="S752" s="29">
        <f t="shared" si="93"/>
        <v>0.9</v>
      </c>
      <c r="T752" s="29">
        <f t="shared" si="94"/>
        <v>2.3479999999999999</v>
      </c>
      <c r="U752" s="29" t="str">
        <f t="shared" si="95"/>
        <v>High</v>
      </c>
    </row>
    <row r="753" spans="1:21" ht="15" customHeight="1" x14ac:dyDescent="0.25">
      <c r="A753" s="29">
        <f>Dataset!A753</f>
        <v>749</v>
      </c>
      <c r="B753" s="29">
        <f>IF(Dataset!B753&lt;25,0.3,IF(Dataset!B753&lt;75,0.5,IF(Dataset!B753&lt;120,0.65,0.8)))</f>
        <v>0.65</v>
      </c>
      <c r="C753" s="29">
        <f>IF(Dataset!B753&lt;25,1,IF(Dataset!B753&lt;75,2,IF(Dataset!B753&lt;120,3,4)))</f>
        <v>3</v>
      </c>
      <c r="D753" s="29">
        <f t="shared" si="88"/>
        <v>1.9500000000000002</v>
      </c>
      <c r="E753" s="29">
        <f>IF(Dataset!C753&lt;=1,0.3,IF(Dataset!C753=2,0.4,IF(Dataset!C753=3,0.5,IF(Dataset!C753=4,0.65,0.8))))</f>
        <v>0.5</v>
      </c>
      <c r="F753" s="29">
        <f>IF(Dataset!C753&lt;=2,1,IF(Dataset!C753=3,2,IF(Dataset!C753=4,3,4)))</f>
        <v>2</v>
      </c>
      <c r="G753" s="29">
        <f t="shared" si="89"/>
        <v>1</v>
      </c>
      <c r="H753" s="29">
        <f>IF(Dataset!G753&lt;=3,0.25,IF(Dataset!G753&lt;=6,0.45,IF(Dataset!G753&lt;=9,0.65,0.85)))</f>
        <v>0.45</v>
      </c>
      <c r="I753" s="29">
        <f>IF(Dataset!G753&lt;=3,1,IF(Dataset!G753&lt;=6,2,IF(Dataset!G753&lt;=9,3,4)))</f>
        <v>2</v>
      </c>
      <c r="J753" s="29">
        <f t="shared" si="90"/>
        <v>0.9</v>
      </c>
      <c r="K753" s="29">
        <f>IF(Dataset!H753&lt;1,0.2,IF(Dataset!H753&lt;1.3,0.45,IF(Dataset!H753&lt;1.8,0.7,0.9)))</f>
        <v>0.2</v>
      </c>
      <c r="L753" s="29">
        <f>IF(Dataset!H753&lt;1,1,IF(Dataset!H753&lt;1.3,2,IF(Dataset!H753&lt;1.8,3,4)))</f>
        <v>1</v>
      </c>
      <c r="M753" s="29">
        <f t="shared" si="91"/>
        <v>0.2</v>
      </c>
      <c r="N753" s="29">
        <f>IF(Dataset!F753=1,0.75,IF(Dataset!F753=2,0.45,0.2))</f>
        <v>0.2</v>
      </c>
      <c r="O753" s="29">
        <f>IF(Dataset!F753=1,3,IF(Dataset!F753=2,2,1))</f>
        <v>1</v>
      </c>
      <c r="P753" s="29">
        <f t="shared" si="92"/>
        <v>0.2</v>
      </c>
      <c r="Q753" s="29">
        <f>IF(Dataset!K753&lt;5,0.2,IF(Dataset!K753&lt;10,0.45,IF(Dataset!K753&lt;18,0.7,0.9)))</f>
        <v>0.45</v>
      </c>
      <c r="R753" s="29">
        <f>IF(Dataset!K753&lt;5,1,IF(Dataset!K753&lt;10,2,IF(Dataset!K753&lt;18,3,4)))</f>
        <v>2</v>
      </c>
      <c r="S753" s="29">
        <f t="shared" si="93"/>
        <v>0.9</v>
      </c>
      <c r="T753" s="29">
        <f t="shared" si="94"/>
        <v>0.8650000000000001</v>
      </c>
      <c r="U753" s="29" t="str">
        <f t="shared" si="95"/>
        <v>Low</v>
      </c>
    </row>
    <row r="754" spans="1:21" ht="15" customHeight="1" x14ac:dyDescent="0.25">
      <c r="A754" s="29">
        <f>Dataset!A754</f>
        <v>750</v>
      </c>
      <c r="B754" s="29">
        <f>IF(Dataset!B754&lt;25,0.3,IF(Dataset!B754&lt;75,0.5,IF(Dataset!B754&lt;120,0.65,0.8)))</f>
        <v>0.3</v>
      </c>
      <c r="C754" s="29">
        <f>IF(Dataset!B754&lt;25,1,IF(Dataset!B754&lt;75,2,IF(Dataset!B754&lt;120,3,4)))</f>
        <v>1</v>
      </c>
      <c r="D754" s="29">
        <f t="shared" si="88"/>
        <v>0.3</v>
      </c>
      <c r="E754" s="29">
        <f>IF(Dataset!C754&lt;=1,0.3,IF(Dataset!C754=2,0.4,IF(Dataset!C754=3,0.5,IF(Dataset!C754=4,0.65,0.8))))</f>
        <v>0.8</v>
      </c>
      <c r="F754" s="29">
        <f>IF(Dataset!C754&lt;=2,1,IF(Dataset!C754=3,2,IF(Dataset!C754=4,3,4)))</f>
        <v>4</v>
      </c>
      <c r="G754" s="29">
        <f t="shared" si="89"/>
        <v>3.2</v>
      </c>
      <c r="H754" s="29">
        <f>IF(Dataset!G754&lt;=3,0.25,IF(Dataset!G754&lt;=6,0.45,IF(Dataset!G754&lt;=9,0.65,0.85)))</f>
        <v>0.45</v>
      </c>
      <c r="I754" s="29">
        <f>IF(Dataset!G754&lt;=3,1,IF(Dataset!G754&lt;=6,2,IF(Dataset!G754&lt;=9,3,4)))</f>
        <v>2</v>
      </c>
      <c r="J754" s="29">
        <f t="shared" si="90"/>
        <v>0.9</v>
      </c>
      <c r="K754" s="29">
        <f>IF(Dataset!H754&lt;1,0.2,IF(Dataset!H754&lt;1.3,0.45,IF(Dataset!H754&lt;1.8,0.7,0.9)))</f>
        <v>0.45</v>
      </c>
      <c r="L754" s="29">
        <f>IF(Dataset!H754&lt;1,1,IF(Dataset!H754&lt;1.3,2,IF(Dataset!H754&lt;1.8,3,4)))</f>
        <v>2</v>
      </c>
      <c r="M754" s="29">
        <f t="shared" si="91"/>
        <v>0.9</v>
      </c>
      <c r="N754" s="29">
        <f>IF(Dataset!F754=1,0.75,IF(Dataset!F754=2,0.45,0.2))</f>
        <v>0.45</v>
      </c>
      <c r="O754" s="29">
        <f>IF(Dataset!F754=1,3,IF(Dataset!F754=2,2,1))</f>
        <v>2</v>
      </c>
      <c r="P754" s="29">
        <f t="shared" si="92"/>
        <v>0.9</v>
      </c>
      <c r="Q754" s="29">
        <f>IF(Dataset!K754&lt;5,0.2,IF(Dataset!K754&lt;10,0.45,IF(Dataset!K754&lt;18,0.7,0.9)))</f>
        <v>0.9</v>
      </c>
      <c r="R754" s="29">
        <f>IF(Dataset!K754&lt;5,1,IF(Dataset!K754&lt;10,2,IF(Dataset!K754&lt;18,3,4)))</f>
        <v>4</v>
      </c>
      <c r="S754" s="29">
        <f t="shared" si="93"/>
        <v>3.6</v>
      </c>
      <c r="T754" s="29">
        <f t="shared" si="94"/>
        <v>1.4920000000000002</v>
      </c>
      <c r="U754" s="29" t="str">
        <f t="shared" si="95"/>
        <v>Medium</v>
      </c>
    </row>
    <row r="755" spans="1:21" ht="15" customHeight="1" x14ac:dyDescent="0.25">
      <c r="A755" s="29">
        <f>Dataset!A755</f>
        <v>751</v>
      </c>
      <c r="B755" s="29">
        <f>IF(Dataset!B755&lt;25,0.3,IF(Dataset!B755&lt;75,0.5,IF(Dataset!B755&lt;120,0.65,0.8)))</f>
        <v>0.5</v>
      </c>
      <c r="C755" s="29">
        <f>IF(Dataset!B755&lt;25,1,IF(Dataset!B755&lt;75,2,IF(Dataset!B755&lt;120,3,4)))</f>
        <v>2</v>
      </c>
      <c r="D755" s="29">
        <f t="shared" si="88"/>
        <v>1</v>
      </c>
      <c r="E755" s="29">
        <f>IF(Dataset!C755&lt;=1,0.3,IF(Dataset!C755=2,0.4,IF(Dataset!C755=3,0.5,IF(Dataset!C755=4,0.65,0.8))))</f>
        <v>0.5</v>
      </c>
      <c r="F755" s="29">
        <f>IF(Dataset!C755&lt;=2,1,IF(Dataset!C755=3,2,IF(Dataset!C755=4,3,4)))</f>
        <v>2</v>
      </c>
      <c r="G755" s="29">
        <f t="shared" si="89"/>
        <v>1</v>
      </c>
      <c r="H755" s="29">
        <f>IF(Dataset!G755&lt;=3,0.25,IF(Dataset!G755&lt;=6,0.45,IF(Dataset!G755&lt;=9,0.65,0.85)))</f>
        <v>0.45</v>
      </c>
      <c r="I755" s="29">
        <f>IF(Dataset!G755&lt;=3,1,IF(Dataset!G755&lt;=6,2,IF(Dataset!G755&lt;=9,3,4)))</f>
        <v>2</v>
      </c>
      <c r="J755" s="29">
        <f t="shared" si="90"/>
        <v>0.9</v>
      </c>
      <c r="K755" s="29">
        <f>IF(Dataset!H755&lt;1,0.2,IF(Dataset!H755&lt;1.3,0.45,IF(Dataset!H755&lt;1.8,0.7,0.9)))</f>
        <v>0.9</v>
      </c>
      <c r="L755" s="29">
        <f>IF(Dataset!H755&lt;1,1,IF(Dataset!H755&lt;1.3,2,IF(Dataset!H755&lt;1.8,3,4)))</f>
        <v>4</v>
      </c>
      <c r="M755" s="29">
        <f t="shared" si="91"/>
        <v>3.6</v>
      </c>
      <c r="N755" s="29">
        <f>IF(Dataset!F755=1,0.75,IF(Dataset!F755=2,0.45,0.2))</f>
        <v>0.2</v>
      </c>
      <c r="O755" s="29">
        <f>IF(Dataset!F755=1,3,IF(Dataset!F755=2,2,1))</f>
        <v>1</v>
      </c>
      <c r="P755" s="29">
        <f t="shared" si="92"/>
        <v>0.2</v>
      </c>
      <c r="Q755" s="29">
        <f>IF(Dataset!K755&lt;5,0.2,IF(Dataset!K755&lt;10,0.45,IF(Dataset!K755&lt;18,0.7,0.9)))</f>
        <v>0.45</v>
      </c>
      <c r="R755" s="29">
        <f>IF(Dataset!K755&lt;5,1,IF(Dataset!K755&lt;10,2,IF(Dataset!K755&lt;18,3,4)))</f>
        <v>2</v>
      </c>
      <c r="S755" s="29">
        <f t="shared" si="93"/>
        <v>0.9</v>
      </c>
      <c r="T755" s="29">
        <f t="shared" si="94"/>
        <v>1.51</v>
      </c>
      <c r="U755" s="29" t="str">
        <f t="shared" si="95"/>
        <v>Medium</v>
      </c>
    </row>
    <row r="756" spans="1:21" ht="15" customHeight="1" x14ac:dyDescent="0.25">
      <c r="A756" s="29">
        <f>Dataset!A756</f>
        <v>752</v>
      </c>
      <c r="B756" s="29">
        <f>IF(Dataset!B756&lt;25,0.3,IF(Dataset!B756&lt;75,0.5,IF(Dataset!B756&lt;120,0.65,0.8)))</f>
        <v>0.8</v>
      </c>
      <c r="C756" s="29">
        <f>IF(Dataset!B756&lt;25,1,IF(Dataset!B756&lt;75,2,IF(Dataset!B756&lt;120,3,4)))</f>
        <v>4</v>
      </c>
      <c r="D756" s="29">
        <f t="shared" si="88"/>
        <v>3.2</v>
      </c>
      <c r="E756" s="29">
        <f>IF(Dataset!C756&lt;=1,0.3,IF(Dataset!C756=2,0.4,IF(Dataset!C756=3,0.5,IF(Dataset!C756=4,0.65,0.8))))</f>
        <v>0.65</v>
      </c>
      <c r="F756" s="29">
        <f>IF(Dataset!C756&lt;=2,1,IF(Dataset!C756=3,2,IF(Dataset!C756=4,3,4)))</f>
        <v>3</v>
      </c>
      <c r="G756" s="29">
        <f t="shared" si="89"/>
        <v>1.9500000000000002</v>
      </c>
      <c r="H756" s="29">
        <f>IF(Dataset!G756&lt;=3,0.25,IF(Dataset!G756&lt;=6,0.45,IF(Dataset!G756&lt;=9,0.65,0.85)))</f>
        <v>0.45</v>
      </c>
      <c r="I756" s="29">
        <f>IF(Dataset!G756&lt;=3,1,IF(Dataset!G756&lt;=6,2,IF(Dataset!G756&lt;=9,3,4)))</f>
        <v>2</v>
      </c>
      <c r="J756" s="29">
        <f t="shared" si="90"/>
        <v>0.9</v>
      </c>
      <c r="K756" s="29">
        <f>IF(Dataset!H756&lt;1,0.2,IF(Dataset!H756&lt;1.3,0.45,IF(Dataset!H756&lt;1.8,0.7,0.9)))</f>
        <v>0.7</v>
      </c>
      <c r="L756" s="29">
        <f>IF(Dataset!H756&lt;1,1,IF(Dataset!H756&lt;1.3,2,IF(Dataset!H756&lt;1.8,3,4)))</f>
        <v>3</v>
      </c>
      <c r="M756" s="29">
        <f t="shared" si="91"/>
        <v>2.0999999999999996</v>
      </c>
      <c r="N756" s="29">
        <f>IF(Dataset!F756=1,0.75,IF(Dataset!F756=2,0.45,0.2))</f>
        <v>0.45</v>
      </c>
      <c r="O756" s="29">
        <f>IF(Dataset!F756=1,3,IF(Dataset!F756=2,2,1))</f>
        <v>2</v>
      </c>
      <c r="P756" s="29">
        <f t="shared" si="92"/>
        <v>0.9</v>
      </c>
      <c r="Q756" s="29">
        <f>IF(Dataset!K756&lt;5,0.2,IF(Dataset!K756&lt;10,0.45,IF(Dataset!K756&lt;18,0.7,0.9)))</f>
        <v>0.7</v>
      </c>
      <c r="R756" s="29">
        <f>IF(Dataset!K756&lt;5,1,IF(Dataset!K756&lt;10,2,IF(Dataset!K756&lt;18,3,4)))</f>
        <v>3</v>
      </c>
      <c r="S756" s="29">
        <f t="shared" si="93"/>
        <v>2.0999999999999996</v>
      </c>
      <c r="T756" s="29">
        <f t="shared" si="94"/>
        <v>1.917</v>
      </c>
      <c r="U756" s="29" t="str">
        <f t="shared" si="95"/>
        <v>High</v>
      </c>
    </row>
    <row r="757" spans="1:21" ht="15" customHeight="1" x14ac:dyDescent="0.25">
      <c r="A757" s="29">
        <f>Dataset!A757</f>
        <v>753</v>
      </c>
      <c r="B757" s="29">
        <f>IF(Dataset!B757&lt;25,0.3,IF(Dataset!B757&lt;75,0.5,IF(Dataset!B757&lt;120,0.65,0.8)))</f>
        <v>0.5</v>
      </c>
      <c r="C757" s="29">
        <f>IF(Dataset!B757&lt;25,1,IF(Dataset!B757&lt;75,2,IF(Dataset!B757&lt;120,3,4)))</f>
        <v>2</v>
      </c>
      <c r="D757" s="29">
        <f t="shared" si="88"/>
        <v>1</v>
      </c>
      <c r="E757" s="29">
        <f>IF(Dataset!C757&lt;=1,0.3,IF(Dataset!C757=2,0.4,IF(Dataset!C757=3,0.5,IF(Dataset!C757=4,0.65,0.8))))</f>
        <v>0.5</v>
      </c>
      <c r="F757" s="29">
        <f>IF(Dataset!C757&lt;=2,1,IF(Dataset!C757=3,2,IF(Dataset!C757=4,3,4)))</f>
        <v>2</v>
      </c>
      <c r="G757" s="29">
        <f t="shared" si="89"/>
        <v>1</v>
      </c>
      <c r="H757" s="29">
        <f>IF(Dataset!G757&lt;=3,0.25,IF(Dataset!G757&lt;=6,0.45,IF(Dataset!G757&lt;=9,0.65,0.85)))</f>
        <v>0.65</v>
      </c>
      <c r="I757" s="29">
        <f>IF(Dataset!G757&lt;=3,1,IF(Dataset!G757&lt;=6,2,IF(Dataset!G757&lt;=9,3,4)))</f>
        <v>3</v>
      </c>
      <c r="J757" s="29">
        <f t="shared" si="90"/>
        <v>1.9500000000000002</v>
      </c>
      <c r="K757" s="29">
        <f>IF(Dataset!H757&lt;1,0.2,IF(Dataset!H757&lt;1.3,0.45,IF(Dataset!H757&lt;1.8,0.7,0.9)))</f>
        <v>0.9</v>
      </c>
      <c r="L757" s="29">
        <f>IF(Dataset!H757&lt;1,1,IF(Dataset!H757&lt;1.3,2,IF(Dataset!H757&lt;1.8,3,4)))</f>
        <v>4</v>
      </c>
      <c r="M757" s="29">
        <f t="shared" si="91"/>
        <v>3.6</v>
      </c>
      <c r="N757" s="29">
        <f>IF(Dataset!F757=1,0.75,IF(Dataset!F757=2,0.45,0.2))</f>
        <v>0.75</v>
      </c>
      <c r="O757" s="29">
        <f>IF(Dataset!F757=1,3,IF(Dataset!F757=2,2,1))</f>
        <v>3</v>
      </c>
      <c r="P757" s="29">
        <f t="shared" si="92"/>
        <v>2.25</v>
      </c>
      <c r="Q757" s="29">
        <f>IF(Dataset!K757&lt;5,0.2,IF(Dataset!K757&lt;10,0.45,IF(Dataset!K757&lt;18,0.7,0.9)))</f>
        <v>0.45</v>
      </c>
      <c r="R757" s="29">
        <f>IF(Dataset!K757&lt;5,1,IF(Dataset!K757&lt;10,2,IF(Dataset!K757&lt;18,3,4)))</f>
        <v>2</v>
      </c>
      <c r="S757" s="29">
        <f t="shared" si="93"/>
        <v>0.9</v>
      </c>
      <c r="T757" s="29">
        <f t="shared" si="94"/>
        <v>1.9250000000000003</v>
      </c>
      <c r="U757" s="29" t="str">
        <f t="shared" si="95"/>
        <v>High</v>
      </c>
    </row>
    <row r="758" spans="1:21" ht="15" customHeight="1" x14ac:dyDescent="0.25">
      <c r="A758" s="29">
        <f>Dataset!A758</f>
        <v>754</v>
      </c>
      <c r="B758" s="29">
        <f>IF(Dataset!B758&lt;25,0.3,IF(Dataset!B758&lt;75,0.5,IF(Dataset!B758&lt;120,0.65,0.8)))</f>
        <v>0.8</v>
      </c>
      <c r="C758" s="29">
        <f>IF(Dataset!B758&lt;25,1,IF(Dataset!B758&lt;75,2,IF(Dataset!B758&lt;120,3,4)))</f>
        <v>4</v>
      </c>
      <c r="D758" s="29">
        <f t="shared" si="88"/>
        <v>3.2</v>
      </c>
      <c r="E758" s="29">
        <f>IF(Dataset!C758&lt;=1,0.3,IF(Dataset!C758=2,0.4,IF(Dataset!C758=3,0.5,IF(Dataset!C758=4,0.65,0.8))))</f>
        <v>0.65</v>
      </c>
      <c r="F758" s="29">
        <f>IF(Dataset!C758&lt;=2,1,IF(Dataset!C758=3,2,IF(Dataset!C758=4,3,4)))</f>
        <v>3</v>
      </c>
      <c r="G758" s="29">
        <f t="shared" si="89"/>
        <v>1.9500000000000002</v>
      </c>
      <c r="H758" s="29">
        <f>IF(Dataset!G758&lt;=3,0.25,IF(Dataset!G758&lt;=6,0.45,IF(Dataset!G758&lt;=9,0.65,0.85)))</f>
        <v>0.65</v>
      </c>
      <c r="I758" s="29">
        <f>IF(Dataset!G758&lt;=3,1,IF(Dataset!G758&lt;=6,2,IF(Dataset!G758&lt;=9,3,4)))</f>
        <v>3</v>
      </c>
      <c r="J758" s="29">
        <f t="shared" si="90"/>
        <v>1.9500000000000002</v>
      </c>
      <c r="K758" s="29">
        <f>IF(Dataset!H758&lt;1,0.2,IF(Dataset!H758&lt;1.3,0.45,IF(Dataset!H758&lt;1.8,0.7,0.9)))</f>
        <v>0.2</v>
      </c>
      <c r="L758" s="29">
        <f>IF(Dataset!H758&lt;1,1,IF(Dataset!H758&lt;1.3,2,IF(Dataset!H758&lt;1.8,3,4)))</f>
        <v>1</v>
      </c>
      <c r="M758" s="29">
        <f t="shared" si="91"/>
        <v>0.2</v>
      </c>
      <c r="N758" s="29">
        <f>IF(Dataset!F758=1,0.75,IF(Dataset!F758=2,0.45,0.2))</f>
        <v>0.2</v>
      </c>
      <c r="O758" s="29">
        <f>IF(Dataset!F758=1,3,IF(Dataset!F758=2,2,1))</f>
        <v>1</v>
      </c>
      <c r="P758" s="29">
        <f t="shared" si="92"/>
        <v>0.2</v>
      </c>
      <c r="Q758" s="29">
        <f>IF(Dataset!K758&lt;5,0.2,IF(Dataset!K758&lt;10,0.45,IF(Dataset!K758&lt;18,0.7,0.9)))</f>
        <v>0.7</v>
      </c>
      <c r="R758" s="29">
        <f>IF(Dataset!K758&lt;5,1,IF(Dataset!K758&lt;10,2,IF(Dataset!K758&lt;18,3,4)))</f>
        <v>3</v>
      </c>
      <c r="S758" s="29">
        <f t="shared" si="93"/>
        <v>2.0999999999999996</v>
      </c>
      <c r="T758" s="29">
        <f t="shared" si="94"/>
        <v>1.6010000000000002</v>
      </c>
      <c r="U758" s="29" t="str">
        <f t="shared" si="95"/>
        <v>Medium</v>
      </c>
    </row>
    <row r="759" spans="1:21" ht="15" customHeight="1" x14ac:dyDescent="0.25">
      <c r="A759" s="29">
        <f>Dataset!A759</f>
        <v>755</v>
      </c>
      <c r="B759" s="29">
        <f>IF(Dataset!B759&lt;25,0.3,IF(Dataset!B759&lt;75,0.5,IF(Dataset!B759&lt;120,0.65,0.8)))</f>
        <v>0.5</v>
      </c>
      <c r="C759" s="29">
        <f>IF(Dataset!B759&lt;25,1,IF(Dataset!B759&lt;75,2,IF(Dataset!B759&lt;120,3,4)))</f>
        <v>2</v>
      </c>
      <c r="D759" s="29">
        <f t="shared" si="88"/>
        <v>1</v>
      </c>
      <c r="E759" s="29">
        <f>IF(Dataset!C759&lt;=1,0.3,IF(Dataset!C759=2,0.4,IF(Dataset!C759=3,0.5,IF(Dataset!C759=4,0.65,0.8))))</f>
        <v>0.5</v>
      </c>
      <c r="F759" s="29">
        <f>IF(Dataset!C759&lt;=2,1,IF(Dataset!C759=3,2,IF(Dataset!C759=4,3,4)))</f>
        <v>2</v>
      </c>
      <c r="G759" s="29">
        <f t="shared" si="89"/>
        <v>1</v>
      </c>
      <c r="H759" s="29">
        <f>IF(Dataset!G759&lt;=3,0.25,IF(Dataset!G759&lt;=6,0.45,IF(Dataset!G759&lt;=9,0.65,0.85)))</f>
        <v>0.25</v>
      </c>
      <c r="I759" s="29">
        <f>IF(Dataset!G759&lt;=3,1,IF(Dataset!G759&lt;=6,2,IF(Dataset!G759&lt;=9,3,4)))</f>
        <v>1</v>
      </c>
      <c r="J759" s="29">
        <f t="shared" si="90"/>
        <v>0.25</v>
      </c>
      <c r="K759" s="29">
        <f>IF(Dataset!H759&lt;1,0.2,IF(Dataset!H759&lt;1.3,0.45,IF(Dataset!H759&lt;1.8,0.7,0.9)))</f>
        <v>0.2</v>
      </c>
      <c r="L759" s="29">
        <f>IF(Dataset!H759&lt;1,1,IF(Dataset!H759&lt;1.3,2,IF(Dataset!H759&lt;1.8,3,4)))</f>
        <v>1</v>
      </c>
      <c r="M759" s="29">
        <f t="shared" si="91"/>
        <v>0.2</v>
      </c>
      <c r="N759" s="29">
        <f>IF(Dataset!F759=1,0.75,IF(Dataset!F759=2,0.45,0.2))</f>
        <v>0.75</v>
      </c>
      <c r="O759" s="29">
        <f>IF(Dataset!F759=1,3,IF(Dataset!F759=2,2,1))</f>
        <v>3</v>
      </c>
      <c r="P759" s="29">
        <f t="shared" si="92"/>
        <v>2.25</v>
      </c>
      <c r="Q759" s="29">
        <f>IF(Dataset!K759&lt;5,0.2,IF(Dataset!K759&lt;10,0.45,IF(Dataset!K759&lt;18,0.7,0.9)))</f>
        <v>0.2</v>
      </c>
      <c r="R759" s="29">
        <f>IF(Dataset!K759&lt;5,1,IF(Dataset!K759&lt;10,2,IF(Dataset!K759&lt;18,3,4)))</f>
        <v>1</v>
      </c>
      <c r="S759" s="29">
        <f t="shared" si="93"/>
        <v>0.2</v>
      </c>
      <c r="T759" s="29">
        <f t="shared" si="94"/>
        <v>0.67100000000000004</v>
      </c>
      <c r="U759" s="29" t="str">
        <f t="shared" si="95"/>
        <v>Low</v>
      </c>
    </row>
    <row r="760" spans="1:21" ht="15" customHeight="1" x14ac:dyDescent="0.25">
      <c r="A760" s="29">
        <f>Dataset!A760</f>
        <v>756</v>
      </c>
      <c r="B760" s="29">
        <f>IF(Dataset!B760&lt;25,0.3,IF(Dataset!B760&lt;75,0.5,IF(Dataset!B760&lt;120,0.65,0.8)))</f>
        <v>0.65</v>
      </c>
      <c r="C760" s="29">
        <f>IF(Dataset!B760&lt;25,1,IF(Dataset!B760&lt;75,2,IF(Dataset!B760&lt;120,3,4)))</f>
        <v>3</v>
      </c>
      <c r="D760" s="29">
        <f t="shared" si="88"/>
        <v>1.9500000000000002</v>
      </c>
      <c r="E760" s="29">
        <f>IF(Dataset!C760&lt;=1,0.3,IF(Dataset!C760=2,0.4,IF(Dataset!C760=3,0.5,IF(Dataset!C760=4,0.65,0.8))))</f>
        <v>0.5</v>
      </c>
      <c r="F760" s="29">
        <f>IF(Dataset!C760&lt;=2,1,IF(Dataset!C760=3,2,IF(Dataset!C760=4,3,4)))</f>
        <v>2</v>
      </c>
      <c r="G760" s="29">
        <f t="shared" si="89"/>
        <v>1</v>
      </c>
      <c r="H760" s="29">
        <f>IF(Dataset!G760&lt;=3,0.25,IF(Dataset!G760&lt;=6,0.45,IF(Dataset!G760&lt;=9,0.65,0.85)))</f>
        <v>0.25</v>
      </c>
      <c r="I760" s="29">
        <f>IF(Dataset!G760&lt;=3,1,IF(Dataset!G760&lt;=6,2,IF(Dataset!G760&lt;=9,3,4)))</f>
        <v>1</v>
      </c>
      <c r="J760" s="29">
        <f t="shared" si="90"/>
        <v>0.25</v>
      </c>
      <c r="K760" s="29">
        <f>IF(Dataset!H760&lt;1,0.2,IF(Dataset!H760&lt;1.3,0.45,IF(Dataset!H760&lt;1.8,0.7,0.9)))</f>
        <v>0.9</v>
      </c>
      <c r="L760" s="29">
        <f>IF(Dataset!H760&lt;1,1,IF(Dataset!H760&lt;1.3,2,IF(Dataset!H760&lt;1.8,3,4)))</f>
        <v>4</v>
      </c>
      <c r="M760" s="29">
        <f t="shared" si="91"/>
        <v>3.6</v>
      </c>
      <c r="N760" s="29">
        <f>IF(Dataset!F760=1,0.75,IF(Dataset!F760=2,0.45,0.2))</f>
        <v>0.75</v>
      </c>
      <c r="O760" s="29">
        <f>IF(Dataset!F760=1,3,IF(Dataset!F760=2,2,1))</f>
        <v>3</v>
      </c>
      <c r="P760" s="29">
        <f t="shared" si="92"/>
        <v>2.25</v>
      </c>
      <c r="Q760" s="29">
        <f>IF(Dataset!K760&lt;5,0.2,IF(Dataset!K760&lt;10,0.45,IF(Dataset!K760&lt;18,0.7,0.9)))</f>
        <v>0.45</v>
      </c>
      <c r="R760" s="29">
        <f>IF(Dataset!K760&lt;5,1,IF(Dataset!K760&lt;10,2,IF(Dataset!K760&lt;18,3,4)))</f>
        <v>2</v>
      </c>
      <c r="S760" s="29">
        <f t="shared" si="93"/>
        <v>0.9</v>
      </c>
      <c r="T760" s="29">
        <f t="shared" si="94"/>
        <v>1.7560000000000002</v>
      </c>
      <c r="U760" s="29" t="str">
        <f t="shared" si="95"/>
        <v>High</v>
      </c>
    </row>
    <row r="761" spans="1:21" ht="15" customHeight="1" x14ac:dyDescent="0.25">
      <c r="A761" s="29">
        <f>Dataset!A761</f>
        <v>757</v>
      </c>
      <c r="B761" s="29">
        <f>IF(Dataset!B761&lt;25,0.3,IF(Dataset!B761&lt;75,0.5,IF(Dataset!B761&lt;120,0.65,0.8)))</f>
        <v>0.65</v>
      </c>
      <c r="C761" s="29">
        <f>IF(Dataset!B761&lt;25,1,IF(Dataset!B761&lt;75,2,IF(Dataset!B761&lt;120,3,4)))</f>
        <v>3</v>
      </c>
      <c r="D761" s="29">
        <f t="shared" si="88"/>
        <v>1.9500000000000002</v>
      </c>
      <c r="E761" s="29">
        <f>IF(Dataset!C761&lt;=1,0.3,IF(Dataset!C761=2,0.4,IF(Dataset!C761=3,0.5,IF(Dataset!C761=4,0.65,0.8))))</f>
        <v>0.4</v>
      </c>
      <c r="F761" s="29">
        <f>IF(Dataset!C761&lt;=2,1,IF(Dataset!C761=3,2,IF(Dataset!C761=4,3,4)))</f>
        <v>1</v>
      </c>
      <c r="G761" s="29">
        <f t="shared" si="89"/>
        <v>0.4</v>
      </c>
      <c r="H761" s="29">
        <f>IF(Dataset!G761&lt;=3,0.25,IF(Dataset!G761&lt;=6,0.45,IF(Dataset!G761&lt;=9,0.65,0.85)))</f>
        <v>0.25</v>
      </c>
      <c r="I761" s="29">
        <f>IF(Dataset!G761&lt;=3,1,IF(Dataset!G761&lt;=6,2,IF(Dataset!G761&lt;=9,3,4)))</f>
        <v>1</v>
      </c>
      <c r="J761" s="29">
        <f t="shared" si="90"/>
        <v>0.25</v>
      </c>
      <c r="K761" s="29">
        <f>IF(Dataset!H761&lt;1,0.2,IF(Dataset!H761&lt;1.3,0.45,IF(Dataset!H761&lt;1.8,0.7,0.9)))</f>
        <v>0.45</v>
      </c>
      <c r="L761" s="29">
        <f>IF(Dataset!H761&lt;1,1,IF(Dataset!H761&lt;1.3,2,IF(Dataset!H761&lt;1.8,3,4)))</f>
        <v>2</v>
      </c>
      <c r="M761" s="29">
        <f t="shared" si="91"/>
        <v>0.9</v>
      </c>
      <c r="N761" s="29">
        <f>IF(Dataset!F761=1,0.75,IF(Dataset!F761=2,0.45,0.2))</f>
        <v>0.45</v>
      </c>
      <c r="O761" s="29">
        <f>IF(Dataset!F761=1,3,IF(Dataset!F761=2,2,1))</f>
        <v>2</v>
      </c>
      <c r="P761" s="29">
        <f t="shared" si="92"/>
        <v>0.9</v>
      </c>
      <c r="Q761" s="29">
        <f>IF(Dataset!K761&lt;5,0.2,IF(Dataset!K761&lt;10,0.45,IF(Dataset!K761&lt;18,0.7,0.9)))</f>
        <v>0.2</v>
      </c>
      <c r="R761" s="29">
        <f>IF(Dataset!K761&lt;5,1,IF(Dataset!K761&lt;10,2,IF(Dataset!K761&lt;18,3,4)))</f>
        <v>1</v>
      </c>
      <c r="S761" s="29">
        <f t="shared" si="93"/>
        <v>0.2</v>
      </c>
      <c r="T761" s="29">
        <f t="shared" si="94"/>
        <v>0.79100000000000004</v>
      </c>
      <c r="U761" s="29" t="str">
        <f t="shared" si="95"/>
        <v>Low</v>
      </c>
    </row>
    <row r="762" spans="1:21" ht="15" customHeight="1" x14ac:dyDescent="0.25">
      <c r="A762" s="29">
        <f>Dataset!A762</f>
        <v>758</v>
      </c>
      <c r="B762" s="29">
        <f>IF(Dataset!B762&lt;25,0.3,IF(Dataset!B762&lt;75,0.5,IF(Dataset!B762&lt;120,0.65,0.8)))</f>
        <v>0.3</v>
      </c>
      <c r="C762" s="29">
        <f>IF(Dataset!B762&lt;25,1,IF(Dataset!B762&lt;75,2,IF(Dataset!B762&lt;120,3,4)))</f>
        <v>1</v>
      </c>
      <c r="D762" s="29">
        <f t="shared" si="88"/>
        <v>0.3</v>
      </c>
      <c r="E762" s="29">
        <f>IF(Dataset!C762&lt;=1,0.3,IF(Dataset!C762=2,0.4,IF(Dataset!C762=3,0.5,IF(Dataset!C762=4,0.65,0.8))))</f>
        <v>0.4</v>
      </c>
      <c r="F762" s="29">
        <f>IF(Dataset!C762&lt;=2,1,IF(Dataset!C762=3,2,IF(Dataset!C762=4,3,4)))</f>
        <v>1</v>
      </c>
      <c r="G762" s="29">
        <f t="shared" si="89"/>
        <v>0.4</v>
      </c>
      <c r="H762" s="29">
        <f>IF(Dataset!G762&lt;=3,0.25,IF(Dataset!G762&lt;=6,0.45,IF(Dataset!G762&lt;=9,0.65,0.85)))</f>
        <v>0.65</v>
      </c>
      <c r="I762" s="29">
        <f>IF(Dataset!G762&lt;=3,1,IF(Dataset!G762&lt;=6,2,IF(Dataset!G762&lt;=9,3,4)))</f>
        <v>3</v>
      </c>
      <c r="J762" s="29">
        <f t="shared" si="90"/>
        <v>1.9500000000000002</v>
      </c>
      <c r="K762" s="29">
        <f>IF(Dataset!H762&lt;1,0.2,IF(Dataset!H762&lt;1.3,0.45,IF(Dataset!H762&lt;1.8,0.7,0.9)))</f>
        <v>0.9</v>
      </c>
      <c r="L762" s="29">
        <f>IF(Dataset!H762&lt;1,1,IF(Dataset!H762&lt;1.3,2,IF(Dataset!H762&lt;1.8,3,4)))</f>
        <v>4</v>
      </c>
      <c r="M762" s="29">
        <f t="shared" si="91"/>
        <v>3.6</v>
      </c>
      <c r="N762" s="29">
        <f>IF(Dataset!F762=1,0.75,IF(Dataset!F762=2,0.45,0.2))</f>
        <v>0.45</v>
      </c>
      <c r="O762" s="29">
        <f>IF(Dataset!F762=1,3,IF(Dataset!F762=2,2,1))</f>
        <v>2</v>
      </c>
      <c r="P762" s="29">
        <f t="shared" si="92"/>
        <v>0.9</v>
      </c>
      <c r="Q762" s="29">
        <f>IF(Dataset!K762&lt;5,0.2,IF(Dataset!K762&lt;10,0.45,IF(Dataset!K762&lt;18,0.7,0.9)))</f>
        <v>0.45</v>
      </c>
      <c r="R762" s="29">
        <f>IF(Dataset!K762&lt;5,1,IF(Dataset!K762&lt;10,2,IF(Dataset!K762&lt;18,3,4)))</f>
        <v>2</v>
      </c>
      <c r="S762" s="29">
        <f t="shared" si="93"/>
        <v>0.9</v>
      </c>
      <c r="T762" s="29">
        <f t="shared" si="94"/>
        <v>1.5800000000000003</v>
      </c>
      <c r="U762" s="29" t="str">
        <f t="shared" si="95"/>
        <v>Medium</v>
      </c>
    </row>
    <row r="763" spans="1:21" ht="15" customHeight="1" x14ac:dyDescent="0.25">
      <c r="A763" s="29">
        <f>Dataset!A763</f>
        <v>759</v>
      </c>
      <c r="B763" s="29">
        <f>IF(Dataset!B763&lt;25,0.3,IF(Dataset!B763&lt;75,0.5,IF(Dataset!B763&lt;120,0.65,0.8)))</f>
        <v>0.3</v>
      </c>
      <c r="C763" s="29">
        <f>IF(Dataset!B763&lt;25,1,IF(Dataset!B763&lt;75,2,IF(Dataset!B763&lt;120,3,4)))</f>
        <v>1</v>
      </c>
      <c r="D763" s="29">
        <f t="shared" si="88"/>
        <v>0.3</v>
      </c>
      <c r="E763" s="29">
        <f>IF(Dataset!C763&lt;=1,0.3,IF(Dataset!C763=2,0.4,IF(Dataset!C763=3,0.5,IF(Dataset!C763=4,0.65,0.8))))</f>
        <v>0.4</v>
      </c>
      <c r="F763" s="29">
        <f>IF(Dataset!C763&lt;=2,1,IF(Dataset!C763=3,2,IF(Dataset!C763=4,3,4)))</f>
        <v>1</v>
      </c>
      <c r="G763" s="29">
        <f t="shared" si="89"/>
        <v>0.4</v>
      </c>
      <c r="H763" s="29">
        <f>IF(Dataset!G763&lt;=3,0.25,IF(Dataset!G763&lt;=6,0.45,IF(Dataset!G763&lt;=9,0.65,0.85)))</f>
        <v>0.45</v>
      </c>
      <c r="I763" s="29">
        <f>IF(Dataset!G763&lt;=3,1,IF(Dataset!G763&lt;=6,2,IF(Dataset!G763&lt;=9,3,4)))</f>
        <v>2</v>
      </c>
      <c r="J763" s="29">
        <f t="shared" si="90"/>
        <v>0.9</v>
      </c>
      <c r="K763" s="29">
        <f>IF(Dataset!H763&lt;1,0.2,IF(Dataset!H763&lt;1.3,0.45,IF(Dataset!H763&lt;1.8,0.7,0.9)))</f>
        <v>0.9</v>
      </c>
      <c r="L763" s="29">
        <f>IF(Dataset!H763&lt;1,1,IF(Dataset!H763&lt;1.3,2,IF(Dataset!H763&lt;1.8,3,4)))</f>
        <v>4</v>
      </c>
      <c r="M763" s="29">
        <f t="shared" si="91"/>
        <v>3.6</v>
      </c>
      <c r="N763" s="29">
        <f>IF(Dataset!F763=1,0.75,IF(Dataset!F763=2,0.45,0.2))</f>
        <v>0.45</v>
      </c>
      <c r="O763" s="29">
        <f>IF(Dataset!F763=1,3,IF(Dataset!F763=2,2,1))</f>
        <v>2</v>
      </c>
      <c r="P763" s="29">
        <f t="shared" si="92"/>
        <v>0.9</v>
      </c>
      <c r="Q763" s="29">
        <f>IF(Dataset!K763&lt;5,0.2,IF(Dataset!K763&lt;10,0.45,IF(Dataset!K763&lt;18,0.7,0.9)))</f>
        <v>0.2</v>
      </c>
      <c r="R763" s="29">
        <f>IF(Dataset!K763&lt;5,1,IF(Dataset!K763&lt;10,2,IF(Dataset!K763&lt;18,3,4)))</f>
        <v>1</v>
      </c>
      <c r="S763" s="29">
        <f t="shared" si="93"/>
        <v>0.2</v>
      </c>
      <c r="T763" s="29">
        <f t="shared" si="94"/>
        <v>1.272</v>
      </c>
      <c r="U763" s="29" t="str">
        <f t="shared" si="95"/>
        <v>Low</v>
      </c>
    </row>
    <row r="764" spans="1:21" ht="15" customHeight="1" x14ac:dyDescent="0.25">
      <c r="A764" s="29">
        <f>Dataset!A764</f>
        <v>760</v>
      </c>
      <c r="B764" s="29">
        <f>IF(Dataset!B764&lt;25,0.3,IF(Dataset!B764&lt;75,0.5,IF(Dataset!B764&lt;120,0.65,0.8)))</f>
        <v>0.8</v>
      </c>
      <c r="C764" s="29">
        <f>IF(Dataset!B764&lt;25,1,IF(Dataset!B764&lt;75,2,IF(Dataset!B764&lt;120,3,4)))</f>
        <v>4</v>
      </c>
      <c r="D764" s="29">
        <f t="shared" si="88"/>
        <v>3.2</v>
      </c>
      <c r="E764" s="29">
        <f>IF(Dataset!C764&lt;=1,0.3,IF(Dataset!C764=2,0.4,IF(Dataset!C764=3,0.5,IF(Dataset!C764=4,0.65,0.8))))</f>
        <v>0.8</v>
      </c>
      <c r="F764" s="29">
        <f>IF(Dataset!C764&lt;=2,1,IF(Dataset!C764=3,2,IF(Dataset!C764=4,3,4)))</f>
        <v>4</v>
      </c>
      <c r="G764" s="29">
        <f t="shared" si="89"/>
        <v>3.2</v>
      </c>
      <c r="H764" s="29">
        <f>IF(Dataset!G764&lt;=3,0.25,IF(Dataset!G764&lt;=6,0.45,IF(Dataset!G764&lt;=9,0.65,0.85)))</f>
        <v>0.65</v>
      </c>
      <c r="I764" s="29">
        <f>IF(Dataset!G764&lt;=3,1,IF(Dataset!G764&lt;=6,2,IF(Dataset!G764&lt;=9,3,4)))</f>
        <v>3</v>
      </c>
      <c r="J764" s="29">
        <f t="shared" si="90"/>
        <v>1.9500000000000002</v>
      </c>
      <c r="K764" s="29">
        <f>IF(Dataset!H764&lt;1,0.2,IF(Dataset!H764&lt;1.3,0.45,IF(Dataset!H764&lt;1.8,0.7,0.9)))</f>
        <v>0.45</v>
      </c>
      <c r="L764" s="29">
        <f>IF(Dataset!H764&lt;1,1,IF(Dataset!H764&lt;1.3,2,IF(Dataset!H764&lt;1.8,3,4)))</f>
        <v>2</v>
      </c>
      <c r="M764" s="29">
        <f t="shared" si="91"/>
        <v>0.9</v>
      </c>
      <c r="N764" s="29">
        <f>IF(Dataset!F764=1,0.75,IF(Dataset!F764=2,0.45,0.2))</f>
        <v>0.75</v>
      </c>
      <c r="O764" s="29">
        <f>IF(Dataset!F764=1,3,IF(Dataset!F764=2,2,1))</f>
        <v>3</v>
      </c>
      <c r="P764" s="29">
        <f t="shared" si="92"/>
        <v>2.25</v>
      </c>
      <c r="Q764" s="29">
        <f>IF(Dataset!K764&lt;5,0.2,IF(Dataset!K764&lt;10,0.45,IF(Dataset!K764&lt;18,0.7,0.9)))</f>
        <v>0.7</v>
      </c>
      <c r="R764" s="29">
        <f>IF(Dataset!K764&lt;5,1,IF(Dataset!K764&lt;10,2,IF(Dataset!K764&lt;18,3,4)))</f>
        <v>3</v>
      </c>
      <c r="S764" s="29">
        <f t="shared" si="93"/>
        <v>2.0999999999999996</v>
      </c>
      <c r="T764" s="29">
        <f t="shared" si="94"/>
        <v>2.149</v>
      </c>
      <c r="U764" s="29" t="str">
        <f t="shared" si="95"/>
        <v>High</v>
      </c>
    </row>
    <row r="765" spans="1:21" ht="15" customHeight="1" x14ac:dyDescent="0.25">
      <c r="A765" s="29">
        <f>Dataset!A765</f>
        <v>761</v>
      </c>
      <c r="B765" s="29">
        <f>IF(Dataset!B765&lt;25,0.3,IF(Dataset!B765&lt;75,0.5,IF(Dataset!B765&lt;120,0.65,0.8)))</f>
        <v>0.65</v>
      </c>
      <c r="C765" s="29">
        <f>IF(Dataset!B765&lt;25,1,IF(Dataset!B765&lt;75,2,IF(Dataset!B765&lt;120,3,4)))</f>
        <v>3</v>
      </c>
      <c r="D765" s="29">
        <f t="shared" si="88"/>
        <v>1.9500000000000002</v>
      </c>
      <c r="E765" s="29">
        <f>IF(Dataset!C765&lt;=1,0.3,IF(Dataset!C765=2,0.4,IF(Dataset!C765=3,0.5,IF(Dataset!C765=4,0.65,0.8))))</f>
        <v>0.5</v>
      </c>
      <c r="F765" s="29">
        <f>IF(Dataset!C765&lt;=2,1,IF(Dataset!C765=3,2,IF(Dataset!C765=4,3,4)))</f>
        <v>2</v>
      </c>
      <c r="G765" s="29">
        <f t="shared" si="89"/>
        <v>1</v>
      </c>
      <c r="H765" s="29">
        <f>IF(Dataset!G765&lt;=3,0.25,IF(Dataset!G765&lt;=6,0.45,IF(Dataset!G765&lt;=9,0.65,0.85)))</f>
        <v>0.45</v>
      </c>
      <c r="I765" s="29">
        <f>IF(Dataset!G765&lt;=3,1,IF(Dataset!G765&lt;=6,2,IF(Dataset!G765&lt;=9,3,4)))</f>
        <v>2</v>
      </c>
      <c r="J765" s="29">
        <f t="shared" si="90"/>
        <v>0.9</v>
      </c>
      <c r="K765" s="29">
        <f>IF(Dataset!H765&lt;1,0.2,IF(Dataset!H765&lt;1.3,0.45,IF(Dataset!H765&lt;1.8,0.7,0.9)))</f>
        <v>0.7</v>
      </c>
      <c r="L765" s="29">
        <f>IF(Dataset!H765&lt;1,1,IF(Dataset!H765&lt;1.3,2,IF(Dataset!H765&lt;1.8,3,4)))</f>
        <v>3</v>
      </c>
      <c r="M765" s="29">
        <f t="shared" si="91"/>
        <v>2.0999999999999996</v>
      </c>
      <c r="N765" s="29">
        <f>IF(Dataset!F765=1,0.75,IF(Dataset!F765=2,0.45,0.2))</f>
        <v>0.45</v>
      </c>
      <c r="O765" s="29">
        <f>IF(Dataset!F765=1,3,IF(Dataset!F765=2,2,1))</f>
        <v>2</v>
      </c>
      <c r="P765" s="29">
        <f t="shared" si="92"/>
        <v>0.9</v>
      </c>
      <c r="Q765" s="29">
        <f>IF(Dataset!K765&lt;5,0.2,IF(Dataset!K765&lt;10,0.45,IF(Dataset!K765&lt;18,0.7,0.9)))</f>
        <v>0.45</v>
      </c>
      <c r="R765" s="29">
        <f>IF(Dataset!K765&lt;5,1,IF(Dataset!K765&lt;10,2,IF(Dataset!K765&lt;18,3,4)))</f>
        <v>2</v>
      </c>
      <c r="S765" s="29">
        <f t="shared" si="93"/>
        <v>0.9</v>
      </c>
      <c r="T765" s="29">
        <f t="shared" si="94"/>
        <v>1.391</v>
      </c>
      <c r="U765" s="29" t="str">
        <f t="shared" si="95"/>
        <v>Medium</v>
      </c>
    </row>
    <row r="766" spans="1:21" ht="15" customHeight="1" x14ac:dyDescent="0.25">
      <c r="A766" s="29">
        <f>Dataset!A766</f>
        <v>762</v>
      </c>
      <c r="B766" s="29">
        <f>IF(Dataset!B766&lt;25,0.3,IF(Dataset!B766&lt;75,0.5,IF(Dataset!B766&lt;120,0.65,0.8)))</f>
        <v>0.5</v>
      </c>
      <c r="C766" s="29">
        <f>IF(Dataset!B766&lt;25,1,IF(Dataset!B766&lt;75,2,IF(Dataset!B766&lt;120,3,4)))</f>
        <v>2</v>
      </c>
      <c r="D766" s="29">
        <f t="shared" si="88"/>
        <v>1</v>
      </c>
      <c r="E766" s="29">
        <f>IF(Dataset!C766&lt;=1,0.3,IF(Dataset!C766=2,0.4,IF(Dataset!C766=3,0.5,IF(Dataset!C766=4,0.65,0.8))))</f>
        <v>0.3</v>
      </c>
      <c r="F766" s="29">
        <f>IF(Dataset!C766&lt;=2,1,IF(Dataset!C766=3,2,IF(Dataset!C766=4,3,4)))</f>
        <v>1</v>
      </c>
      <c r="G766" s="29">
        <f t="shared" si="89"/>
        <v>0.3</v>
      </c>
      <c r="H766" s="29">
        <f>IF(Dataset!G766&lt;=3,0.25,IF(Dataset!G766&lt;=6,0.45,IF(Dataset!G766&lt;=9,0.65,0.85)))</f>
        <v>0.45</v>
      </c>
      <c r="I766" s="29">
        <f>IF(Dataset!G766&lt;=3,1,IF(Dataset!G766&lt;=6,2,IF(Dataset!G766&lt;=9,3,4)))</f>
        <v>2</v>
      </c>
      <c r="J766" s="29">
        <f t="shared" si="90"/>
        <v>0.9</v>
      </c>
      <c r="K766" s="29">
        <f>IF(Dataset!H766&lt;1,0.2,IF(Dataset!H766&lt;1.3,0.45,IF(Dataset!H766&lt;1.8,0.7,0.9)))</f>
        <v>0.7</v>
      </c>
      <c r="L766" s="29">
        <f>IF(Dataset!H766&lt;1,1,IF(Dataset!H766&lt;1.3,2,IF(Dataset!H766&lt;1.8,3,4)))</f>
        <v>3</v>
      </c>
      <c r="M766" s="29">
        <f t="shared" si="91"/>
        <v>2.0999999999999996</v>
      </c>
      <c r="N766" s="29">
        <f>IF(Dataset!F766=1,0.75,IF(Dataset!F766=2,0.45,0.2))</f>
        <v>0.75</v>
      </c>
      <c r="O766" s="29">
        <f>IF(Dataset!F766=1,3,IF(Dataset!F766=2,2,1))</f>
        <v>3</v>
      </c>
      <c r="P766" s="29">
        <f t="shared" si="92"/>
        <v>2.25</v>
      </c>
      <c r="Q766" s="29">
        <f>IF(Dataset!K766&lt;5,0.2,IF(Dataset!K766&lt;10,0.45,IF(Dataset!K766&lt;18,0.7,0.9)))</f>
        <v>0.2</v>
      </c>
      <c r="R766" s="29">
        <f>IF(Dataset!K766&lt;5,1,IF(Dataset!K766&lt;10,2,IF(Dataset!K766&lt;18,3,4)))</f>
        <v>1</v>
      </c>
      <c r="S766" s="29">
        <f t="shared" si="93"/>
        <v>0.2</v>
      </c>
      <c r="T766" s="29">
        <f t="shared" si="94"/>
        <v>1.159</v>
      </c>
      <c r="U766" s="29" t="str">
        <f t="shared" si="95"/>
        <v>Low</v>
      </c>
    </row>
    <row r="767" spans="1:21" ht="15" customHeight="1" x14ac:dyDescent="0.25">
      <c r="A767" s="29">
        <f>Dataset!A767</f>
        <v>763</v>
      </c>
      <c r="B767" s="29">
        <f>IF(Dataset!B767&lt;25,0.3,IF(Dataset!B767&lt;75,0.5,IF(Dataset!B767&lt;120,0.65,0.8)))</f>
        <v>0.5</v>
      </c>
      <c r="C767" s="29">
        <f>IF(Dataset!B767&lt;25,1,IF(Dataset!B767&lt;75,2,IF(Dataset!B767&lt;120,3,4)))</f>
        <v>2</v>
      </c>
      <c r="D767" s="29">
        <f t="shared" si="88"/>
        <v>1</v>
      </c>
      <c r="E767" s="29">
        <f>IF(Dataset!C767&lt;=1,0.3,IF(Dataset!C767=2,0.4,IF(Dataset!C767=3,0.5,IF(Dataset!C767=4,0.65,0.8))))</f>
        <v>0.8</v>
      </c>
      <c r="F767" s="29">
        <f>IF(Dataset!C767&lt;=2,1,IF(Dataset!C767=3,2,IF(Dataset!C767=4,3,4)))</f>
        <v>4</v>
      </c>
      <c r="G767" s="29">
        <f t="shared" si="89"/>
        <v>3.2</v>
      </c>
      <c r="H767" s="29">
        <f>IF(Dataset!G767&lt;=3,0.25,IF(Dataset!G767&lt;=6,0.45,IF(Dataset!G767&lt;=9,0.65,0.85)))</f>
        <v>0.85</v>
      </c>
      <c r="I767" s="29">
        <f>IF(Dataset!G767&lt;=3,1,IF(Dataset!G767&lt;=6,2,IF(Dataset!G767&lt;=9,3,4)))</f>
        <v>4</v>
      </c>
      <c r="J767" s="29">
        <f t="shared" si="90"/>
        <v>3.4</v>
      </c>
      <c r="K767" s="29">
        <f>IF(Dataset!H767&lt;1,0.2,IF(Dataset!H767&lt;1.3,0.45,IF(Dataset!H767&lt;1.8,0.7,0.9)))</f>
        <v>0.45</v>
      </c>
      <c r="L767" s="29">
        <f>IF(Dataset!H767&lt;1,1,IF(Dataset!H767&lt;1.3,2,IF(Dataset!H767&lt;1.8,3,4)))</f>
        <v>2</v>
      </c>
      <c r="M767" s="29">
        <f t="shared" si="91"/>
        <v>0.9</v>
      </c>
      <c r="N767" s="29">
        <f>IF(Dataset!F767=1,0.75,IF(Dataset!F767=2,0.45,0.2))</f>
        <v>0.75</v>
      </c>
      <c r="O767" s="29">
        <f>IF(Dataset!F767=1,3,IF(Dataset!F767=2,2,1))</f>
        <v>3</v>
      </c>
      <c r="P767" s="29">
        <f t="shared" si="92"/>
        <v>2.25</v>
      </c>
      <c r="Q767" s="29">
        <f>IF(Dataset!K767&lt;5,0.2,IF(Dataset!K767&lt;10,0.45,IF(Dataset!K767&lt;18,0.7,0.9)))</f>
        <v>0.7</v>
      </c>
      <c r="R767" s="29">
        <f>IF(Dataset!K767&lt;5,1,IF(Dataset!K767&lt;10,2,IF(Dataset!K767&lt;18,3,4)))</f>
        <v>3</v>
      </c>
      <c r="S767" s="29">
        <f t="shared" si="93"/>
        <v>2.0999999999999996</v>
      </c>
      <c r="T767" s="29">
        <f t="shared" si="94"/>
        <v>2.0430000000000001</v>
      </c>
      <c r="U767" s="29" t="str">
        <f t="shared" si="95"/>
        <v>High</v>
      </c>
    </row>
    <row r="768" spans="1:21" ht="15" customHeight="1" x14ac:dyDescent="0.25">
      <c r="A768" s="29">
        <f>Dataset!A768</f>
        <v>764</v>
      </c>
      <c r="B768" s="29">
        <f>IF(Dataset!B768&lt;25,0.3,IF(Dataset!B768&lt;75,0.5,IF(Dataset!B768&lt;120,0.65,0.8)))</f>
        <v>0.5</v>
      </c>
      <c r="C768" s="29">
        <f>IF(Dataset!B768&lt;25,1,IF(Dataset!B768&lt;75,2,IF(Dataset!B768&lt;120,3,4)))</f>
        <v>2</v>
      </c>
      <c r="D768" s="29">
        <f t="shared" si="88"/>
        <v>1</v>
      </c>
      <c r="E768" s="29">
        <f>IF(Dataset!C768&lt;=1,0.3,IF(Dataset!C768=2,0.4,IF(Dataset!C768=3,0.5,IF(Dataset!C768=4,0.65,0.8))))</f>
        <v>0.3</v>
      </c>
      <c r="F768" s="29">
        <f>IF(Dataset!C768&lt;=2,1,IF(Dataset!C768=3,2,IF(Dataset!C768=4,3,4)))</f>
        <v>1</v>
      </c>
      <c r="G768" s="29">
        <f t="shared" si="89"/>
        <v>0.3</v>
      </c>
      <c r="H768" s="29">
        <f>IF(Dataset!G768&lt;=3,0.25,IF(Dataset!G768&lt;=6,0.45,IF(Dataset!G768&lt;=9,0.65,0.85)))</f>
        <v>0.45</v>
      </c>
      <c r="I768" s="29">
        <f>IF(Dataset!G768&lt;=3,1,IF(Dataset!G768&lt;=6,2,IF(Dataset!G768&lt;=9,3,4)))</f>
        <v>2</v>
      </c>
      <c r="J768" s="29">
        <f t="shared" si="90"/>
        <v>0.9</v>
      </c>
      <c r="K768" s="29">
        <f>IF(Dataset!H768&lt;1,0.2,IF(Dataset!H768&lt;1.3,0.45,IF(Dataset!H768&lt;1.8,0.7,0.9)))</f>
        <v>0.7</v>
      </c>
      <c r="L768" s="29">
        <f>IF(Dataset!H768&lt;1,1,IF(Dataset!H768&lt;1.3,2,IF(Dataset!H768&lt;1.8,3,4)))</f>
        <v>3</v>
      </c>
      <c r="M768" s="29">
        <f t="shared" si="91"/>
        <v>2.0999999999999996</v>
      </c>
      <c r="N768" s="29">
        <f>IF(Dataset!F768=1,0.75,IF(Dataset!F768=2,0.45,0.2))</f>
        <v>0.45</v>
      </c>
      <c r="O768" s="29">
        <f>IF(Dataset!F768=1,3,IF(Dataset!F768=2,2,1))</f>
        <v>2</v>
      </c>
      <c r="P768" s="29">
        <f t="shared" si="92"/>
        <v>0.9</v>
      </c>
      <c r="Q768" s="29">
        <f>IF(Dataset!K768&lt;5,0.2,IF(Dataset!K768&lt;10,0.45,IF(Dataset!K768&lt;18,0.7,0.9)))</f>
        <v>0.2</v>
      </c>
      <c r="R768" s="29">
        <f>IF(Dataset!K768&lt;5,1,IF(Dataset!K768&lt;10,2,IF(Dataset!K768&lt;18,3,4)))</f>
        <v>1</v>
      </c>
      <c r="S768" s="29">
        <f t="shared" si="93"/>
        <v>0.2</v>
      </c>
      <c r="T768" s="29">
        <f t="shared" si="94"/>
        <v>1.0239999999999998</v>
      </c>
      <c r="U768" s="29" t="str">
        <f t="shared" si="95"/>
        <v>Low</v>
      </c>
    </row>
    <row r="769" spans="1:21" ht="15" customHeight="1" x14ac:dyDescent="0.25">
      <c r="A769" s="29">
        <f>Dataset!A769</f>
        <v>765</v>
      </c>
      <c r="B769" s="29">
        <f>IF(Dataset!B769&lt;25,0.3,IF(Dataset!B769&lt;75,0.5,IF(Dataset!B769&lt;120,0.65,0.8)))</f>
        <v>0.65</v>
      </c>
      <c r="C769" s="29">
        <f>IF(Dataset!B769&lt;25,1,IF(Dataset!B769&lt;75,2,IF(Dataset!B769&lt;120,3,4)))</f>
        <v>3</v>
      </c>
      <c r="D769" s="29">
        <f t="shared" si="88"/>
        <v>1.9500000000000002</v>
      </c>
      <c r="E769" s="29">
        <f>IF(Dataset!C769&lt;=1,0.3,IF(Dataset!C769=2,0.4,IF(Dataset!C769=3,0.5,IF(Dataset!C769=4,0.65,0.8))))</f>
        <v>0.5</v>
      </c>
      <c r="F769" s="29">
        <f>IF(Dataset!C769&lt;=2,1,IF(Dataset!C769=3,2,IF(Dataset!C769=4,3,4)))</f>
        <v>2</v>
      </c>
      <c r="G769" s="29">
        <f t="shared" si="89"/>
        <v>1</v>
      </c>
      <c r="H769" s="29">
        <f>IF(Dataset!G769&lt;=3,0.25,IF(Dataset!G769&lt;=6,0.45,IF(Dataset!G769&lt;=9,0.65,0.85)))</f>
        <v>0.25</v>
      </c>
      <c r="I769" s="29">
        <f>IF(Dataset!G769&lt;=3,1,IF(Dataset!G769&lt;=6,2,IF(Dataset!G769&lt;=9,3,4)))</f>
        <v>1</v>
      </c>
      <c r="J769" s="29">
        <f t="shared" si="90"/>
        <v>0.25</v>
      </c>
      <c r="K769" s="29">
        <f>IF(Dataset!H769&lt;1,0.2,IF(Dataset!H769&lt;1.3,0.45,IF(Dataset!H769&lt;1.8,0.7,0.9)))</f>
        <v>0.9</v>
      </c>
      <c r="L769" s="29">
        <f>IF(Dataset!H769&lt;1,1,IF(Dataset!H769&lt;1.3,2,IF(Dataset!H769&lt;1.8,3,4)))</f>
        <v>4</v>
      </c>
      <c r="M769" s="29">
        <f t="shared" si="91"/>
        <v>3.6</v>
      </c>
      <c r="N769" s="29">
        <f>IF(Dataset!F769=1,0.75,IF(Dataset!F769=2,0.45,0.2))</f>
        <v>0.75</v>
      </c>
      <c r="O769" s="29">
        <f>IF(Dataset!F769=1,3,IF(Dataset!F769=2,2,1))</f>
        <v>3</v>
      </c>
      <c r="P769" s="29">
        <f t="shared" si="92"/>
        <v>2.25</v>
      </c>
      <c r="Q769" s="29">
        <f>IF(Dataset!K769&lt;5,0.2,IF(Dataset!K769&lt;10,0.45,IF(Dataset!K769&lt;18,0.7,0.9)))</f>
        <v>0.45</v>
      </c>
      <c r="R769" s="29">
        <f>IF(Dataset!K769&lt;5,1,IF(Dataset!K769&lt;10,2,IF(Dataset!K769&lt;18,3,4)))</f>
        <v>2</v>
      </c>
      <c r="S769" s="29">
        <f t="shared" si="93"/>
        <v>0.9</v>
      </c>
      <c r="T769" s="29">
        <f t="shared" si="94"/>
        <v>1.7560000000000002</v>
      </c>
      <c r="U769" s="29" t="str">
        <f t="shared" si="95"/>
        <v>High</v>
      </c>
    </row>
    <row r="770" spans="1:21" ht="15" customHeight="1" x14ac:dyDescent="0.25">
      <c r="A770" s="29">
        <f>Dataset!A770</f>
        <v>766</v>
      </c>
      <c r="B770" s="29">
        <f>IF(Dataset!B770&lt;25,0.3,IF(Dataset!B770&lt;75,0.5,IF(Dataset!B770&lt;120,0.65,0.8)))</f>
        <v>0.5</v>
      </c>
      <c r="C770" s="29">
        <f>IF(Dataset!B770&lt;25,1,IF(Dataset!B770&lt;75,2,IF(Dataset!B770&lt;120,3,4)))</f>
        <v>2</v>
      </c>
      <c r="D770" s="29">
        <f t="shared" si="88"/>
        <v>1</v>
      </c>
      <c r="E770" s="29">
        <f>IF(Dataset!C770&lt;=1,0.3,IF(Dataset!C770=2,0.4,IF(Dataset!C770=3,0.5,IF(Dataset!C770=4,0.65,0.8))))</f>
        <v>0.65</v>
      </c>
      <c r="F770" s="29">
        <f>IF(Dataset!C770&lt;=2,1,IF(Dataset!C770=3,2,IF(Dataset!C770=4,3,4)))</f>
        <v>3</v>
      </c>
      <c r="G770" s="29">
        <f t="shared" si="89"/>
        <v>1.9500000000000002</v>
      </c>
      <c r="H770" s="29">
        <f>IF(Dataset!G770&lt;=3,0.25,IF(Dataset!G770&lt;=6,0.45,IF(Dataset!G770&lt;=9,0.65,0.85)))</f>
        <v>0.25</v>
      </c>
      <c r="I770" s="29">
        <f>IF(Dataset!G770&lt;=3,1,IF(Dataset!G770&lt;=6,2,IF(Dataset!G770&lt;=9,3,4)))</f>
        <v>1</v>
      </c>
      <c r="J770" s="29">
        <f t="shared" si="90"/>
        <v>0.25</v>
      </c>
      <c r="K770" s="29">
        <f>IF(Dataset!H770&lt;1,0.2,IF(Dataset!H770&lt;1.3,0.45,IF(Dataset!H770&lt;1.8,0.7,0.9)))</f>
        <v>0.45</v>
      </c>
      <c r="L770" s="29">
        <f>IF(Dataset!H770&lt;1,1,IF(Dataset!H770&lt;1.3,2,IF(Dataset!H770&lt;1.8,3,4)))</f>
        <v>2</v>
      </c>
      <c r="M770" s="29">
        <f t="shared" si="91"/>
        <v>0.9</v>
      </c>
      <c r="N770" s="29">
        <f>IF(Dataset!F770=1,0.75,IF(Dataset!F770=2,0.45,0.2))</f>
        <v>0.75</v>
      </c>
      <c r="O770" s="29">
        <f>IF(Dataset!F770=1,3,IF(Dataset!F770=2,2,1))</f>
        <v>3</v>
      </c>
      <c r="P770" s="29">
        <f t="shared" si="92"/>
        <v>2.25</v>
      </c>
      <c r="Q770" s="29">
        <f>IF(Dataset!K770&lt;5,0.2,IF(Dataset!K770&lt;10,0.45,IF(Dataset!K770&lt;18,0.7,0.9)))</f>
        <v>0.45</v>
      </c>
      <c r="R770" s="29">
        <f>IF(Dataset!K770&lt;5,1,IF(Dataset!K770&lt;10,2,IF(Dataset!K770&lt;18,3,4)))</f>
        <v>2</v>
      </c>
      <c r="S770" s="29">
        <f t="shared" si="93"/>
        <v>0.9</v>
      </c>
      <c r="T770" s="29">
        <f t="shared" si="94"/>
        <v>1.07</v>
      </c>
      <c r="U770" s="29" t="str">
        <f t="shared" si="95"/>
        <v>Low</v>
      </c>
    </row>
    <row r="771" spans="1:21" ht="15" customHeight="1" x14ac:dyDescent="0.25">
      <c r="A771" s="29">
        <f>Dataset!A771</f>
        <v>767</v>
      </c>
      <c r="B771" s="29">
        <f>IF(Dataset!B771&lt;25,0.3,IF(Dataset!B771&lt;75,0.5,IF(Dataset!B771&lt;120,0.65,0.8)))</f>
        <v>0.5</v>
      </c>
      <c r="C771" s="29">
        <f>IF(Dataset!B771&lt;25,1,IF(Dataset!B771&lt;75,2,IF(Dataset!B771&lt;120,3,4)))</f>
        <v>2</v>
      </c>
      <c r="D771" s="29">
        <f t="shared" si="88"/>
        <v>1</v>
      </c>
      <c r="E771" s="29">
        <f>IF(Dataset!C771&lt;=1,0.3,IF(Dataset!C771=2,0.4,IF(Dataset!C771=3,0.5,IF(Dataset!C771=4,0.65,0.8))))</f>
        <v>0.8</v>
      </c>
      <c r="F771" s="29">
        <f>IF(Dataset!C771&lt;=2,1,IF(Dataset!C771=3,2,IF(Dataset!C771=4,3,4)))</f>
        <v>4</v>
      </c>
      <c r="G771" s="29">
        <f t="shared" si="89"/>
        <v>3.2</v>
      </c>
      <c r="H771" s="29">
        <f>IF(Dataset!G771&lt;=3,0.25,IF(Dataset!G771&lt;=6,0.45,IF(Dataset!G771&lt;=9,0.65,0.85)))</f>
        <v>0.45</v>
      </c>
      <c r="I771" s="29">
        <f>IF(Dataset!G771&lt;=3,1,IF(Dataset!G771&lt;=6,2,IF(Dataset!G771&lt;=9,3,4)))</f>
        <v>2</v>
      </c>
      <c r="J771" s="29">
        <f t="shared" si="90"/>
        <v>0.9</v>
      </c>
      <c r="K771" s="29">
        <f>IF(Dataset!H771&lt;1,0.2,IF(Dataset!H771&lt;1.3,0.45,IF(Dataset!H771&lt;1.8,0.7,0.9)))</f>
        <v>0.45</v>
      </c>
      <c r="L771" s="29">
        <f>IF(Dataset!H771&lt;1,1,IF(Dataset!H771&lt;1.3,2,IF(Dataset!H771&lt;1.8,3,4)))</f>
        <v>2</v>
      </c>
      <c r="M771" s="29">
        <f t="shared" si="91"/>
        <v>0.9</v>
      </c>
      <c r="N771" s="29">
        <f>IF(Dataset!F771=1,0.75,IF(Dataset!F771=2,0.45,0.2))</f>
        <v>0.45</v>
      </c>
      <c r="O771" s="29">
        <f>IF(Dataset!F771=1,3,IF(Dataset!F771=2,2,1))</f>
        <v>2</v>
      </c>
      <c r="P771" s="29">
        <f t="shared" si="92"/>
        <v>0.9</v>
      </c>
      <c r="Q771" s="29">
        <f>IF(Dataset!K771&lt;5,0.2,IF(Dataset!K771&lt;10,0.45,IF(Dataset!K771&lt;18,0.7,0.9)))</f>
        <v>0.9</v>
      </c>
      <c r="R771" s="29">
        <f>IF(Dataset!K771&lt;5,1,IF(Dataset!K771&lt;10,2,IF(Dataset!K771&lt;18,3,4)))</f>
        <v>4</v>
      </c>
      <c r="S771" s="29">
        <f t="shared" si="93"/>
        <v>3.6</v>
      </c>
      <c r="T771" s="29">
        <f t="shared" si="94"/>
        <v>1.6180000000000003</v>
      </c>
      <c r="U771" s="29" t="str">
        <f t="shared" si="95"/>
        <v>Medium</v>
      </c>
    </row>
    <row r="772" spans="1:21" ht="15" customHeight="1" x14ac:dyDescent="0.25">
      <c r="A772" s="29">
        <f>Dataset!A772</f>
        <v>768</v>
      </c>
      <c r="B772" s="29">
        <f>IF(Dataset!B772&lt;25,0.3,IF(Dataset!B772&lt;75,0.5,IF(Dataset!B772&lt;120,0.65,0.8)))</f>
        <v>0.5</v>
      </c>
      <c r="C772" s="29">
        <f>IF(Dataset!B772&lt;25,1,IF(Dataset!B772&lt;75,2,IF(Dataset!B772&lt;120,3,4)))</f>
        <v>2</v>
      </c>
      <c r="D772" s="29">
        <f t="shared" si="88"/>
        <v>1</v>
      </c>
      <c r="E772" s="29">
        <f>IF(Dataset!C772&lt;=1,0.3,IF(Dataset!C772=2,0.4,IF(Dataset!C772=3,0.5,IF(Dataset!C772=4,0.65,0.8))))</f>
        <v>0.65</v>
      </c>
      <c r="F772" s="29">
        <f>IF(Dataset!C772&lt;=2,1,IF(Dataset!C772=3,2,IF(Dataset!C772=4,3,4)))</f>
        <v>3</v>
      </c>
      <c r="G772" s="29">
        <f t="shared" si="89"/>
        <v>1.9500000000000002</v>
      </c>
      <c r="H772" s="29">
        <f>IF(Dataset!G772&lt;=3,0.25,IF(Dataset!G772&lt;=6,0.45,IF(Dataset!G772&lt;=9,0.65,0.85)))</f>
        <v>0.25</v>
      </c>
      <c r="I772" s="29">
        <f>IF(Dataset!G772&lt;=3,1,IF(Dataset!G772&lt;=6,2,IF(Dataset!G772&lt;=9,3,4)))</f>
        <v>1</v>
      </c>
      <c r="J772" s="29">
        <f t="shared" si="90"/>
        <v>0.25</v>
      </c>
      <c r="K772" s="29">
        <f>IF(Dataset!H772&lt;1,0.2,IF(Dataset!H772&lt;1.3,0.45,IF(Dataset!H772&lt;1.8,0.7,0.9)))</f>
        <v>0.45</v>
      </c>
      <c r="L772" s="29">
        <f>IF(Dataset!H772&lt;1,1,IF(Dataset!H772&lt;1.3,2,IF(Dataset!H772&lt;1.8,3,4)))</f>
        <v>2</v>
      </c>
      <c r="M772" s="29">
        <f t="shared" si="91"/>
        <v>0.9</v>
      </c>
      <c r="N772" s="29">
        <f>IF(Dataset!F772=1,0.75,IF(Dataset!F772=2,0.45,0.2))</f>
        <v>0.45</v>
      </c>
      <c r="O772" s="29">
        <f>IF(Dataset!F772=1,3,IF(Dataset!F772=2,2,1))</f>
        <v>2</v>
      </c>
      <c r="P772" s="29">
        <f t="shared" si="92"/>
        <v>0.9</v>
      </c>
      <c r="Q772" s="29">
        <f>IF(Dataset!K772&lt;5,0.2,IF(Dataset!K772&lt;10,0.45,IF(Dataset!K772&lt;18,0.7,0.9)))</f>
        <v>0.7</v>
      </c>
      <c r="R772" s="29">
        <f>IF(Dataset!K772&lt;5,1,IF(Dataset!K772&lt;10,2,IF(Dataset!K772&lt;18,3,4)))</f>
        <v>3</v>
      </c>
      <c r="S772" s="29">
        <f t="shared" si="93"/>
        <v>2.0999999999999996</v>
      </c>
      <c r="T772" s="29">
        <f t="shared" si="94"/>
        <v>1.103</v>
      </c>
      <c r="U772" s="29" t="str">
        <f t="shared" si="95"/>
        <v>Low</v>
      </c>
    </row>
    <row r="773" spans="1:21" ht="15" customHeight="1" x14ac:dyDescent="0.25">
      <c r="A773" s="29">
        <f>Dataset!A773</f>
        <v>769</v>
      </c>
      <c r="B773" s="29">
        <f>IF(Dataset!B773&lt;25,0.3,IF(Dataset!B773&lt;75,0.5,IF(Dataset!B773&lt;120,0.65,0.8)))</f>
        <v>0.65</v>
      </c>
      <c r="C773" s="29">
        <f>IF(Dataset!B773&lt;25,1,IF(Dataset!B773&lt;75,2,IF(Dataset!B773&lt;120,3,4)))</f>
        <v>3</v>
      </c>
      <c r="D773" s="29">
        <f t="shared" ref="D773:D836" si="96">B773*C773</f>
        <v>1.9500000000000002</v>
      </c>
      <c r="E773" s="29">
        <f>IF(Dataset!C773&lt;=1,0.3,IF(Dataset!C773=2,0.4,IF(Dataset!C773=3,0.5,IF(Dataset!C773=4,0.65,0.8))))</f>
        <v>0.5</v>
      </c>
      <c r="F773" s="29">
        <f>IF(Dataset!C773&lt;=2,1,IF(Dataset!C773=3,2,IF(Dataset!C773=4,3,4)))</f>
        <v>2</v>
      </c>
      <c r="G773" s="29">
        <f t="shared" ref="G773:G836" si="97">E773*F773</f>
        <v>1</v>
      </c>
      <c r="H773" s="29">
        <f>IF(Dataset!G773&lt;=3,0.25,IF(Dataset!G773&lt;=6,0.45,IF(Dataset!G773&lt;=9,0.65,0.85)))</f>
        <v>0.45</v>
      </c>
      <c r="I773" s="29">
        <f>IF(Dataset!G773&lt;=3,1,IF(Dataset!G773&lt;=6,2,IF(Dataset!G773&lt;=9,3,4)))</f>
        <v>2</v>
      </c>
      <c r="J773" s="29">
        <f t="shared" ref="J773:J836" si="98">H773*I773</f>
        <v>0.9</v>
      </c>
      <c r="K773" s="29">
        <f>IF(Dataset!H773&lt;1,0.2,IF(Dataset!H773&lt;1.3,0.45,IF(Dataset!H773&lt;1.8,0.7,0.9)))</f>
        <v>0.9</v>
      </c>
      <c r="L773" s="29">
        <f>IF(Dataset!H773&lt;1,1,IF(Dataset!H773&lt;1.3,2,IF(Dataset!H773&lt;1.8,3,4)))</f>
        <v>4</v>
      </c>
      <c r="M773" s="29">
        <f t="shared" ref="M773:M836" si="99">K773*L773</f>
        <v>3.6</v>
      </c>
      <c r="N773" s="29">
        <f>IF(Dataset!F773=1,0.75,IF(Dataset!F773=2,0.45,0.2))</f>
        <v>0.75</v>
      </c>
      <c r="O773" s="29">
        <f>IF(Dataset!F773=1,3,IF(Dataset!F773=2,2,1))</f>
        <v>3</v>
      </c>
      <c r="P773" s="29">
        <f t="shared" ref="P773:P836" si="100">N773*O773</f>
        <v>2.25</v>
      </c>
      <c r="Q773" s="29">
        <f>IF(Dataset!K773&lt;5,0.2,IF(Dataset!K773&lt;10,0.45,IF(Dataset!K773&lt;18,0.7,0.9)))</f>
        <v>0.45</v>
      </c>
      <c r="R773" s="29">
        <f>IF(Dataset!K773&lt;5,1,IF(Dataset!K773&lt;10,2,IF(Dataset!K773&lt;18,3,4)))</f>
        <v>2</v>
      </c>
      <c r="S773" s="29">
        <f t="shared" ref="S773:S836" si="101">Q773*R773</f>
        <v>0.9</v>
      </c>
      <c r="T773" s="29">
        <f t="shared" ref="T773:T836" si="102">$Y$6*D773+$Y$7*G773+$Y$8*J773+$Y$9*M773+$Y$10*P773+$Y$11*S773</f>
        <v>1.8860000000000003</v>
      </c>
      <c r="U773" s="29" t="str">
        <f t="shared" ref="U773:U836" si="103">IF(T773&lt;=$Y$15,"Low",IF(T773&lt;=$Y$16,"Medium","High"))</f>
        <v>High</v>
      </c>
    </row>
    <row r="774" spans="1:21" ht="15" customHeight="1" x14ac:dyDescent="0.25">
      <c r="A774" s="29">
        <f>Dataset!A774</f>
        <v>770</v>
      </c>
      <c r="B774" s="29">
        <f>IF(Dataset!B774&lt;25,0.3,IF(Dataset!B774&lt;75,0.5,IF(Dataset!B774&lt;120,0.65,0.8)))</f>
        <v>0.5</v>
      </c>
      <c r="C774" s="29">
        <f>IF(Dataset!B774&lt;25,1,IF(Dataset!B774&lt;75,2,IF(Dataset!B774&lt;120,3,4)))</f>
        <v>2</v>
      </c>
      <c r="D774" s="29">
        <f t="shared" si="96"/>
        <v>1</v>
      </c>
      <c r="E774" s="29">
        <f>IF(Dataset!C774&lt;=1,0.3,IF(Dataset!C774=2,0.4,IF(Dataset!C774=3,0.5,IF(Dataset!C774=4,0.65,0.8))))</f>
        <v>0.8</v>
      </c>
      <c r="F774" s="29">
        <f>IF(Dataset!C774&lt;=2,1,IF(Dataset!C774=3,2,IF(Dataset!C774=4,3,4)))</f>
        <v>4</v>
      </c>
      <c r="G774" s="29">
        <f t="shared" si="97"/>
        <v>3.2</v>
      </c>
      <c r="H774" s="29">
        <f>IF(Dataset!G774&lt;=3,0.25,IF(Dataset!G774&lt;=6,0.45,IF(Dataset!G774&lt;=9,0.65,0.85)))</f>
        <v>0.65</v>
      </c>
      <c r="I774" s="29">
        <f>IF(Dataset!G774&lt;=3,1,IF(Dataset!G774&lt;=6,2,IF(Dataset!G774&lt;=9,3,4)))</f>
        <v>3</v>
      </c>
      <c r="J774" s="29">
        <f t="shared" si="98"/>
        <v>1.9500000000000002</v>
      </c>
      <c r="K774" s="29">
        <f>IF(Dataset!H774&lt;1,0.2,IF(Dataset!H774&lt;1.3,0.45,IF(Dataset!H774&lt;1.8,0.7,0.9)))</f>
        <v>0.9</v>
      </c>
      <c r="L774" s="29">
        <f>IF(Dataset!H774&lt;1,1,IF(Dataset!H774&lt;1.3,2,IF(Dataset!H774&lt;1.8,3,4)))</f>
        <v>4</v>
      </c>
      <c r="M774" s="29">
        <f t="shared" si="99"/>
        <v>3.6</v>
      </c>
      <c r="N774" s="29">
        <f>IF(Dataset!F774=1,0.75,IF(Dataset!F774=2,0.45,0.2))</f>
        <v>0.45</v>
      </c>
      <c r="O774" s="29">
        <f>IF(Dataset!F774=1,3,IF(Dataset!F774=2,2,1))</f>
        <v>2</v>
      </c>
      <c r="P774" s="29">
        <f t="shared" si="100"/>
        <v>0.9</v>
      </c>
      <c r="Q774" s="29">
        <f>IF(Dataset!K774&lt;5,0.2,IF(Dataset!K774&lt;10,0.45,IF(Dataset!K774&lt;18,0.7,0.9)))</f>
        <v>0.9</v>
      </c>
      <c r="R774" s="29">
        <f>IF(Dataset!K774&lt;5,1,IF(Dataset!K774&lt;10,2,IF(Dataset!K774&lt;18,3,4)))</f>
        <v>4</v>
      </c>
      <c r="S774" s="29">
        <f t="shared" si="101"/>
        <v>3.6</v>
      </c>
      <c r="T774" s="29">
        <f t="shared" si="102"/>
        <v>2.4760000000000004</v>
      </c>
      <c r="U774" s="29" t="str">
        <f t="shared" si="103"/>
        <v>High</v>
      </c>
    </row>
    <row r="775" spans="1:21" ht="15" customHeight="1" x14ac:dyDescent="0.25">
      <c r="A775" s="29">
        <f>Dataset!A775</f>
        <v>771</v>
      </c>
      <c r="B775" s="29">
        <f>IF(Dataset!B775&lt;25,0.3,IF(Dataset!B775&lt;75,0.5,IF(Dataset!B775&lt;120,0.65,0.8)))</f>
        <v>0.5</v>
      </c>
      <c r="C775" s="29">
        <f>IF(Dataset!B775&lt;25,1,IF(Dataset!B775&lt;75,2,IF(Dataset!B775&lt;120,3,4)))</f>
        <v>2</v>
      </c>
      <c r="D775" s="29">
        <f t="shared" si="96"/>
        <v>1</v>
      </c>
      <c r="E775" s="29">
        <f>IF(Dataset!C775&lt;=1,0.3,IF(Dataset!C775=2,0.4,IF(Dataset!C775=3,0.5,IF(Dataset!C775=4,0.65,0.8))))</f>
        <v>0.3</v>
      </c>
      <c r="F775" s="29">
        <f>IF(Dataset!C775&lt;=2,1,IF(Dataset!C775=3,2,IF(Dataset!C775=4,3,4)))</f>
        <v>1</v>
      </c>
      <c r="G775" s="29">
        <f t="shared" si="97"/>
        <v>0.3</v>
      </c>
      <c r="H775" s="29">
        <f>IF(Dataset!G775&lt;=3,0.25,IF(Dataset!G775&lt;=6,0.45,IF(Dataset!G775&lt;=9,0.65,0.85)))</f>
        <v>0.65</v>
      </c>
      <c r="I775" s="29">
        <f>IF(Dataset!G775&lt;=3,1,IF(Dataset!G775&lt;=6,2,IF(Dataset!G775&lt;=9,3,4)))</f>
        <v>3</v>
      </c>
      <c r="J775" s="29">
        <f t="shared" si="98"/>
        <v>1.9500000000000002</v>
      </c>
      <c r="K775" s="29">
        <f>IF(Dataset!H775&lt;1,0.2,IF(Dataset!H775&lt;1.3,0.45,IF(Dataset!H775&lt;1.8,0.7,0.9)))</f>
        <v>0.7</v>
      </c>
      <c r="L775" s="29">
        <f>IF(Dataset!H775&lt;1,1,IF(Dataset!H775&lt;1.3,2,IF(Dataset!H775&lt;1.8,3,4)))</f>
        <v>3</v>
      </c>
      <c r="M775" s="29">
        <f t="shared" si="99"/>
        <v>2.0999999999999996</v>
      </c>
      <c r="N775" s="29">
        <f>IF(Dataset!F775=1,0.75,IF(Dataset!F775=2,0.45,0.2))</f>
        <v>0.75</v>
      </c>
      <c r="O775" s="29">
        <f>IF(Dataset!F775=1,3,IF(Dataset!F775=2,2,1))</f>
        <v>3</v>
      </c>
      <c r="P775" s="29">
        <f t="shared" si="100"/>
        <v>2.25</v>
      </c>
      <c r="Q775" s="29">
        <f>IF(Dataset!K775&lt;5,0.2,IF(Dataset!K775&lt;10,0.45,IF(Dataset!K775&lt;18,0.7,0.9)))</f>
        <v>0.2</v>
      </c>
      <c r="R775" s="29">
        <f>IF(Dataset!K775&lt;5,1,IF(Dataset!K775&lt;10,2,IF(Dataset!K775&lt;18,3,4)))</f>
        <v>1</v>
      </c>
      <c r="S775" s="29">
        <f t="shared" si="101"/>
        <v>0.2</v>
      </c>
      <c r="T775" s="29">
        <f t="shared" si="102"/>
        <v>1.3690000000000002</v>
      </c>
      <c r="U775" s="29" t="str">
        <f t="shared" si="103"/>
        <v>Medium</v>
      </c>
    </row>
    <row r="776" spans="1:21" ht="15" customHeight="1" x14ac:dyDescent="0.25">
      <c r="A776" s="29">
        <f>Dataset!A776</f>
        <v>772</v>
      </c>
      <c r="B776" s="29">
        <f>IF(Dataset!B776&lt;25,0.3,IF(Dataset!B776&lt;75,0.5,IF(Dataset!B776&lt;120,0.65,0.8)))</f>
        <v>0.3</v>
      </c>
      <c r="C776" s="29">
        <f>IF(Dataset!B776&lt;25,1,IF(Dataset!B776&lt;75,2,IF(Dataset!B776&lt;120,3,4)))</f>
        <v>1</v>
      </c>
      <c r="D776" s="29">
        <f t="shared" si="96"/>
        <v>0.3</v>
      </c>
      <c r="E776" s="29">
        <f>IF(Dataset!C776&lt;=1,0.3,IF(Dataset!C776=2,0.4,IF(Dataset!C776=3,0.5,IF(Dataset!C776=4,0.65,0.8))))</f>
        <v>0.8</v>
      </c>
      <c r="F776" s="29">
        <f>IF(Dataset!C776&lt;=2,1,IF(Dataset!C776=3,2,IF(Dataset!C776=4,3,4)))</f>
        <v>4</v>
      </c>
      <c r="G776" s="29">
        <f t="shared" si="97"/>
        <v>3.2</v>
      </c>
      <c r="H776" s="29">
        <f>IF(Dataset!G776&lt;=3,0.25,IF(Dataset!G776&lt;=6,0.45,IF(Dataset!G776&lt;=9,0.65,0.85)))</f>
        <v>0.45</v>
      </c>
      <c r="I776" s="29">
        <f>IF(Dataset!G776&lt;=3,1,IF(Dataset!G776&lt;=6,2,IF(Dataset!G776&lt;=9,3,4)))</f>
        <v>2</v>
      </c>
      <c r="J776" s="29">
        <f t="shared" si="98"/>
        <v>0.9</v>
      </c>
      <c r="K776" s="29">
        <f>IF(Dataset!H776&lt;1,0.2,IF(Dataset!H776&lt;1.3,0.45,IF(Dataset!H776&lt;1.8,0.7,0.9)))</f>
        <v>0.2</v>
      </c>
      <c r="L776" s="29">
        <f>IF(Dataset!H776&lt;1,1,IF(Dataset!H776&lt;1.3,2,IF(Dataset!H776&lt;1.8,3,4)))</f>
        <v>1</v>
      </c>
      <c r="M776" s="29">
        <f t="shared" si="99"/>
        <v>0.2</v>
      </c>
      <c r="N776" s="29">
        <f>IF(Dataset!F776=1,0.75,IF(Dataset!F776=2,0.45,0.2))</f>
        <v>0.2</v>
      </c>
      <c r="O776" s="29">
        <f>IF(Dataset!F776=1,3,IF(Dataset!F776=2,2,1))</f>
        <v>1</v>
      </c>
      <c r="P776" s="29">
        <f t="shared" si="100"/>
        <v>0.2</v>
      </c>
      <c r="Q776" s="29">
        <f>IF(Dataset!K776&lt;5,0.2,IF(Dataset!K776&lt;10,0.45,IF(Dataset!K776&lt;18,0.7,0.9)))</f>
        <v>0.9</v>
      </c>
      <c r="R776" s="29">
        <f>IF(Dataset!K776&lt;5,1,IF(Dataset!K776&lt;10,2,IF(Dataset!K776&lt;18,3,4)))</f>
        <v>4</v>
      </c>
      <c r="S776" s="29">
        <f t="shared" si="101"/>
        <v>3.6</v>
      </c>
      <c r="T776" s="29">
        <f t="shared" si="102"/>
        <v>1.2540000000000004</v>
      </c>
      <c r="U776" s="29" t="str">
        <f t="shared" si="103"/>
        <v>Low</v>
      </c>
    </row>
    <row r="777" spans="1:21" ht="15" customHeight="1" x14ac:dyDescent="0.25">
      <c r="A777" s="29">
        <f>Dataset!A777</f>
        <v>773</v>
      </c>
      <c r="B777" s="29">
        <f>IF(Dataset!B777&lt;25,0.3,IF(Dataset!B777&lt;75,0.5,IF(Dataset!B777&lt;120,0.65,0.8)))</f>
        <v>0.5</v>
      </c>
      <c r="C777" s="29">
        <f>IF(Dataset!B777&lt;25,1,IF(Dataset!B777&lt;75,2,IF(Dataset!B777&lt;120,3,4)))</f>
        <v>2</v>
      </c>
      <c r="D777" s="29">
        <f t="shared" si="96"/>
        <v>1</v>
      </c>
      <c r="E777" s="29">
        <f>IF(Dataset!C777&lt;=1,0.3,IF(Dataset!C777=2,0.4,IF(Dataset!C777=3,0.5,IF(Dataset!C777=4,0.65,0.8))))</f>
        <v>0.65</v>
      </c>
      <c r="F777" s="29">
        <f>IF(Dataset!C777&lt;=2,1,IF(Dataset!C777=3,2,IF(Dataset!C777=4,3,4)))</f>
        <v>3</v>
      </c>
      <c r="G777" s="29">
        <f t="shared" si="97"/>
        <v>1.9500000000000002</v>
      </c>
      <c r="H777" s="29">
        <f>IF(Dataset!G777&lt;=3,0.25,IF(Dataset!G777&lt;=6,0.45,IF(Dataset!G777&lt;=9,0.65,0.85)))</f>
        <v>0.45</v>
      </c>
      <c r="I777" s="29">
        <f>IF(Dataset!G777&lt;=3,1,IF(Dataset!G777&lt;=6,2,IF(Dataset!G777&lt;=9,3,4)))</f>
        <v>2</v>
      </c>
      <c r="J777" s="29">
        <f t="shared" si="98"/>
        <v>0.9</v>
      </c>
      <c r="K777" s="29">
        <f>IF(Dataset!H777&lt;1,0.2,IF(Dataset!H777&lt;1.3,0.45,IF(Dataset!H777&lt;1.8,0.7,0.9)))</f>
        <v>0.45</v>
      </c>
      <c r="L777" s="29">
        <f>IF(Dataset!H777&lt;1,1,IF(Dataset!H777&lt;1.3,2,IF(Dataset!H777&lt;1.8,3,4)))</f>
        <v>2</v>
      </c>
      <c r="M777" s="29">
        <f t="shared" si="99"/>
        <v>0.9</v>
      </c>
      <c r="N777" s="29">
        <f>IF(Dataset!F777=1,0.75,IF(Dataset!F777=2,0.45,0.2))</f>
        <v>0.75</v>
      </c>
      <c r="O777" s="29">
        <f>IF(Dataset!F777=1,3,IF(Dataset!F777=2,2,1))</f>
        <v>3</v>
      </c>
      <c r="P777" s="29">
        <f t="shared" si="100"/>
        <v>2.25</v>
      </c>
      <c r="Q777" s="29">
        <f>IF(Dataset!K777&lt;5,0.2,IF(Dataset!K777&lt;10,0.45,IF(Dataset!K777&lt;18,0.7,0.9)))</f>
        <v>0.7</v>
      </c>
      <c r="R777" s="29">
        <f>IF(Dataset!K777&lt;5,1,IF(Dataset!K777&lt;10,2,IF(Dataset!K777&lt;18,3,4)))</f>
        <v>3</v>
      </c>
      <c r="S777" s="29">
        <f t="shared" si="101"/>
        <v>2.0999999999999996</v>
      </c>
      <c r="T777" s="29">
        <f t="shared" si="102"/>
        <v>1.3680000000000001</v>
      </c>
      <c r="U777" s="29" t="str">
        <f t="shared" si="103"/>
        <v>Medium</v>
      </c>
    </row>
    <row r="778" spans="1:21" ht="15" customHeight="1" x14ac:dyDescent="0.25">
      <c r="A778" s="29">
        <f>Dataset!A778</f>
        <v>774</v>
      </c>
      <c r="B778" s="29">
        <f>IF(Dataset!B778&lt;25,0.3,IF(Dataset!B778&lt;75,0.5,IF(Dataset!B778&lt;120,0.65,0.8)))</f>
        <v>0.5</v>
      </c>
      <c r="C778" s="29">
        <f>IF(Dataset!B778&lt;25,1,IF(Dataset!B778&lt;75,2,IF(Dataset!B778&lt;120,3,4)))</f>
        <v>2</v>
      </c>
      <c r="D778" s="29">
        <f t="shared" si="96"/>
        <v>1</v>
      </c>
      <c r="E778" s="29">
        <f>IF(Dataset!C778&lt;=1,0.3,IF(Dataset!C778=2,0.4,IF(Dataset!C778=3,0.5,IF(Dataset!C778=4,0.65,0.8))))</f>
        <v>0.8</v>
      </c>
      <c r="F778" s="29">
        <f>IF(Dataset!C778&lt;=2,1,IF(Dataset!C778=3,2,IF(Dataset!C778=4,3,4)))</f>
        <v>4</v>
      </c>
      <c r="G778" s="29">
        <f t="shared" si="97"/>
        <v>3.2</v>
      </c>
      <c r="H778" s="29">
        <f>IF(Dataset!G778&lt;=3,0.25,IF(Dataset!G778&lt;=6,0.45,IF(Dataset!G778&lt;=9,0.65,0.85)))</f>
        <v>0.65</v>
      </c>
      <c r="I778" s="29">
        <f>IF(Dataset!G778&lt;=3,1,IF(Dataset!G778&lt;=6,2,IF(Dataset!G778&lt;=9,3,4)))</f>
        <v>3</v>
      </c>
      <c r="J778" s="29">
        <f t="shared" si="98"/>
        <v>1.9500000000000002</v>
      </c>
      <c r="K778" s="29">
        <f>IF(Dataset!H778&lt;1,0.2,IF(Dataset!H778&lt;1.3,0.45,IF(Dataset!H778&lt;1.8,0.7,0.9)))</f>
        <v>0.7</v>
      </c>
      <c r="L778" s="29">
        <f>IF(Dataset!H778&lt;1,1,IF(Dataset!H778&lt;1.3,2,IF(Dataset!H778&lt;1.8,3,4)))</f>
        <v>3</v>
      </c>
      <c r="M778" s="29">
        <f t="shared" si="99"/>
        <v>2.0999999999999996</v>
      </c>
      <c r="N778" s="29">
        <f>IF(Dataset!F778=1,0.75,IF(Dataset!F778=2,0.45,0.2))</f>
        <v>0.75</v>
      </c>
      <c r="O778" s="29">
        <f>IF(Dataset!F778=1,3,IF(Dataset!F778=2,2,1))</f>
        <v>3</v>
      </c>
      <c r="P778" s="29">
        <f t="shared" si="100"/>
        <v>2.25</v>
      </c>
      <c r="Q778" s="29">
        <f>IF(Dataset!K778&lt;5,0.2,IF(Dataset!K778&lt;10,0.45,IF(Dataset!K778&lt;18,0.7,0.9)))</f>
        <v>0.7</v>
      </c>
      <c r="R778" s="29">
        <f>IF(Dataset!K778&lt;5,1,IF(Dataset!K778&lt;10,2,IF(Dataset!K778&lt;18,3,4)))</f>
        <v>3</v>
      </c>
      <c r="S778" s="29">
        <f t="shared" si="101"/>
        <v>2.0999999999999996</v>
      </c>
      <c r="T778" s="29">
        <f t="shared" si="102"/>
        <v>2.0410000000000004</v>
      </c>
      <c r="U778" s="29" t="str">
        <f t="shared" si="103"/>
        <v>High</v>
      </c>
    </row>
    <row r="779" spans="1:21" ht="15" customHeight="1" x14ac:dyDescent="0.25">
      <c r="A779" s="29">
        <f>Dataset!A779</f>
        <v>775</v>
      </c>
      <c r="B779" s="29">
        <f>IF(Dataset!B779&lt;25,0.3,IF(Dataset!B779&lt;75,0.5,IF(Dataset!B779&lt;120,0.65,0.8)))</f>
        <v>0.3</v>
      </c>
      <c r="C779" s="29">
        <f>IF(Dataset!B779&lt;25,1,IF(Dataset!B779&lt;75,2,IF(Dataset!B779&lt;120,3,4)))</f>
        <v>1</v>
      </c>
      <c r="D779" s="29">
        <f t="shared" si="96"/>
        <v>0.3</v>
      </c>
      <c r="E779" s="29">
        <f>IF(Dataset!C779&lt;=1,0.3,IF(Dataset!C779=2,0.4,IF(Dataset!C779=3,0.5,IF(Dataset!C779=4,0.65,0.8))))</f>
        <v>0.5</v>
      </c>
      <c r="F779" s="29">
        <f>IF(Dataset!C779&lt;=2,1,IF(Dataset!C779=3,2,IF(Dataset!C779=4,3,4)))</f>
        <v>2</v>
      </c>
      <c r="G779" s="29">
        <f t="shared" si="97"/>
        <v>1</v>
      </c>
      <c r="H779" s="29">
        <f>IF(Dataset!G779&lt;=3,0.25,IF(Dataset!G779&lt;=6,0.45,IF(Dataset!G779&lt;=9,0.65,0.85)))</f>
        <v>0.65</v>
      </c>
      <c r="I779" s="29">
        <f>IF(Dataset!G779&lt;=3,1,IF(Dataset!G779&lt;=6,2,IF(Dataset!G779&lt;=9,3,4)))</f>
        <v>3</v>
      </c>
      <c r="J779" s="29">
        <f t="shared" si="98"/>
        <v>1.9500000000000002</v>
      </c>
      <c r="K779" s="29">
        <f>IF(Dataset!H779&lt;1,0.2,IF(Dataset!H779&lt;1.3,0.45,IF(Dataset!H779&lt;1.8,0.7,0.9)))</f>
        <v>0.45</v>
      </c>
      <c r="L779" s="29">
        <f>IF(Dataset!H779&lt;1,1,IF(Dataset!H779&lt;1.3,2,IF(Dataset!H779&lt;1.8,3,4)))</f>
        <v>2</v>
      </c>
      <c r="M779" s="29">
        <f t="shared" si="99"/>
        <v>0.9</v>
      </c>
      <c r="N779" s="29">
        <f>IF(Dataset!F779=1,0.75,IF(Dataset!F779=2,0.45,0.2))</f>
        <v>0.45</v>
      </c>
      <c r="O779" s="29">
        <f>IF(Dataset!F779=1,3,IF(Dataset!F779=2,2,1))</f>
        <v>2</v>
      </c>
      <c r="P779" s="29">
        <f t="shared" si="100"/>
        <v>0.9</v>
      </c>
      <c r="Q779" s="29">
        <f>IF(Dataset!K779&lt;5,0.2,IF(Dataset!K779&lt;10,0.45,IF(Dataset!K779&lt;18,0.7,0.9)))</f>
        <v>0.45</v>
      </c>
      <c r="R779" s="29">
        <f>IF(Dataset!K779&lt;5,1,IF(Dataset!K779&lt;10,2,IF(Dataset!K779&lt;18,3,4)))</f>
        <v>2</v>
      </c>
      <c r="S779" s="29">
        <f t="shared" si="101"/>
        <v>0.9</v>
      </c>
      <c r="T779" s="29">
        <f t="shared" si="102"/>
        <v>1.016</v>
      </c>
      <c r="U779" s="29" t="str">
        <f t="shared" si="103"/>
        <v>Low</v>
      </c>
    </row>
    <row r="780" spans="1:21" ht="15" customHeight="1" x14ac:dyDescent="0.25">
      <c r="A780" s="29">
        <f>Dataset!A780</f>
        <v>776</v>
      </c>
      <c r="B780" s="29">
        <f>IF(Dataset!B780&lt;25,0.3,IF(Dataset!B780&lt;75,0.5,IF(Dataset!B780&lt;120,0.65,0.8)))</f>
        <v>0.5</v>
      </c>
      <c r="C780" s="29">
        <f>IF(Dataset!B780&lt;25,1,IF(Dataset!B780&lt;75,2,IF(Dataset!B780&lt;120,3,4)))</f>
        <v>2</v>
      </c>
      <c r="D780" s="29">
        <f t="shared" si="96"/>
        <v>1</v>
      </c>
      <c r="E780" s="29">
        <f>IF(Dataset!C780&lt;=1,0.3,IF(Dataset!C780=2,0.4,IF(Dataset!C780=3,0.5,IF(Dataset!C780=4,0.65,0.8))))</f>
        <v>0.4</v>
      </c>
      <c r="F780" s="29">
        <f>IF(Dataset!C780&lt;=2,1,IF(Dataset!C780=3,2,IF(Dataset!C780=4,3,4)))</f>
        <v>1</v>
      </c>
      <c r="G780" s="29">
        <f t="shared" si="97"/>
        <v>0.4</v>
      </c>
      <c r="H780" s="29">
        <f>IF(Dataset!G780&lt;=3,0.25,IF(Dataset!G780&lt;=6,0.45,IF(Dataset!G780&lt;=9,0.65,0.85)))</f>
        <v>0.45</v>
      </c>
      <c r="I780" s="29">
        <f>IF(Dataset!G780&lt;=3,1,IF(Dataset!G780&lt;=6,2,IF(Dataset!G780&lt;=9,3,4)))</f>
        <v>2</v>
      </c>
      <c r="J780" s="29">
        <f t="shared" si="98"/>
        <v>0.9</v>
      </c>
      <c r="K780" s="29">
        <f>IF(Dataset!H780&lt;1,0.2,IF(Dataset!H780&lt;1.3,0.45,IF(Dataset!H780&lt;1.8,0.7,0.9)))</f>
        <v>0.2</v>
      </c>
      <c r="L780" s="29">
        <f>IF(Dataset!H780&lt;1,1,IF(Dataset!H780&lt;1.3,2,IF(Dataset!H780&lt;1.8,3,4)))</f>
        <v>1</v>
      </c>
      <c r="M780" s="29">
        <f t="shared" si="99"/>
        <v>0.2</v>
      </c>
      <c r="N780" s="29">
        <f>IF(Dataset!F780=1,0.75,IF(Dataset!F780=2,0.45,0.2))</f>
        <v>0.75</v>
      </c>
      <c r="O780" s="29">
        <f>IF(Dataset!F780=1,3,IF(Dataset!F780=2,2,1))</f>
        <v>3</v>
      </c>
      <c r="P780" s="29">
        <f t="shared" si="100"/>
        <v>2.25</v>
      </c>
      <c r="Q780" s="29">
        <f>IF(Dataset!K780&lt;5,0.2,IF(Dataset!K780&lt;10,0.45,IF(Dataset!K780&lt;18,0.7,0.9)))</f>
        <v>0.2</v>
      </c>
      <c r="R780" s="29">
        <f>IF(Dataset!K780&lt;5,1,IF(Dataset!K780&lt;10,2,IF(Dataset!K780&lt;18,3,4)))</f>
        <v>1</v>
      </c>
      <c r="S780" s="29">
        <f t="shared" si="101"/>
        <v>0.2</v>
      </c>
      <c r="T780" s="29">
        <f t="shared" si="102"/>
        <v>0.71700000000000008</v>
      </c>
      <c r="U780" s="29" t="str">
        <f t="shared" si="103"/>
        <v>Low</v>
      </c>
    </row>
    <row r="781" spans="1:21" ht="15" customHeight="1" x14ac:dyDescent="0.25">
      <c r="A781" s="29">
        <f>Dataset!A781</f>
        <v>777</v>
      </c>
      <c r="B781" s="29">
        <f>IF(Dataset!B781&lt;25,0.3,IF(Dataset!B781&lt;75,0.5,IF(Dataset!B781&lt;120,0.65,0.8)))</f>
        <v>0.5</v>
      </c>
      <c r="C781" s="29">
        <f>IF(Dataset!B781&lt;25,1,IF(Dataset!B781&lt;75,2,IF(Dataset!B781&lt;120,3,4)))</f>
        <v>2</v>
      </c>
      <c r="D781" s="29">
        <f t="shared" si="96"/>
        <v>1</v>
      </c>
      <c r="E781" s="29">
        <f>IF(Dataset!C781&lt;=1,0.3,IF(Dataset!C781=2,0.4,IF(Dataset!C781=3,0.5,IF(Dataset!C781=4,0.65,0.8))))</f>
        <v>0.65</v>
      </c>
      <c r="F781" s="29">
        <f>IF(Dataset!C781&lt;=2,1,IF(Dataset!C781=3,2,IF(Dataset!C781=4,3,4)))</f>
        <v>3</v>
      </c>
      <c r="G781" s="29">
        <f t="shared" si="97"/>
        <v>1.9500000000000002</v>
      </c>
      <c r="H781" s="29">
        <f>IF(Dataset!G781&lt;=3,0.25,IF(Dataset!G781&lt;=6,0.45,IF(Dataset!G781&lt;=9,0.65,0.85)))</f>
        <v>0.45</v>
      </c>
      <c r="I781" s="29">
        <f>IF(Dataset!G781&lt;=3,1,IF(Dataset!G781&lt;=6,2,IF(Dataset!G781&lt;=9,3,4)))</f>
        <v>2</v>
      </c>
      <c r="J781" s="29">
        <f t="shared" si="98"/>
        <v>0.9</v>
      </c>
      <c r="K781" s="29">
        <f>IF(Dataset!H781&lt;1,0.2,IF(Dataset!H781&lt;1.3,0.45,IF(Dataset!H781&lt;1.8,0.7,0.9)))</f>
        <v>0.7</v>
      </c>
      <c r="L781" s="29">
        <f>IF(Dataset!H781&lt;1,1,IF(Dataset!H781&lt;1.3,2,IF(Dataset!H781&lt;1.8,3,4)))</f>
        <v>3</v>
      </c>
      <c r="M781" s="29">
        <f t="shared" si="99"/>
        <v>2.0999999999999996</v>
      </c>
      <c r="N781" s="29">
        <f>IF(Dataset!F781=1,0.75,IF(Dataset!F781=2,0.45,0.2))</f>
        <v>0.75</v>
      </c>
      <c r="O781" s="29">
        <f>IF(Dataset!F781=1,3,IF(Dataset!F781=2,2,1))</f>
        <v>3</v>
      </c>
      <c r="P781" s="29">
        <f t="shared" si="100"/>
        <v>2.25</v>
      </c>
      <c r="Q781" s="29">
        <f>IF(Dataset!K781&lt;5,0.2,IF(Dataset!K781&lt;10,0.45,IF(Dataset!K781&lt;18,0.7,0.9)))</f>
        <v>0.7</v>
      </c>
      <c r="R781" s="29">
        <f>IF(Dataset!K781&lt;5,1,IF(Dataset!K781&lt;10,2,IF(Dataset!K781&lt;18,3,4)))</f>
        <v>3</v>
      </c>
      <c r="S781" s="29">
        <f t="shared" si="101"/>
        <v>2.0999999999999996</v>
      </c>
      <c r="T781" s="29">
        <f t="shared" si="102"/>
        <v>1.6560000000000001</v>
      </c>
      <c r="U781" s="29" t="str">
        <f t="shared" si="103"/>
        <v>Medium</v>
      </c>
    </row>
    <row r="782" spans="1:21" ht="15" customHeight="1" x14ac:dyDescent="0.25">
      <c r="A782" s="29">
        <f>Dataset!A782</f>
        <v>778</v>
      </c>
      <c r="B782" s="29">
        <f>IF(Dataset!B782&lt;25,0.3,IF(Dataset!B782&lt;75,0.5,IF(Dataset!B782&lt;120,0.65,0.8)))</f>
        <v>0.3</v>
      </c>
      <c r="C782" s="29">
        <f>IF(Dataset!B782&lt;25,1,IF(Dataset!B782&lt;75,2,IF(Dataset!B782&lt;120,3,4)))</f>
        <v>1</v>
      </c>
      <c r="D782" s="29">
        <f t="shared" si="96"/>
        <v>0.3</v>
      </c>
      <c r="E782" s="29">
        <f>IF(Dataset!C782&lt;=1,0.3,IF(Dataset!C782=2,0.4,IF(Dataset!C782=3,0.5,IF(Dataset!C782=4,0.65,0.8))))</f>
        <v>0.5</v>
      </c>
      <c r="F782" s="29">
        <f>IF(Dataset!C782&lt;=2,1,IF(Dataset!C782=3,2,IF(Dataset!C782=4,3,4)))</f>
        <v>2</v>
      </c>
      <c r="G782" s="29">
        <f t="shared" si="97"/>
        <v>1</v>
      </c>
      <c r="H782" s="29">
        <f>IF(Dataset!G782&lt;=3,0.25,IF(Dataset!G782&lt;=6,0.45,IF(Dataset!G782&lt;=9,0.65,0.85)))</f>
        <v>0.65</v>
      </c>
      <c r="I782" s="29">
        <f>IF(Dataset!G782&lt;=3,1,IF(Dataset!G782&lt;=6,2,IF(Dataset!G782&lt;=9,3,4)))</f>
        <v>3</v>
      </c>
      <c r="J782" s="29">
        <f t="shared" si="98"/>
        <v>1.9500000000000002</v>
      </c>
      <c r="K782" s="29">
        <f>IF(Dataset!H782&lt;1,0.2,IF(Dataset!H782&lt;1.3,0.45,IF(Dataset!H782&lt;1.8,0.7,0.9)))</f>
        <v>0.9</v>
      </c>
      <c r="L782" s="29">
        <f>IF(Dataset!H782&lt;1,1,IF(Dataset!H782&lt;1.3,2,IF(Dataset!H782&lt;1.8,3,4)))</f>
        <v>4</v>
      </c>
      <c r="M782" s="29">
        <f t="shared" si="99"/>
        <v>3.6</v>
      </c>
      <c r="N782" s="29">
        <f>IF(Dataset!F782=1,0.75,IF(Dataset!F782=2,0.45,0.2))</f>
        <v>0.75</v>
      </c>
      <c r="O782" s="29">
        <f>IF(Dataset!F782=1,3,IF(Dataset!F782=2,2,1))</f>
        <v>3</v>
      </c>
      <c r="P782" s="29">
        <f t="shared" si="100"/>
        <v>2.25</v>
      </c>
      <c r="Q782" s="29">
        <f>IF(Dataset!K782&lt;5,0.2,IF(Dataset!K782&lt;10,0.45,IF(Dataset!K782&lt;18,0.7,0.9)))</f>
        <v>0.2</v>
      </c>
      <c r="R782" s="29">
        <f>IF(Dataset!K782&lt;5,1,IF(Dataset!K782&lt;10,2,IF(Dataset!K782&lt;18,3,4)))</f>
        <v>1</v>
      </c>
      <c r="S782" s="29">
        <f t="shared" si="101"/>
        <v>0.2</v>
      </c>
      <c r="T782" s="29">
        <f t="shared" si="102"/>
        <v>1.7010000000000001</v>
      </c>
      <c r="U782" s="29" t="str">
        <f t="shared" si="103"/>
        <v>Medium</v>
      </c>
    </row>
    <row r="783" spans="1:21" ht="15" customHeight="1" x14ac:dyDescent="0.25">
      <c r="A783" s="29">
        <f>Dataset!A783</f>
        <v>779</v>
      </c>
      <c r="B783" s="29">
        <f>IF(Dataset!B783&lt;25,0.3,IF(Dataset!B783&lt;75,0.5,IF(Dataset!B783&lt;120,0.65,0.8)))</f>
        <v>0.8</v>
      </c>
      <c r="C783" s="29">
        <f>IF(Dataset!B783&lt;25,1,IF(Dataset!B783&lt;75,2,IF(Dataset!B783&lt;120,3,4)))</f>
        <v>4</v>
      </c>
      <c r="D783" s="29">
        <f t="shared" si="96"/>
        <v>3.2</v>
      </c>
      <c r="E783" s="29">
        <f>IF(Dataset!C783&lt;=1,0.3,IF(Dataset!C783=2,0.4,IF(Dataset!C783=3,0.5,IF(Dataset!C783=4,0.65,0.8))))</f>
        <v>0.5</v>
      </c>
      <c r="F783" s="29">
        <f>IF(Dataset!C783&lt;=2,1,IF(Dataset!C783=3,2,IF(Dataset!C783=4,3,4)))</f>
        <v>2</v>
      </c>
      <c r="G783" s="29">
        <f t="shared" si="97"/>
        <v>1</v>
      </c>
      <c r="H783" s="29">
        <f>IF(Dataset!G783&lt;=3,0.25,IF(Dataset!G783&lt;=6,0.45,IF(Dataset!G783&lt;=9,0.65,0.85)))</f>
        <v>0.45</v>
      </c>
      <c r="I783" s="29">
        <f>IF(Dataset!G783&lt;=3,1,IF(Dataset!G783&lt;=6,2,IF(Dataset!G783&lt;=9,3,4)))</f>
        <v>2</v>
      </c>
      <c r="J783" s="29">
        <f t="shared" si="98"/>
        <v>0.9</v>
      </c>
      <c r="K783" s="29">
        <f>IF(Dataset!H783&lt;1,0.2,IF(Dataset!H783&lt;1.3,0.45,IF(Dataset!H783&lt;1.8,0.7,0.9)))</f>
        <v>0.45</v>
      </c>
      <c r="L783" s="29">
        <f>IF(Dataset!H783&lt;1,1,IF(Dataset!H783&lt;1.3,2,IF(Dataset!H783&lt;1.8,3,4)))</f>
        <v>2</v>
      </c>
      <c r="M783" s="29">
        <f t="shared" si="99"/>
        <v>0.9</v>
      </c>
      <c r="N783" s="29">
        <f>IF(Dataset!F783=1,0.75,IF(Dataset!F783=2,0.45,0.2))</f>
        <v>0.45</v>
      </c>
      <c r="O783" s="29">
        <f>IF(Dataset!F783=1,3,IF(Dataset!F783=2,2,1))</f>
        <v>2</v>
      </c>
      <c r="P783" s="29">
        <f t="shared" si="100"/>
        <v>0.9</v>
      </c>
      <c r="Q783" s="29">
        <f>IF(Dataset!K783&lt;5,0.2,IF(Dataset!K783&lt;10,0.45,IF(Dataset!K783&lt;18,0.7,0.9)))</f>
        <v>0.45</v>
      </c>
      <c r="R783" s="29">
        <f>IF(Dataset!K783&lt;5,1,IF(Dataset!K783&lt;10,2,IF(Dataset!K783&lt;18,3,4)))</f>
        <v>2</v>
      </c>
      <c r="S783" s="29">
        <f t="shared" si="101"/>
        <v>0.9</v>
      </c>
      <c r="T783" s="29">
        <f t="shared" si="102"/>
        <v>1.3280000000000003</v>
      </c>
      <c r="U783" s="29" t="str">
        <f t="shared" si="103"/>
        <v>Low</v>
      </c>
    </row>
    <row r="784" spans="1:21" ht="15" customHeight="1" x14ac:dyDescent="0.25">
      <c r="A784" s="29">
        <f>Dataset!A784</f>
        <v>780</v>
      </c>
      <c r="B784" s="29">
        <f>IF(Dataset!B784&lt;25,0.3,IF(Dataset!B784&lt;75,0.5,IF(Dataset!B784&lt;120,0.65,0.8)))</f>
        <v>0.65</v>
      </c>
      <c r="C784" s="29">
        <f>IF(Dataset!B784&lt;25,1,IF(Dataset!B784&lt;75,2,IF(Dataset!B784&lt;120,3,4)))</f>
        <v>3</v>
      </c>
      <c r="D784" s="29">
        <f t="shared" si="96"/>
        <v>1.9500000000000002</v>
      </c>
      <c r="E784" s="29">
        <f>IF(Dataset!C784&lt;=1,0.3,IF(Dataset!C784=2,0.4,IF(Dataset!C784=3,0.5,IF(Dataset!C784=4,0.65,0.8))))</f>
        <v>0.8</v>
      </c>
      <c r="F784" s="29">
        <f>IF(Dataset!C784&lt;=2,1,IF(Dataset!C784=3,2,IF(Dataset!C784=4,3,4)))</f>
        <v>4</v>
      </c>
      <c r="G784" s="29">
        <f t="shared" si="97"/>
        <v>3.2</v>
      </c>
      <c r="H784" s="29">
        <f>IF(Dataset!G784&lt;=3,0.25,IF(Dataset!G784&lt;=6,0.45,IF(Dataset!G784&lt;=9,0.65,0.85)))</f>
        <v>0.65</v>
      </c>
      <c r="I784" s="29">
        <f>IF(Dataset!G784&lt;=3,1,IF(Dataset!G784&lt;=6,2,IF(Dataset!G784&lt;=9,3,4)))</f>
        <v>3</v>
      </c>
      <c r="J784" s="29">
        <f t="shared" si="98"/>
        <v>1.9500000000000002</v>
      </c>
      <c r="K784" s="29">
        <f>IF(Dataset!H784&lt;1,0.2,IF(Dataset!H784&lt;1.3,0.45,IF(Dataset!H784&lt;1.8,0.7,0.9)))</f>
        <v>0.7</v>
      </c>
      <c r="L784" s="29">
        <f>IF(Dataset!H784&lt;1,1,IF(Dataset!H784&lt;1.3,2,IF(Dataset!H784&lt;1.8,3,4)))</f>
        <v>3</v>
      </c>
      <c r="M784" s="29">
        <f t="shared" si="99"/>
        <v>2.0999999999999996</v>
      </c>
      <c r="N784" s="29">
        <f>IF(Dataset!F784=1,0.75,IF(Dataset!F784=2,0.45,0.2))</f>
        <v>0.45</v>
      </c>
      <c r="O784" s="29">
        <f>IF(Dataset!F784=1,3,IF(Dataset!F784=2,2,1))</f>
        <v>2</v>
      </c>
      <c r="P784" s="29">
        <f t="shared" si="100"/>
        <v>0.9</v>
      </c>
      <c r="Q784" s="29">
        <f>IF(Dataset!K784&lt;5,0.2,IF(Dataset!K784&lt;10,0.45,IF(Dataset!K784&lt;18,0.7,0.9)))</f>
        <v>0.7</v>
      </c>
      <c r="R784" s="29">
        <f>IF(Dataset!K784&lt;5,1,IF(Dataset!K784&lt;10,2,IF(Dataset!K784&lt;18,3,4)))</f>
        <v>3</v>
      </c>
      <c r="S784" s="29">
        <f t="shared" si="101"/>
        <v>2.0999999999999996</v>
      </c>
      <c r="T784" s="29">
        <f t="shared" si="102"/>
        <v>2.077</v>
      </c>
      <c r="U784" s="29" t="str">
        <f t="shared" si="103"/>
        <v>High</v>
      </c>
    </row>
    <row r="785" spans="1:21" ht="15" customHeight="1" x14ac:dyDescent="0.25">
      <c r="A785" s="29">
        <f>Dataset!A785</f>
        <v>781</v>
      </c>
      <c r="B785" s="29">
        <f>IF(Dataset!B785&lt;25,0.3,IF(Dataset!B785&lt;75,0.5,IF(Dataset!B785&lt;120,0.65,0.8)))</f>
        <v>0.5</v>
      </c>
      <c r="C785" s="29">
        <f>IF(Dataset!B785&lt;25,1,IF(Dataset!B785&lt;75,2,IF(Dataset!B785&lt;120,3,4)))</f>
        <v>2</v>
      </c>
      <c r="D785" s="29">
        <f t="shared" si="96"/>
        <v>1</v>
      </c>
      <c r="E785" s="29">
        <f>IF(Dataset!C785&lt;=1,0.3,IF(Dataset!C785=2,0.4,IF(Dataset!C785=3,0.5,IF(Dataset!C785=4,0.65,0.8))))</f>
        <v>0.65</v>
      </c>
      <c r="F785" s="29">
        <f>IF(Dataset!C785&lt;=2,1,IF(Dataset!C785=3,2,IF(Dataset!C785=4,3,4)))</f>
        <v>3</v>
      </c>
      <c r="G785" s="29">
        <f t="shared" si="97"/>
        <v>1.9500000000000002</v>
      </c>
      <c r="H785" s="29">
        <f>IF(Dataset!G785&lt;=3,0.25,IF(Dataset!G785&lt;=6,0.45,IF(Dataset!G785&lt;=9,0.65,0.85)))</f>
        <v>0.65</v>
      </c>
      <c r="I785" s="29">
        <f>IF(Dataset!G785&lt;=3,1,IF(Dataset!G785&lt;=6,2,IF(Dataset!G785&lt;=9,3,4)))</f>
        <v>3</v>
      </c>
      <c r="J785" s="29">
        <f t="shared" si="98"/>
        <v>1.9500000000000002</v>
      </c>
      <c r="K785" s="29">
        <f>IF(Dataset!H785&lt;1,0.2,IF(Dataset!H785&lt;1.3,0.45,IF(Dataset!H785&lt;1.8,0.7,0.9)))</f>
        <v>0.9</v>
      </c>
      <c r="L785" s="29">
        <f>IF(Dataset!H785&lt;1,1,IF(Dataset!H785&lt;1.3,2,IF(Dataset!H785&lt;1.8,3,4)))</f>
        <v>4</v>
      </c>
      <c r="M785" s="29">
        <f t="shared" si="99"/>
        <v>3.6</v>
      </c>
      <c r="N785" s="29">
        <f>IF(Dataset!F785=1,0.75,IF(Dataset!F785=2,0.45,0.2))</f>
        <v>0.45</v>
      </c>
      <c r="O785" s="29">
        <f>IF(Dataset!F785=1,3,IF(Dataset!F785=2,2,1))</f>
        <v>2</v>
      </c>
      <c r="P785" s="29">
        <f t="shared" si="100"/>
        <v>0.9</v>
      </c>
      <c r="Q785" s="29">
        <f>IF(Dataset!K785&lt;5,0.2,IF(Dataset!K785&lt;10,0.45,IF(Dataset!K785&lt;18,0.7,0.9)))</f>
        <v>0.45</v>
      </c>
      <c r="R785" s="29">
        <f>IF(Dataset!K785&lt;5,1,IF(Dataset!K785&lt;10,2,IF(Dataset!K785&lt;18,3,4)))</f>
        <v>2</v>
      </c>
      <c r="S785" s="29">
        <f t="shared" si="101"/>
        <v>0.9</v>
      </c>
      <c r="T785" s="29">
        <f t="shared" si="102"/>
        <v>1.9230000000000005</v>
      </c>
      <c r="U785" s="29" t="str">
        <f t="shared" si="103"/>
        <v>High</v>
      </c>
    </row>
    <row r="786" spans="1:21" ht="15" customHeight="1" x14ac:dyDescent="0.25">
      <c r="A786" s="29">
        <f>Dataset!A786</f>
        <v>782</v>
      </c>
      <c r="B786" s="29">
        <f>IF(Dataset!B786&lt;25,0.3,IF(Dataset!B786&lt;75,0.5,IF(Dataset!B786&lt;120,0.65,0.8)))</f>
        <v>0.5</v>
      </c>
      <c r="C786" s="29">
        <f>IF(Dataset!B786&lt;25,1,IF(Dataset!B786&lt;75,2,IF(Dataset!B786&lt;120,3,4)))</f>
        <v>2</v>
      </c>
      <c r="D786" s="29">
        <f t="shared" si="96"/>
        <v>1</v>
      </c>
      <c r="E786" s="29">
        <f>IF(Dataset!C786&lt;=1,0.3,IF(Dataset!C786=2,0.4,IF(Dataset!C786=3,0.5,IF(Dataset!C786=4,0.65,0.8))))</f>
        <v>0.5</v>
      </c>
      <c r="F786" s="29">
        <f>IF(Dataset!C786&lt;=2,1,IF(Dataset!C786=3,2,IF(Dataset!C786=4,3,4)))</f>
        <v>2</v>
      </c>
      <c r="G786" s="29">
        <f t="shared" si="97"/>
        <v>1</v>
      </c>
      <c r="H786" s="29">
        <f>IF(Dataset!G786&lt;=3,0.25,IF(Dataset!G786&lt;=6,0.45,IF(Dataset!G786&lt;=9,0.65,0.85)))</f>
        <v>0.45</v>
      </c>
      <c r="I786" s="29">
        <f>IF(Dataset!G786&lt;=3,1,IF(Dataset!G786&lt;=6,2,IF(Dataset!G786&lt;=9,3,4)))</f>
        <v>2</v>
      </c>
      <c r="J786" s="29">
        <f t="shared" si="98"/>
        <v>0.9</v>
      </c>
      <c r="K786" s="29">
        <f>IF(Dataset!H786&lt;1,0.2,IF(Dataset!H786&lt;1.3,0.45,IF(Dataset!H786&lt;1.8,0.7,0.9)))</f>
        <v>0.9</v>
      </c>
      <c r="L786" s="29">
        <f>IF(Dataset!H786&lt;1,1,IF(Dataset!H786&lt;1.3,2,IF(Dataset!H786&lt;1.8,3,4)))</f>
        <v>4</v>
      </c>
      <c r="M786" s="29">
        <f t="shared" si="99"/>
        <v>3.6</v>
      </c>
      <c r="N786" s="29">
        <f>IF(Dataset!F786=1,0.75,IF(Dataset!F786=2,0.45,0.2))</f>
        <v>0.2</v>
      </c>
      <c r="O786" s="29">
        <f>IF(Dataset!F786=1,3,IF(Dataset!F786=2,2,1))</f>
        <v>1</v>
      </c>
      <c r="P786" s="29">
        <f t="shared" si="100"/>
        <v>0.2</v>
      </c>
      <c r="Q786" s="29">
        <f>IF(Dataset!K786&lt;5,0.2,IF(Dataset!K786&lt;10,0.45,IF(Dataset!K786&lt;18,0.7,0.9)))</f>
        <v>0.2</v>
      </c>
      <c r="R786" s="29">
        <f>IF(Dataset!K786&lt;5,1,IF(Dataset!K786&lt;10,2,IF(Dataset!K786&lt;18,3,4)))</f>
        <v>1</v>
      </c>
      <c r="S786" s="29">
        <f t="shared" si="101"/>
        <v>0.2</v>
      </c>
      <c r="T786" s="29">
        <f t="shared" si="102"/>
        <v>1.4119999999999999</v>
      </c>
      <c r="U786" s="29" t="str">
        <f t="shared" si="103"/>
        <v>Medium</v>
      </c>
    </row>
    <row r="787" spans="1:21" ht="15" customHeight="1" x14ac:dyDescent="0.25">
      <c r="A787" s="29">
        <f>Dataset!A787</f>
        <v>783</v>
      </c>
      <c r="B787" s="29">
        <f>IF(Dataset!B787&lt;25,0.3,IF(Dataset!B787&lt;75,0.5,IF(Dataset!B787&lt;120,0.65,0.8)))</f>
        <v>0.3</v>
      </c>
      <c r="C787" s="29">
        <f>IF(Dataset!B787&lt;25,1,IF(Dataset!B787&lt;75,2,IF(Dataset!B787&lt;120,3,4)))</f>
        <v>1</v>
      </c>
      <c r="D787" s="29">
        <f t="shared" si="96"/>
        <v>0.3</v>
      </c>
      <c r="E787" s="29">
        <f>IF(Dataset!C787&lt;=1,0.3,IF(Dataset!C787=2,0.4,IF(Dataset!C787=3,0.5,IF(Dataset!C787=4,0.65,0.8))))</f>
        <v>0.5</v>
      </c>
      <c r="F787" s="29">
        <f>IF(Dataset!C787&lt;=2,1,IF(Dataset!C787=3,2,IF(Dataset!C787=4,3,4)))</f>
        <v>2</v>
      </c>
      <c r="G787" s="29">
        <f t="shared" si="97"/>
        <v>1</v>
      </c>
      <c r="H787" s="29">
        <f>IF(Dataset!G787&lt;=3,0.25,IF(Dataset!G787&lt;=6,0.45,IF(Dataset!G787&lt;=9,0.65,0.85)))</f>
        <v>0.25</v>
      </c>
      <c r="I787" s="29">
        <f>IF(Dataset!G787&lt;=3,1,IF(Dataset!G787&lt;=6,2,IF(Dataset!G787&lt;=9,3,4)))</f>
        <v>1</v>
      </c>
      <c r="J787" s="29">
        <f t="shared" si="98"/>
        <v>0.25</v>
      </c>
      <c r="K787" s="29">
        <f>IF(Dataset!H787&lt;1,0.2,IF(Dataset!H787&lt;1.3,0.45,IF(Dataset!H787&lt;1.8,0.7,0.9)))</f>
        <v>0.7</v>
      </c>
      <c r="L787" s="29">
        <f>IF(Dataset!H787&lt;1,1,IF(Dataset!H787&lt;1.3,2,IF(Dataset!H787&lt;1.8,3,4)))</f>
        <v>3</v>
      </c>
      <c r="M787" s="29">
        <f t="shared" si="99"/>
        <v>2.0999999999999996</v>
      </c>
      <c r="N787" s="29">
        <f>IF(Dataset!F787=1,0.75,IF(Dataset!F787=2,0.45,0.2))</f>
        <v>0.45</v>
      </c>
      <c r="O787" s="29">
        <f>IF(Dataset!F787=1,3,IF(Dataset!F787=2,2,1))</f>
        <v>2</v>
      </c>
      <c r="P787" s="29">
        <f t="shared" si="100"/>
        <v>0.9</v>
      </c>
      <c r="Q787" s="29">
        <f>IF(Dataset!K787&lt;5,0.2,IF(Dataset!K787&lt;10,0.45,IF(Dataset!K787&lt;18,0.7,0.9)))</f>
        <v>0.45</v>
      </c>
      <c r="R787" s="29">
        <f>IF(Dataset!K787&lt;5,1,IF(Dataset!K787&lt;10,2,IF(Dataset!K787&lt;18,3,4)))</f>
        <v>2</v>
      </c>
      <c r="S787" s="29">
        <f t="shared" si="101"/>
        <v>0.9</v>
      </c>
      <c r="T787" s="29">
        <f t="shared" si="102"/>
        <v>0.96399999999999986</v>
      </c>
      <c r="U787" s="29" t="str">
        <f t="shared" si="103"/>
        <v>Low</v>
      </c>
    </row>
    <row r="788" spans="1:21" ht="15" customHeight="1" x14ac:dyDescent="0.25">
      <c r="A788" s="29">
        <f>Dataset!A788</f>
        <v>784</v>
      </c>
      <c r="B788" s="29">
        <f>IF(Dataset!B788&lt;25,0.3,IF(Dataset!B788&lt;75,0.5,IF(Dataset!B788&lt;120,0.65,0.8)))</f>
        <v>0.8</v>
      </c>
      <c r="C788" s="29">
        <f>IF(Dataset!B788&lt;25,1,IF(Dataset!B788&lt;75,2,IF(Dataset!B788&lt;120,3,4)))</f>
        <v>4</v>
      </c>
      <c r="D788" s="29">
        <f t="shared" si="96"/>
        <v>3.2</v>
      </c>
      <c r="E788" s="29">
        <f>IF(Dataset!C788&lt;=1,0.3,IF(Dataset!C788=2,0.4,IF(Dataset!C788=3,0.5,IF(Dataset!C788=4,0.65,0.8))))</f>
        <v>0.4</v>
      </c>
      <c r="F788" s="29">
        <f>IF(Dataset!C788&lt;=2,1,IF(Dataset!C788=3,2,IF(Dataset!C788=4,3,4)))</f>
        <v>1</v>
      </c>
      <c r="G788" s="29">
        <f t="shared" si="97"/>
        <v>0.4</v>
      </c>
      <c r="H788" s="29">
        <f>IF(Dataset!G788&lt;=3,0.25,IF(Dataset!G788&lt;=6,0.45,IF(Dataset!G788&lt;=9,0.65,0.85)))</f>
        <v>0.45</v>
      </c>
      <c r="I788" s="29">
        <f>IF(Dataset!G788&lt;=3,1,IF(Dataset!G788&lt;=6,2,IF(Dataset!G788&lt;=9,3,4)))</f>
        <v>2</v>
      </c>
      <c r="J788" s="29">
        <f t="shared" si="98"/>
        <v>0.9</v>
      </c>
      <c r="K788" s="29">
        <f>IF(Dataset!H788&lt;1,0.2,IF(Dataset!H788&lt;1.3,0.45,IF(Dataset!H788&lt;1.8,0.7,0.9)))</f>
        <v>0.2</v>
      </c>
      <c r="L788" s="29">
        <f>IF(Dataset!H788&lt;1,1,IF(Dataset!H788&lt;1.3,2,IF(Dataset!H788&lt;1.8,3,4)))</f>
        <v>1</v>
      </c>
      <c r="M788" s="29">
        <f t="shared" si="99"/>
        <v>0.2</v>
      </c>
      <c r="N788" s="29">
        <f>IF(Dataset!F788=1,0.75,IF(Dataset!F788=2,0.45,0.2))</f>
        <v>0.2</v>
      </c>
      <c r="O788" s="29">
        <f>IF(Dataset!F788=1,3,IF(Dataset!F788=2,2,1))</f>
        <v>1</v>
      </c>
      <c r="P788" s="29">
        <f t="shared" si="100"/>
        <v>0.2</v>
      </c>
      <c r="Q788" s="29">
        <f>IF(Dataset!K788&lt;5,0.2,IF(Dataset!K788&lt;10,0.45,IF(Dataset!K788&lt;18,0.7,0.9)))</f>
        <v>0.2</v>
      </c>
      <c r="R788" s="29">
        <f>IF(Dataset!K788&lt;5,1,IF(Dataset!K788&lt;10,2,IF(Dataset!K788&lt;18,3,4)))</f>
        <v>1</v>
      </c>
      <c r="S788" s="29">
        <f t="shared" si="101"/>
        <v>0.2</v>
      </c>
      <c r="T788" s="29">
        <f t="shared" si="102"/>
        <v>0.90800000000000014</v>
      </c>
      <c r="U788" s="29" t="str">
        <f t="shared" si="103"/>
        <v>Low</v>
      </c>
    </row>
    <row r="789" spans="1:21" ht="15" customHeight="1" x14ac:dyDescent="0.25">
      <c r="A789" s="29">
        <f>Dataset!A789</f>
        <v>785</v>
      </c>
      <c r="B789" s="29">
        <f>IF(Dataset!B789&lt;25,0.3,IF(Dataset!B789&lt;75,0.5,IF(Dataset!B789&lt;120,0.65,0.8)))</f>
        <v>0.5</v>
      </c>
      <c r="C789" s="29">
        <f>IF(Dataset!B789&lt;25,1,IF(Dataset!B789&lt;75,2,IF(Dataset!B789&lt;120,3,4)))</f>
        <v>2</v>
      </c>
      <c r="D789" s="29">
        <f t="shared" si="96"/>
        <v>1</v>
      </c>
      <c r="E789" s="29">
        <f>IF(Dataset!C789&lt;=1,0.3,IF(Dataset!C789=2,0.4,IF(Dataset!C789=3,0.5,IF(Dataset!C789=4,0.65,0.8))))</f>
        <v>0.4</v>
      </c>
      <c r="F789" s="29">
        <f>IF(Dataset!C789&lt;=2,1,IF(Dataset!C789=3,2,IF(Dataset!C789=4,3,4)))</f>
        <v>1</v>
      </c>
      <c r="G789" s="29">
        <f t="shared" si="97"/>
        <v>0.4</v>
      </c>
      <c r="H789" s="29">
        <f>IF(Dataset!G789&lt;=3,0.25,IF(Dataset!G789&lt;=6,0.45,IF(Dataset!G789&lt;=9,0.65,0.85)))</f>
        <v>0.65</v>
      </c>
      <c r="I789" s="29">
        <f>IF(Dataset!G789&lt;=3,1,IF(Dataset!G789&lt;=6,2,IF(Dataset!G789&lt;=9,3,4)))</f>
        <v>3</v>
      </c>
      <c r="J789" s="29">
        <f t="shared" si="98"/>
        <v>1.9500000000000002</v>
      </c>
      <c r="K789" s="29">
        <f>IF(Dataset!H789&lt;1,0.2,IF(Dataset!H789&lt;1.3,0.45,IF(Dataset!H789&lt;1.8,0.7,0.9)))</f>
        <v>0.9</v>
      </c>
      <c r="L789" s="29">
        <f>IF(Dataset!H789&lt;1,1,IF(Dataset!H789&lt;1.3,2,IF(Dataset!H789&lt;1.8,3,4)))</f>
        <v>4</v>
      </c>
      <c r="M789" s="29">
        <f t="shared" si="99"/>
        <v>3.6</v>
      </c>
      <c r="N789" s="29">
        <f>IF(Dataset!F789=1,0.75,IF(Dataset!F789=2,0.45,0.2))</f>
        <v>0.45</v>
      </c>
      <c r="O789" s="29">
        <f>IF(Dataset!F789=1,3,IF(Dataset!F789=2,2,1))</f>
        <v>2</v>
      </c>
      <c r="P789" s="29">
        <f t="shared" si="100"/>
        <v>0.9</v>
      </c>
      <c r="Q789" s="29">
        <f>IF(Dataset!K789&lt;5,0.2,IF(Dataset!K789&lt;10,0.45,IF(Dataset!K789&lt;18,0.7,0.9)))</f>
        <v>0.2</v>
      </c>
      <c r="R789" s="29">
        <f>IF(Dataset!K789&lt;5,1,IF(Dataset!K789&lt;10,2,IF(Dataset!K789&lt;18,3,4)))</f>
        <v>1</v>
      </c>
      <c r="S789" s="29">
        <f t="shared" si="101"/>
        <v>0.2</v>
      </c>
      <c r="T789" s="29">
        <f t="shared" si="102"/>
        <v>1.6080000000000003</v>
      </c>
      <c r="U789" s="29" t="str">
        <f t="shared" si="103"/>
        <v>Medium</v>
      </c>
    </row>
    <row r="790" spans="1:21" ht="15" customHeight="1" x14ac:dyDescent="0.25">
      <c r="A790" s="29">
        <f>Dataset!A790</f>
        <v>786</v>
      </c>
      <c r="B790" s="29">
        <f>IF(Dataset!B790&lt;25,0.3,IF(Dataset!B790&lt;75,0.5,IF(Dataset!B790&lt;120,0.65,0.8)))</f>
        <v>0.3</v>
      </c>
      <c r="C790" s="29">
        <f>IF(Dataset!B790&lt;25,1,IF(Dataset!B790&lt;75,2,IF(Dataset!B790&lt;120,3,4)))</f>
        <v>1</v>
      </c>
      <c r="D790" s="29">
        <f t="shared" si="96"/>
        <v>0.3</v>
      </c>
      <c r="E790" s="29">
        <f>IF(Dataset!C790&lt;=1,0.3,IF(Dataset!C790=2,0.4,IF(Dataset!C790=3,0.5,IF(Dataset!C790=4,0.65,0.8))))</f>
        <v>0.4</v>
      </c>
      <c r="F790" s="29">
        <f>IF(Dataset!C790&lt;=2,1,IF(Dataset!C790=3,2,IF(Dataset!C790=4,3,4)))</f>
        <v>1</v>
      </c>
      <c r="G790" s="29">
        <f t="shared" si="97"/>
        <v>0.4</v>
      </c>
      <c r="H790" s="29">
        <f>IF(Dataset!G790&lt;=3,0.25,IF(Dataset!G790&lt;=6,0.45,IF(Dataset!G790&lt;=9,0.65,0.85)))</f>
        <v>0.45</v>
      </c>
      <c r="I790" s="29">
        <f>IF(Dataset!G790&lt;=3,1,IF(Dataset!G790&lt;=6,2,IF(Dataset!G790&lt;=9,3,4)))</f>
        <v>2</v>
      </c>
      <c r="J790" s="29">
        <f t="shared" si="98"/>
        <v>0.9</v>
      </c>
      <c r="K790" s="29">
        <f>IF(Dataset!H790&lt;1,0.2,IF(Dataset!H790&lt;1.3,0.45,IF(Dataset!H790&lt;1.8,0.7,0.9)))</f>
        <v>0.2</v>
      </c>
      <c r="L790" s="29">
        <f>IF(Dataset!H790&lt;1,1,IF(Dataset!H790&lt;1.3,2,IF(Dataset!H790&lt;1.8,3,4)))</f>
        <v>1</v>
      </c>
      <c r="M790" s="29">
        <f t="shared" si="99"/>
        <v>0.2</v>
      </c>
      <c r="N790" s="29">
        <f>IF(Dataset!F790=1,0.75,IF(Dataset!F790=2,0.45,0.2))</f>
        <v>0.2</v>
      </c>
      <c r="O790" s="29">
        <f>IF(Dataset!F790=1,3,IF(Dataset!F790=2,2,1))</f>
        <v>1</v>
      </c>
      <c r="P790" s="29">
        <f t="shared" si="100"/>
        <v>0.2</v>
      </c>
      <c r="Q790" s="29">
        <f>IF(Dataset!K790&lt;5,0.2,IF(Dataset!K790&lt;10,0.45,IF(Dataset!K790&lt;18,0.7,0.9)))</f>
        <v>0.2</v>
      </c>
      <c r="R790" s="29">
        <f>IF(Dataset!K790&lt;5,1,IF(Dataset!K790&lt;10,2,IF(Dataset!K790&lt;18,3,4)))</f>
        <v>1</v>
      </c>
      <c r="S790" s="29">
        <f t="shared" si="101"/>
        <v>0.2</v>
      </c>
      <c r="T790" s="29">
        <f t="shared" si="102"/>
        <v>0.38600000000000007</v>
      </c>
      <c r="U790" s="29" t="str">
        <f t="shared" si="103"/>
        <v>Low</v>
      </c>
    </row>
    <row r="791" spans="1:21" ht="15" customHeight="1" x14ac:dyDescent="0.25">
      <c r="A791" s="29">
        <f>Dataset!A791</f>
        <v>787</v>
      </c>
      <c r="B791" s="29">
        <f>IF(Dataset!B791&lt;25,0.3,IF(Dataset!B791&lt;75,0.5,IF(Dataset!B791&lt;120,0.65,0.8)))</f>
        <v>0.5</v>
      </c>
      <c r="C791" s="29">
        <f>IF(Dataset!B791&lt;25,1,IF(Dataset!B791&lt;75,2,IF(Dataset!B791&lt;120,3,4)))</f>
        <v>2</v>
      </c>
      <c r="D791" s="29">
        <f t="shared" si="96"/>
        <v>1</v>
      </c>
      <c r="E791" s="29">
        <f>IF(Dataset!C791&lt;=1,0.3,IF(Dataset!C791=2,0.4,IF(Dataset!C791=3,0.5,IF(Dataset!C791=4,0.65,0.8))))</f>
        <v>0.65</v>
      </c>
      <c r="F791" s="29">
        <f>IF(Dataset!C791&lt;=2,1,IF(Dataset!C791=3,2,IF(Dataset!C791=4,3,4)))</f>
        <v>3</v>
      </c>
      <c r="G791" s="29">
        <f t="shared" si="97"/>
        <v>1.9500000000000002</v>
      </c>
      <c r="H791" s="29">
        <f>IF(Dataset!G791&lt;=3,0.25,IF(Dataset!G791&lt;=6,0.45,IF(Dataset!G791&lt;=9,0.65,0.85)))</f>
        <v>0.45</v>
      </c>
      <c r="I791" s="29">
        <f>IF(Dataset!G791&lt;=3,1,IF(Dataset!G791&lt;=6,2,IF(Dataset!G791&lt;=9,3,4)))</f>
        <v>2</v>
      </c>
      <c r="J791" s="29">
        <f t="shared" si="98"/>
        <v>0.9</v>
      </c>
      <c r="K791" s="29">
        <f>IF(Dataset!H791&lt;1,0.2,IF(Dataset!H791&lt;1.3,0.45,IF(Dataset!H791&lt;1.8,0.7,0.9)))</f>
        <v>0.7</v>
      </c>
      <c r="L791" s="29">
        <f>IF(Dataset!H791&lt;1,1,IF(Dataset!H791&lt;1.3,2,IF(Dataset!H791&lt;1.8,3,4)))</f>
        <v>3</v>
      </c>
      <c r="M791" s="29">
        <f t="shared" si="99"/>
        <v>2.0999999999999996</v>
      </c>
      <c r="N791" s="29">
        <f>IF(Dataset!F791=1,0.75,IF(Dataset!F791=2,0.45,0.2))</f>
        <v>0.45</v>
      </c>
      <c r="O791" s="29">
        <f>IF(Dataset!F791=1,3,IF(Dataset!F791=2,2,1))</f>
        <v>2</v>
      </c>
      <c r="P791" s="29">
        <f t="shared" si="100"/>
        <v>0.9</v>
      </c>
      <c r="Q791" s="29">
        <f>IF(Dataset!K791&lt;5,0.2,IF(Dataset!K791&lt;10,0.45,IF(Dataset!K791&lt;18,0.7,0.9)))</f>
        <v>0.7</v>
      </c>
      <c r="R791" s="29">
        <f>IF(Dataset!K791&lt;5,1,IF(Dataset!K791&lt;10,2,IF(Dataset!K791&lt;18,3,4)))</f>
        <v>3</v>
      </c>
      <c r="S791" s="29">
        <f t="shared" si="101"/>
        <v>2.0999999999999996</v>
      </c>
      <c r="T791" s="29">
        <f t="shared" si="102"/>
        <v>1.5210000000000001</v>
      </c>
      <c r="U791" s="29" t="str">
        <f t="shared" si="103"/>
        <v>Medium</v>
      </c>
    </row>
    <row r="792" spans="1:21" ht="15" customHeight="1" x14ac:dyDescent="0.25">
      <c r="A792" s="29">
        <f>Dataset!A792</f>
        <v>788</v>
      </c>
      <c r="B792" s="29">
        <f>IF(Dataset!B792&lt;25,0.3,IF(Dataset!B792&lt;75,0.5,IF(Dataset!B792&lt;120,0.65,0.8)))</f>
        <v>0.65</v>
      </c>
      <c r="C792" s="29">
        <f>IF(Dataset!B792&lt;25,1,IF(Dataset!B792&lt;75,2,IF(Dataset!B792&lt;120,3,4)))</f>
        <v>3</v>
      </c>
      <c r="D792" s="29">
        <f t="shared" si="96"/>
        <v>1.9500000000000002</v>
      </c>
      <c r="E792" s="29">
        <f>IF(Dataset!C792&lt;=1,0.3,IF(Dataset!C792=2,0.4,IF(Dataset!C792=3,0.5,IF(Dataset!C792=4,0.65,0.8))))</f>
        <v>0.65</v>
      </c>
      <c r="F792" s="29">
        <f>IF(Dataset!C792&lt;=2,1,IF(Dataset!C792=3,2,IF(Dataset!C792=4,3,4)))</f>
        <v>3</v>
      </c>
      <c r="G792" s="29">
        <f t="shared" si="97"/>
        <v>1.9500000000000002</v>
      </c>
      <c r="H792" s="29">
        <f>IF(Dataset!G792&lt;=3,0.25,IF(Dataset!G792&lt;=6,0.45,IF(Dataset!G792&lt;=9,0.65,0.85)))</f>
        <v>0.85</v>
      </c>
      <c r="I792" s="29">
        <f>IF(Dataset!G792&lt;=3,1,IF(Dataset!G792&lt;=6,2,IF(Dataset!G792&lt;=9,3,4)))</f>
        <v>4</v>
      </c>
      <c r="J792" s="29">
        <f t="shared" si="98"/>
        <v>3.4</v>
      </c>
      <c r="K792" s="29">
        <f>IF(Dataset!H792&lt;1,0.2,IF(Dataset!H792&lt;1.3,0.45,IF(Dataset!H792&lt;1.8,0.7,0.9)))</f>
        <v>0.7</v>
      </c>
      <c r="L792" s="29">
        <f>IF(Dataset!H792&lt;1,1,IF(Dataset!H792&lt;1.3,2,IF(Dataset!H792&lt;1.8,3,4)))</f>
        <v>3</v>
      </c>
      <c r="M792" s="29">
        <f t="shared" si="99"/>
        <v>2.0999999999999996</v>
      </c>
      <c r="N792" s="29">
        <f>IF(Dataset!F792=1,0.75,IF(Dataset!F792=2,0.45,0.2))</f>
        <v>0.45</v>
      </c>
      <c r="O792" s="29">
        <f>IF(Dataset!F792=1,3,IF(Dataset!F792=2,2,1))</f>
        <v>2</v>
      </c>
      <c r="P792" s="29">
        <f t="shared" si="100"/>
        <v>0.9</v>
      </c>
      <c r="Q792" s="29">
        <f>IF(Dataset!K792&lt;5,0.2,IF(Dataset!K792&lt;10,0.45,IF(Dataset!K792&lt;18,0.7,0.9)))</f>
        <v>0.45</v>
      </c>
      <c r="R792" s="29">
        <f>IF(Dataset!K792&lt;5,1,IF(Dataset!K792&lt;10,2,IF(Dataset!K792&lt;18,3,4)))</f>
        <v>2</v>
      </c>
      <c r="S792" s="29">
        <f t="shared" si="101"/>
        <v>0.9</v>
      </c>
      <c r="T792" s="29">
        <f t="shared" si="102"/>
        <v>2.0240000000000005</v>
      </c>
      <c r="U792" s="29" t="str">
        <f t="shared" si="103"/>
        <v>High</v>
      </c>
    </row>
    <row r="793" spans="1:21" ht="15" customHeight="1" x14ac:dyDescent="0.25">
      <c r="A793" s="29">
        <f>Dataset!A793</f>
        <v>789</v>
      </c>
      <c r="B793" s="29">
        <f>IF(Dataset!B793&lt;25,0.3,IF(Dataset!B793&lt;75,0.5,IF(Dataset!B793&lt;120,0.65,0.8)))</f>
        <v>0.5</v>
      </c>
      <c r="C793" s="29">
        <f>IF(Dataset!B793&lt;25,1,IF(Dataset!B793&lt;75,2,IF(Dataset!B793&lt;120,3,4)))</f>
        <v>2</v>
      </c>
      <c r="D793" s="29">
        <f t="shared" si="96"/>
        <v>1</v>
      </c>
      <c r="E793" s="29">
        <f>IF(Dataset!C793&lt;=1,0.3,IF(Dataset!C793=2,0.4,IF(Dataset!C793=3,0.5,IF(Dataset!C793=4,0.65,0.8))))</f>
        <v>0.5</v>
      </c>
      <c r="F793" s="29">
        <f>IF(Dataset!C793&lt;=2,1,IF(Dataset!C793=3,2,IF(Dataset!C793=4,3,4)))</f>
        <v>2</v>
      </c>
      <c r="G793" s="29">
        <f t="shared" si="97"/>
        <v>1</v>
      </c>
      <c r="H793" s="29">
        <f>IF(Dataset!G793&lt;=3,0.25,IF(Dataset!G793&lt;=6,0.45,IF(Dataset!G793&lt;=9,0.65,0.85)))</f>
        <v>0.45</v>
      </c>
      <c r="I793" s="29">
        <f>IF(Dataset!G793&lt;=3,1,IF(Dataset!G793&lt;=6,2,IF(Dataset!G793&lt;=9,3,4)))</f>
        <v>2</v>
      </c>
      <c r="J793" s="29">
        <f t="shared" si="98"/>
        <v>0.9</v>
      </c>
      <c r="K793" s="29">
        <f>IF(Dataset!H793&lt;1,0.2,IF(Dataset!H793&lt;1.3,0.45,IF(Dataset!H793&lt;1.8,0.7,0.9)))</f>
        <v>0.2</v>
      </c>
      <c r="L793" s="29">
        <f>IF(Dataset!H793&lt;1,1,IF(Dataset!H793&lt;1.3,2,IF(Dataset!H793&lt;1.8,3,4)))</f>
        <v>1</v>
      </c>
      <c r="M793" s="29">
        <f t="shared" si="99"/>
        <v>0.2</v>
      </c>
      <c r="N793" s="29">
        <f>IF(Dataset!F793=1,0.75,IF(Dataset!F793=2,0.45,0.2))</f>
        <v>0.75</v>
      </c>
      <c r="O793" s="29">
        <f>IF(Dataset!F793=1,3,IF(Dataset!F793=2,2,1))</f>
        <v>3</v>
      </c>
      <c r="P793" s="29">
        <f t="shared" si="100"/>
        <v>2.25</v>
      </c>
      <c r="Q793" s="29">
        <f>IF(Dataset!K793&lt;5,0.2,IF(Dataset!K793&lt;10,0.45,IF(Dataset!K793&lt;18,0.7,0.9)))</f>
        <v>0.45</v>
      </c>
      <c r="R793" s="29">
        <f>IF(Dataset!K793&lt;5,1,IF(Dataset!K793&lt;10,2,IF(Dataset!K793&lt;18,3,4)))</f>
        <v>2</v>
      </c>
      <c r="S793" s="29">
        <f t="shared" si="101"/>
        <v>0.9</v>
      </c>
      <c r="T793" s="29">
        <f t="shared" si="102"/>
        <v>0.89900000000000002</v>
      </c>
      <c r="U793" s="29" t="str">
        <f t="shared" si="103"/>
        <v>Low</v>
      </c>
    </row>
    <row r="794" spans="1:21" ht="15" customHeight="1" x14ac:dyDescent="0.25">
      <c r="A794" s="29">
        <f>Dataset!A794</f>
        <v>790</v>
      </c>
      <c r="B794" s="29">
        <f>IF(Dataset!B794&lt;25,0.3,IF(Dataset!B794&lt;75,0.5,IF(Dataset!B794&lt;120,0.65,0.8)))</f>
        <v>0.3</v>
      </c>
      <c r="C794" s="29">
        <f>IF(Dataset!B794&lt;25,1,IF(Dataset!B794&lt;75,2,IF(Dataset!B794&lt;120,3,4)))</f>
        <v>1</v>
      </c>
      <c r="D794" s="29">
        <f t="shared" si="96"/>
        <v>0.3</v>
      </c>
      <c r="E794" s="29">
        <f>IF(Dataset!C794&lt;=1,0.3,IF(Dataset!C794=2,0.4,IF(Dataset!C794=3,0.5,IF(Dataset!C794=4,0.65,0.8))))</f>
        <v>0.5</v>
      </c>
      <c r="F794" s="29">
        <f>IF(Dataset!C794&lt;=2,1,IF(Dataset!C794=3,2,IF(Dataset!C794=4,3,4)))</f>
        <v>2</v>
      </c>
      <c r="G794" s="29">
        <f t="shared" si="97"/>
        <v>1</v>
      </c>
      <c r="H794" s="29">
        <f>IF(Dataset!G794&lt;=3,0.25,IF(Dataset!G794&lt;=6,0.45,IF(Dataset!G794&lt;=9,0.65,0.85)))</f>
        <v>0.45</v>
      </c>
      <c r="I794" s="29">
        <f>IF(Dataset!G794&lt;=3,1,IF(Dataset!G794&lt;=6,2,IF(Dataset!G794&lt;=9,3,4)))</f>
        <v>2</v>
      </c>
      <c r="J794" s="29">
        <f t="shared" si="98"/>
        <v>0.9</v>
      </c>
      <c r="K794" s="29">
        <f>IF(Dataset!H794&lt;1,0.2,IF(Dataset!H794&lt;1.3,0.45,IF(Dataset!H794&lt;1.8,0.7,0.9)))</f>
        <v>0.45</v>
      </c>
      <c r="L794" s="29">
        <f>IF(Dataset!H794&lt;1,1,IF(Dataset!H794&lt;1.3,2,IF(Dataset!H794&lt;1.8,3,4)))</f>
        <v>2</v>
      </c>
      <c r="M794" s="29">
        <f t="shared" si="99"/>
        <v>0.9</v>
      </c>
      <c r="N794" s="29">
        <f>IF(Dataset!F794=1,0.75,IF(Dataset!F794=2,0.45,0.2))</f>
        <v>0.45</v>
      </c>
      <c r="O794" s="29">
        <f>IF(Dataset!F794=1,3,IF(Dataset!F794=2,2,1))</f>
        <v>2</v>
      </c>
      <c r="P794" s="29">
        <f t="shared" si="100"/>
        <v>0.9</v>
      </c>
      <c r="Q794" s="29">
        <f>IF(Dataset!K794&lt;5,0.2,IF(Dataset!K794&lt;10,0.45,IF(Dataset!K794&lt;18,0.7,0.9)))</f>
        <v>0.2</v>
      </c>
      <c r="R794" s="29">
        <f>IF(Dataset!K794&lt;5,1,IF(Dataset!K794&lt;10,2,IF(Dataset!K794&lt;18,3,4)))</f>
        <v>1</v>
      </c>
      <c r="S794" s="29">
        <f t="shared" si="101"/>
        <v>0.2</v>
      </c>
      <c r="T794" s="29">
        <f t="shared" si="102"/>
        <v>0.70799999999999996</v>
      </c>
      <c r="U794" s="29" t="str">
        <f t="shared" si="103"/>
        <v>Low</v>
      </c>
    </row>
    <row r="795" spans="1:21" ht="15" customHeight="1" x14ac:dyDescent="0.25">
      <c r="A795" s="29">
        <f>Dataset!A795</f>
        <v>791</v>
      </c>
      <c r="B795" s="29">
        <f>IF(Dataset!B795&lt;25,0.3,IF(Dataset!B795&lt;75,0.5,IF(Dataset!B795&lt;120,0.65,0.8)))</f>
        <v>0.8</v>
      </c>
      <c r="C795" s="29">
        <f>IF(Dataset!B795&lt;25,1,IF(Dataset!B795&lt;75,2,IF(Dataset!B795&lt;120,3,4)))</f>
        <v>4</v>
      </c>
      <c r="D795" s="29">
        <f t="shared" si="96"/>
        <v>3.2</v>
      </c>
      <c r="E795" s="29">
        <f>IF(Dataset!C795&lt;=1,0.3,IF(Dataset!C795=2,0.4,IF(Dataset!C795=3,0.5,IF(Dataset!C795=4,0.65,0.8))))</f>
        <v>0.65</v>
      </c>
      <c r="F795" s="29">
        <f>IF(Dataset!C795&lt;=2,1,IF(Dataset!C795=3,2,IF(Dataset!C795=4,3,4)))</f>
        <v>3</v>
      </c>
      <c r="G795" s="29">
        <f t="shared" si="97"/>
        <v>1.9500000000000002</v>
      </c>
      <c r="H795" s="29">
        <f>IF(Dataset!G795&lt;=3,0.25,IF(Dataset!G795&lt;=6,0.45,IF(Dataset!G795&lt;=9,0.65,0.85)))</f>
        <v>0.45</v>
      </c>
      <c r="I795" s="29">
        <f>IF(Dataset!G795&lt;=3,1,IF(Dataset!G795&lt;=6,2,IF(Dataset!G795&lt;=9,3,4)))</f>
        <v>2</v>
      </c>
      <c r="J795" s="29">
        <f t="shared" si="98"/>
        <v>0.9</v>
      </c>
      <c r="K795" s="29">
        <f>IF(Dataset!H795&lt;1,0.2,IF(Dataset!H795&lt;1.3,0.45,IF(Dataset!H795&lt;1.8,0.7,0.9)))</f>
        <v>0.9</v>
      </c>
      <c r="L795" s="29">
        <f>IF(Dataset!H795&lt;1,1,IF(Dataset!H795&lt;1.3,2,IF(Dataset!H795&lt;1.8,3,4)))</f>
        <v>4</v>
      </c>
      <c r="M795" s="29">
        <f t="shared" si="99"/>
        <v>3.6</v>
      </c>
      <c r="N795" s="29">
        <f>IF(Dataset!F795=1,0.75,IF(Dataset!F795=2,0.45,0.2))</f>
        <v>0.75</v>
      </c>
      <c r="O795" s="29">
        <f>IF(Dataset!F795=1,3,IF(Dataset!F795=2,2,1))</f>
        <v>3</v>
      </c>
      <c r="P795" s="29">
        <f t="shared" si="100"/>
        <v>2.25</v>
      </c>
      <c r="Q795" s="29">
        <f>IF(Dataset!K795&lt;5,0.2,IF(Dataset!K795&lt;10,0.45,IF(Dataset!K795&lt;18,0.7,0.9)))</f>
        <v>0.45</v>
      </c>
      <c r="R795" s="29">
        <f>IF(Dataset!K795&lt;5,1,IF(Dataset!K795&lt;10,2,IF(Dataset!K795&lt;18,3,4)))</f>
        <v>2</v>
      </c>
      <c r="S795" s="29">
        <f t="shared" si="101"/>
        <v>0.9</v>
      </c>
      <c r="T795" s="29">
        <f t="shared" si="102"/>
        <v>2.2439999999999998</v>
      </c>
      <c r="U795" s="29" t="str">
        <f t="shared" si="103"/>
        <v>High</v>
      </c>
    </row>
    <row r="796" spans="1:21" ht="15" customHeight="1" x14ac:dyDescent="0.25">
      <c r="A796" s="29">
        <f>Dataset!A796</f>
        <v>792</v>
      </c>
      <c r="B796" s="29">
        <f>IF(Dataset!B796&lt;25,0.3,IF(Dataset!B796&lt;75,0.5,IF(Dataset!B796&lt;120,0.65,0.8)))</f>
        <v>0.3</v>
      </c>
      <c r="C796" s="29">
        <f>IF(Dataset!B796&lt;25,1,IF(Dataset!B796&lt;75,2,IF(Dataset!B796&lt;120,3,4)))</f>
        <v>1</v>
      </c>
      <c r="D796" s="29">
        <f t="shared" si="96"/>
        <v>0.3</v>
      </c>
      <c r="E796" s="29">
        <f>IF(Dataset!C796&lt;=1,0.3,IF(Dataset!C796=2,0.4,IF(Dataset!C796=3,0.5,IF(Dataset!C796=4,0.65,0.8))))</f>
        <v>0.65</v>
      </c>
      <c r="F796" s="29">
        <f>IF(Dataset!C796&lt;=2,1,IF(Dataset!C796=3,2,IF(Dataset!C796=4,3,4)))</f>
        <v>3</v>
      </c>
      <c r="G796" s="29">
        <f t="shared" si="97"/>
        <v>1.9500000000000002</v>
      </c>
      <c r="H796" s="29">
        <f>IF(Dataset!G796&lt;=3,0.25,IF(Dataset!G796&lt;=6,0.45,IF(Dataset!G796&lt;=9,0.65,0.85)))</f>
        <v>0.45</v>
      </c>
      <c r="I796" s="29">
        <f>IF(Dataset!G796&lt;=3,1,IF(Dataset!G796&lt;=6,2,IF(Dataset!G796&lt;=9,3,4)))</f>
        <v>2</v>
      </c>
      <c r="J796" s="29">
        <f t="shared" si="98"/>
        <v>0.9</v>
      </c>
      <c r="K796" s="29">
        <f>IF(Dataset!H796&lt;1,0.2,IF(Dataset!H796&lt;1.3,0.45,IF(Dataset!H796&lt;1.8,0.7,0.9)))</f>
        <v>0.7</v>
      </c>
      <c r="L796" s="29">
        <f>IF(Dataset!H796&lt;1,1,IF(Dataset!H796&lt;1.3,2,IF(Dataset!H796&lt;1.8,3,4)))</f>
        <v>3</v>
      </c>
      <c r="M796" s="29">
        <f t="shared" si="99"/>
        <v>2.0999999999999996</v>
      </c>
      <c r="N796" s="29">
        <f>IF(Dataset!F796=1,0.75,IF(Dataset!F796=2,0.45,0.2))</f>
        <v>0.45</v>
      </c>
      <c r="O796" s="29">
        <f>IF(Dataset!F796=1,3,IF(Dataset!F796=2,2,1))</f>
        <v>2</v>
      </c>
      <c r="P796" s="29">
        <f t="shared" si="100"/>
        <v>0.9</v>
      </c>
      <c r="Q796" s="29">
        <f>IF(Dataset!K796&lt;5,0.2,IF(Dataset!K796&lt;10,0.45,IF(Dataset!K796&lt;18,0.7,0.9)))</f>
        <v>0.45</v>
      </c>
      <c r="R796" s="29">
        <f>IF(Dataset!K796&lt;5,1,IF(Dataset!K796&lt;10,2,IF(Dataset!K796&lt;18,3,4)))</f>
        <v>2</v>
      </c>
      <c r="S796" s="29">
        <f t="shared" si="101"/>
        <v>0.9</v>
      </c>
      <c r="T796" s="29">
        <f t="shared" si="102"/>
        <v>1.2270000000000003</v>
      </c>
      <c r="U796" s="29" t="str">
        <f t="shared" si="103"/>
        <v>Low</v>
      </c>
    </row>
    <row r="797" spans="1:21" ht="15" customHeight="1" x14ac:dyDescent="0.25">
      <c r="A797" s="29">
        <f>Dataset!A797</f>
        <v>793</v>
      </c>
      <c r="B797" s="29">
        <f>IF(Dataset!B797&lt;25,0.3,IF(Dataset!B797&lt;75,0.5,IF(Dataset!B797&lt;120,0.65,0.8)))</f>
        <v>0.8</v>
      </c>
      <c r="C797" s="29">
        <f>IF(Dataset!B797&lt;25,1,IF(Dataset!B797&lt;75,2,IF(Dataset!B797&lt;120,3,4)))</f>
        <v>4</v>
      </c>
      <c r="D797" s="29">
        <f t="shared" si="96"/>
        <v>3.2</v>
      </c>
      <c r="E797" s="29">
        <f>IF(Dataset!C797&lt;=1,0.3,IF(Dataset!C797=2,0.4,IF(Dataset!C797=3,0.5,IF(Dataset!C797=4,0.65,0.8))))</f>
        <v>0.8</v>
      </c>
      <c r="F797" s="29">
        <f>IF(Dataset!C797&lt;=2,1,IF(Dataset!C797=3,2,IF(Dataset!C797=4,3,4)))</f>
        <v>4</v>
      </c>
      <c r="G797" s="29">
        <f t="shared" si="97"/>
        <v>3.2</v>
      </c>
      <c r="H797" s="29">
        <f>IF(Dataset!G797&lt;=3,0.25,IF(Dataset!G797&lt;=6,0.45,IF(Dataset!G797&lt;=9,0.65,0.85)))</f>
        <v>0.45</v>
      </c>
      <c r="I797" s="29">
        <f>IF(Dataset!G797&lt;=3,1,IF(Dataset!G797&lt;=6,2,IF(Dataset!G797&lt;=9,3,4)))</f>
        <v>2</v>
      </c>
      <c r="J797" s="29">
        <f t="shared" si="98"/>
        <v>0.9</v>
      </c>
      <c r="K797" s="29">
        <f>IF(Dataset!H797&lt;1,0.2,IF(Dataset!H797&lt;1.3,0.45,IF(Dataset!H797&lt;1.8,0.7,0.9)))</f>
        <v>0.2</v>
      </c>
      <c r="L797" s="29">
        <f>IF(Dataset!H797&lt;1,1,IF(Dataset!H797&lt;1.3,2,IF(Dataset!H797&lt;1.8,3,4)))</f>
        <v>1</v>
      </c>
      <c r="M797" s="29">
        <f t="shared" si="99"/>
        <v>0.2</v>
      </c>
      <c r="N797" s="29">
        <f>IF(Dataset!F797=1,0.75,IF(Dataset!F797=2,0.45,0.2))</f>
        <v>0.75</v>
      </c>
      <c r="O797" s="29">
        <f>IF(Dataset!F797=1,3,IF(Dataset!F797=2,2,1))</f>
        <v>3</v>
      </c>
      <c r="P797" s="29">
        <f t="shared" si="100"/>
        <v>2.25</v>
      </c>
      <c r="Q797" s="29">
        <f>IF(Dataset!K797&lt;5,0.2,IF(Dataset!K797&lt;10,0.45,IF(Dataset!K797&lt;18,0.7,0.9)))</f>
        <v>0.7</v>
      </c>
      <c r="R797" s="29">
        <f>IF(Dataset!K797&lt;5,1,IF(Dataset!K797&lt;10,2,IF(Dataset!K797&lt;18,3,4)))</f>
        <v>3</v>
      </c>
      <c r="S797" s="29">
        <f t="shared" si="101"/>
        <v>2.0999999999999996</v>
      </c>
      <c r="T797" s="29">
        <f t="shared" si="102"/>
        <v>1.7710000000000001</v>
      </c>
      <c r="U797" s="29" t="str">
        <f t="shared" si="103"/>
        <v>High</v>
      </c>
    </row>
    <row r="798" spans="1:21" ht="15" customHeight="1" x14ac:dyDescent="0.25">
      <c r="A798" s="29">
        <f>Dataset!A798</f>
        <v>794</v>
      </c>
      <c r="B798" s="29">
        <f>IF(Dataset!B798&lt;25,0.3,IF(Dataset!B798&lt;75,0.5,IF(Dataset!B798&lt;120,0.65,0.8)))</f>
        <v>0.5</v>
      </c>
      <c r="C798" s="29">
        <f>IF(Dataset!B798&lt;25,1,IF(Dataset!B798&lt;75,2,IF(Dataset!B798&lt;120,3,4)))</f>
        <v>2</v>
      </c>
      <c r="D798" s="29">
        <f t="shared" si="96"/>
        <v>1</v>
      </c>
      <c r="E798" s="29">
        <f>IF(Dataset!C798&lt;=1,0.3,IF(Dataset!C798=2,0.4,IF(Dataset!C798=3,0.5,IF(Dataset!C798=4,0.65,0.8))))</f>
        <v>0.5</v>
      </c>
      <c r="F798" s="29">
        <f>IF(Dataset!C798&lt;=2,1,IF(Dataset!C798=3,2,IF(Dataset!C798=4,3,4)))</f>
        <v>2</v>
      </c>
      <c r="G798" s="29">
        <f t="shared" si="97"/>
        <v>1</v>
      </c>
      <c r="H798" s="29">
        <f>IF(Dataset!G798&lt;=3,0.25,IF(Dataset!G798&lt;=6,0.45,IF(Dataset!G798&lt;=9,0.65,0.85)))</f>
        <v>0.65</v>
      </c>
      <c r="I798" s="29">
        <f>IF(Dataset!G798&lt;=3,1,IF(Dataset!G798&lt;=6,2,IF(Dataset!G798&lt;=9,3,4)))</f>
        <v>3</v>
      </c>
      <c r="J798" s="29">
        <f t="shared" si="98"/>
        <v>1.9500000000000002</v>
      </c>
      <c r="K798" s="29">
        <f>IF(Dataset!H798&lt;1,0.2,IF(Dataset!H798&lt;1.3,0.45,IF(Dataset!H798&lt;1.8,0.7,0.9)))</f>
        <v>0.9</v>
      </c>
      <c r="L798" s="29">
        <f>IF(Dataset!H798&lt;1,1,IF(Dataset!H798&lt;1.3,2,IF(Dataset!H798&lt;1.8,3,4)))</f>
        <v>4</v>
      </c>
      <c r="M798" s="29">
        <f t="shared" si="99"/>
        <v>3.6</v>
      </c>
      <c r="N798" s="29">
        <f>IF(Dataset!F798=1,0.75,IF(Dataset!F798=2,0.45,0.2))</f>
        <v>0.75</v>
      </c>
      <c r="O798" s="29">
        <f>IF(Dataset!F798=1,3,IF(Dataset!F798=2,2,1))</f>
        <v>3</v>
      </c>
      <c r="P798" s="29">
        <f t="shared" si="100"/>
        <v>2.25</v>
      </c>
      <c r="Q798" s="29">
        <f>IF(Dataset!K798&lt;5,0.2,IF(Dataset!K798&lt;10,0.45,IF(Dataset!K798&lt;18,0.7,0.9)))</f>
        <v>0.45</v>
      </c>
      <c r="R798" s="29">
        <f>IF(Dataset!K798&lt;5,1,IF(Dataset!K798&lt;10,2,IF(Dataset!K798&lt;18,3,4)))</f>
        <v>2</v>
      </c>
      <c r="S798" s="29">
        <f t="shared" si="101"/>
        <v>0.9</v>
      </c>
      <c r="T798" s="29">
        <f t="shared" si="102"/>
        <v>1.9250000000000003</v>
      </c>
      <c r="U798" s="29" t="str">
        <f t="shared" si="103"/>
        <v>High</v>
      </c>
    </row>
    <row r="799" spans="1:21" ht="15" customHeight="1" x14ac:dyDescent="0.25">
      <c r="A799" s="29">
        <f>Dataset!A799</f>
        <v>795</v>
      </c>
      <c r="B799" s="29">
        <f>IF(Dataset!B799&lt;25,0.3,IF(Dataset!B799&lt;75,0.5,IF(Dataset!B799&lt;120,0.65,0.8)))</f>
        <v>0.5</v>
      </c>
      <c r="C799" s="29">
        <f>IF(Dataset!B799&lt;25,1,IF(Dataset!B799&lt;75,2,IF(Dataset!B799&lt;120,3,4)))</f>
        <v>2</v>
      </c>
      <c r="D799" s="29">
        <f t="shared" si="96"/>
        <v>1</v>
      </c>
      <c r="E799" s="29">
        <f>IF(Dataset!C799&lt;=1,0.3,IF(Dataset!C799=2,0.4,IF(Dataset!C799=3,0.5,IF(Dataset!C799=4,0.65,0.8))))</f>
        <v>0.65</v>
      </c>
      <c r="F799" s="29">
        <f>IF(Dataset!C799&lt;=2,1,IF(Dataset!C799=3,2,IF(Dataset!C799=4,3,4)))</f>
        <v>3</v>
      </c>
      <c r="G799" s="29">
        <f t="shared" si="97"/>
        <v>1.9500000000000002</v>
      </c>
      <c r="H799" s="29">
        <f>IF(Dataset!G799&lt;=3,0.25,IF(Dataset!G799&lt;=6,0.45,IF(Dataset!G799&lt;=9,0.65,0.85)))</f>
        <v>0.65</v>
      </c>
      <c r="I799" s="29">
        <f>IF(Dataset!G799&lt;=3,1,IF(Dataset!G799&lt;=6,2,IF(Dataset!G799&lt;=9,3,4)))</f>
        <v>3</v>
      </c>
      <c r="J799" s="29">
        <f t="shared" si="98"/>
        <v>1.9500000000000002</v>
      </c>
      <c r="K799" s="29">
        <f>IF(Dataset!H799&lt;1,0.2,IF(Dataset!H799&lt;1.3,0.45,IF(Dataset!H799&lt;1.8,0.7,0.9)))</f>
        <v>0.9</v>
      </c>
      <c r="L799" s="29">
        <f>IF(Dataset!H799&lt;1,1,IF(Dataset!H799&lt;1.3,2,IF(Dataset!H799&lt;1.8,3,4)))</f>
        <v>4</v>
      </c>
      <c r="M799" s="29">
        <f t="shared" si="99"/>
        <v>3.6</v>
      </c>
      <c r="N799" s="29">
        <f>IF(Dataset!F799=1,0.75,IF(Dataset!F799=2,0.45,0.2))</f>
        <v>0.2</v>
      </c>
      <c r="O799" s="29">
        <f>IF(Dataset!F799=1,3,IF(Dataset!F799=2,2,1))</f>
        <v>1</v>
      </c>
      <c r="P799" s="29">
        <f t="shared" si="100"/>
        <v>0.2</v>
      </c>
      <c r="Q799" s="29">
        <f>IF(Dataset!K799&lt;5,0.2,IF(Dataset!K799&lt;10,0.45,IF(Dataset!K799&lt;18,0.7,0.9)))</f>
        <v>0.7</v>
      </c>
      <c r="R799" s="29">
        <f>IF(Dataset!K799&lt;5,1,IF(Dataset!K799&lt;10,2,IF(Dataset!K799&lt;18,3,4)))</f>
        <v>3</v>
      </c>
      <c r="S799" s="29">
        <f t="shared" si="101"/>
        <v>2.0999999999999996</v>
      </c>
      <c r="T799" s="29">
        <f t="shared" si="102"/>
        <v>2.0210000000000004</v>
      </c>
      <c r="U799" s="29" t="str">
        <f t="shared" si="103"/>
        <v>High</v>
      </c>
    </row>
    <row r="800" spans="1:21" ht="15" customHeight="1" x14ac:dyDescent="0.25">
      <c r="A800" s="29">
        <f>Dataset!A800</f>
        <v>796</v>
      </c>
      <c r="B800" s="29">
        <f>IF(Dataset!B800&lt;25,0.3,IF(Dataset!B800&lt;75,0.5,IF(Dataset!B800&lt;120,0.65,0.8)))</f>
        <v>0.5</v>
      </c>
      <c r="C800" s="29">
        <f>IF(Dataset!B800&lt;25,1,IF(Dataset!B800&lt;75,2,IF(Dataset!B800&lt;120,3,4)))</f>
        <v>2</v>
      </c>
      <c r="D800" s="29">
        <f t="shared" si="96"/>
        <v>1</v>
      </c>
      <c r="E800" s="29">
        <f>IF(Dataset!C800&lt;=1,0.3,IF(Dataset!C800=2,0.4,IF(Dataset!C800=3,0.5,IF(Dataset!C800=4,0.65,0.8))))</f>
        <v>0.5</v>
      </c>
      <c r="F800" s="29">
        <f>IF(Dataset!C800&lt;=2,1,IF(Dataset!C800=3,2,IF(Dataset!C800=4,3,4)))</f>
        <v>2</v>
      </c>
      <c r="G800" s="29">
        <f t="shared" si="97"/>
        <v>1</v>
      </c>
      <c r="H800" s="29">
        <f>IF(Dataset!G800&lt;=3,0.25,IF(Dataset!G800&lt;=6,0.45,IF(Dataset!G800&lt;=9,0.65,0.85)))</f>
        <v>0.45</v>
      </c>
      <c r="I800" s="29">
        <f>IF(Dataset!G800&lt;=3,1,IF(Dataset!G800&lt;=6,2,IF(Dataset!G800&lt;=9,3,4)))</f>
        <v>2</v>
      </c>
      <c r="J800" s="29">
        <f t="shared" si="98"/>
        <v>0.9</v>
      </c>
      <c r="K800" s="29">
        <f>IF(Dataset!H800&lt;1,0.2,IF(Dataset!H800&lt;1.3,0.45,IF(Dataset!H800&lt;1.8,0.7,0.9)))</f>
        <v>0.2</v>
      </c>
      <c r="L800" s="29">
        <f>IF(Dataset!H800&lt;1,1,IF(Dataset!H800&lt;1.3,2,IF(Dataset!H800&lt;1.8,3,4)))</f>
        <v>1</v>
      </c>
      <c r="M800" s="29">
        <f t="shared" si="99"/>
        <v>0.2</v>
      </c>
      <c r="N800" s="29">
        <f>IF(Dataset!F800=1,0.75,IF(Dataset!F800=2,0.45,0.2))</f>
        <v>0.45</v>
      </c>
      <c r="O800" s="29">
        <f>IF(Dataset!F800=1,3,IF(Dataset!F800=2,2,1))</f>
        <v>2</v>
      </c>
      <c r="P800" s="29">
        <f t="shared" si="100"/>
        <v>0.9</v>
      </c>
      <c r="Q800" s="29">
        <f>IF(Dataset!K800&lt;5,0.2,IF(Dataset!K800&lt;10,0.45,IF(Dataset!K800&lt;18,0.7,0.9)))</f>
        <v>0.45</v>
      </c>
      <c r="R800" s="29">
        <f>IF(Dataset!K800&lt;5,1,IF(Dataset!K800&lt;10,2,IF(Dataset!K800&lt;18,3,4)))</f>
        <v>2</v>
      </c>
      <c r="S800" s="29">
        <f t="shared" si="101"/>
        <v>0.9</v>
      </c>
      <c r="T800" s="29">
        <f t="shared" si="102"/>
        <v>0.76400000000000001</v>
      </c>
      <c r="U800" s="29" t="str">
        <f t="shared" si="103"/>
        <v>Low</v>
      </c>
    </row>
    <row r="801" spans="1:21" ht="15" customHeight="1" x14ac:dyDescent="0.25">
      <c r="A801" s="29">
        <f>Dataset!A801</f>
        <v>797</v>
      </c>
      <c r="B801" s="29">
        <f>IF(Dataset!B801&lt;25,0.3,IF(Dataset!B801&lt;75,0.5,IF(Dataset!B801&lt;120,0.65,0.8)))</f>
        <v>0.5</v>
      </c>
      <c r="C801" s="29">
        <f>IF(Dataset!B801&lt;25,1,IF(Dataset!B801&lt;75,2,IF(Dataset!B801&lt;120,3,4)))</f>
        <v>2</v>
      </c>
      <c r="D801" s="29">
        <f t="shared" si="96"/>
        <v>1</v>
      </c>
      <c r="E801" s="29">
        <f>IF(Dataset!C801&lt;=1,0.3,IF(Dataset!C801=2,0.4,IF(Dataset!C801=3,0.5,IF(Dataset!C801=4,0.65,0.8))))</f>
        <v>0.5</v>
      </c>
      <c r="F801" s="29">
        <f>IF(Dataset!C801&lt;=2,1,IF(Dataset!C801=3,2,IF(Dataset!C801=4,3,4)))</f>
        <v>2</v>
      </c>
      <c r="G801" s="29">
        <f t="shared" si="97"/>
        <v>1</v>
      </c>
      <c r="H801" s="29">
        <f>IF(Dataset!G801&lt;=3,0.25,IF(Dataset!G801&lt;=6,0.45,IF(Dataset!G801&lt;=9,0.65,0.85)))</f>
        <v>0.45</v>
      </c>
      <c r="I801" s="29">
        <f>IF(Dataset!G801&lt;=3,1,IF(Dataset!G801&lt;=6,2,IF(Dataset!G801&lt;=9,3,4)))</f>
        <v>2</v>
      </c>
      <c r="J801" s="29">
        <f t="shared" si="98"/>
        <v>0.9</v>
      </c>
      <c r="K801" s="29">
        <f>IF(Dataset!H801&lt;1,0.2,IF(Dataset!H801&lt;1.3,0.45,IF(Dataset!H801&lt;1.8,0.7,0.9)))</f>
        <v>0.7</v>
      </c>
      <c r="L801" s="29">
        <f>IF(Dataset!H801&lt;1,1,IF(Dataset!H801&lt;1.3,2,IF(Dataset!H801&lt;1.8,3,4)))</f>
        <v>3</v>
      </c>
      <c r="M801" s="29">
        <f t="shared" si="99"/>
        <v>2.0999999999999996</v>
      </c>
      <c r="N801" s="29">
        <f>IF(Dataset!F801=1,0.75,IF(Dataset!F801=2,0.45,0.2))</f>
        <v>0.45</v>
      </c>
      <c r="O801" s="29">
        <f>IF(Dataset!F801=1,3,IF(Dataset!F801=2,2,1))</f>
        <v>2</v>
      </c>
      <c r="P801" s="29">
        <f t="shared" si="100"/>
        <v>0.9</v>
      </c>
      <c r="Q801" s="29">
        <f>IF(Dataset!K801&lt;5,0.2,IF(Dataset!K801&lt;10,0.45,IF(Dataset!K801&lt;18,0.7,0.9)))</f>
        <v>0.45</v>
      </c>
      <c r="R801" s="29">
        <f>IF(Dataset!K801&lt;5,1,IF(Dataset!K801&lt;10,2,IF(Dataset!K801&lt;18,3,4)))</f>
        <v>2</v>
      </c>
      <c r="S801" s="29">
        <f t="shared" si="101"/>
        <v>0.9</v>
      </c>
      <c r="T801" s="29">
        <f t="shared" si="102"/>
        <v>1.2200000000000002</v>
      </c>
      <c r="U801" s="29" t="str">
        <f t="shared" si="103"/>
        <v>Low</v>
      </c>
    </row>
    <row r="802" spans="1:21" ht="15" customHeight="1" x14ac:dyDescent="0.25">
      <c r="A802" s="29">
        <f>Dataset!A802</f>
        <v>798</v>
      </c>
      <c r="B802" s="29">
        <f>IF(Dataset!B802&lt;25,0.3,IF(Dataset!B802&lt;75,0.5,IF(Dataset!B802&lt;120,0.65,0.8)))</f>
        <v>0.65</v>
      </c>
      <c r="C802" s="29">
        <f>IF(Dataset!B802&lt;25,1,IF(Dataset!B802&lt;75,2,IF(Dataset!B802&lt;120,3,4)))</f>
        <v>3</v>
      </c>
      <c r="D802" s="29">
        <f t="shared" si="96"/>
        <v>1.9500000000000002</v>
      </c>
      <c r="E802" s="29">
        <f>IF(Dataset!C802&lt;=1,0.3,IF(Dataset!C802=2,0.4,IF(Dataset!C802=3,0.5,IF(Dataset!C802=4,0.65,0.8))))</f>
        <v>0.8</v>
      </c>
      <c r="F802" s="29">
        <f>IF(Dataset!C802&lt;=2,1,IF(Dataset!C802=3,2,IF(Dataset!C802=4,3,4)))</f>
        <v>4</v>
      </c>
      <c r="G802" s="29">
        <f t="shared" si="97"/>
        <v>3.2</v>
      </c>
      <c r="H802" s="29">
        <f>IF(Dataset!G802&lt;=3,0.25,IF(Dataset!G802&lt;=6,0.45,IF(Dataset!G802&lt;=9,0.65,0.85)))</f>
        <v>0.25</v>
      </c>
      <c r="I802" s="29">
        <f>IF(Dataset!G802&lt;=3,1,IF(Dataset!G802&lt;=6,2,IF(Dataset!G802&lt;=9,3,4)))</f>
        <v>1</v>
      </c>
      <c r="J802" s="29">
        <f t="shared" si="98"/>
        <v>0.25</v>
      </c>
      <c r="K802" s="29">
        <f>IF(Dataset!H802&lt;1,0.2,IF(Dataset!H802&lt;1.3,0.45,IF(Dataset!H802&lt;1.8,0.7,0.9)))</f>
        <v>0.7</v>
      </c>
      <c r="L802" s="29">
        <f>IF(Dataset!H802&lt;1,1,IF(Dataset!H802&lt;1.3,2,IF(Dataset!H802&lt;1.8,3,4)))</f>
        <v>3</v>
      </c>
      <c r="M802" s="29">
        <f t="shared" si="99"/>
        <v>2.0999999999999996</v>
      </c>
      <c r="N802" s="29">
        <f>IF(Dataset!F802=1,0.75,IF(Dataset!F802=2,0.45,0.2))</f>
        <v>0.45</v>
      </c>
      <c r="O802" s="29">
        <f>IF(Dataset!F802=1,3,IF(Dataset!F802=2,2,1))</f>
        <v>2</v>
      </c>
      <c r="P802" s="29">
        <f t="shared" si="100"/>
        <v>0.9</v>
      </c>
      <c r="Q802" s="29">
        <f>IF(Dataset!K802&lt;5,0.2,IF(Dataset!K802&lt;10,0.45,IF(Dataset!K802&lt;18,0.7,0.9)))</f>
        <v>0.7</v>
      </c>
      <c r="R802" s="29">
        <f>IF(Dataset!K802&lt;5,1,IF(Dataset!K802&lt;10,2,IF(Dataset!K802&lt;18,3,4)))</f>
        <v>3</v>
      </c>
      <c r="S802" s="29">
        <f t="shared" si="101"/>
        <v>2.0999999999999996</v>
      </c>
      <c r="T802" s="29">
        <f t="shared" si="102"/>
        <v>1.7370000000000003</v>
      </c>
      <c r="U802" s="29" t="str">
        <f t="shared" si="103"/>
        <v>Medium</v>
      </c>
    </row>
    <row r="803" spans="1:21" ht="15" customHeight="1" x14ac:dyDescent="0.25">
      <c r="A803" s="29">
        <f>Dataset!A803</f>
        <v>799</v>
      </c>
      <c r="B803" s="29">
        <f>IF(Dataset!B803&lt;25,0.3,IF(Dataset!B803&lt;75,0.5,IF(Dataset!B803&lt;120,0.65,0.8)))</f>
        <v>0.3</v>
      </c>
      <c r="C803" s="29">
        <f>IF(Dataset!B803&lt;25,1,IF(Dataset!B803&lt;75,2,IF(Dataset!B803&lt;120,3,4)))</f>
        <v>1</v>
      </c>
      <c r="D803" s="29">
        <f t="shared" si="96"/>
        <v>0.3</v>
      </c>
      <c r="E803" s="29">
        <f>IF(Dataset!C803&lt;=1,0.3,IF(Dataset!C803=2,0.4,IF(Dataset!C803=3,0.5,IF(Dataset!C803=4,0.65,0.8))))</f>
        <v>0.5</v>
      </c>
      <c r="F803" s="29">
        <f>IF(Dataset!C803&lt;=2,1,IF(Dataset!C803=3,2,IF(Dataset!C803=4,3,4)))</f>
        <v>2</v>
      </c>
      <c r="G803" s="29">
        <f t="shared" si="97"/>
        <v>1</v>
      </c>
      <c r="H803" s="29">
        <f>IF(Dataset!G803&lt;=3,0.25,IF(Dataset!G803&lt;=6,0.45,IF(Dataset!G803&lt;=9,0.65,0.85)))</f>
        <v>0.85</v>
      </c>
      <c r="I803" s="29">
        <f>IF(Dataset!G803&lt;=3,1,IF(Dataset!G803&lt;=6,2,IF(Dataset!G803&lt;=9,3,4)))</f>
        <v>4</v>
      </c>
      <c r="J803" s="29">
        <f t="shared" si="98"/>
        <v>3.4</v>
      </c>
      <c r="K803" s="29">
        <f>IF(Dataset!H803&lt;1,0.2,IF(Dataset!H803&lt;1.3,0.45,IF(Dataset!H803&lt;1.8,0.7,0.9)))</f>
        <v>0.2</v>
      </c>
      <c r="L803" s="29">
        <f>IF(Dataset!H803&lt;1,1,IF(Dataset!H803&lt;1.3,2,IF(Dataset!H803&lt;1.8,3,4)))</f>
        <v>1</v>
      </c>
      <c r="M803" s="29">
        <f t="shared" si="99"/>
        <v>0.2</v>
      </c>
      <c r="N803" s="29">
        <f>IF(Dataset!F803=1,0.75,IF(Dataset!F803=2,0.45,0.2))</f>
        <v>0.45</v>
      </c>
      <c r="O803" s="29">
        <f>IF(Dataset!F803=1,3,IF(Dataset!F803=2,2,1))</f>
        <v>2</v>
      </c>
      <c r="P803" s="29">
        <f t="shared" si="100"/>
        <v>0.9</v>
      </c>
      <c r="Q803" s="29">
        <f>IF(Dataset!K803&lt;5,0.2,IF(Dataset!K803&lt;10,0.45,IF(Dataset!K803&lt;18,0.7,0.9)))</f>
        <v>0.45</v>
      </c>
      <c r="R803" s="29">
        <f>IF(Dataset!K803&lt;5,1,IF(Dataset!K803&lt;10,2,IF(Dataset!K803&lt;18,3,4)))</f>
        <v>2</v>
      </c>
      <c r="S803" s="29">
        <f t="shared" si="101"/>
        <v>0.9</v>
      </c>
      <c r="T803" s="29">
        <f t="shared" si="102"/>
        <v>1.1380000000000003</v>
      </c>
      <c r="U803" s="29" t="str">
        <f t="shared" si="103"/>
        <v>Low</v>
      </c>
    </row>
    <row r="804" spans="1:21" ht="15" customHeight="1" x14ac:dyDescent="0.25">
      <c r="A804" s="29">
        <f>Dataset!A804</f>
        <v>800</v>
      </c>
      <c r="B804" s="29">
        <f>IF(Dataset!B804&lt;25,0.3,IF(Dataset!B804&lt;75,0.5,IF(Dataset!B804&lt;120,0.65,0.8)))</f>
        <v>0.5</v>
      </c>
      <c r="C804" s="29">
        <f>IF(Dataset!B804&lt;25,1,IF(Dataset!B804&lt;75,2,IF(Dataset!B804&lt;120,3,4)))</f>
        <v>2</v>
      </c>
      <c r="D804" s="29">
        <f t="shared" si="96"/>
        <v>1</v>
      </c>
      <c r="E804" s="29">
        <f>IF(Dataset!C804&lt;=1,0.3,IF(Dataset!C804=2,0.4,IF(Dataset!C804=3,0.5,IF(Dataset!C804=4,0.65,0.8))))</f>
        <v>0.5</v>
      </c>
      <c r="F804" s="29">
        <f>IF(Dataset!C804&lt;=2,1,IF(Dataset!C804=3,2,IF(Dataset!C804=4,3,4)))</f>
        <v>2</v>
      </c>
      <c r="G804" s="29">
        <f t="shared" si="97"/>
        <v>1</v>
      </c>
      <c r="H804" s="29">
        <f>IF(Dataset!G804&lt;=3,0.25,IF(Dataset!G804&lt;=6,0.45,IF(Dataset!G804&lt;=9,0.65,0.85)))</f>
        <v>0.45</v>
      </c>
      <c r="I804" s="29">
        <f>IF(Dataset!G804&lt;=3,1,IF(Dataset!G804&lt;=6,2,IF(Dataset!G804&lt;=9,3,4)))</f>
        <v>2</v>
      </c>
      <c r="J804" s="29">
        <f t="shared" si="98"/>
        <v>0.9</v>
      </c>
      <c r="K804" s="29">
        <f>IF(Dataset!H804&lt;1,0.2,IF(Dataset!H804&lt;1.3,0.45,IF(Dataset!H804&lt;1.8,0.7,0.9)))</f>
        <v>0.9</v>
      </c>
      <c r="L804" s="29">
        <f>IF(Dataset!H804&lt;1,1,IF(Dataset!H804&lt;1.3,2,IF(Dataset!H804&lt;1.8,3,4)))</f>
        <v>4</v>
      </c>
      <c r="M804" s="29">
        <f t="shared" si="99"/>
        <v>3.6</v>
      </c>
      <c r="N804" s="29">
        <f>IF(Dataset!F804=1,0.75,IF(Dataset!F804=2,0.45,0.2))</f>
        <v>0.2</v>
      </c>
      <c r="O804" s="29">
        <f>IF(Dataset!F804=1,3,IF(Dataset!F804=2,2,1))</f>
        <v>1</v>
      </c>
      <c r="P804" s="29">
        <f t="shared" si="100"/>
        <v>0.2</v>
      </c>
      <c r="Q804" s="29">
        <f>IF(Dataset!K804&lt;5,0.2,IF(Dataset!K804&lt;10,0.45,IF(Dataset!K804&lt;18,0.7,0.9)))</f>
        <v>0.45</v>
      </c>
      <c r="R804" s="29">
        <f>IF(Dataset!K804&lt;5,1,IF(Dataset!K804&lt;10,2,IF(Dataset!K804&lt;18,3,4)))</f>
        <v>2</v>
      </c>
      <c r="S804" s="29">
        <f t="shared" si="101"/>
        <v>0.9</v>
      </c>
      <c r="T804" s="29">
        <f t="shared" si="102"/>
        <v>1.51</v>
      </c>
      <c r="U804" s="29" t="str">
        <f t="shared" si="103"/>
        <v>Medium</v>
      </c>
    </row>
    <row r="805" spans="1:21" ht="15" customHeight="1" x14ac:dyDescent="0.25">
      <c r="A805" s="29">
        <f>Dataset!A805</f>
        <v>801</v>
      </c>
      <c r="B805" s="29">
        <f>IF(Dataset!B805&lt;25,0.3,IF(Dataset!B805&lt;75,0.5,IF(Dataset!B805&lt;120,0.65,0.8)))</f>
        <v>0.5</v>
      </c>
      <c r="C805" s="29">
        <f>IF(Dataset!B805&lt;25,1,IF(Dataset!B805&lt;75,2,IF(Dataset!B805&lt;120,3,4)))</f>
        <v>2</v>
      </c>
      <c r="D805" s="29">
        <f t="shared" si="96"/>
        <v>1</v>
      </c>
      <c r="E805" s="29">
        <f>IF(Dataset!C805&lt;=1,0.3,IF(Dataset!C805=2,0.4,IF(Dataset!C805=3,0.5,IF(Dataset!C805=4,0.65,0.8))))</f>
        <v>0.5</v>
      </c>
      <c r="F805" s="29">
        <f>IF(Dataset!C805&lt;=2,1,IF(Dataset!C805=3,2,IF(Dataset!C805=4,3,4)))</f>
        <v>2</v>
      </c>
      <c r="G805" s="29">
        <f t="shared" si="97"/>
        <v>1</v>
      </c>
      <c r="H805" s="29">
        <f>IF(Dataset!G805&lt;=3,0.25,IF(Dataset!G805&lt;=6,0.45,IF(Dataset!G805&lt;=9,0.65,0.85)))</f>
        <v>0.65</v>
      </c>
      <c r="I805" s="29">
        <f>IF(Dataset!G805&lt;=3,1,IF(Dataset!G805&lt;=6,2,IF(Dataset!G805&lt;=9,3,4)))</f>
        <v>3</v>
      </c>
      <c r="J805" s="29">
        <f t="shared" si="98"/>
        <v>1.9500000000000002</v>
      </c>
      <c r="K805" s="29">
        <f>IF(Dataset!H805&lt;1,0.2,IF(Dataset!H805&lt;1.3,0.45,IF(Dataset!H805&lt;1.8,0.7,0.9)))</f>
        <v>0.7</v>
      </c>
      <c r="L805" s="29">
        <f>IF(Dataset!H805&lt;1,1,IF(Dataset!H805&lt;1.3,2,IF(Dataset!H805&lt;1.8,3,4)))</f>
        <v>3</v>
      </c>
      <c r="M805" s="29">
        <f t="shared" si="99"/>
        <v>2.0999999999999996</v>
      </c>
      <c r="N805" s="29">
        <f>IF(Dataset!F805=1,0.75,IF(Dataset!F805=2,0.45,0.2))</f>
        <v>0.45</v>
      </c>
      <c r="O805" s="29">
        <f>IF(Dataset!F805=1,3,IF(Dataset!F805=2,2,1))</f>
        <v>2</v>
      </c>
      <c r="P805" s="29">
        <f t="shared" si="100"/>
        <v>0.9</v>
      </c>
      <c r="Q805" s="29">
        <f>IF(Dataset!K805&lt;5,0.2,IF(Dataset!K805&lt;10,0.45,IF(Dataset!K805&lt;18,0.7,0.9)))</f>
        <v>0.45</v>
      </c>
      <c r="R805" s="29">
        <f>IF(Dataset!K805&lt;5,1,IF(Dataset!K805&lt;10,2,IF(Dataset!K805&lt;18,3,4)))</f>
        <v>2</v>
      </c>
      <c r="S805" s="29">
        <f t="shared" si="101"/>
        <v>0.9</v>
      </c>
      <c r="T805" s="29">
        <f t="shared" si="102"/>
        <v>1.4300000000000002</v>
      </c>
      <c r="U805" s="29" t="str">
        <f t="shared" si="103"/>
        <v>Medium</v>
      </c>
    </row>
    <row r="806" spans="1:21" ht="15" customHeight="1" x14ac:dyDescent="0.25">
      <c r="A806" s="29">
        <f>Dataset!A806</f>
        <v>802</v>
      </c>
      <c r="B806" s="29">
        <f>IF(Dataset!B806&lt;25,0.3,IF(Dataset!B806&lt;75,0.5,IF(Dataset!B806&lt;120,0.65,0.8)))</f>
        <v>0.8</v>
      </c>
      <c r="C806" s="29">
        <f>IF(Dataset!B806&lt;25,1,IF(Dataset!B806&lt;75,2,IF(Dataset!B806&lt;120,3,4)))</f>
        <v>4</v>
      </c>
      <c r="D806" s="29">
        <f t="shared" si="96"/>
        <v>3.2</v>
      </c>
      <c r="E806" s="29">
        <f>IF(Dataset!C806&lt;=1,0.3,IF(Dataset!C806=2,0.4,IF(Dataset!C806=3,0.5,IF(Dataset!C806=4,0.65,0.8))))</f>
        <v>0.5</v>
      </c>
      <c r="F806" s="29">
        <f>IF(Dataset!C806&lt;=2,1,IF(Dataset!C806=3,2,IF(Dataset!C806=4,3,4)))</f>
        <v>2</v>
      </c>
      <c r="G806" s="29">
        <f t="shared" si="97"/>
        <v>1</v>
      </c>
      <c r="H806" s="29">
        <f>IF(Dataset!G806&lt;=3,0.25,IF(Dataset!G806&lt;=6,0.45,IF(Dataset!G806&lt;=9,0.65,0.85)))</f>
        <v>0.45</v>
      </c>
      <c r="I806" s="29">
        <f>IF(Dataset!G806&lt;=3,1,IF(Dataset!G806&lt;=6,2,IF(Dataset!G806&lt;=9,3,4)))</f>
        <v>2</v>
      </c>
      <c r="J806" s="29">
        <f t="shared" si="98"/>
        <v>0.9</v>
      </c>
      <c r="K806" s="29">
        <f>IF(Dataset!H806&lt;1,0.2,IF(Dataset!H806&lt;1.3,0.45,IF(Dataset!H806&lt;1.8,0.7,0.9)))</f>
        <v>0.9</v>
      </c>
      <c r="L806" s="29">
        <f>IF(Dataset!H806&lt;1,1,IF(Dataset!H806&lt;1.3,2,IF(Dataset!H806&lt;1.8,3,4)))</f>
        <v>4</v>
      </c>
      <c r="M806" s="29">
        <f t="shared" si="99"/>
        <v>3.6</v>
      </c>
      <c r="N806" s="29">
        <f>IF(Dataset!F806=1,0.75,IF(Dataset!F806=2,0.45,0.2))</f>
        <v>0.45</v>
      </c>
      <c r="O806" s="29">
        <f>IF(Dataset!F806=1,3,IF(Dataset!F806=2,2,1))</f>
        <v>2</v>
      </c>
      <c r="P806" s="29">
        <f t="shared" si="100"/>
        <v>0.9</v>
      </c>
      <c r="Q806" s="29">
        <f>IF(Dataset!K806&lt;5,0.2,IF(Dataset!K806&lt;10,0.45,IF(Dataset!K806&lt;18,0.7,0.9)))</f>
        <v>0.45</v>
      </c>
      <c r="R806" s="29">
        <f>IF(Dataset!K806&lt;5,1,IF(Dataset!K806&lt;10,2,IF(Dataset!K806&lt;18,3,4)))</f>
        <v>2</v>
      </c>
      <c r="S806" s="29">
        <f t="shared" si="101"/>
        <v>0.9</v>
      </c>
      <c r="T806" s="29">
        <f t="shared" si="102"/>
        <v>1.9760000000000002</v>
      </c>
      <c r="U806" s="29" t="str">
        <f t="shared" si="103"/>
        <v>High</v>
      </c>
    </row>
    <row r="807" spans="1:21" ht="15" customHeight="1" x14ac:dyDescent="0.25">
      <c r="A807" s="29">
        <f>Dataset!A807</f>
        <v>803</v>
      </c>
      <c r="B807" s="29">
        <f>IF(Dataset!B807&lt;25,0.3,IF(Dataset!B807&lt;75,0.5,IF(Dataset!B807&lt;120,0.65,0.8)))</f>
        <v>0.8</v>
      </c>
      <c r="C807" s="29">
        <f>IF(Dataset!B807&lt;25,1,IF(Dataset!B807&lt;75,2,IF(Dataset!B807&lt;120,3,4)))</f>
        <v>4</v>
      </c>
      <c r="D807" s="29">
        <f t="shared" si="96"/>
        <v>3.2</v>
      </c>
      <c r="E807" s="29">
        <f>IF(Dataset!C807&lt;=1,0.3,IF(Dataset!C807=2,0.4,IF(Dataset!C807=3,0.5,IF(Dataset!C807=4,0.65,0.8))))</f>
        <v>0.5</v>
      </c>
      <c r="F807" s="29">
        <f>IF(Dataset!C807&lt;=2,1,IF(Dataset!C807=3,2,IF(Dataset!C807=4,3,4)))</f>
        <v>2</v>
      </c>
      <c r="G807" s="29">
        <f t="shared" si="97"/>
        <v>1</v>
      </c>
      <c r="H807" s="29">
        <f>IF(Dataset!G807&lt;=3,0.25,IF(Dataset!G807&lt;=6,0.45,IF(Dataset!G807&lt;=9,0.65,0.85)))</f>
        <v>0.45</v>
      </c>
      <c r="I807" s="29">
        <f>IF(Dataset!G807&lt;=3,1,IF(Dataset!G807&lt;=6,2,IF(Dataset!G807&lt;=9,3,4)))</f>
        <v>2</v>
      </c>
      <c r="J807" s="29">
        <f t="shared" si="98"/>
        <v>0.9</v>
      </c>
      <c r="K807" s="29">
        <f>IF(Dataset!H807&lt;1,0.2,IF(Dataset!H807&lt;1.3,0.45,IF(Dataset!H807&lt;1.8,0.7,0.9)))</f>
        <v>0.7</v>
      </c>
      <c r="L807" s="29">
        <f>IF(Dataset!H807&lt;1,1,IF(Dataset!H807&lt;1.3,2,IF(Dataset!H807&lt;1.8,3,4)))</f>
        <v>3</v>
      </c>
      <c r="M807" s="29">
        <f t="shared" si="99"/>
        <v>2.0999999999999996</v>
      </c>
      <c r="N807" s="29">
        <f>IF(Dataset!F807=1,0.75,IF(Dataset!F807=2,0.45,0.2))</f>
        <v>0.45</v>
      </c>
      <c r="O807" s="29">
        <f>IF(Dataset!F807=1,3,IF(Dataset!F807=2,2,1))</f>
        <v>2</v>
      </c>
      <c r="P807" s="29">
        <f t="shared" si="100"/>
        <v>0.9</v>
      </c>
      <c r="Q807" s="29">
        <f>IF(Dataset!K807&lt;5,0.2,IF(Dataset!K807&lt;10,0.45,IF(Dataset!K807&lt;18,0.7,0.9)))</f>
        <v>0.45</v>
      </c>
      <c r="R807" s="29">
        <f>IF(Dataset!K807&lt;5,1,IF(Dataset!K807&lt;10,2,IF(Dataset!K807&lt;18,3,4)))</f>
        <v>2</v>
      </c>
      <c r="S807" s="29">
        <f t="shared" si="101"/>
        <v>0.9</v>
      </c>
      <c r="T807" s="29">
        <f t="shared" si="102"/>
        <v>1.6160000000000001</v>
      </c>
      <c r="U807" s="29" t="str">
        <f t="shared" si="103"/>
        <v>Medium</v>
      </c>
    </row>
    <row r="808" spans="1:21" ht="15" customHeight="1" x14ac:dyDescent="0.25">
      <c r="A808" s="29">
        <f>Dataset!A808</f>
        <v>804</v>
      </c>
      <c r="B808" s="29">
        <f>IF(Dataset!B808&lt;25,0.3,IF(Dataset!B808&lt;75,0.5,IF(Dataset!B808&lt;120,0.65,0.8)))</f>
        <v>0.8</v>
      </c>
      <c r="C808" s="29">
        <f>IF(Dataset!B808&lt;25,1,IF(Dataset!B808&lt;75,2,IF(Dataset!B808&lt;120,3,4)))</f>
        <v>4</v>
      </c>
      <c r="D808" s="29">
        <f t="shared" si="96"/>
        <v>3.2</v>
      </c>
      <c r="E808" s="29">
        <f>IF(Dataset!C808&lt;=1,0.3,IF(Dataset!C808=2,0.4,IF(Dataset!C808=3,0.5,IF(Dataset!C808=4,0.65,0.8))))</f>
        <v>0.65</v>
      </c>
      <c r="F808" s="29">
        <f>IF(Dataset!C808&lt;=2,1,IF(Dataset!C808=3,2,IF(Dataset!C808=4,3,4)))</f>
        <v>3</v>
      </c>
      <c r="G808" s="29">
        <f t="shared" si="97"/>
        <v>1.9500000000000002</v>
      </c>
      <c r="H808" s="29">
        <f>IF(Dataset!G808&lt;=3,0.25,IF(Dataset!G808&lt;=6,0.45,IF(Dataset!G808&lt;=9,0.65,0.85)))</f>
        <v>0.45</v>
      </c>
      <c r="I808" s="29">
        <f>IF(Dataset!G808&lt;=3,1,IF(Dataset!G808&lt;=6,2,IF(Dataset!G808&lt;=9,3,4)))</f>
        <v>2</v>
      </c>
      <c r="J808" s="29">
        <f t="shared" si="98"/>
        <v>0.9</v>
      </c>
      <c r="K808" s="29">
        <f>IF(Dataset!H808&lt;1,0.2,IF(Dataset!H808&lt;1.3,0.45,IF(Dataset!H808&lt;1.8,0.7,0.9)))</f>
        <v>0.9</v>
      </c>
      <c r="L808" s="29">
        <f>IF(Dataset!H808&lt;1,1,IF(Dataset!H808&lt;1.3,2,IF(Dataset!H808&lt;1.8,3,4)))</f>
        <v>4</v>
      </c>
      <c r="M808" s="29">
        <f t="shared" si="99"/>
        <v>3.6</v>
      </c>
      <c r="N808" s="29">
        <f>IF(Dataset!F808=1,0.75,IF(Dataset!F808=2,0.45,0.2))</f>
        <v>0.45</v>
      </c>
      <c r="O808" s="29">
        <f>IF(Dataset!F808=1,3,IF(Dataset!F808=2,2,1))</f>
        <v>2</v>
      </c>
      <c r="P808" s="29">
        <f t="shared" si="100"/>
        <v>0.9</v>
      </c>
      <c r="Q808" s="29">
        <f>IF(Dataset!K808&lt;5,0.2,IF(Dataset!K808&lt;10,0.45,IF(Dataset!K808&lt;18,0.7,0.9)))</f>
        <v>0.7</v>
      </c>
      <c r="R808" s="29">
        <f>IF(Dataset!K808&lt;5,1,IF(Dataset!K808&lt;10,2,IF(Dataset!K808&lt;18,3,4)))</f>
        <v>3</v>
      </c>
      <c r="S808" s="29">
        <f t="shared" si="101"/>
        <v>2.0999999999999996</v>
      </c>
      <c r="T808" s="29">
        <f t="shared" si="102"/>
        <v>2.2769999999999997</v>
      </c>
      <c r="U808" s="29" t="str">
        <f t="shared" si="103"/>
        <v>High</v>
      </c>
    </row>
    <row r="809" spans="1:21" ht="15" customHeight="1" x14ac:dyDescent="0.25">
      <c r="A809" s="29">
        <f>Dataset!A809</f>
        <v>805</v>
      </c>
      <c r="B809" s="29">
        <f>IF(Dataset!B809&lt;25,0.3,IF(Dataset!B809&lt;75,0.5,IF(Dataset!B809&lt;120,0.65,0.8)))</f>
        <v>0.8</v>
      </c>
      <c r="C809" s="29">
        <f>IF(Dataset!B809&lt;25,1,IF(Dataset!B809&lt;75,2,IF(Dataset!B809&lt;120,3,4)))</f>
        <v>4</v>
      </c>
      <c r="D809" s="29">
        <f t="shared" si="96"/>
        <v>3.2</v>
      </c>
      <c r="E809" s="29">
        <f>IF(Dataset!C809&lt;=1,0.3,IF(Dataset!C809=2,0.4,IF(Dataset!C809=3,0.5,IF(Dataset!C809=4,0.65,0.8))))</f>
        <v>0.5</v>
      </c>
      <c r="F809" s="29">
        <f>IF(Dataset!C809&lt;=2,1,IF(Dataset!C809=3,2,IF(Dataset!C809=4,3,4)))</f>
        <v>2</v>
      </c>
      <c r="G809" s="29">
        <f t="shared" si="97"/>
        <v>1</v>
      </c>
      <c r="H809" s="29">
        <f>IF(Dataset!G809&lt;=3,0.25,IF(Dataset!G809&lt;=6,0.45,IF(Dataset!G809&lt;=9,0.65,0.85)))</f>
        <v>0.45</v>
      </c>
      <c r="I809" s="29">
        <f>IF(Dataset!G809&lt;=3,1,IF(Dataset!G809&lt;=6,2,IF(Dataset!G809&lt;=9,3,4)))</f>
        <v>2</v>
      </c>
      <c r="J809" s="29">
        <f t="shared" si="98"/>
        <v>0.9</v>
      </c>
      <c r="K809" s="29">
        <f>IF(Dataset!H809&lt;1,0.2,IF(Dataset!H809&lt;1.3,0.45,IF(Dataset!H809&lt;1.8,0.7,0.9)))</f>
        <v>0.7</v>
      </c>
      <c r="L809" s="29">
        <f>IF(Dataset!H809&lt;1,1,IF(Dataset!H809&lt;1.3,2,IF(Dataset!H809&lt;1.8,3,4)))</f>
        <v>3</v>
      </c>
      <c r="M809" s="29">
        <f t="shared" si="99"/>
        <v>2.0999999999999996</v>
      </c>
      <c r="N809" s="29">
        <f>IF(Dataset!F809=1,0.75,IF(Dataset!F809=2,0.45,0.2))</f>
        <v>0.45</v>
      </c>
      <c r="O809" s="29">
        <f>IF(Dataset!F809=1,3,IF(Dataset!F809=2,2,1))</f>
        <v>2</v>
      </c>
      <c r="P809" s="29">
        <f t="shared" si="100"/>
        <v>0.9</v>
      </c>
      <c r="Q809" s="29">
        <f>IF(Dataset!K809&lt;5,0.2,IF(Dataset!K809&lt;10,0.45,IF(Dataset!K809&lt;18,0.7,0.9)))</f>
        <v>0.2</v>
      </c>
      <c r="R809" s="29">
        <f>IF(Dataset!K809&lt;5,1,IF(Dataset!K809&lt;10,2,IF(Dataset!K809&lt;18,3,4)))</f>
        <v>1</v>
      </c>
      <c r="S809" s="29">
        <f t="shared" si="101"/>
        <v>0.2</v>
      </c>
      <c r="T809" s="29">
        <f t="shared" si="102"/>
        <v>1.518</v>
      </c>
      <c r="U809" s="29" t="str">
        <f t="shared" si="103"/>
        <v>Medium</v>
      </c>
    </row>
    <row r="810" spans="1:21" ht="15" customHeight="1" x14ac:dyDescent="0.25">
      <c r="A810" s="29">
        <f>Dataset!A810</f>
        <v>806</v>
      </c>
      <c r="B810" s="29">
        <f>IF(Dataset!B810&lt;25,0.3,IF(Dataset!B810&lt;75,0.5,IF(Dataset!B810&lt;120,0.65,0.8)))</f>
        <v>0.5</v>
      </c>
      <c r="C810" s="29">
        <f>IF(Dataset!B810&lt;25,1,IF(Dataset!B810&lt;75,2,IF(Dataset!B810&lt;120,3,4)))</f>
        <v>2</v>
      </c>
      <c r="D810" s="29">
        <f t="shared" si="96"/>
        <v>1</v>
      </c>
      <c r="E810" s="29">
        <f>IF(Dataset!C810&lt;=1,0.3,IF(Dataset!C810=2,0.4,IF(Dataset!C810=3,0.5,IF(Dataset!C810=4,0.65,0.8))))</f>
        <v>0.4</v>
      </c>
      <c r="F810" s="29">
        <f>IF(Dataset!C810&lt;=2,1,IF(Dataset!C810=3,2,IF(Dataset!C810=4,3,4)))</f>
        <v>1</v>
      </c>
      <c r="G810" s="29">
        <f t="shared" si="97"/>
        <v>0.4</v>
      </c>
      <c r="H810" s="29">
        <f>IF(Dataset!G810&lt;=3,0.25,IF(Dataset!G810&lt;=6,0.45,IF(Dataset!G810&lt;=9,0.65,0.85)))</f>
        <v>0.25</v>
      </c>
      <c r="I810" s="29">
        <f>IF(Dataset!G810&lt;=3,1,IF(Dataset!G810&lt;=6,2,IF(Dataset!G810&lt;=9,3,4)))</f>
        <v>1</v>
      </c>
      <c r="J810" s="29">
        <f t="shared" si="98"/>
        <v>0.25</v>
      </c>
      <c r="K810" s="29">
        <f>IF(Dataset!H810&lt;1,0.2,IF(Dataset!H810&lt;1.3,0.45,IF(Dataset!H810&lt;1.8,0.7,0.9)))</f>
        <v>0.45</v>
      </c>
      <c r="L810" s="29">
        <f>IF(Dataset!H810&lt;1,1,IF(Dataset!H810&lt;1.3,2,IF(Dataset!H810&lt;1.8,3,4)))</f>
        <v>2</v>
      </c>
      <c r="M810" s="29">
        <f t="shared" si="99"/>
        <v>0.9</v>
      </c>
      <c r="N810" s="29">
        <f>IF(Dataset!F810=1,0.75,IF(Dataset!F810=2,0.45,0.2))</f>
        <v>0.2</v>
      </c>
      <c r="O810" s="29">
        <f>IF(Dataset!F810=1,3,IF(Dataset!F810=2,2,1))</f>
        <v>1</v>
      </c>
      <c r="P810" s="29">
        <f t="shared" si="100"/>
        <v>0.2</v>
      </c>
      <c r="Q810" s="29">
        <f>IF(Dataset!K810&lt;5,0.2,IF(Dataset!K810&lt;10,0.45,IF(Dataset!K810&lt;18,0.7,0.9)))</f>
        <v>0.2</v>
      </c>
      <c r="R810" s="29">
        <f>IF(Dataset!K810&lt;5,1,IF(Dataset!K810&lt;10,2,IF(Dataset!K810&lt;18,3,4)))</f>
        <v>1</v>
      </c>
      <c r="S810" s="29">
        <f t="shared" si="101"/>
        <v>0.2</v>
      </c>
      <c r="T810" s="29">
        <f t="shared" si="102"/>
        <v>0.55000000000000004</v>
      </c>
      <c r="U810" s="29" t="str">
        <f t="shared" si="103"/>
        <v>Low</v>
      </c>
    </row>
    <row r="811" spans="1:21" ht="15" customHeight="1" x14ac:dyDescent="0.25">
      <c r="A811" s="29">
        <f>Dataset!A811</f>
        <v>807</v>
      </c>
      <c r="B811" s="29">
        <f>IF(Dataset!B811&lt;25,0.3,IF(Dataset!B811&lt;75,0.5,IF(Dataset!B811&lt;120,0.65,0.8)))</f>
        <v>0.5</v>
      </c>
      <c r="C811" s="29">
        <f>IF(Dataset!B811&lt;25,1,IF(Dataset!B811&lt;75,2,IF(Dataset!B811&lt;120,3,4)))</f>
        <v>2</v>
      </c>
      <c r="D811" s="29">
        <f t="shared" si="96"/>
        <v>1</v>
      </c>
      <c r="E811" s="29">
        <f>IF(Dataset!C811&lt;=1,0.3,IF(Dataset!C811=2,0.4,IF(Dataset!C811=3,0.5,IF(Dataset!C811=4,0.65,0.8))))</f>
        <v>0.8</v>
      </c>
      <c r="F811" s="29">
        <f>IF(Dataset!C811&lt;=2,1,IF(Dataset!C811=3,2,IF(Dataset!C811=4,3,4)))</f>
        <v>4</v>
      </c>
      <c r="G811" s="29">
        <f t="shared" si="97"/>
        <v>3.2</v>
      </c>
      <c r="H811" s="29">
        <f>IF(Dataset!G811&lt;=3,0.25,IF(Dataset!G811&lt;=6,0.45,IF(Dataset!G811&lt;=9,0.65,0.85)))</f>
        <v>0.45</v>
      </c>
      <c r="I811" s="29">
        <f>IF(Dataset!G811&lt;=3,1,IF(Dataset!G811&lt;=6,2,IF(Dataset!G811&lt;=9,3,4)))</f>
        <v>2</v>
      </c>
      <c r="J811" s="29">
        <f t="shared" si="98"/>
        <v>0.9</v>
      </c>
      <c r="K811" s="29">
        <f>IF(Dataset!H811&lt;1,0.2,IF(Dataset!H811&lt;1.3,0.45,IF(Dataset!H811&lt;1.8,0.7,0.9)))</f>
        <v>0.9</v>
      </c>
      <c r="L811" s="29">
        <f>IF(Dataset!H811&lt;1,1,IF(Dataset!H811&lt;1.3,2,IF(Dataset!H811&lt;1.8,3,4)))</f>
        <v>4</v>
      </c>
      <c r="M811" s="29">
        <f t="shared" si="99"/>
        <v>3.6</v>
      </c>
      <c r="N811" s="29">
        <f>IF(Dataset!F811=1,0.75,IF(Dataset!F811=2,0.45,0.2))</f>
        <v>0.45</v>
      </c>
      <c r="O811" s="29">
        <f>IF(Dataset!F811=1,3,IF(Dataset!F811=2,2,1))</f>
        <v>2</v>
      </c>
      <c r="P811" s="29">
        <f t="shared" si="100"/>
        <v>0.9</v>
      </c>
      <c r="Q811" s="29">
        <f>IF(Dataset!K811&lt;5,0.2,IF(Dataset!K811&lt;10,0.45,IF(Dataset!K811&lt;18,0.7,0.9)))</f>
        <v>0.7</v>
      </c>
      <c r="R811" s="29">
        <f>IF(Dataset!K811&lt;5,1,IF(Dataset!K811&lt;10,2,IF(Dataset!K811&lt;18,3,4)))</f>
        <v>3</v>
      </c>
      <c r="S811" s="29">
        <f t="shared" si="101"/>
        <v>2.0999999999999996</v>
      </c>
      <c r="T811" s="29">
        <f t="shared" si="102"/>
        <v>2.056</v>
      </c>
      <c r="U811" s="29" t="str">
        <f t="shared" si="103"/>
        <v>High</v>
      </c>
    </row>
    <row r="812" spans="1:21" ht="15" customHeight="1" x14ac:dyDescent="0.25">
      <c r="A812" s="29">
        <f>Dataset!A812</f>
        <v>808</v>
      </c>
      <c r="B812" s="29">
        <f>IF(Dataset!B812&lt;25,0.3,IF(Dataset!B812&lt;75,0.5,IF(Dataset!B812&lt;120,0.65,0.8)))</f>
        <v>0.8</v>
      </c>
      <c r="C812" s="29">
        <f>IF(Dataset!B812&lt;25,1,IF(Dataset!B812&lt;75,2,IF(Dataset!B812&lt;120,3,4)))</f>
        <v>4</v>
      </c>
      <c r="D812" s="29">
        <f t="shared" si="96"/>
        <v>3.2</v>
      </c>
      <c r="E812" s="29">
        <f>IF(Dataset!C812&lt;=1,0.3,IF(Dataset!C812=2,0.4,IF(Dataset!C812=3,0.5,IF(Dataset!C812=4,0.65,0.8))))</f>
        <v>0.5</v>
      </c>
      <c r="F812" s="29">
        <f>IF(Dataset!C812&lt;=2,1,IF(Dataset!C812=3,2,IF(Dataset!C812=4,3,4)))</f>
        <v>2</v>
      </c>
      <c r="G812" s="29">
        <f t="shared" si="97"/>
        <v>1</v>
      </c>
      <c r="H812" s="29">
        <f>IF(Dataset!G812&lt;=3,0.25,IF(Dataset!G812&lt;=6,0.45,IF(Dataset!G812&lt;=9,0.65,0.85)))</f>
        <v>0.65</v>
      </c>
      <c r="I812" s="29">
        <f>IF(Dataset!G812&lt;=3,1,IF(Dataset!G812&lt;=6,2,IF(Dataset!G812&lt;=9,3,4)))</f>
        <v>3</v>
      </c>
      <c r="J812" s="29">
        <f t="shared" si="98"/>
        <v>1.9500000000000002</v>
      </c>
      <c r="K812" s="29">
        <f>IF(Dataset!H812&lt;1,0.2,IF(Dataset!H812&lt;1.3,0.45,IF(Dataset!H812&lt;1.8,0.7,0.9)))</f>
        <v>0.45</v>
      </c>
      <c r="L812" s="29">
        <f>IF(Dataset!H812&lt;1,1,IF(Dataset!H812&lt;1.3,2,IF(Dataset!H812&lt;1.8,3,4)))</f>
        <v>2</v>
      </c>
      <c r="M812" s="29">
        <f t="shared" si="99"/>
        <v>0.9</v>
      </c>
      <c r="N812" s="29">
        <f>IF(Dataset!F812=1,0.75,IF(Dataset!F812=2,0.45,0.2))</f>
        <v>0.45</v>
      </c>
      <c r="O812" s="29">
        <f>IF(Dataset!F812=1,3,IF(Dataset!F812=2,2,1))</f>
        <v>2</v>
      </c>
      <c r="P812" s="29">
        <f t="shared" si="100"/>
        <v>0.9</v>
      </c>
      <c r="Q812" s="29">
        <f>IF(Dataset!K812&lt;5,0.2,IF(Dataset!K812&lt;10,0.45,IF(Dataset!K812&lt;18,0.7,0.9)))</f>
        <v>0.2</v>
      </c>
      <c r="R812" s="29">
        <f>IF(Dataset!K812&lt;5,1,IF(Dataset!K812&lt;10,2,IF(Dataset!K812&lt;18,3,4)))</f>
        <v>1</v>
      </c>
      <c r="S812" s="29">
        <f t="shared" si="101"/>
        <v>0.2</v>
      </c>
      <c r="T812" s="29">
        <f t="shared" si="102"/>
        <v>1.4400000000000002</v>
      </c>
      <c r="U812" s="29" t="str">
        <f t="shared" si="103"/>
        <v>Medium</v>
      </c>
    </row>
    <row r="813" spans="1:21" ht="15" customHeight="1" x14ac:dyDescent="0.25">
      <c r="A813" s="29">
        <f>Dataset!A813</f>
        <v>809</v>
      </c>
      <c r="B813" s="29">
        <f>IF(Dataset!B813&lt;25,0.3,IF(Dataset!B813&lt;75,0.5,IF(Dataset!B813&lt;120,0.65,0.8)))</f>
        <v>0.8</v>
      </c>
      <c r="C813" s="29">
        <f>IF(Dataset!B813&lt;25,1,IF(Dataset!B813&lt;75,2,IF(Dataset!B813&lt;120,3,4)))</f>
        <v>4</v>
      </c>
      <c r="D813" s="29">
        <f t="shared" si="96"/>
        <v>3.2</v>
      </c>
      <c r="E813" s="29">
        <f>IF(Dataset!C813&lt;=1,0.3,IF(Dataset!C813=2,0.4,IF(Dataset!C813=3,0.5,IF(Dataset!C813=4,0.65,0.8))))</f>
        <v>0.8</v>
      </c>
      <c r="F813" s="29">
        <f>IF(Dataset!C813&lt;=2,1,IF(Dataset!C813=3,2,IF(Dataset!C813=4,3,4)))</f>
        <v>4</v>
      </c>
      <c r="G813" s="29">
        <f t="shared" si="97"/>
        <v>3.2</v>
      </c>
      <c r="H813" s="29">
        <f>IF(Dataset!G813&lt;=3,0.25,IF(Dataset!G813&lt;=6,0.45,IF(Dataset!G813&lt;=9,0.65,0.85)))</f>
        <v>0.45</v>
      </c>
      <c r="I813" s="29">
        <f>IF(Dataset!G813&lt;=3,1,IF(Dataset!G813&lt;=6,2,IF(Dataset!G813&lt;=9,3,4)))</f>
        <v>2</v>
      </c>
      <c r="J813" s="29">
        <f t="shared" si="98"/>
        <v>0.9</v>
      </c>
      <c r="K813" s="29">
        <f>IF(Dataset!H813&lt;1,0.2,IF(Dataset!H813&lt;1.3,0.45,IF(Dataset!H813&lt;1.8,0.7,0.9)))</f>
        <v>0.9</v>
      </c>
      <c r="L813" s="29">
        <f>IF(Dataset!H813&lt;1,1,IF(Dataset!H813&lt;1.3,2,IF(Dataset!H813&lt;1.8,3,4)))</f>
        <v>4</v>
      </c>
      <c r="M813" s="29">
        <f t="shared" si="99"/>
        <v>3.6</v>
      </c>
      <c r="N813" s="29">
        <f>IF(Dataset!F813=1,0.75,IF(Dataset!F813=2,0.45,0.2))</f>
        <v>0.45</v>
      </c>
      <c r="O813" s="29">
        <f>IF(Dataset!F813=1,3,IF(Dataset!F813=2,2,1))</f>
        <v>2</v>
      </c>
      <c r="P813" s="29">
        <f t="shared" si="100"/>
        <v>0.9</v>
      </c>
      <c r="Q813" s="29">
        <f>IF(Dataset!K813&lt;5,0.2,IF(Dataset!K813&lt;10,0.45,IF(Dataset!K813&lt;18,0.7,0.9)))</f>
        <v>0.7</v>
      </c>
      <c r="R813" s="29">
        <f>IF(Dataset!K813&lt;5,1,IF(Dataset!K813&lt;10,2,IF(Dataset!K813&lt;18,3,4)))</f>
        <v>3</v>
      </c>
      <c r="S813" s="29">
        <f t="shared" si="101"/>
        <v>2.0999999999999996</v>
      </c>
      <c r="T813" s="29">
        <f t="shared" si="102"/>
        <v>2.452</v>
      </c>
      <c r="U813" s="29" t="str">
        <f t="shared" si="103"/>
        <v>High</v>
      </c>
    </row>
    <row r="814" spans="1:21" ht="15" customHeight="1" x14ac:dyDescent="0.25">
      <c r="A814" s="29">
        <f>Dataset!A814</f>
        <v>810</v>
      </c>
      <c r="B814" s="29">
        <f>IF(Dataset!B814&lt;25,0.3,IF(Dataset!B814&lt;75,0.5,IF(Dataset!B814&lt;120,0.65,0.8)))</f>
        <v>0.5</v>
      </c>
      <c r="C814" s="29">
        <f>IF(Dataset!B814&lt;25,1,IF(Dataset!B814&lt;75,2,IF(Dataset!B814&lt;120,3,4)))</f>
        <v>2</v>
      </c>
      <c r="D814" s="29">
        <f t="shared" si="96"/>
        <v>1</v>
      </c>
      <c r="E814" s="29">
        <f>IF(Dataset!C814&lt;=1,0.3,IF(Dataset!C814=2,0.4,IF(Dataset!C814=3,0.5,IF(Dataset!C814=4,0.65,0.8))))</f>
        <v>0.4</v>
      </c>
      <c r="F814" s="29">
        <f>IF(Dataset!C814&lt;=2,1,IF(Dataset!C814=3,2,IF(Dataset!C814=4,3,4)))</f>
        <v>1</v>
      </c>
      <c r="G814" s="29">
        <f t="shared" si="97"/>
        <v>0.4</v>
      </c>
      <c r="H814" s="29">
        <f>IF(Dataset!G814&lt;=3,0.25,IF(Dataset!G814&lt;=6,0.45,IF(Dataset!G814&lt;=9,0.65,0.85)))</f>
        <v>0.65</v>
      </c>
      <c r="I814" s="29">
        <f>IF(Dataset!G814&lt;=3,1,IF(Dataset!G814&lt;=6,2,IF(Dataset!G814&lt;=9,3,4)))</f>
        <v>3</v>
      </c>
      <c r="J814" s="29">
        <f t="shared" si="98"/>
        <v>1.9500000000000002</v>
      </c>
      <c r="K814" s="29">
        <f>IF(Dataset!H814&lt;1,0.2,IF(Dataset!H814&lt;1.3,0.45,IF(Dataset!H814&lt;1.8,0.7,0.9)))</f>
        <v>0.45</v>
      </c>
      <c r="L814" s="29">
        <f>IF(Dataset!H814&lt;1,1,IF(Dataset!H814&lt;1.3,2,IF(Dataset!H814&lt;1.8,3,4)))</f>
        <v>2</v>
      </c>
      <c r="M814" s="29">
        <f t="shared" si="99"/>
        <v>0.9</v>
      </c>
      <c r="N814" s="29">
        <f>IF(Dataset!F814=1,0.75,IF(Dataset!F814=2,0.45,0.2))</f>
        <v>0.45</v>
      </c>
      <c r="O814" s="29">
        <f>IF(Dataset!F814=1,3,IF(Dataset!F814=2,2,1))</f>
        <v>2</v>
      </c>
      <c r="P814" s="29">
        <f t="shared" si="100"/>
        <v>0.9</v>
      </c>
      <c r="Q814" s="29">
        <f>IF(Dataset!K814&lt;5,0.2,IF(Dataset!K814&lt;10,0.45,IF(Dataset!K814&lt;18,0.7,0.9)))</f>
        <v>0.2</v>
      </c>
      <c r="R814" s="29">
        <f>IF(Dataset!K814&lt;5,1,IF(Dataset!K814&lt;10,2,IF(Dataset!K814&lt;18,3,4)))</f>
        <v>1</v>
      </c>
      <c r="S814" s="29">
        <f t="shared" si="101"/>
        <v>0.2</v>
      </c>
      <c r="T814" s="29">
        <f t="shared" si="102"/>
        <v>0.96000000000000008</v>
      </c>
      <c r="U814" s="29" t="str">
        <f t="shared" si="103"/>
        <v>Low</v>
      </c>
    </row>
    <row r="815" spans="1:21" ht="15" customHeight="1" x14ac:dyDescent="0.25">
      <c r="A815" s="29">
        <f>Dataset!A815</f>
        <v>811</v>
      </c>
      <c r="B815" s="29">
        <f>IF(Dataset!B815&lt;25,0.3,IF(Dataset!B815&lt;75,0.5,IF(Dataset!B815&lt;120,0.65,0.8)))</f>
        <v>0.65</v>
      </c>
      <c r="C815" s="29">
        <f>IF(Dataset!B815&lt;25,1,IF(Dataset!B815&lt;75,2,IF(Dataset!B815&lt;120,3,4)))</f>
        <v>3</v>
      </c>
      <c r="D815" s="29">
        <f t="shared" si="96"/>
        <v>1.9500000000000002</v>
      </c>
      <c r="E815" s="29">
        <f>IF(Dataset!C815&lt;=1,0.3,IF(Dataset!C815=2,0.4,IF(Dataset!C815=3,0.5,IF(Dataset!C815=4,0.65,0.8))))</f>
        <v>0.65</v>
      </c>
      <c r="F815" s="29">
        <f>IF(Dataset!C815&lt;=2,1,IF(Dataset!C815=3,2,IF(Dataset!C815=4,3,4)))</f>
        <v>3</v>
      </c>
      <c r="G815" s="29">
        <f t="shared" si="97"/>
        <v>1.9500000000000002</v>
      </c>
      <c r="H815" s="29">
        <f>IF(Dataset!G815&lt;=3,0.25,IF(Dataset!G815&lt;=6,0.45,IF(Dataset!G815&lt;=9,0.65,0.85)))</f>
        <v>0.65</v>
      </c>
      <c r="I815" s="29">
        <f>IF(Dataset!G815&lt;=3,1,IF(Dataset!G815&lt;=6,2,IF(Dataset!G815&lt;=9,3,4)))</f>
        <v>3</v>
      </c>
      <c r="J815" s="29">
        <f t="shared" si="98"/>
        <v>1.9500000000000002</v>
      </c>
      <c r="K815" s="29">
        <f>IF(Dataset!H815&lt;1,0.2,IF(Dataset!H815&lt;1.3,0.45,IF(Dataset!H815&lt;1.8,0.7,0.9)))</f>
        <v>0.7</v>
      </c>
      <c r="L815" s="29">
        <f>IF(Dataset!H815&lt;1,1,IF(Dataset!H815&lt;1.3,2,IF(Dataset!H815&lt;1.8,3,4)))</f>
        <v>3</v>
      </c>
      <c r="M815" s="29">
        <f t="shared" si="99"/>
        <v>2.0999999999999996</v>
      </c>
      <c r="N815" s="29">
        <f>IF(Dataset!F815=1,0.75,IF(Dataset!F815=2,0.45,0.2))</f>
        <v>0.2</v>
      </c>
      <c r="O815" s="29">
        <f>IF(Dataset!F815=1,3,IF(Dataset!F815=2,2,1))</f>
        <v>1</v>
      </c>
      <c r="P815" s="29">
        <f t="shared" si="100"/>
        <v>0.2</v>
      </c>
      <c r="Q815" s="29">
        <f>IF(Dataset!K815&lt;5,0.2,IF(Dataset!K815&lt;10,0.45,IF(Dataset!K815&lt;18,0.7,0.9)))</f>
        <v>0.45</v>
      </c>
      <c r="R815" s="29">
        <f>IF(Dataset!K815&lt;5,1,IF(Dataset!K815&lt;10,2,IF(Dataset!K815&lt;18,3,4)))</f>
        <v>2</v>
      </c>
      <c r="S815" s="29">
        <f t="shared" si="101"/>
        <v>0.9</v>
      </c>
      <c r="T815" s="29">
        <f t="shared" si="102"/>
        <v>1.6640000000000004</v>
      </c>
      <c r="U815" s="29" t="str">
        <f t="shared" si="103"/>
        <v>Medium</v>
      </c>
    </row>
    <row r="816" spans="1:21" ht="15" customHeight="1" x14ac:dyDescent="0.25">
      <c r="A816" s="29">
        <f>Dataset!A816</f>
        <v>812</v>
      </c>
      <c r="B816" s="29">
        <f>IF(Dataset!B816&lt;25,0.3,IF(Dataset!B816&lt;75,0.5,IF(Dataset!B816&lt;120,0.65,0.8)))</f>
        <v>0.5</v>
      </c>
      <c r="C816" s="29">
        <f>IF(Dataset!B816&lt;25,1,IF(Dataset!B816&lt;75,2,IF(Dataset!B816&lt;120,3,4)))</f>
        <v>2</v>
      </c>
      <c r="D816" s="29">
        <f t="shared" si="96"/>
        <v>1</v>
      </c>
      <c r="E816" s="29">
        <f>IF(Dataset!C816&lt;=1,0.3,IF(Dataset!C816=2,0.4,IF(Dataset!C816=3,0.5,IF(Dataset!C816=4,0.65,0.8))))</f>
        <v>0.5</v>
      </c>
      <c r="F816" s="29">
        <f>IF(Dataset!C816&lt;=2,1,IF(Dataset!C816=3,2,IF(Dataset!C816=4,3,4)))</f>
        <v>2</v>
      </c>
      <c r="G816" s="29">
        <f t="shared" si="97"/>
        <v>1</v>
      </c>
      <c r="H816" s="29">
        <f>IF(Dataset!G816&lt;=3,0.25,IF(Dataset!G816&lt;=6,0.45,IF(Dataset!G816&lt;=9,0.65,0.85)))</f>
        <v>0.65</v>
      </c>
      <c r="I816" s="29">
        <f>IF(Dataset!G816&lt;=3,1,IF(Dataset!G816&lt;=6,2,IF(Dataset!G816&lt;=9,3,4)))</f>
        <v>3</v>
      </c>
      <c r="J816" s="29">
        <f t="shared" si="98"/>
        <v>1.9500000000000002</v>
      </c>
      <c r="K816" s="29">
        <f>IF(Dataset!H816&lt;1,0.2,IF(Dataset!H816&lt;1.3,0.45,IF(Dataset!H816&lt;1.8,0.7,0.9)))</f>
        <v>0.7</v>
      </c>
      <c r="L816" s="29">
        <f>IF(Dataset!H816&lt;1,1,IF(Dataset!H816&lt;1.3,2,IF(Dataset!H816&lt;1.8,3,4)))</f>
        <v>3</v>
      </c>
      <c r="M816" s="29">
        <f t="shared" si="99"/>
        <v>2.0999999999999996</v>
      </c>
      <c r="N816" s="29">
        <f>IF(Dataset!F816=1,0.75,IF(Dataset!F816=2,0.45,0.2))</f>
        <v>0.45</v>
      </c>
      <c r="O816" s="29">
        <f>IF(Dataset!F816=1,3,IF(Dataset!F816=2,2,1))</f>
        <v>2</v>
      </c>
      <c r="P816" s="29">
        <f t="shared" si="100"/>
        <v>0.9</v>
      </c>
      <c r="Q816" s="29">
        <f>IF(Dataset!K816&lt;5,0.2,IF(Dataset!K816&lt;10,0.45,IF(Dataset!K816&lt;18,0.7,0.9)))</f>
        <v>0.45</v>
      </c>
      <c r="R816" s="29">
        <f>IF(Dataset!K816&lt;5,1,IF(Dataset!K816&lt;10,2,IF(Dataset!K816&lt;18,3,4)))</f>
        <v>2</v>
      </c>
      <c r="S816" s="29">
        <f t="shared" si="101"/>
        <v>0.9</v>
      </c>
      <c r="T816" s="29">
        <f t="shared" si="102"/>
        <v>1.4300000000000002</v>
      </c>
      <c r="U816" s="29" t="str">
        <f t="shared" si="103"/>
        <v>Medium</v>
      </c>
    </row>
    <row r="817" spans="1:21" ht="15" customHeight="1" x14ac:dyDescent="0.25">
      <c r="A817" s="29">
        <f>Dataset!A817</f>
        <v>813</v>
      </c>
      <c r="B817" s="29">
        <f>IF(Dataset!B817&lt;25,0.3,IF(Dataset!B817&lt;75,0.5,IF(Dataset!B817&lt;120,0.65,0.8)))</f>
        <v>0.3</v>
      </c>
      <c r="C817" s="29">
        <f>IF(Dataset!B817&lt;25,1,IF(Dataset!B817&lt;75,2,IF(Dataset!B817&lt;120,3,4)))</f>
        <v>1</v>
      </c>
      <c r="D817" s="29">
        <f t="shared" si="96"/>
        <v>0.3</v>
      </c>
      <c r="E817" s="29">
        <f>IF(Dataset!C817&lt;=1,0.3,IF(Dataset!C817=2,0.4,IF(Dataset!C817=3,0.5,IF(Dataset!C817=4,0.65,0.8))))</f>
        <v>0.65</v>
      </c>
      <c r="F817" s="29">
        <f>IF(Dataset!C817&lt;=2,1,IF(Dataset!C817=3,2,IF(Dataset!C817=4,3,4)))</f>
        <v>3</v>
      </c>
      <c r="G817" s="29">
        <f t="shared" si="97"/>
        <v>1.9500000000000002</v>
      </c>
      <c r="H817" s="29">
        <f>IF(Dataset!G817&lt;=3,0.25,IF(Dataset!G817&lt;=6,0.45,IF(Dataset!G817&lt;=9,0.65,0.85)))</f>
        <v>0.45</v>
      </c>
      <c r="I817" s="29">
        <f>IF(Dataset!G817&lt;=3,1,IF(Dataset!G817&lt;=6,2,IF(Dataset!G817&lt;=9,3,4)))</f>
        <v>2</v>
      </c>
      <c r="J817" s="29">
        <f t="shared" si="98"/>
        <v>0.9</v>
      </c>
      <c r="K817" s="29">
        <f>IF(Dataset!H817&lt;1,0.2,IF(Dataset!H817&lt;1.3,0.45,IF(Dataset!H817&lt;1.8,0.7,0.9)))</f>
        <v>0.7</v>
      </c>
      <c r="L817" s="29">
        <f>IF(Dataset!H817&lt;1,1,IF(Dataset!H817&lt;1.3,2,IF(Dataset!H817&lt;1.8,3,4)))</f>
        <v>3</v>
      </c>
      <c r="M817" s="29">
        <f t="shared" si="99"/>
        <v>2.0999999999999996</v>
      </c>
      <c r="N817" s="29">
        <f>IF(Dataset!F817=1,0.75,IF(Dataset!F817=2,0.45,0.2))</f>
        <v>0.45</v>
      </c>
      <c r="O817" s="29">
        <f>IF(Dataset!F817=1,3,IF(Dataset!F817=2,2,1))</f>
        <v>2</v>
      </c>
      <c r="P817" s="29">
        <f t="shared" si="100"/>
        <v>0.9</v>
      </c>
      <c r="Q817" s="29">
        <f>IF(Dataset!K817&lt;5,0.2,IF(Dataset!K817&lt;10,0.45,IF(Dataset!K817&lt;18,0.7,0.9)))</f>
        <v>0.45</v>
      </c>
      <c r="R817" s="29">
        <f>IF(Dataset!K817&lt;5,1,IF(Dataset!K817&lt;10,2,IF(Dataset!K817&lt;18,3,4)))</f>
        <v>2</v>
      </c>
      <c r="S817" s="29">
        <f t="shared" si="101"/>
        <v>0.9</v>
      </c>
      <c r="T817" s="29">
        <f t="shared" si="102"/>
        <v>1.2270000000000003</v>
      </c>
      <c r="U817" s="29" t="str">
        <f t="shared" si="103"/>
        <v>Low</v>
      </c>
    </row>
    <row r="818" spans="1:21" ht="15" customHeight="1" x14ac:dyDescent="0.25">
      <c r="A818" s="29">
        <f>Dataset!A818</f>
        <v>814</v>
      </c>
      <c r="B818" s="29">
        <f>IF(Dataset!B818&lt;25,0.3,IF(Dataset!B818&lt;75,0.5,IF(Dataset!B818&lt;120,0.65,0.8)))</f>
        <v>0.5</v>
      </c>
      <c r="C818" s="29">
        <f>IF(Dataset!B818&lt;25,1,IF(Dataset!B818&lt;75,2,IF(Dataset!B818&lt;120,3,4)))</f>
        <v>2</v>
      </c>
      <c r="D818" s="29">
        <f t="shared" si="96"/>
        <v>1</v>
      </c>
      <c r="E818" s="29">
        <f>IF(Dataset!C818&lt;=1,0.3,IF(Dataset!C818=2,0.4,IF(Dataset!C818=3,0.5,IF(Dataset!C818=4,0.65,0.8))))</f>
        <v>0.4</v>
      </c>
      <c r="F818" s="29">
        <f>IF(Dataset!C818&lt;=2,1,IF(Dataset!C818=3,2,IF(Dataset!C818=4,3,4)))</f>
        <v>1</v>
      </c>
      <c r="G818" s="29">
        <f t="shared" si="97"/>
        <v>0.4</v>
      </c>
      <c r="H818" s="29">
        <f>IF(Dataset!G818&lt;=3,0.25,IF(Dataset!G818&lt;=6,0.45,IF(Dataset!G818&lt;=9,0.65,0.85)))</f>
        <v>0.45</v>
      </c>
      <c r="I818" s="29">
        <f>IF(Dataset!G818&lt;=3,1,IF(Dataset!G818&lt;=6,2,IF(Dataset!G818&lt;=9,3,4)))</f>
        <v>2</v>
      </c>
      <c r="J818" s="29">
        <f t="shared" si="98"/>
        <v>0.9</v>
      </c>
      <c r="K818" s="29">
        <f>IF(Dataset!H818&lt;1,0.2,IF(Dataset!H818&lt;1.3,0.45,IF(Dataset!H818&lt;1.8,0.7,0.9)))</f>
        <v>0.9</v>
      </c>
      <c r="L818" s="29">
        <f>IF(Dataset!H818&lt;1,1,IF(Dataset!H818&lt;1.3,2,IF(Dataset!H818&lt;1.8,3,4)))</f>
        <v>4</v>
      </c>
      <c r="M818" s="29">
        <f t="shared" si="99"/>
        <v>3.6</v>
      </c>
      <c r="N818" s="29">
        <f>IF(Dataset!F818=1,0.75,IF(Dataset!F818=2,0.45,0.2))</f>
        <v>0.45</v>
      </c>
      <c r="O818" s="29">
        <f>IF(Dataset!F818=1,3,IF(Dataset!F818=2,2,1))</f>
        <v>2</v>
      </c>
      <c r="P818" s="29">
        <f t="shared" si="100"/>
        <v>0.9</v>
      </c>
      <c r="Q818" s="29">
        <f>IF(Dataset!K818&lt;5,0.2,IF(Dataset!K818&lt;10,0.45,IF(Dataset!K818&lt;18,0.7,0.9)))</f>
        <v>0.2</v>
      </c>
      <c r="R818" s="29">
        <f>IF(Dataset!K818&lt;5,1,IF(Dataset!K818&lt;10,2,IF(Dataset!K818&lt;18,3,4)))</f>
        <v>1</v>
      </c>
      <c r="S818" s="29">
        <f t="shared" si="101"/>
        <v>0.2</v>
      </c>
      <c r="T818" s="29">
        <f t="shared" si="102"/>
        <v>1.3980000000000001</v>
      </c>
      <c r="U818" s="29" t="str">
        <f t="shared" si="103"/>
        <v>Medium</v>
      </c>
    </row>
    <row r="819" spans="1:21" ht="15" customHeight="1" x14ac:dyDescent="0.25">
      <c r="A819" s="29">
        <f>Dataset!A819</f>
        <v>815</v>
      </c>
      <c r="B819" s="29">
        <f>IF(Dataset!B819&lt;25,0.3,IF(Dataset!B819&lt;75,0.5,IF(Dataset!B819&lt;120,0.65,0.8)))</f>
        <v>0.5</v>
      </c>
      <c r="C819" s="29">
        <f>IF(Dataset!B819&lt;25,1,IF(Dataset!B819&lt;75,2,IF(Dataset!B819&lt;120,3,4)))</f>
        <v>2</v>
      </c>
      <c r="D819" s="29">
        <f t="shared" si="96"/>
        <v>1</v>
      </c>
      <c r="E819" s="29">
        <f>IF(Dataset!C819&lt;=1,0.3,IF(Dataset!C819=2,0.4,IF(Dataset!C819=3,0.5,IF(Dataset!C819=4,0.65,0.8))))</f>
        <v>0.8</v>
      </c>
      <c r="F819" s="29">
        <f>IF(Dataset!C819&lt;=2,1,IF(Dataset!C819=3,2,IF(Dataset!C819=4,3,4)))</f>
        <v>4</v>
      </c>
      <c r="G819" s="29">
        <f t="shared" si="97"/>
        <v>3.2</v>
      </c>
      <c r="H819" s="29">
        <f>IF(Dataset!G819&lt;=3,0.25,IF(Dataset!G819&lt;=6,0.45,IF(Dataset!G819&lt;=9,0.65,0.85)))</f>
        <v>0.85</v>
      </c>
      <c r="I819" s="29">
        <f>IF(Dataset!G819&lt;=3,1,IF(Dataset!G819&lt;=6,2,IF(Dataset!G819&lt;=9,3,4)))</f>
        <v>4</v>
      </c>
      <c r="J819" s="29">
        <f t="shared" si="98"/>
        <v>3.4</v>
      </c>
      <c r="K819" s="29">
        <f>IF(Dataset!H819&lt;1,0.2,IF(Dataset!H819&lt;1.3,0.45,IF(Dataset!H819&lt;1.8,0.7,0.9)))</f>
        <v>0.45</v>
      </c>
      <c r="L819" s="29">
        <f>IF(Dataset!H819&lt;1,1,IF(Dataset!H819&lt;1.3,2,IF(Dataset!H819&lt;1.8,3,4)))</f>
        <v>2</v>
      </c>
      <c r="M819" s="29">
        <f t="shared" si="99"/>
        <v>0.9</v>
      </c>
      <c r="N819" s="29">
        <f>IF(Dataset!F819=1,0.75,IF(Dataset!F819=2,0.45,0.2))</f>
        <v>0.45</v>
      </c>
      <c r="O819" s="29">
        <f>IF(Dataset!F819=1,3,IF(Dataset!F819=2,2,1))</f>
        <v>2</v>
      </c>
      <c r="P819" s="29">
        <f t="shared" si="100"/>
        <v>0.9</v>
      </c>
      <c r="Q819" s="29">
        <f>IF(Dataset!K819&lt;5,0.2,IF(Dataset!K819&lt;10,0.45,IF(Dataset!K819&lt;18,0.7,0.9)))</f>
        <v>0.9</v>
      </c>
      <c r="R819" s="29">
        <f>IF(Dataset!K819&lt;5,1,IF(Dataset!K819&lt;10,2,IF(Dataset!K819&lt;18,3,4)))</f>
        <v>4</v>
      </c>
      <c r="S819" s="29">
        <f t="shared" si="101"/>
        <v>3.6</v>
      </c>
      <c r="T819" s="29">
        <f t="shared" si="102"/>
        <v>2.1180000000000003</v>
      </c>
      <c r="U819" s="29" t="str">
        <f t="shared" si="103"/>
        <v>High</v>
      </c>
    </row>
    <row r="820" spans="1:21" ht="15" customHeight="1" x14ac:dyDescent="0.25">
      <c r="A820" s="29">
        <f>Dataset!A820</f>
        <v>816</v>
      </c>
      <c r="B820" s="29">
        <f>IF(Dataset!B820&lt;25,0.3,IF(Dataset!B820&lt;75,0.5,IF(Dataset!B820&lt;120,0.65,0.8)))</f>
        <v>0.5</v>
      </c>
      <c r="C820" s="29">
        <f>IF(Dataset!B820&lt;25,1,IF(Dataset!B820&lt;75,2,IF(Dataset!B820&lt;120,3,4)))</f>
        <v>2</v>
      </c>
      <c r="D820" s="29">
        <f t="shared" si="96"/>
        <v>1</v>
      </c>
      <c r="E820" s="29">
        <f>IF(Dataset!C820&lt;=1,0.3,IF(Dataset!C820=2,0.4,IF(Dataset!C820=3,0.5,IF(Dataset!C820=4,0.65,0.8))))</f>
        <v>0.5</v>
      </c>
      <c r="F820" s="29">
        <f>IF(Dataset!C820&lt;=2,1,IF(Dataset!C820=3,2,IF(Dataset!C820=4,3,4)))</f>
        <v>2</v>
      </c>
      <c r="G820" s="29">
        <f t="shared" si="97"/>
        <v>1</v>
      </c>
      <c r="H820" s="29">
        <f>IF(Dataset!G820&lt;=3,0.25,IF(Dataset!G820&lt;=6,0.45,IF(Dataset!G820&lt;=9,0.65,0.85)))</f>
        <v>0.65</v>
      </c>
      <c r="I820" s="29">
        <f>IF(Dataset!G820&lt;=3,1,IF(Dataset!G820&lt;=6,2,IF(Dataset!G820&lt;=9,3,4)))</f>
        <v>3</v>
      </c>
      <c r="J820" s="29">
        <f t="shared" si="98"/>
        <v>1.9500000000000002</v>
      </c>
      <c r="K820" s="29">
        <f>IF(Dataset!H820&lt;1,0.2,IF(Dataset!H820&lt;1.3,0.45,IF(Dataset!H820&lt;1.8,0.7,0.9)))</f>
        <v>0.9</v>
      </c>
      <c r="L820" s="29">
        <f>IF(Dataset!H820&lt;1,1,IF(Dataset!H820&lt;1.3,2,IF(Dataset!H820&lt;1.8,3,4)))</f>
        <v>4</v>
      </c>
      <c r="M820" s="29">
        <f t="shared" si="99"/>
        <v>3.6</v>
      </c>
      <c r="N820" s="29">
        <f>IF(Dataset!F820=1,0.75,IF(Dataset!F820=2,0.45,0.2))</f>
        <v>0.75</v>
      </c>
      <c r="O820" s="29">
        <f>IF(Dataset!F820=1,3,IF(Dataset!F820=2,2,1))</f>
        <v>3</v>
      </c>
      <c r="P820" s="29">
        <f t="shared" si="100"/>
        <v>2.25</v>
      </c>
      <c r="Q820" s="29">
        <f>IF(Dataset!K820&lt;5,0.2,IF(Dataset!K820&lt;10,0.45,IF(Dataset!K820&lt;18,0.7,0.9)))</f>
        <v>0.2</v>
      </c>
      <c r="R820" s="29">
        <f>IF(Dataset!K820&lt;5,1,IF(Dataset!K820&lt;10,2,IF(Dataset!K820&lt;18,3,4)))</f>
        <v>1</v>
      </c>
      <c r="S820" s="29">
        <f t="shared" si="101"/>
        <v>0.2</v>
      </c>
      <c r="T820" s="29">
        <f t="shared" si="102"/>
        <v>1.8270000000000002</v>
      </c>
      <c r="U820" s="29" t="str">
        <f t="shared" si="103"/>
        <v>High</v>
      </c>
    </row>
    <row r="821" spans="1:21" ht="15" customHeight="1" x14ac:dyDescent="0.25">
      <c r="A821" s="29">
        <f>Dataset!A821</f>
        <v>817</v>
      </c>
      <c r="B821" s="29">
        <f>IF(Dataset!B821&lt;25,0.3,IF(Dataset!B821&lt;75,0.5,IF(Dataset!B821&lt;120,0.65,0.8)))</f>
        <v>0.65</v>
      </c>
      <c r="C821" s="29">
        <f>IF(Dataset!B821&lt;25,1,IF(Dataset!B821&lt;75,2,IF(Dataset!B821&lt;120,3,4)))</f>
        <v>3</v>
      </c>
      <c r="D821" s="29">
        <f t="shared" si="96"/>
        <v>1.9500000000000002</v>
      </c>
      <c r="E821" s="29">
        <f>IF(Dataset!C821&lt;=1,0.3,IF(Dataset!C821=2,0.4,IF(Dataset!C821=3,0.5,IF(Dataset!C821=4,0.65,0.8))))</f>
        <v>0.65</v>
      </c>
      <c r="F821" s="29">
        <f>IF(Dataset!C821&lt;=2,1,IF(Dataset!C821=3,2,IF(Dataset!C821=4,3,4)))</f>
        <v>3</v>
      </c>
      <c r="G821" s="29">
        <f t="shared" si="97"/>
        <v>1.9500000000000002</v>
      </c>
      <c r="H821" s="29">
        <f>IF(Dataset!G821&lt;=3,0.25,IF(Dataset!G821&lt;=6,0.45,IF(Dataset!G821&lt;=9,0.65,0.85)))</f>
        <v>0.45</v>
      </c>
      <c r="I821" s="29">
        <f>IF(Dataset!G821&lt;=3,1,IF(Dataset!G821&lt;=6,2,IF(Dataset!G821&lt;=9,3,4)))</f>
        <v>2</v>
      </c>
      <c r="J821" s="29">
        <f t="shared" si="98"/>
        <v>0.9</v>
      </c>
      <c r="K821" s="29">
        <f>IF(Dataset!H821&lt;1,0.2,IF(Dataset!H821&lt;1.3,0.45,IF(Dataset!H821&lt;1.8,0.7,0.9)))</f>
        <v>0.9</v>
      </c>
      <c r="L821" s="29">
        <f>IF(Dataset!H821&lt;1,1,IF(Dataset!H821&lt;1.3,2,IF(Dataset!H821&lt;1.8,3,4)))</f>
        <v>4</v>
      </c>
      <c r="M821" s="29">
        <f t="shared" si="99"/>
        <v>3.6</v>
      </c>
      <c r="N821" s="29">
        <f>IF(Dataset!F821=1,0.75,IF(Dataset!F821=2,0.45,0.2))</f>
        <v>0.45</v>
      </c>
      <c r="O821" s="29">
        <f>IF(Dataset!F821=1,3,IF(Dataset!F821=2,2,1))</f>
        <v>2</v>
      </c>
      <c r="P821" s="29">
        <f t="shared" si="100"/>
        <v>0.9</v>
      </c>
      <c r="Q821" s="29">
        <f>IF(Dataset!K821&lt;5,0.2,IF(Dataset!K821&lt;10,0.45,IF(Dataset!K821&lt;18,0.7,0.9)))</f>
        <v>0.45</v>
      </c>
      <c r="R821" s="29">
        <f>IF(Dataset!K821&lt;5,1,IF(Dataset!K821&lt;10,2,IF(Dataset!K821&lt;18,3,4)))</f>
        <v>2</v>
      </c>
      <c r="S821" s="29">
        <f t="shared" si="101"/>
        <v>0.9</v>
      </c>
      <c r="T821" s="29">
        <f t="shared" si="102"/>
        <v>1.8840000000000003</v>
      </c>
      <c r="U821" s="29" t="str">
        <f t="shared" si="103"/>
        <v>High</v>
      </c>
    </row>
    <row r="822" spans="1:21" ht="15" customHeight="1" x14ac:dyDescent="0.25">
      <c r="A822" s="29">
        <f>Dataset!A822</f>
        <v>818</v>
      </c>
      <c r="B822" s="29">
        <f>IF(Dataset!B822&lt;25,0.3,IF(Dataset!B822&lt;75,0.5,IF(Dataset!B822&lt;120,0.65,0.8)))</f>
        <v>0.5</v>
      </c>
      <c r="C822" s="29">
        <f>IF(Dataset!B822&lt;25,1,IF(Dataset!B822&lt;75,2,IF(Dataset!B822&lt;120,3,4)))</f>
        <v>2</v>
      </c>
      <c r="D822" s="29">
        <f t="shared" si="96"/>
        <v>1</v>
      </c>
      <c r="E822" s="29">
        <f>IF(Dataset!C822&lt;=1,0.3,IF(Dataset!C822=2,0.4,IF(Dataset!C822=3,0.5,IF(Dataset!C822=4,0.65,0.8))))</f>
        <v>0.5</v>
      </c>
      <c r="F822" s="29">
        <f>IF(Dataset!C822&lt;=2,1,IF(Dataset!C822=3,2,IF(Dataset!C822=4,3,4)))</f>
        <v>2</v>
      </c>
      <c r="G822" s="29">
        <f t="shared" si="97"/>
        <v>1</v>
      </c>
      <c r="H822" s="29">
        <f>IF(Dataset!G822&lt;=3,0.25,IF(Dataset!G822&lt;=6,0.45,IF(Dataset!G822&lt;=9,0.65,0.85)))</f>
        <v>0.85</v>
      </c>
      <c r="I822" s="29">
        <f>IF(Dataset!G822&lt;=3,1,IF(Dataset!G822&lt;=6,2,IF(Dataset!G822&lt;=9,3,4)))</f>
        <v>4</v>
      </c>
      <c r="J822" s="29">
        <f t="shared" si="98"/>
        <v>3.4</v>
      </c>
      <c r="K822" s="29">
        <f>IF(Dataset!H822&lt;1,0.2,IF(Dataset!H822&lt;1.3,0.45,IF(Dataset!H822&lt;1.8,0.7,0.9)))</f>
        <v>0.9</v>
      </c>
      <c r="L822" s="29">
        <f>IF(Dataset!H822&lt;1,1,IF(Dataset!H822&lt;1.3,2,IF(Dataset!H822&lt;1.8,3,4)))</f>
        <v>4</v>
      </c>
      <c r="M822" s="29">
        <f t="shared" si="99"/>
        <v>3.6</v>
      </c>
      <c r="N822" s="29">
        <f>IF(Dataset!F822=1,0.75,IF(Dataset!F822=2,0.45,0.2))</f>
        <v>0.2</v>
      </c>
      <c r="O822" s="29">
        <f>IF(Dataset!F822=1,3,IF(Dataset!F822=2,2,1))</f>
        <v>1</v>
      </c>
      <c r="P822" s="29">
        <f t="shared" si="100"/>
        <v>0.2</v>
      </c>
      <c r="Q822" s="29">
        <f>IF(Dataset!K822&lt;5,0.2,IF(Dataset!K822&lt;10,0.45,IF(Dataset!K822&lt;18,0.7,0.9)))</f>
        <v>0.45</v>
      </c>
      <c r="R822" s="29">
        <f>IF(Dataset!K822&lt;5,1,IF(Dataset!K822&lt;10,2,IF(Dataset!K822&lt;18,3,4)))</f>
        <v>2</v>
      </c>
      <c r="S822" s="29">
        <f t="shared" si="101"/>
        <v>0.9</v>
      </c>
      <c r="T822" s="29">
        <f t="shared" si="102"/>
        <v>2.0099999999999998</v>
      </c>
      <c r="U822" s="29" t="str">
        <f t="shared" si="103"/>
        <v>High</v>
      </c>
    </row>
    <row r="823" spans="1:21" ht="15" customHeight="1" x14ac:dyDescent="0.25">
      <c r="A823" s="29">
        <f>Dataset!A823</f>
        <v>819</v>
      </c>
      <c r="B823" s="29">
        <f>IF(Dataset!B823&lt;25,0.3,IF(Dataset!B823&lt;75,0.5,IF(Dataset!B823&lt;120,0.65,0.8)))</f>
        <v>0.65</v>
      </c>
      <c r="C823" s="29">
        <f>IF(Dataset!B823&lt;25,1,IF(Dataset!B823&lt;75,2,IF(Dataset!B823&lt;120,3,4)))</f>
        <v>3</v>
      </c>
      <c r="D823" s="29">
        <f t="shared" si="96"/>
        <v>1.9500000000000002</v>
      </c>
      <c r="E823" s="29">
        <f>IF(Dataset!C823&lt;=1,0.3,IF(Dataset!C823=2,0.4,IF(Dataset!C823=3,0.5,IF(Dataset!C823=4,0.65,0.8))))</f>
        <v>0.3</v>
      </c>
      <c r="F823" s="29">
        <f>IF(Dataset!C823&lt;=2,1,IF(Dataset!C823=3,2,IF(Dataset!C823=4,3,4)))</f>
        <v>1</v>
      </c>
      <c r="G823" s="29">
        <f t="shared" si="97"/>
        <v>0.3</v>
      </c>
      <c r="H823" s="29">
        <f>IF(Dataset!G823&lt;=3,0.25,IF(Dataset!G823&lt;=6,0.45,IF(Dataset!G823&lt;=9,0.65,0.85)))</f>
        <v>0.45</v>
      </c>
      <c r="I823" s="29">
        <f>IF(Dataset!G823&lt;=3,1,IF(Dataset!G823&lt;=6,2,IF(Dataset!G823&lt;=9,3,4)))</f>
        <v>2</v>
      </c>
      <c r="J823" s="29">
        <f t="shared" si="98"/>
        <v>0.9</v>
      </c>
      <c r="K823" s="29">
        <f>IF(Dataset!H823&lt;1,0.2,IF(Dataset!H823&lt;1.3,0.45,IF(Dataset!H823&lt;1.8,0.7,0.9)))</f>
        <v>0.7</v>
      </c>
      <c r="L823" s="29">
        <f>IF(Dataset!H823&lt;1,1,IF(Dataset!H823&lt;1.3,2,IF(Dataset!H823&lt;1.8,3,4)))</f>
        <v>3</v>
      </c>
      <c r="M823" s="29">
        <f t="shared" si="99"/>
        <v>2.0999999999999996</v>
      </c>
      <c r="N823" s="29">
        <f>IF(Dataset!F823=1,0.75,IF(Dataset!F823=2,0.45,0.2))</f>
        <v>0.45</v>
      </c>
      <c r="O823" s="29">
        <f>IF(Dataset!F823=1,3,IF(Dataset!F823=2,2,1))</f>
        <v>2</v>
      </c>
      <c r="P823" s="29">
        <f t="shared" si="100"/>
        <v>0.9</v>
      </c>
      <c r="Q823" s="29">
        <f>IF(Dataset!K823&lt;5,0.2,IF(Dataset!K823&lt;10,0.45,IF(Dataset!K823&lt;18,0.7,0.9)))</f>
        <v>0.2</v>
      </c>
      <c r="R823" s="29">
        <f>IF(Dataset!K823&lt;5,1,IF(Dataset!K823&lt;10,2,IF(Dataset!K823&lt;18,3,4)))</f>
        <v>1</v>
      </c>
      <c r="S823" s="29">
        <f t="shared" si="101"/>
        <v>0.2</v>
      </c>
      <c r="T823" s="29">
        <f t="shared" si="102"/>
        <v>1.1950000000000001</v>
      </c>
      <c r="U823" s="29" t="str">
        <f t="shared" si="103"/>
        <v>Low</v>
      </c>
    </row>
    <row r="824" spans="1:21" ht="15" customHeight="1" x14ac:dyDescent="0.25">
      <c r="A824" s="29">
        <f>Dataset!A824</f>
        <v>820</v>
      </c>
      <c r="B824" s="29">
        <f>IF(Dataset!B824&lt;25,0.3,IF(Dataset!B824&lt;75,0.5,IF(Dataset!B824&lt;120,0.65,0.8)))</f>
        <v>0.65</v>
      </c>
      <c r="C824" s="29">
        <f>IF(Dataset!B824&lt;25,1,IF(Dataset!B824&lt;75,2,IF(Dataset!B824&lt;120,3,4)))</f>
        <v>3</v>
      </c>
      <c r="D824" s="29">
        <f t="shared" si="96"/>
        <v>1.9500000000000002</v>
      </c>
      <c r="E824" s="29">
        <f>IF(Dataset!C824&lt;=1,0.3,IF(Dataset!C824=2,0.4,IF(Dataset!C824=3,0.5,IF(Dataset!C824=4,0.65,0.8))))</f>
        <v>0.5</v>
      </c>
      <c r="F824" s="29">
        <f>IF(Dataset!C824&lt;=2,1,IF(Dataset!C824=3,2,IF(Dataset!C824=4,3,4)))</f>
        <v>2</v>
      </c>
      <c r="G824" s="29">
        <f t="shared" si="97"/>
        <v>1</v>
      </c>
      <c r="H824" s="29">
        <f>IF(Dataset!G824&lt;=3,0.25,IF(Dataset!G824&lt;=6,0.45,IF(Dataset!G824&lt;=9,0.65,0.85)))</f>
        <v>0.45</v>
      </c>
      <c r="I824" s="29">
        <f>IF(Dataset!G824&lt;=3,1,IF(Dataset!G824&lt;=6,2,IF(Dataset!G824&lt;=9,3,4)))</f>
        <v>2</v>
      </c>
      <c r="J824" s="29">
        <f t="shared" si="98"/>
        <v>0.9</v>
      </c>
      <c r="K824" s="29">
        <f>IF(Dataset!H824&lt;1,0.2,IF(Dataset!H824&lt;1.3,0.45,IF(Dataset!H824&lt;1.8,0.7,0.9)))</f>
        <v>0.7</v>
      </c>
      <c r="L824" s="29">
        <f>IF(Dataset!H824&lt;1,1,IF(Dataset!H824&lt;1.3,2,IF(Dataset!H824&lt;1.8,3,4)))</f>
        <v>3</v>
      </c>
      <c r="M824" s="29">
        <f t="shared" si="99"/>
        <v>2.0999999999999996</v>
      </c>
      <c r="N824" s="29">
        <f>IF(Dataset!F824=1,0.75,IF(Dataset!F824=2,0.45,0.2))</f>
        <v>0.75</v>
      </c>
      <c r="O824" s="29">
        <f>IF(Dataset!F824=1,3,IF(Dataset!F824=2,2,1))</f>
        <v>3</v>
      </c>
      <c r="P824" s="29">
        <f t="shared" si="100"/>
        <v>2.25</v>
      </c>
      <c r="Q824" s="29">
        <f>IF(Dataset!K824&lt;5,0.2,IF(Dataset!K824&lt;10,0.45,IF(Dataset!K824&lt;18,0.7,0.9)))</f>
        <v>0.45</v>
      </c>
      <c r="R824" s="29">
        <f>IF(Dataset!K824&lt;5,1,IF(Dataset!K824&lt;10,2,IF(Dataset!K824&lt;18,3,4)))</f>
        <v>2</v>
      </c>
      <c r="S824" s="29">
        <f t="shared" si="101"/>
        <v>0.9</v>
      </c>
      <c r="T824" s="29">
        <f t="shared" si="102"/>
        <v>1.526</v>
      </c>
      <c r="U824" s="29" t="str">
        <f t="shared" si="103"/>
        <v>Medium</v>
      </c>
    </row>
    <row r="825" spans="1:21" ht="15" customHeight="1" x14ac:dyDescent="0.25">
      <c r="A825" s="29">
        <f>Dataset!A825</f>
        <v>821</v>
      </c>
      <c r="B825" s="29">
        <f>IF(Dataset!B825&lt;25,0.3,IF(Dataset!B825&lt;75,0.5,IF(Dataset!B825&lt;120,0.65,0.8)))</f>
        <v>0.8</v>
      </c>
      <c r="C825" s="29">
        <f>IF(Dataset!B825&lt;25,1,IF(Dataset!B825&lt;75,2,IF(Dataset!B825&lt;120,3,4)))</f>
        <v>4</v>
      </c>
      <c r="D825" s="29">
        <f t="shared" si="96"/>
        <v>3.2</v>
      </c>
      <c r="E825" s="29">
        <f>IF(Dataset!C825&lt;=1,0.3,IF(Dataset!C825=2,0.4,IF(Dataset!C825=3,0.5,IF(Dataset!C825=4,0.65,0.8))))</f>
        <v>0.5</v>
      </c>
      <c r="F825" s="29">
        <f>IF(Dataset!C825&lt;=2,1,IF(Dataset!C825=3,2,IF(Dataset!C825=4,3,4)))</f>
        <v>2</v>
      </c>
      <c r="G825" s="29">
        <f t="shared" si="97"/>
        <v>1</v>
      </c>
      <c r="H825" s="29">
        <f>IF(Dataset!G825&lt;=3,0.25,IF(Dataset!G825&lt;=6,0.45,IF(Dataset!G825&lt;=9,0.65,0.85)))</f>
        <v>0.45</v>
      </c>
      <c r="I825" s="29">
        <f>IF(Dataset!G825&lt;=3,1,IF(Dataset!G825&lt;=6,2,IF(Dataset!G825&lt;=9,3,4)))</f>
        <v>2</v>
      </c>
      <c r="J825" s="29">
        <f t="shared" si="98"/>
        <v>0.9</v>
      </c>
      <c r="K825" s="29">
        <f>IF(Dataset!H825&lt;1,0.2,IF(Dataset!H825&lt;1.3,0.45,IF(Dataset!H825&lt;1.8,0.7,0.9)))</f>
        <v>0.45</v>
      </c>
      <c r="L825" s="29">
        <f>IF(Dataset!H825&lt;1,1,IF(Dataset!H825&lt;1.3,2,IF(Dataset!H825&lt;1.8,3,4)))</f>
        <v>2</v>
      </c>
      <c r="M825" s="29">
        <f t="shared" si="99"/>
        <v>0.9</v>
      </c>
      <c r="N825" s="29">
        <f>IF(Dataset!F825=1,0.75,IF(Dataset!F825=2,0.45,0.2))</f>
        <v>0.45</v>
      </c>
      <c r="O825" s="29">
        <f>IF(Dataset!F825=1,3,IF(Dataset!F825=2,2,1))</f>
        <v>2</v>
      </c>
      <c r="P825" s="29">
        <f t="shared" si="100"/>
        <v>0.9</v>
      </c>
      <c r="Q825" s="29">
        <f>IF(Dataset!K825&lt;5,0.2,IF(Dataset!K825&lt;10,0.45,IF(Dataset!K825&lt;18,0.7,0.9)))</f>
        <v>0.45</v>
      </c>
      <c r="R825" s="29">
        <f>IF(Dataset!K825&lt;5,1,IF(Dataset!K825&lt;10,2,IF(Dataset!K825&lt;18,3,4)))</f>
        <v>2</v>
      </c>
      <c r="S825" s="29">
        <f t="shared" si="101"/>
        <v>0.9</v>
      </c>
      <c r="T825" s="29">
        <f t="shared" si="102"/>
        <v>1.3280000000000003</v>
      </c>
      <c r="U825" s="29" t="str">
        <f t="shared" si="103"/>
        <v>Low</v>
      </c>
    </row>
    <row r="826" spans="1:21" ht="15" customHeight="1" x14ac:dyDescent="0.25">
      <c r="A826" s="29">
        <f>Dataset!A826</f>
        <v>822</v>
      </c>
      <c r="B826" s="29">
        <f>IF(Dataset!B826&lt;25,0.3,IF(Dataset!B826&lt;75,0.5,IF(Dataset!B826&lt;120,0.65,0.8)))</f>
        <v>0.5</v>
      </c>
      <c r="C826" s="29">
        <f>IF(Dataset!B826&lt;25,1,IF(Dataset!B826&lt;75,2,IF(Dataset!B826&lt;120,3,4)))</f>
        <v>2</v>
      </c>
      <c r="D826" s="29">
        <f t="shared" si="96"/>
        <v>1</v>
      </c>
      <c r="E826" s="29">
        <f>IF(Dataset!C826&lt;=1,0.3,IF(Dataset!C826=2,0.4,IF(Dataset!C826=3,0.5,IF(Dataset!C826=4,0.65,0.8))))</f>
        <v>0.5</v>
      </c>
      <c r="F826" s="29">
        <f>IF(Dataset!C826&lt;=2,1,IF(Dataset!C826=3,2,IF(Dataset!C826=4,3,4)))</f>
        <v>2</v>
      </c>
      <c r="G826" s="29">
        <f t="shared" si="97"/>
        <v>1</v>
      </c>
      <c r="H826" s="29">
        <f>IF(Dataset!G826&lt;=3,0.25,IF(Dataset!G826&lt;=6,0.45,IF(Dataset!G826&lt;=9,0.65,0.85)))</f>
        <v>0.45</v>
      </c>
      <c r="I826" s="29">
        <f>IF(Dataset!G826&lt;=3,1,IF(Dataset!G826&lt;=6,2,IF(Dataset!G826&lt;=9,3,4)))</f>
        <v>2</v>
      </c>
      <c r="J826" s="29">
        <f t="shared" si="98"/>
        <v>0.9</v>
      </c>
      <c r="K826" s="29">
        <f>IF(Dataset!H826&lt;1,0.2,IF(Dataset!H826&lt;1.3,0.45,IF(Dataset!H826&lt;1.8,0.7,0.9)))</f>
        <v>0.2</v>
      </c>
      <c r="L826" s="29">
        <f>IF(Dataset!H826&lt;1,1,IF(Dataset!H826&lt;1.3,2,IF(Dataset!H826&lt;1.8,3,4)))</f>
        <v>1</v>
      </c>
      <c r="M826" s="29">
        <f t="shared" si="99"/>
        <v>0.2</v>
      </c>
      <c r="N826" s="29">
        <f>IF(Dataset!F826=1,0.75,IF(Dataset!F826=2,0.45,0.2))</f>
        <v>0.45</v>
      </c>
      <c r="O826" s="29">
        <f>IF(Dataset!F826=1,3,IF(Dataset!F826=2,2,1))</f>
        <v>2</v>
      </c>
      <c r="P826" s="29">
        <f t="shared" si="100"/>
        <v>0.9</v>
      </c>
      <c r="Q826" s="29">
        <f>IF(Dataset!K826&lt;5,0.2,IF(Dataset!K826&lt;10,0.45,IF(Dataset!K826&lt;18,0.7,0.9)))</f>
        <v>0.45</v>
      </c>
      <c r="R826" s="29">
        <f>IF(Dataset!K826&lt;5,1,IF(Dataset!K826&lt;10,2,IF(Dataset!K826&lt;18,3,4)))</f>
        <v>2</v>
      </c>
      <c r="S826" s="29">
        <f t="shared" si="101"/>
        <v>0.9</v>
      </c>
      <c r="T826" s="29">
        <f t="shared" si="102"/>
        <v>0.76400000000000001</v>
      </c>
      <c r="U826" s="29" t="str">
        <f t="shared" si="103"/>
        <v>Low</v>
      </c>
    </row>
    <row r="827" spans="1:21" ht="15" customHeight="1" x14ac:dyDescent="0.25">
      <c r="A827" s="29">
        <f>Dataset!A827</f>
        <v>823</v>
      </c>
      <c r="B827" s="29">
        <f>IF(Dataset!B827&lt;25,0.3,IF(Dataset!B827&lt;75,0.5,IF(Dataset!B827&lt;120,0.65,0.8)))</f>
        <v>0.8</v>
      </c>
      <c r="C827" s="29">
        <f>IF(Dataset!B827&lt;25,1,IF(Dataset!B827&lt;75,2,IF(Dataset!B827&lt;120,3,4)))</f>
        <v>4</v>
      </c>
      <c r="D827" s="29">
        <f t="shared" si="96"/>
        <v>3.2</v>
      </c>
      <c r="E827" s="29">
        <f>IF(Dataset!C827&lt;=1,0.3,IF(Dataset!C827=2,0.4,IF(Dataset!C827=3,0.5,IF(Dataset!C827=4,0.65,0.8))))</f>
        <v>0.65</v>
      </c>
      <c r="F827" s="29">
        <f>IF(Dataset!C827&lt;=2,1,IF(Dataset!C827=3,2,IF(Dataset!C827=4,3,4)))</f>
        <v>3</v>
      </c>
      <c r="G827" s="29">
        <f t="shared" si="97"/>
        <v>1.9500000000000002</v>
      </c>
      <c r="H827" s="29">
        <f>IF(Dataset!G827&lt;=3,0.25,IF(Dataset!G827&lt;=6,0.45,IF(Dataset!G827&lt;=9,0.65,0.85)))</f>
        <v>0.65</v>
      </c>
      <c r="I827" s="29">
        <f>IF(Dataset!G827&lt;=3,1,IF(Dataset!G827&lt;=6,2,IF(Dataset!G827&lt;=9,3,4)))</f>
        <v>3</v>
      </c>
      <c r="J827" s="29">
        <f t="shared" si="98"/>
        <v>1.9500000000000002</v>
      </c>
      <c r="K827" s="29">
        <f>IF(Dataset!H827&lt;1,0.2,IF(Dataset!H827&lt;1.3,0.45,IF(Dataset!H827&lt;1.8,0.7,0.9)))</f>
        <v>0.7</v>
      </c>
      <c r="L827" s="29">
        <f>IF(Dataset!H827&lt;1,1,IF(Dataset!H827&lt;1.3,2,IF(Dataset!H827&lt;1.8,3,4)))</f>
        <v>3</v>
      </c>
      <c r="M827" s="29">
        <f t="shared" si="99"/>
        <v>2.0999999999999996</v>
      </c>
      <c r="N827" s="29">
        <f>IF(Dataset!F827=1,0.75,IF(Dataset!F827=2,0.45,0.2))</f>
        <v>0.75</v>
      </c>
      <c r="O827" s="29">
        <f>IF(Dataset!F827=1,3,IF(Dataset!F827=2,2,1))</f>
        <v>3</v>
      </c>
      <c r="P827" s="29">
        <f t="shared" si="100"/>
        <v>2.25</v>
      </c>
      <c r="Q827" s="29">
        <f>IF(Dataset!K827&lt;5,0.2,IF(Dataset!K827&lt;10,0.45,IF(Dataset!K827&lt;18,0.7,0.9)))</f>
        <v>0.7</v>
      </c>
      <c r="R827" s="29">
        <f>IF(Dataset!K827&lt;5,1,IF(Dataset!K827&lt;10,2,IF(Dataset!K827&lt;18,3,4)))</f>
        <v>3</v>
      </c>
      <c r="S827" s="29">
        <f t="shared" si="101"/>
        <v>2.0999999999999996</v>
      </c>
      <c r="T827" s="29">
        <f t="shared" si="102"/>
        <v>2.262</v>
      </c>
      <c r="U827" s="29" t="str">
        <f t="shared" si="103"/>
        <v>High</v>
      </c>
    </row>
    <row r="828" spans="1:21" ht="15" customHeight="1" x14ac:dyDescent="0.25">
      <c r="A828" s="29">
        <f>Dataset!A828</f>
        <v>824</v>
      </c>
      <c r="B828" s="29">
        <f>IF(Dataset!B828&lt;25,0.3,IF(Dataset!B828&lt;75,0.5,IF(Dataset!B828&lt;120,0.65,0.8)))</f>
        <v>0.5</v>
      </c>
      <c r="C828" s="29">
        <f>IF(Dataset!B828&lt;25,1,IF(Dataset!B828&lt;75,2,IF(Dataset!B828&lt;120,3,4)))</f>
        <v>2</v>
      </c>
      <c r="D828" s="29">
        <f t="shared" si="96"/>
        <v>1</v>
      </c>
      <c r="E828" s="29">
        <f>IF(Dataset!C828&lt;=1,0.3,IF(Dataset!C828=2,0.4,IF(Dataset!C828=3,0.5,IF(Dataset!C828=4,0.65,0.8))))</f>
        <v>0.5</v>
      </c>
      <c r="F828" s="29">
        <f>IF(Dataset!C828&lt;=2,1,IF(Dataset!C828=3,2,IF(Dataset!C828=4,3,4)))</f>
        <v>2</v>
      </c>
      <c r="G828" s="29">
        <f t="shared" si="97"/>
        <v>1</v>
      </c>
      <c r="H828" s="29">
        <f>IF(Dataset!G828&lt;=3,0.25,IF(Dataset!G828&lt;=6,0.45,IF(Dataset!G828&lt;=9,0.65,0.85)))</f>
        <v>0.45</v>
      </c>
      <c r="I828" s="29">
        <f>IF(Dataset!G828&lt;=3,1,IF(Dataset!G828&lt;=6,2,IF(Dataset!G828&lt;=9,3,4)))</f>
        <v>2</v>
      </c>
      <c r="J828" s="29">
        <f t="shared" si="98"/>
        <v>0.9</v>
      </c>
      <c r="K828" s="29">
        <f>IF(Dataset!H828&lt;1,0.2,IF(Dataset!H828&lt;1.3,0.45,IF(Dataset!H828&lt;1.8,0.7,0.9)))</f>
        <v>0.9</v>
      </c>
      <c r="L828" s="29">
        <f>IF(Dataset!H828&lt;1,1,IF(Dataset!H828&lt;1.3,2,IF(Dataset!H828&lt;1.8,3,4)))</f>
        <v>4</v>
      </c>
      <c r="M828" s="29">
        <f t="shared" si="99"/>
        <v>3.6</v>
      </c>
      <c r="N828" s="29">
        <f>IF(Dataset!F828=1,0.75,IF(Dataset!F828=2,0.45,0.2))</f>
        <v>0.45</v>
      </c>
      <c r="O828" s="29">
        <f>IF(Dataset!F828=1,3,IF(Dataset!F828=2,2,1))</f>
        <v>2</v>
      </c>
      <c r="P828" s="29">
        <f t="shared" si="100"/>
        <v>0.9</v>
      </c>
      <c r="Q828" s="29">
        <f>IF(Dataset!K828&lt;5,0.2,IF(Dataset!K828&lt;10,0.45,IF(Dataset!K828&lt;18,0.7,0.9)))</f>
        <v>0.45</v>
      </c>
      <c r="R828" s="29">
        <f>IF(Dataset!K828&lt;5,1,IF(Dataset!K828&lt;10,2,IF(Dataset!K828&lt;18,3,4)))</f>
        <v>2</v>
      </c>
      <c r="S828" s="29">
        <f t="shared" si="101"/>
        <v>0.9</v>
      </c>
      <c r="T828" s="29">
        <f t="shared" si="102"/>
        <v>1.58</v>
      </c>
      <c r="U828" s="29" t="str">
        <f t="shared" si="103"/>
        <v>Medium</v>
      </c>
    </row>
    <row r="829" spans="1:21" ht="15" customHeight="1" x14ac:dyDescent="0.25">
      <c r="A829" s="29">
        <f>Dataset!A829</f>
        <v>825</v>
      </c>
      <c r="B829" s="29">
        <f>IF(Dataset!B829&lt;25,0.3,IF(Dataset!B829&lt;75,0.5,IF(Dataset!B829&lt;120,0.65,0.8)))</f>
        <v>0.65</v>
      </c>
      <c r="C829" s="29">
        <f>IF(Dataset!B829&lt;25,1,IF(Dataset!B829&lt;75,2,IF(Dataset!B829&lt;120,3,4)))</f>
        <v>3</v>
      </c>
      <c r="D829" s="29">
        <f t="shared" si="96"/>
        <v>1.9500000000000002</v>
      </c>
      <c r="E829" s="29">
        <f>IF(Dataset!C829&lt;=1,0.3,IF(Dataset!C829=2,0.4,IF(Dataset!C829=3,0.5,IF(Dataset!C829=4,0.65,0.8))))</f>
        <v>0.4</v>
      </c>
      <c r="F829" s="29">
        <f>IF(Dataset!C829&lt;=2,1,IF(Dataset!C829=3,2,IF(Dataset!C829=4,3,4)))</f>
        <v>1</v>
      </c>
      <c r="G829" s="29">
        <f t="shared" si="97"/>
        <v>0.4</v>
      </c>
      <c r="H829" s="29">
        <f>IF(Dataset!G829&lt;=3,0.25,IF(Dataset!G829&lt;=6,0.45,IF(Dataset!G829&lt;=9,0.65,0.85)))</f>
        <v>0.65</v>
      </c>
      <c r="I829" s="29">
        <f>IF(Dataset!G829&lt;=3,1,IF(Dataset!G829&lt;=6,2,IF(Dataset!G829&lt;=9,3,4)))</f>
        <v>3</v>
      </c>
      <c r="J829" s="29">
        <f t="shared" si="98"/>
        <v>1.9500000000000002</v>
      </c>
      <c r="K829" s="29">
        <f>IF(Dataset!H829&lt;1,0.2,IF(Dataset!H829&lt;1.3,0.45,IF(Dataset!H829&lt;1.8,0.7,0.9)))</f>
        <v>0.9</v>
      </c>
      <c r="L829" s="29">
        <f>IF(Dataset!H829&lt;1,1,IF(Dataset!H829&lt;1.3,2,IF(Dataset!H829&lt;1.8,3,4)))</f>
        <v>4</v>
      </c>
      <c r="M829" s="29">
        <f t="shared" si="99"/>
        <v>3.6</v>
      </c>
      <c r="N829" s="29">
        <f>IF(Dataset!F829=1,0.75,IF(Dataset!F829=2,0.45,0.2))</f>
        <v>0.45</v>
      </c>
      <c r="O829" s="29">
        <f>IF(Dataset!F829=1,3,IF(Dataset!F829=2,2,1))</f>
        <v>2</v>
      </c>
      <c r="P829" s="29">
        <f t="shared" si="100"/>
        <v>0.9</v>
      </c>
      <c r="Q829" s="29">
        <f>IF(Dataset!K829&lt;5,0.2,IF(Dataset!K829&lt;10,0.45,IF(Dataset!K829&lt;18,0.7,0.9)))</f>
        <v>0.45</v>
      </c>
      <c r="R829" s="29">
        <f>IF(Dataset!K829&lt;5,1,IF(Dataset!K829&lt;10,2,IF(Dataset!K829&lt;18,3,4)))</f>
        <v>2</v>
      </c>
      <c r="S829" s="29">
        <f t="shared" si="101"/>
        <v>0.9</v>
      </c>
      <c r="T829" s="29">
        <f t="shared" si="102"/>
        <v>1.8770000000000002</v>
      </c>
      <c r="U829" s="29" t="str">
        <f t="shared" si="103"/>
        <v>High</v>
      </c>
    </row>
    <row r="830" spans="1:21" ht="15" customHeight="1" x14ac:dyDescent="0.25">
      <c r="A830" s="29">
        <f>Dataset!A830</f>
        <v>826</v>
      </c>
      <c r="B830" s="29">
        <f>IF(Dataset!B830&lt;25,0.3,IF(Dataset!B830&lt;75,0.5,IF(Dataset!B830&lt;120,0.65,0.8)))</f>
        <v>0.5</v>
      </c>
      <c r="C830" s="29">
        <f>IF(Dataset!B830&lt;25,1,IF(Dataset!B830&lt;75,2,IF(Dataset!B830&lt;120,3,4)))</f>
        <v>2</v>
      </c>
      <c r="D830" s="29">
        <f t="shared" si="96"/>
        <v>1</v>
      </c>
      <c r="E830" s="29">
        <f>IF(Dataset!C830&lt;=1,0.3,IF(Dataset!C830=2,0.4,IF(Dataset!C830=3,0.5,IF(Dataset!C830=4,0.65,0.8))))</f>
        <v>0.3</v>
      </c>
      <c r="F830" s="29">
        <f>IF(Dataset!C830&lt;=2,1,IF(Dataset!C830=3,2,IF(Dataset!C830=4,3,4)))</f>
        <v>1</v>
      </c>
      <c r="G830" s="29">
        <f t="shared" si="97"/>
        <v>0.3</v>
      </c>
      <c r="H830" s="29">
        <f>IF(Dataset!G830&lt;=3,0.25,IF(Dataset!G830&lt;=6,0.45,IF(Dataset!G830&lt;=9,0.65,0.85)))</f>
        <v>0.45</v>
      </c>
      <c r="I830" s="29">
        <f>IF(Dataset!G830&lt;=3,1,IF(Dataset!G830&lt;=6,2,IF(Dataset!G830&lt;=9,3,4)))</f>
        <v>2</v>
      </c>
      <c r="J830" s="29">
        <f t="shared" si="98"/>
        <v>0.9</v>
      </c>
      <c r="K830" s="29">
        <f>IF(Dataset!H830&lt;1,0.2,IF(Dataset!H830&lt;1.3,0.45,IF(Dataset!H830&lt;1.8,0.7,0.9)))</f>
        <v>0.2</v>
      </c>
      <c r="L830" s="29">
        <f>IF(Dataset!H830&lt;1,1,IF(Dataset!H830&lt;1.3,2,IF(Dataset!H830&lt;1.8,3,4)))</f>
        <v>1</v>
      </c>
      <c r="M830" s="29">
        <f t="shared" si="99"/>
        <v>0.2</v>
      </c>
      <c r="N830" s="29">
        <f>IF(Dataset!F830=1,0.75,IF(Dataset!F830=2,0.45,0.2))</f>
        <v>0.2</v>
      </c>
      <c r="O830" s="29">
        <f>IF(Dataset!F830=1,3,IF(Dataset!F830=2,2,1))</f>
        <v>1</v>
      </c>
      <c r="P830" s="29">
        <f t="shared" si="100"/>
        <v>0.2</v>
      </c>
      <c r="Q830" s="29">
        <f>IF(Dataset!K830&lt;5,0.2,IF(Dataset!K830&lt;10,0.45,IF(Dataset!K830&lt;18,0.7,0.9)))</f>
        <v>0.2</v>
      </c>
      <c r="R830" s="29">
        <f>IF(Dataset!K830&lt;5,1,IF(Dataset!K830&lt;10,2,IF(Dataset!K830&lt;18,3,4)))</f>
        <v>1</v>
      </c>
      <c r="S830" s="29">
        <f t="shared" si="101"/>
        <v>0.2</v>
      </c>
      <c r="T830" s="29">
        <f t="shared" si="102"/>
        <v>0.49800000000000005</v>
      </c>
      <c r="U830" s="29" t="str">
        <f t="shared" si="103"/>
        <v>Low</v>
      </c>
    </row>
    <row r="831" spans="1:21" ht="15" customHeight="1" x14ac:dyDescent="0.25">
      <c r="A831" s="29">
        <f>Dataset!A831</f>
        <v>827</v>
      </c>
      <c r="B831" s="29">
        <f>IF(Dataset!B831&lt;25,0.3,IF(Dataset!B831&lt;75,0.5,IF(Dataset!B831&lt;120,0.65,0.8)))</f>
        <v>0.5</v>
      </c>
      <c r="C831" s="29">
        <f>IF(Dataset!B831&lt;25,1,IF(Dataset!B831&lt;75,2,IF(Dataset!B831&lt;120,3,4)))</f>
        <v>2</v>
      </c>
      <c r="D831" s="29">
        <f t="shared" si="96"/>
        <v>1</v>
      </c>
      <c r="E831" s="29">
        <f>IF(Dataset!C831&lt;=1,0.3,IF(Dataset!C831=2,0.4,IF(Dataset!C831=3,0.5,IF(Dataset!C831=4,0.65,0.8))))</f>
        <v>0.4</v>
      </c>
      <c r="F831" s="29">
        <f>IF(Dataset!C831&lt;=2,1,IF(Dataset!C831=3,2,IF(Dataset!C831=4,3,4)))</f>
        <v>1</v>
      </c>
      <c r="G831" s="29">
        <f t="shared" si="97"/>
        <v>0.4</v>
      </c>
      <c r="H831" s="29">
        <f>IF(Dataset!G831&lt;=3,0.25,IF(Dataset!G831&lt;=6,0.45,IF(Dataset!G831&lt;=9,0.65,0.85)))</f>
        <v>0.25</v>
      </c>
      <c r="I831" s="29">
        <f>IF(Dataset!G831&lt;=3,1,IF(Dataset!G831&lt;=6,2,IF(Dataset!G831&lt;=9,3,4)))</f>
        <v>1</v>
      </c>
      <c r="J831" s="29">
        <f t="shared" si="98"/>
        <v>0.25</v>
      </c>
      <c r="K831" s="29">
        <f>IF(Dataset!H831&lt;1,0.2,IF(Dataset!H831&lt;1.3,0.45,IF(Dataset!H831&lt;1.8,0.7,0.9)))</f>
        <v>0.9</v>
      </c>
      <c r="L831" s="29">
        <f>IF(Dataset!H831&lt;1,1,IF(Dataset!H831&lt;1.3,2,IF(Dataset!H831&lt;1.8,3,4)))</f>
        <v>4</v>
      </c>
      <c r="M831" s="29">
        <f t="shared" si="99"/>
        <v>3.6</v>
      </c>
      <c r="N831" s="29">
        <f>IF(Dataset!F831=1,0.75,IF(Dataset!F831=2,0.45,0.2))</f>
        <v>0.75</v>
      </c>
      <c r="O831" s="29">
        <f>IF(Dataset!F831=1,3,IF(Dataset!F831=2,2,1))</f>
        <v>3</v>
      </c>
      <c r="P831" s="29">
        <f t="shared" si="100"/>
        <v>2.25</v>
      </c>
      <c r="Q831" s="29">
        <f>IF(Dataset!K831&lt;5,0.2,IF(Dataset!K831&lt;10,0.45,IF(Dataset!K831&lt;18,0.7,0.9)))</f>
        <v>0.2</v>
      </c>
      <c r="R831" s="29">
        <f>IF(Dataset!K831&lt;5,1,IF(Dataset!K831&lt;10,2,IF(Dataset!K831&lt;18,3,4)))</f>
        <v>1</v>
      </c>
      <c r="S831" s="29">
        <f t="shared" si="101"/>
        <v>0.2</v>
      </c>
      <c r="T831" s="29">
        <f t="shared" si="102"/>
        <v>1.403</v>
      </c>
      <c r="U831" s="29" t="str">
        <f t="shared" si="103"/>
        <v>Medium</v>
      </c>
    </row>
    <row r="832" spans="1:21" ht="15" customHeight="1" x14ac:dyDescent="0.25">
      <c r="A832" s="29">
        <f>Dataset!A832</f>
        <v>828</v>
      </c>
      <c r="B832" s="29">
        <f>IF(Dataset!B832&lt;25,0.3,IF(Dataset!B832&lt;75,0.5,IF(Dataset!B832&lt;120,0.65,0.8)))</f>
        <v>0.5</v>
      </c>
      <c r="C832" s="29">
        <f>IF(Dataset!B832&lt;25,1,IF(Dataset!B832&lt;75,2,IF(Dataset!B832&lt;120,3,4)))</f>
        <v>2</v>
      </c>
      <c r="D832" s="29">
        <f t="shared" si="96"/>
        <v>1</v>
      </c>
      <c r="E832" s="29">
        <f>IF(Dataset!C832&lt;=1,0.3,IF(Dataset!C832=2,0.4,IF(Dataset!C832=3,0.5,IF(Dataset!C832=4,0.65,0.8))))</f>
        <v>0.4</v>
      </c>
      <c r="F832" s="29">
        <f>IF(Dataset!C832&lt;=2,1,IF(Dataset!C832=3,2,IF(Dataset!C832=4,3,4)))</f>
        <v>1</v>
      </c>
      <c r="G832" s="29">
        <f t="shared" si="97"/>
        <v>0.4</v>
      </c>
      <c r="H832" s="29">
        <f>IF(Dataset!G832&lt;=3,0.25,IF(Dataset!G832&lt;=6,0.45,IF(Dataset!G832&lt;=9,0.65,0.85)))</f>
        <v>0.45</v>
      </c>
      <c r="I832" s="29">
        <f>IF(Dataset!G832&lt;=3,1,IF(Dataset!G832&lt;=6,2,IF(Dataset!G832&lt;=9,3,4)))</f>
        <v>2</v>
      </c>
      <c r="J832" s="29">
        <f t="shared" si="98"/>
        <v>0.9</v>
      </c>
      <c r="K832" s="29">
        <f>IF(Dataset!H832&lt;1,0.2,IF(Dataset!H832&lt;1.3,0.45,IF(Dataset!H832&lt;1.8,0.7,0.9)))</f>
        <v>0.9</v>
      </c>
      <c r="L832" s="29">
        <f>IF(Dataset!H832&lt;1,1,IF(Dataset!H832&lt;1.3,2,IF(Dataset!H832&lt;1.8,3,4)))</f>
        <v>4</v>
      </c>
      <c r="M832" s="29">
        <f t="shared" si="99"/>
        <v>3.6</v>
      </c>
      <c r="N832" s="29">
        <f>IF(Dataset!F832=1,0.75,IF(Dataset!F832=2,0.45,0.2))</f>
        <v>0.75</v>
      </c>
      <c r="O832" s="29">
        <f>IF(Dataset!F832=1,3,IF(Dataset!F832=2,2,1))</f>
        <v>3</v>
      </c>
      <c r="P832" s="29">
        <f t="shared" si="100"/>
        <v>2.25</v>
      </c>
      <c r="Q832" s="29">
        <f>IF(Dataset!K832&lt;5,0.2,IF(Dataset!K832&lt;10,0.45,IF(Dataset!K832&lt;18,0.7,0.9)))</f>
        <v>0.2</v>
      </c>
      <c r="R832" s="29">
        <f>IF(Dataset!K832&lt;5,1,IF(Dataset!K832&lt;10,2,IF(Dataset!K832&lt;18,3,4)))</f>
        <v>1</v>
      </c>
      <c r="S832" s="29">
        <f t="shared" si="101"/>
        <v>0.2</v>
      </c>
      <c r="T832" s="29">
        <f t="shared" si="102"/>
        <v>1.5330000000000001</v>
      </c>
      <c r="U832" s="29" t="str">
        <f t="shared" si="103"/>
        <v>Medium</v>
      </c>
    </row>
    <row r="833" spans="1:21" ht="15" customHeight="1" x14ac:dyDescent="0.25">
      <c r="A833" s="29">
        <f>Dataset!A833</f>
        <v>829</v>
      </c>
      <c r="B833" s="29">
        <f>IF(Dataset!B833&lt;25,0.3,IF(Dataset!B833&lt;75,0.5,IF(Dataset!B833&lt;120,0.65,0.8)))</f>
        <v>0.8</v>
      </c>
      <c r="C833" s="29">
        <f>IF(Dataset!B833&lt;25,1,IF(Dataset!B833&lt;75,2,IF(Dataset!B833&lt;120,3,4)))</f>
        <v>4</v>
      </c>
      <c r="D833" s="29">
        <f t="shared" si="96"/>
        <v>3.2</v>
      </c>
      <c r="E833" s="29">
        <f>IF(Dataset!C833&lt;=1,0.3,IF(Dataset!C833=2,0.4,IF(Dataset!C833=3,0.5,IF(Dataset!C833=4,0.65,0.8))))</f>
        <v>0.65</v>
      </c>
      <c r="F833" s="29">
        <f>IF(Dataset!C833&lt;=2,1,IF(Dataset!C833=3,2,IF(Dataset!C833=4,3,4)))</f>
        <v>3</v>
      </c>
      <c r="G833" s="29">
        <f t="shared" si="97"/>
        <v>1.9500000000000002</v>
      </c>
      <c r="H833" s="29">
        <f>IF(Dataset!G833&lt;=3,0.25,IF(Dataset!G833&lt;=6,0.45,IF(Dataset!G833&lt;=9,0.65,0.85)))</f>
        <v>0.85</v>
      </c>
      <c r="I833" s="29">
        <f>IF(Dataset!G833&lt;=3,1,IF(Dataset!G833&lt;=6,2,IF(Dataset!G833&lt;=9,3,4)))</f>
        <v>4</v>
      </c>
      <c r="J833" s="29">
        <f t="shared" si="98"/>
        <v>3.4</v>
      </c>
      <c r="K833" s="29">
        <f>IF(Dataset!H833&lt;1,0.2,IF(Dataset!H833&lt;1.3,0.45,IF(Dataset!H833&lt;1.8,0.7,0.9)))</f>
        <v>0.9</v>
      </c>
      <c r="L833" s="29">
        <f>IF(Dataset!H833&lt;1,1,IF(Dataset!H833&lt;1.3,2,IF(Dataset!H833&lt;1.8,3,4)))</f>
        <v>4</v>
      </c>
      <c r="M833" s="29">
        <f t="shared" si="99"/>
        <v>3.6</v>
      </c>
      <c r="N833" s="29">
        <f>IF(Dataset!F833=1,0.75,IF(Dataset!F833=2,0.45,0.2))</f>
        <v>0.45</v>
      </c>
      <c r="O833" s="29">
        <f>IF(Dataset!F833=1,3,IF(Dataset!F833=2,2,1))</f>
        <v>2</v>
      </c>
      <c r="P833" s="29">
        <f t="shared" si="100"/>
        <v>0.9</v>
      </c>
      <c r="Q833" s="29">
        <f>IF(Dataset!K833&lt;5,0.2,IF(Dataset!K833&lt;10,0.45,IF(Dataset!K833&lt;18,0.7,0.9)))</f>
        <v>0.45</v>
      </c>
      <c r="R833" s="29">
        <f>IF(Dataset!K833&lt;5,1,IF(Dataset!K833&lt;10,2,IF(Dataset!K833&lt;18,3,4)))</f>
        <v>2</v>
      </c>
      <c r="S833" s="29">
        <f t="shared" si="101"/>
        <v>0.9</v>
      </c>
      <c r="T833" s="29">
        <f t="shared" si="102"/>
        <v>2.6089999999999995</v>
      </c>
      <c r="U833" s="29" t="str">
        <f t="shared" si="103"/>
        <v>High</v>
      </c>
    </row>
    <row r="834" spans="1:21" ht="15" customHeight="1" x14ac:dyDescent="0.25">
      <c r="A834" s="29">
        <f>Dataset!A834</f>
        <v>830</v>
      </c>
      <c r="B834" s="29">
        <f>IF(Dataset!B834&lt;25,0.3,IF(Dataset!B834&lt;75,0.5,IF(Dataset!B834&lt;120,0.65,0.8)))</f>
        <v>0.5</v>
      </c>
      <c r="C834" s="29">
        <f>IF(Dataset!B834&lt;25,1,IF(Dataset!B834&lt;75,2,IF(Dataset!B834&lt;120,3,4)))</f>
        <v>2</v>
      </c>
      <c r="D834" s="29">
        <f t="shared" si="96"/>
        <v>1</v>
      </c>
      <c r="E834" s="29">
        <f>IF(Dataset!C834&lt;=1,0.3,IF(Dataset!C834=2,0.4,IF(Dataset!C834=3,0.5,IF(Dataset!C834=4,0.65,0.8))))</f>
        <v>0.4</v>
      </c>
      <c r="F834" s="29">
        <f>IF(Dataset!C834&lt;=2,1,IF(Dataset!C834=3,2,IF(Dataset!C834=4,3,4)))</f>
        <v>1</v>
      </c>
      <c r="G834" s="29">
        <f t="shared" si="97"/>
        <v>0.4</v>
      </c>
      <c r="H834" s="29">
        <f>IF(Dataset!G834&lt;=3,0.25,IF(Dataset!G834&lt;=6,0.45,IF(Dataset!G834&lt;=9,0.65,0.85)))</f>
        <v>0.65</v>
      </c>
      <c r="I834" s="29">
        <f>IF(Dataset!G834&lt;=3,1,IF(Dataset!G834&lt;=6,2,IF(Dataset!G834&lt;=9,3,4)))</f>
        <v>3</v>
      </c>
      <c r="J834" s="29">
        <f t="shared" si="98"/>
        <v>1.9500000000000002</v>
      </c>
      <c r="K834" s="29">
        <f>IF(Dataset!H834&lt;1,0.2,IF(Dataset!H834&lt;1.3,0.45,IF(Dataset!H834&lt;1.8,0.7,0.9)))</f>
        <v>0.9</v>
      </c>
      <c r="L834" s="29">
        <f>IF(Dataset!H834&lt;1,1,IF(Dataset!H834&lt;1.3,2,IF(Dataset!H834&lt;1.8,3,4)))</f>
        <v>4</v>
      </c>
      <c r="M834" s="29">
        <f t="shared" si="99"/>
        <v>3.6</v>
      </c>
      <c r="N834" s="29">
        <f>IF(Dataset!F834=1,0.75,IF(Dataset!F834=2,0.45,0.2))</f>
        <v>0.75</v>
      </c>
      <c r="O834" s="29">
        <f>IF(Dataset!F834=1,3,IF(Dataset!F834=2,2,1))</f>
        <v>3</v>
      </c>
      <c r="P834" s="29">
        <f t="shared" si="100"/>
        <v>2.25</v>
      </c>
      <c r="Q834" s="29">
        <f>IF(Dataset!K834&lt;5,0.2,IF(Dataset!K834&lt;10,0.45,IF(Dataset!K834&lt;18,0.7,0.9)))</f>
        <v>0.2</v>
      </c>
      <c r="R834" s="29">
        <f>IF(Dataset!K834&lt;5,1,IF(Dataset!K834&lt;10,2,IF(Dataset!K834&lt;18,3,4)))</f>
        <v>1</v>
      </c>
      <c r="S834" s="29">
        <f t="shared" si="101"/>
        <v>0.2</v>
      </c>
      <c r="T834" s="29">
        <f t="shared" si="102"/>
        <v>1.7430000000000003</v>
      </c>
      <c r="U834" s="29" t="str">
        <f t="shared" si="103"/>
        <v>Medium</v>
      </c>
    </row>
    <row r="835" spans="1:21" ht="15" customHeight="1" x14ac:dyDescent="0.25">
      <c r="A835" s="29">
        <f>Dataset!A835</f>
        <v>831</v>
      </c>
      <c r="B835" s="29">
        <f>IF(Dataset!B835&lt;25,0.3,IF(Dataset!B835&lt;75,0.5,IF(Dataset!B835&lt;120,0.65,0.8)))</f>
        <v>0.3</v>
      </c>
      <c r="C835" s="29">
        <f>IF(Dataset!B835&lt;25,1,IF(Dataset!B835&lt;75,2,IF(Dataset!B835&lt;120,3,4)))</f>
        <v>1</v>
      </c>
      <c r="D835" s="29">
        <f t="shared" si="96"/>
        <v>0.3</v>
      </c>
      <c r="E835" s="29">
        <f>IF(Dataset!C835&lt;=1,0.3,IF(Dataset!C835=2,0.4,IF(Dataset!C835=3,0.5,IF(Dataset!C835=4,0.65,0.8))))</f>
        <v>0.8</v>
      </c>
      <c r="F835" s="29">
        <f>IF(Dataset!C835&lt;=2,1,IF(Dataset!C835=3,2,IF(Dataset!C835=4,3,4)))</f>
        <v>4</v>
      </c>
      <c r="G835" s="29">
        <f t="shared" si="97"/>
        <v>3.2</v>
      </c>
      <c r="H835" s="29">
        <f>IF(Dataset!G835&lt;=3,0.25,IF(Dataset!G835&lt;=6,0.45,IF(Dataset!G835&lt;=9,0.65,0.85)))</f>
        <v>0.45</v>
      </c>
      <c r="I835" s="29">
        <f>IF(Dataset!G835&lt;=3,1,IF(Dataset!G835&lt;=6,2,IF(Dataset!G835&lt;=9,3,4)))</f>
        <v>2</v>
      </c>
      <c r="J835" s="29">
        <f t="shared" si="98"/>
        <v>0.9</v>
      </c>
      <c r="K835" s="29">
        <f>IF(Dataset!H835&lt;1,0.2,IF(Dataset!H835&lt;1.3,0.45,IF(Dataset!H835&lt;1.8,0.7,0.9)))</f>
        <v>0.9</v>
      </c>
      <c r="L835" s="29">
        <f>IF(Dataset!H835&lt;1,1,IF(Dataset!H835&lt;1.3,2,IF(Dataset!H835&lt;1.8,3,4)))</f>
        <v>4</v>
      </c>
      <c r="M835" s="29">
        <f t="shared" si="99"/>
        <v>3.6</v>
      </c>
      <c r="N835" s="29">
        <f>IF(Dataset!F835=1,0.75,IF(Dataset!F835=2,0.45,0.2))</f>
        <v>0.45</v>
      </c>
      <c r="O835" s="29">
        <f>IF(Dataset!F835=1,3,IF(Dataset!F835=2,2,1))</f>
        <v>2</v>
      </c>
      <c r="P835" s="29">
        <f t="shared" si="100"/>
        <v>0.9</v>
      </c>
      <c r="Q835" s="29">
        <f>IF(Dataset!K835&lt;5,0.2,IF(Dataset!K835&lt;10,0.45,IF(Dataset!K835&lt;18,0.7,0.9)))</f>
        <v>0.7</v>
      </c>
      <c r="R835" s="29">
        <f>IF(Dataset!K835&lt;5,1,IF(Dataset!K835&lt;10,2,IF(Dataset!K835&lt;18,3,4)))</f>
        <v>3</v>
      </c>
      <c r="S835" s="29">
        <f t="shared" si="101"/>
        <v>2.0999999999999996</v>
      </c>
      <c r="T835" s="29">
        <f t="shared" si="102"/>
        <v>1.9300000000000004</v>
      </c>
      <c r="U835" s="29" t="str">
        <f t="shared" si="103"/>
        <v>High</v>
      </c>
    </row>
    <row r="836" spans="1:21" ht="15" customHeight="1" x14ac:dyDescent="0.25">
      <c r="A836" s="29">
        <f>Dataset!A836</f>
        <v>832</v>
      </c>
      <c r="B836" s="29">
        <f>IF(Dataset!B836&lt;25,0.3,IF(Dataset!B836&lt;75,0.5,IF(Dataset!B836&lt;120,0.65,0.8)))</f>
        <v>0.5</v>
      </c>
      <c r="C836" s="29">
        <f>IF(Dataset!B836&lt;25,1,IF(Dataset!B836&lt;75,2,IF(Dataset!B836&lt;120,3,4)))</f>
        <v>2</v>
      </c>
      <c r="D836" s="29">
        <f t="shared" si="96"/>
        <v>1</v>
      </c>
      <c r="E836" s="29">
        <f>IF(Dataset!C836&lt;=1,0.3,IF(Dataset!C836=2,0.4,IF(Dataset!C836=3,0.5,IF(Dataset!C836=4,0.65,0.8))))</f>
        <v>0.4</v>
      </c>
      <c r="F836" s="29">
        <f>IF(Dataset!C836&lt;=2,1,IF(Dataset!C836=3,2,IF(Dataset!C836=4,3,4)))</f>
        <v>1</v>
      </c>
      <c r="G836" s="29">
        <f t="shared" si="97"/>
        <v>0.4</v>
      </c>
      <c r="H836" s="29">
        <f>IF(Dataset!G836&lt;=3,0.25,IF(Dataset!G836&lt;=6,0.45,IF(Dataset!G836&lt;=9,0.65,0.85)))</f>
        <v>0.45</v>
      </c>
      <c r="I836" s="29">
        <f>IF(Dataset!G836&lt;=3,1,IF(Dataset!G836&lt;=6,2,IF(Dataset!G836&lt;=9,3,4)))</f>
        <v>2</v>
      </c>
      <c r="J836" s="29">
        <f t="shared" si="98"/>
        <v>0.9</v>
      </c>
      <c r="K836" s="29">
        <f>IF(Dataset!H836&lt;1,0.2,IF(Dataset!H836&lt;1.3,0.45,IF(Dataset!H836&lt;1.8,0.7,0.9)))</f>
        <v>0.45</v>
      </c>
      <c r="L836" s="29">
        <f>IF(Dataset!H836&lt;1,1,IF(Dataset!H836&lt;1.3,2,IF(Dataset!H836&lt;1.8,3,4)))</f>
        <v>2</v>
      </c>
      <c r="M836" s="29">
        <f t="shared" si="99"/>
        <v>0.9</v>
      </c>
      <c r="N836" s="29">
        <f>IF(Dataset!F836=1,0.75,IF(Dataset!F836=2,0.45,0.2))</f>
        <v>0.2</v>
      </c>
      <c r="O836" s="29">
        <f>IF(Dataset!F836=1,3,IF(Dataset!F836=2,2,1))</f>
        <v>1</v>
      </c>
      <c r="P836" s="29">
        <f t="shared" si="100"/>
        <v>0.2</v>
      </c>
      <c r="Q836" s="29">
        <f>IF(Dataset!K836&lt;5,0.2,IF(Dataset!K836&lt;10,0.45,IF(Dataset!K836&lt;18,0.7,0.9)))</f>
        <v>0.2</v>
      </c>
      <c r="R836" s="29">
        <f>IF(Dataset!K836&lt;5,1,IF(Dataset!K836&lt;10,2,IF(Dataset!K836&lt;18,3,4)))</f>
        <v>1</v>
      </c>
      <c r="S836" s="29">
        <f t="shared" si="101"/>
        <v>0.2</v>
      </c>
      <c r="T836" s="29">
        <f t="shared" si="102"/>
        <v>0.68</v>
      </c>
      <c r="U836" s="29" t="str">
        <f t="shared" si="103"/>
        <v>Low</v>
      </c>
    </row>
    <row r="837" spans="1:21" ht="15" customHeight="1" x14ac:dyDescent="0.25">
      <c r="A837" s="29">
        <f>Dataset!A837</f>
        <v>833</v>
      </c>
      <c r="B837" s="29">
        <f>IF(Dataset!B837&lt;25,0.3,IF(Dataset!B837&lt;75,0.5,IF(Dataset!B837&lt;120,0.65,0.8)))</f>
        <v>0.5</v>
      </c>
      <c r="C837" s="29">
        <f>IF(Dataset!B837&lt;25,1,IF(Dataset!B837&lt;75,2,IF(Dataset!B837&lt;120,3,4)))</f>
        <v>2</v>
      </c>
      <c r="D837" s="29">
        <f t="shared" ref="D837:D900" si="104">B837*C837</f>
        <v>1</v>
      </c>
      <c r="E837" s="29">
        <f>IF(Dataset!C837&lt;=1,0.3,IF(Dataset!C837=2,0.4,IF(Dataset!C837=3,0.5,IF(Dataset!C837=4,0.65,0.8))))</f>
        <v>0.4</v>
      </c>
      <c r="F837" s="29">
        <f>IF(Dataset!C837&lt;=2,1,IF(Dataset!C837=3,2,IF(Dataset!C837=4,3,4)))</f>
        <v>1</v>
      </c>
      <c r="G837" s="29">
        <f t="shared" ref="G837:G900" si="105">E837*F837</f>
        <v>0.4</v>
      </c>
      <c r="H837" s="29">
        <f>IF(Dataset!G837&lt;=3,0.25,IF(Dataset!G837&lt;=6,0.45,IF(Dataset!G837&lt;=9,0.65,0.85)))</f>
        <v>0.25</v>
      </c>
      <c r="I837" s="29">
        <f>IF(Dataset!G837&lt;=3,1,IF(Dataset!G837&lt;=6,2,IF(Dataset!G837&lt;=9,3,4)))</f>
        <v>1</v>
      </c>
      <c r="J837" s="29">
        <f t="shared" ref="J837:J900" si="106">H837*I837</f>
        <v>0.25</v>
      </c>
      <c r="K837" s="29">
        <f>IF(Dataset!H837&lt;1,0.2,IF(Dataset!H837&lt;1.3,0.45,IF(Dataset!H837&lt;1.8,0.7,0.9)))</f>
        <v>0.45</v>
      </c>
      <c r="L837" s="29">
        <f>IF(Dataset!H837&lt;1,1,IF(Dataset!H837&lt;1.3,2,IF(Dataset!H837&lt;1.8,3,4)))</f>
        <v>2</v>
      </c>
      <c r="M837" s="29">
        <f t="shared" ref="M837:M900" si="107">K837*L837</f>
        <v>0.9</v>
      </c>
      <c r="N837" s="29">
        <f>IF(Dataset!F837=1,0.75,IF(Dataset!F837=2,0.45,0.2))</f>
        <v>0.75</v>
      </c>
      <c r="O837" s="29">
        <f>IF(Dataset!F837=1,3,IF(Dataset!F837=2,2,1))</f>
        <v>3</v>
      </c>
      <c r="P837" s="29">
        <f t="shared" ref="P837:P900" si="108">N837*O837</f>
        <v>2.25</v>
      </c>
      <c r="Q837" s="29">
        <f>IF(Dataset!K837&lt;5,0.2,IF(Dataset!K837&lt;10,0.45,IF(Dataset!K837&lt;18,0.7,0.9)))</f>
        <v>0.2</v>
      </c>
      <c r="R837" s="29">
        <f>IF(Dataset!K837&lt;5,1,IF(Dataset!K837&lt;10,2,IF(Dataset!K837&lt;18,3,4)))</f>
        <v>1</v>
      </c>
      <c r="S837" s="29">
        <f t="shared" ref="S837:S900" si="109">Q837*R837</f>
        <v>0.2</v>
      </c>
      <c r="T837" s="29">
        <f t="shared" ref="T837:T900" si="110">$Y$6*D837+$Y$7*G837+$Y$8*J837+$Y$9*M837+$Y$10*P837+$Y$11*S837</f>
        <v>0.755</v>
      </c>
      <c r="U837" s="29" t="str">
        <f t="shared" ref="U837:U900" si="111">IF(T837&lt;=$Y$15,"Low",IF(T837&lt;=$Y$16,"Medium","High"))</f>
        <v>Low</v>
      </c>
    </row>
    <row r="838" spans="1:21" ht="15" customHeight="1" x14ac:dyDescent="0.25">
      <c r="A838" s="29">
        <f>Dataset!A838</f>
        <v>834</v>
      </c>
      <c r="B838" s="29">
        <f>IF(Dataset!B838&lt;25,0.3,IF(Dataset!B838&lt;75,0.5,IF(Dataset!B838&lt;120,0.65,0.8)))</f>
        <v>0.5</v>
      </c>
      <c r="C838" s="29">
        <f>IF(Dataset!B838&lt;25,1,IF(Dataset!B838&lt;75,2,IF(Dataset!B838&lt;120,3,4)))</f>
        <v>2</v>
      </c>
      <c r="D838" s="29">
        <f t="shared" si="104"/>
        <v>1</v>
      </c>
      <c r="E838" s="29">
        <f>IF(Dataset!C838&lt;=1,0.3,IF(Dataset!C838=2,0.4,IF(Dataset!C838=3,0.5,IF(Dataset!C838=4,0.65,0.8))))</f>
        <v>0.8</v>
      </c>
      <c r="F838" s="29">
        <f>IF(Dataset!C838&lt;=2,1,IF(Dataset!C838=3,2,IF(Dataset!C838=4,3,4)))</f>
        <v>4</v>
      </c>
      <c r="G838" s="29">
        <f t="shared" si="105"/>
        <v>3.2</v>
      </c>
      <c r="H838" s="29">
        <f>IF(Dataset!G838&lt;=3,0.25,IF(Dataset!G838&lt;=6,0.45,IF(Dataset!G838&lt;=9,0.65,0.85)))</f>
        <v>0.45</v>
      </c>
      <c r="I838" s="29">
        <f>IF(Dataset!G838&lt;=3,1,IF(Dataset!G838&lt;=6,2,IF(Dataset!G838&lt;=9,3,4)))</f>
        <v>2</v>
      </c>
      <c r="J838" s="29">
        <f t="shared" si="106"/>
        <v>0.9</v>
      </c>
      <c r="K838" s="29">
        <f>IF(Dataset!H838&lt;1,0.2,IF(Dataset!H838&lt;1.3,0.45,IF(Dataset!H838&lt;1.8,0.7,0.9)))</f>
        <v>0.2</v>
      </c>
      <c r="L838" s="29">
        <f>IF(Dataset!H838&lt;1,1,IF(Dataset!H838&lt;1.3,2,IF(Dataset!H838&lt;1.8,3,4)))</f>
        <v>1</v>
      </c>
      <c r="M838" s="29">
        <f t="shared" si="107"/>
        <v>0.2</v>
      </c>
      <c r="N838" s="29">
        <f>IF(Dataset!F838=1,0.75,IF(Dataset!F838=2,0.45,0.2))</f>
        <v>0.45</v>
      </c>
      <c r="O838" s="29">
        <f>IF(Dataset!F838=1,3,IF(Dataset!F838=2,2,1))</f>
        <v>2</v>
      </c>
      <c r="P838" s="29">
        <f t="shared" si="108"/>
        <v>0.9</v>
      </c>
      <c r="Q838" s="29">
        <f>IF(Dataset!K838&lt;5,0.2,IF(Dataset!K838&lt;10,0.45,IF(Dataset!K838&lt;18,0.7,0.9)))</f>
        <v>0.7</v>
      </c>
      <c r="R838" s="29">
        <f>IF(Dataset!K838&lt;5,1,IF(Dataset!K838&lt;10,2,IF(Dataset!K838&lt;18,3,4)))</f>
        <v>3</v>
      </c>
      <c r="S838" s="29">
        <f t="shared" si="109"/>
        <v>2.0999999999999996</v>
      </c>
      <c r="T838" s="29">
        <f t="shared" si="110"/>
        <v>1.2400000000000002</v>
      </c>
      <c r="U838" s="29" t="str">
        <f t="shared" si="111"/>
        <v>Low</v>
      </c>
    </row>
    <row r="839" spans="1:21" ht="15" customHeight="1" x14ac:dyDescent="0.25">
      <c r="A839" s="29">
        <f>Dataset!A839</f>
        <v>835</v>
      </c>
      <c r="B839" s="29">
        <f>IF(Dataset!B839&lt;25,0.3,IF(Dataset!B839&lt;75,0.5,IF(Dataset!B839&lt;120,0.65,0.8)))</f>
        <v>0.5</v>
      </c>
      <c r="C839" s="29">
        <f>IF(Dataset!B839&lt;25,1,IF(Dataset!B839&lt;75,2,IF(Dataset!B839&lt;120,3,4)))</f>
        <v>2</v>
      </c>
      <c r="D839" s="29">
        <f t="shared" si="104"/>
        <v>1</v>
      </c>
      <c r="E839" s="29">
        <f>IF(Dataset!C839&lt;=1,0.3,IF(Dataset!C839=2,0.4,IF(Dataset!C839=3,0.5,IF(Dataset!C839=4,0.65,0.8))))</f>
        <v>0.5</v>
      </c>
      <c r="F839" s="29">
        <f>IF(Dataset!C839&lt;=2,1,IF(Dataset!C839=3,2,IF(Dataset!C839=4,3,4)))</f>
        <v>2</v>
      </c>
      <c r="G839" s="29">
        <f t="shared" si="105"/>
        <v>1</v>
      </c>
      <c r="H839" s="29">
        <f>IF(Dataset!G839&lt;=3,0.25,IF(Dataset!G839&lt;=6,0.45,IF(Dataset!G839&lt;=9,0.65,0.85)))</f>
        <v>0.65</v>
      </c>
      <c r="I839" s="29">
        <f>IF(Dataset!G839&lt;=3,1,IF(Dataset!G839&lt;=6,2,IF(Dataset!G839&lt;=9,3,4)))</f>
        <v>3</v>
      </c>
      <c r="J839" s="29">
        <f t="shared" si="106"/>
        <v>1.9500000000000002</v>
      </c>
      <c r="K839" s="29">
        <f>IF(Dataset!H839&lt;1,0.2,IF(Dataset!H839&lt;1.3,0.45,IF(Dataset!H839&lt;1.8,0.7,0.9)))</f>
        <v>0.9</v>
      </c>
      <c r="L839" s="29">
        <f>IF(Dataset!H839&lt;1,1,IF(Dataset!H839&lt;1.3,2,IF(Dataset!H839&lt;1.8,3,4)))</f>
        <v>4</v>
      </c>
      <c r="M839" s="29">
        <f t="shared" si="107"/>
        <v>3.6</v>
      </c>
      <c r="N839" s="29">
        <f>IF(Dataset!F839=1,0.75,IF(Dataset!F839=2,0.45,0.2))</f>
        <v>0.2</v>
      </c>
      <c r="O839" s="29">
        <f>IF(Dataset!F839=1,3,IF(Dataset!F839=2,2,1))</f>
        <v>1</v>
      </c>
      <c r="P839" s="29">
        <f t="shared" si="108"/>
        <v>0.2</v>
      </c>
      <c r="Q839" s="29">
        <f>IF(Dataset!K839&lt;5,0.2,IF(Dataset!K839&lt;10,0.45,IF(Dataset!K839&lt;18,0.7,0.9)))</f>
        <v>0.45</v>
      </c>
      <c r="R839" s="29">
        <f>IF(Dataset!K839&lt;5,1,IF(Dataset!K839&lt;10,2,IF(Dataset!K839&lt;18,3,4)))</f>
        <v>2</v>
      </c>
      <c r="S839" s="29">
        <f t="shared" si="109"/>
        <v>0.9</v>
      </c>
      <c r="T839" s="29">
        <f t="shared" si="110"/>
        <v>1.7200000000000002</v>
      </c>
      <c r="U839" s="29" t="str">
        <f t="shared" si="111"/>
        <v>Medium</v>
      </c>
    </row>
    <row r="840" spans="1:21" ht="15" customHeight="1" x14ac:dyDescent="0.25">
      <c r="A840" s="29">
        <f>Dataset!A840</f>
        <v>836</v>
      </c>
      <c r="B840" s="29">
        <f>IF(Dataset!B840&lt;25,0.3,IF(Dataset!B840&lt;75,0.5,IF(Dataset!B840&lt;120,0.65,0.8)))</f>
        <v>0.5</v>
      </c>
      <c r="C840" s="29">
        <f>IF(Dataset!B840&lt;25,1,IF(Dataset!B840&lt;75,2,IF(Dataset!B840&lt;120,3,4)))</f>
        <v>2</v>
      </c>
      <c r="D840" s="29">
        <f t="shared" si="104"/>
        <v>1</v>
      </c>
      <c r="E840" s="29">
        <f>IF(Dataset!C840&lt;=1,0.3,IF(Dataset!C840=2,0.4,IF(Dataset!C840=3,0.5,IF(Dataset!C840=4,0.65,0.8))))</f>
        <v>0.5</v>
      </c>
      <c r="F840" s="29">
        <f>IF(Dataset!C840&lt;=2,1,IF(Dataset!C840=3,2,IF(Dataset!C840=4,3,4)))</f>
        <v>2</v>
      </c>
      <c r="G840" s="29">
        <f t="shared" si="105"/>
        <v>1</v>
      </c>
      <c r="H840" s="29">
        <f>IF(Dataset!G840&lt;=3,0.25,IF(Dataset!G840&lt;=6,0.45,IF(Dataset!G840&lt;=9,0.65,0.85)))</f>
        <v>0.45</v>
      </c>
      <c r="I840" s="29">
        <f>IF(Dataset!G840&lt;=3,1,IF(Dataset!G840&lt;=6,2,IF(Dataset!G840&lt;=9,3,4)))</f>
        <v>2</v>
      </c>
      <c r="J840" s="29">
        <f t="shared" si="106"/>
        <v>0.9</v>
      </c>
      <c r="K840" s="29">
        <f>IF(Dataset!H840&lt;1,0.2,IF(Dataset!H840&lt;1.3,0.45,IF(Dataset!H840&lt;1.8,0.7,0.9)))</f>
        <v>0.45</v>
      </c>
      <c r="L840" s="29">
        <f>IF(Dataset!H840&lt;1,1,IF(Dataset!H840&lt;1.3,2,IF(Dataset!H840&lt;1.8,3,4)))</f>
        <v>2</v>
      </c>
      <c r="M840" s="29">
        <f t="shared" si="107"/>
        <v>0.9</v>
      </c>
      <c r="N840" s="29">
        <f>IF(Dataset!F840=1,0.75,IF(Dataset!F840=2,0.45,0.2))</f>
        <v>0.45</v>
      </c>
      <c r="O840" s="29">
        <f>IF(Dataset!F840=1,3,IF(Dataset!F840=2,2,1))</f>
        <v>2</v>
      </c>
      <c r="P840" s="29">
        <f t="shared" si="108"/>
        <v>0.9</v>
      </c>
      <c r="Q840" s="29">
        <f>IF(Dataset!K840&lt;5,0.2,IF(Dataset!K840&lt;10,0.45,IF(Dataset!K840&lt;18,0.7,0.9)))</f>
        <v>0.2</v>
      </c>
      <c r="R840" s="29">
        <f>IF(Dataset!K840&lt;5,1,IF(Dataset!K840&lt;10,2,IF(Dataset!K840&lt;18,3,4)))</f>
        <v>1</v>
      </c>
      <c r="S840" s="29">
        <f t="shared" si="109"/>
        <v>0.2</v>
      </c>
      <c r="T840" s="29">
        <f t="shared" si="110"/>
        <v>0.83399999999999996</v>
      </c>
      <c r="U840" s="29" t="str">
        <f t="shared" si="111"/>
        <v>Low</v>
      </c>
    </row>
    <row r="841" spans="1:21" ht="15" customHeight="1" x14ac:dyDescent="0.25">
      <c r="A841" s="29">
        <f>Dataset!A841</f>
        <v>837</v>
      </c>
      <c r="B841" s="29">
        <f>IF(Dataset!B841&lt;25,0.3,IF(Dataset!B841&lt;75,0.5,IF(Dataset!B841&lt;120,0.65,0.8)))</f>
        <v>0.5</v>
      </c>
      <c r="C841" s="29">
        <f>IF(Dataset!B841&lt;25,1,IF(Dataset!B841&lt;75,2,IF(Dataset!B841&lt;120,3,4)))</f>
        <v>2</v>
      </c>
      <c r="D841" s="29">
        <f t="shared" si="104"/>
        <v>1</v>
      </c>
      <c r="E841" s="29">
        <f>IF(Dataset!C841&lt;=1,0.3,IF(Dataset!C841=2,0.4,IF(Dataset!C841=3,0.5,IF(Dataset!C841=4,0.65,0.8))))</f>
        <v>0.8</v>
      </c>
      <c r="F841" s="29">
        <f>IF(Dataset!C841&lt;=2,1,IF(Dataset!C841=3,2,IF(Dataset!C841=4,3,4)))</f>
        <v>4</v>
      </c>
      <c r="G841" s="29">
        <f t="shared" si="105"/>
        <v>3.2</v>
      </c>
      <c r="H841" s="29">
        <f>IF(Dataset!G841&lt;=3,0.25,IF(Dataset!G841&lt;=6,0.45,IF(Dataset!G841&lt;=9,0.65,0.85)))</f>
        <v>0.45</v>
      </c>
      <c r="I841" s="29">
        <f>IF(Dataset!G841&lt;=3,1,IF(Dataset!G841&lt;=6,2,IF(Dataset!G841&lt;=9,3,4)))</f>
        <v>2</v>
      </c>
      <c r="J841" s="29">
        <f t="shared" si="106"/>
        <v>0.9</v>
      </c>
      <c r="K841" s="29">
        <f>IF(Dataset!H841&lt;1,0.2,IF(Dataset!H841&lt;1.3,0.45,IF(Dataset!H841&lt;1.8,0.7,0.9)))</f>
        <v>0.45</v>
      </c>
      <c r="L841" s="29">
        <f>IF(Dataset!H841&lt;1,1,IF(Dataset!H841&lt;1.3,2,IF(Dataset!H841&lt;1.8,3,4)))</f>
        <v>2</v>
      </c>
      <c r="M841" s="29">
        <f t="shared" si="107"/>
        <v>0.9</v>
      </c>
      <c r="N841" s="29">
        <f>IF(Dataset!F841=1,0.75,IF(Dataset!F841=2,0.45,0.2))</f>
        <v>0.45</v>
      </c>
      <c r="O841" s="29">
        <f>IF(Dataset!F841=1,3,IF(Dataset!F841=2,2,1))</f>
        <v>2</v>
      </c>
      <c r="P841" s="29">
        <f t="shared" si="108"/>
        <v>0.9</v>
      </c>
      <c r="Q841" s="29">
        <f>IF(Dataset!K841&lt;5,0.2,IF(Dataset!K841&lt;10,0.45,IF(Dataset!K841&lt;18,0.7,0.9)))</f>
        <v>0.9</v>
      </c>
      <c r="R841" s="29">
        <f>IF(Dataset!K841&lt;5,1,IF(Dataset!K841&lt;10,2,IF(Dataset!K841&lt;18,3,4)))</f>
        <v>4</v>
      </c>
      <c r="S841" s="29">
        <f t="shared" si="109"/>
        <v>3.6</v>
      </c>
      <c r="T841" s="29">
        <f t="shared" si="110"/>
        <v>1.6180000000000003</v>
      </c>
      <c r="U841" s="29" t="str">
        <f t="shared" si="111"/>
        <v>Medium</v>
      </c>
    </row>
    <row r="842" spans="1:21" ht="15" customHeight="1" x14ac:dyDescent="0.25">
      <c r="A842" s="29">
        <f>Dataset!A842</f>
        <v>838</v>
      </c>
      <c r="B842" s="29">
        <f>IF(Dataset!B842&lt;25,0.3,IF(Dataset!B842&lt;75,0.5,IF(Dataset!B842&lt;120,0.65,0.8)))</f>
        <v>0.5</v>
      </c>
      <c r="C842" s="29">
        <f>IF(Dataset!B842&lt;25,1,IF(Dataset!B842&lt;75,2,IF(Dataset!B842&lt;120,3,4)))</f>
        <v>2</v>
      </c>
      <c r="D842" s="29">
        <f t="shared" si="104"/>
        <v>1</v>
      </c>
      <c r="E842" s="29">
        <f>IF(Dataset!C842&lt;=1,0.3,IF(Dataset!C842=2,0.4,IF(Dataset!C842=3,0.5,IF(Dataset!C842=4,0.65,0.8))))</f>
        <v>0.8</v>
      </c>
      <c r="F842" s="29">
        <f>IF(Dataset!C842&lt;=2,1,IF(Dataset!C842=3,2,IF(Dataset!C842=4,3,4)))</f>
        <v>4</v>
      </c>
      <c r="G842" s="29">
        <f t="shared" si="105"/>
        <v>3.2</v>
      </c>
      <c r="H842" s="29">
        <f>IF(Dataset!G842&lt;=3,0.25,IF(Dataset!G842&lt;=6,0.45,IF(Dataset!G842&lt;=9,0.65,0.85)))</f>
        <v>0.65</v>
      </c>
      <c r="I842" s="29">
        <f>IF(Dataset!G842&lt;=3,1,IF(Dataset!G842&lt;=6,2,IF(Dataset!G842&lt;=9,3,4)))</f>
        <v>3</v>
      </c>
      <c r="J842" s="29">
        <f t="shared" si="106"/>
        <v>1.9500000000000002</v>
      </c>
      <c r="K842" s="29">
        <f>IF(Dataset!H842&lt;1,0.2,IF(Dataset!H842&lt;1.3,0.45,IF(Dataset!H842&lt;1.8,0.7,0.9)))</f>
        <v>0.9</v>
      </c>
      <c r="L842" s="29">
        <f>IF(Dataset!H842&lt;1,1,IF(Dataset!H842&lt;1.3,2,IF(Dataset!H842&lt;1.8,3,4)))</f>
        <v>4</v>
      </c>
      <c r="M842" s="29">
        <f t="shared" si="107"/>
        <v>3.6</v>
      </c>
      <c r="N842" s="29">
        <f>IF(Dataset!F842=1,0.75,IF(Dataset!F842=2,0.45,0.2))</f>
        <v>0.45</v>
      </c>
      <c r="O842" s="29">
        <f>IF(Dataset!F842=1,3,IF(Dataset!F842=2,2,1))</f>
        <v>2</v>
      </c>
      <c r="P842" s="29">
        <f t="shared" si="108"/>
        <v>0.9</v>
      </c>
      <c r="Q842" s="29">
        <f>IF(Dataset!K842&lt;5,0.2,IF(Dataset!K842&lt;10,0.45,IF(Dataset!K842&lt;18,0.7,0.9)))</f>
        <v>0.7</v>
      </c>
      <c r="R842" s="29">
        <f>IF(Dataset!K842&lt;5,1,IF(Dataset!K842&lt;10,2,IF(Dataset!K842&lt;18,3,4)))</f>
        <v>3</v>
      </c>
      <c r="S842" s="29">
        <f t="shared" si="109"/>
        <v>2.0999999999999996</v>
      </c>
      <c r="T842" s="29">
        <f t="shared" si="110"/>
        <v>2.266</v>
      </c>
      <c r="U842" s="29" t="str">
        <f t="shared" si="111"/>
        <v>High</v>
      </c>
    </row>
    <row r="843" spans="1:21" ht="15" customHeight="1" x14ac:dyDescent="0.25">
      <c r="A843" s="29">
        <f>Dataset!A843</f>
        <v>839</v>
      </c>
      <c r="B843" s="29">
        <f>IF(Dataset!B843&lt;25,0.3,IF(Dataset!B843&lt;75,0.5,IF(Dataset!B843&lt;120,0.65,0.8)))</f>
        <v>0.65</v>
      </c>
      <c r="C843" s="29">
        <f>IF(Dataset!B843&lt;25,1,IF(Dataset!B843&lt;75,2,IF(Dataset!B843&lt;120,3,4)))</f>
        <v>3</v>
      </c>
      <c r="D843" s="29">
        <f t="shared" si="104"/>
        <v>1.9500000000000002</v>
      </c>
      <c r="E843" s="29">
        <f>IF(Dataset!C843&lt;=1,0.3,IF(Dataset!C843=2,0.4,IF(Dataset!C843=3,0.5,IF(Dataset!C843=4,0.65,0.8))))</f>
        <v>0.65</v>
      </c>
      <c r="F843" s="29">
        <f>IF(Dataset!C843&lt;=2,1,IF(Dataset!C843=3,2,IF(Dataset!C843=4,3,4)))</f>
        <v>3</v>
      </c>
      <c r="G843" s="29">
        <f t="shared" si="105"/>
        <v>1.9500000000000002</v>
      </c>
      <c r="H843" s="29">
        <f>IF(Dataset!G843&lt;=3,0.25,IF(Dataset!G843&lt;=6,0.45,IF(Dataset!G843&lt;=9,0.65,0.85)))</f>
        <v>0.45</v>
      </c>
      <c r="I843" s="29">
        <f>IF(Dataset!G843&lt;=3,1,IF(Dataset!G843&lt;=6,2,IF(Dataset!G843&lt;=9,3,4)))</f>
        <v>2</v>
      </c>
      <c r="J843" s="29">
        <f t="shared" si="106"/>
        <v>0.9</v>
      </c>
      <c r="K843" s="29">
        <f>IF(Dataset!H843&lt;1,0.2,IF(Dataset!H843&lt;1.3,0.45,IF(Dataset!H843&lt;1.8,0.7,0.9)))</f>
        <v>0.9</v>
      </c>
      <c r="L843" s="29">
        <f>IF(Dataset!H843&lt;1,1,IF(Dataset!H843&lt;1.3,2,IF(Dataset!H843&lt;1.8,3,4)))</f>
        <v>4</v>
      </c>
      <c r="M843" s="29">
        <f t="shared" si="107"/>
        <v>3.6</v>
      </c>
      <c r="N843" s="29">
        <f>IF(Dataset!F843=1,0.75,IF(Dataset!F843=2,0.45,0.2))</f>
        <v>0.75</v>
      </c>
      <c r="O843" s="29">
        <f>IF(Dataset!F843=1,3,IF(Dataset!F843=2,2,1))</f>
        <v>3</v>
      </c>
      <c r="P843" s="29">
        <f t="shared" si="108"/>
        <v>2.25</v>
      </c>
      <c r="Q843" s="29">
        <f>IF(Dataset!K843&lt;5,0.2,IF(Dataset!K843&lt;10,0.45,IF(Dataset!K843&lt;18,0.7,0.9)))</f>
        <v>0.45</v>
      </c>
      <c r="R843" s="29">
        <f>IF(Dataset!K843&lt;5,1,IF(Dataset!K843&lt;10,2,IF(Dataset!K843&lt;18,3,4)))</f>
        <v>2</v>
      </c>
      <c r="S843" s="29">
        <f t="shared" si="109"/>
        <v>0.9</v>
      </c>
      <c r="T843" s="29">
        <f t="shared" si="110"/>
        <v>2.0190000000000001</v>
      </c>
      <c r="U843" s="29" t="str">
        <f t="shared" si="111"/>
        <v>High</v>
      </c>
    </row>
    <row r="844" spans="1:21" ht="15" customHeight="1" x14ac:dyDescent="0.25">
      <c r="A844" s="29">
        <f>Dataset!A844</f>
        <v>840</v>
      </c>
      <c r="B844" s="29">
        <f>IF(Dataset!B844&lt;25,0.3,IF(Dataset!B844&lt;75,0.5,IF(Dataset!B844&lt;120,0.65,0.8)))</f>
        <v>0.8</v>
      </c>
      <c r="C844" s="29">
        <f>IF(Dataset!B844&lt;25,1,IF(Dataset!B844&lt;75,2,IF(Dataset!B844&lt;120,3,4)))</f>
        <v>4</v>
      </c>
      <c r="D844" s="29">
        <f t="shared" si="104"/>
        <v>3.2</v>
      </c>
      <c r="E844" s="29">
        <f>IF(Dataset!C844&lt;=1,0.3,IF(Dataset!C844=2,0.4,IF(Dataset!C844=3,0.5,IF(Dataset!C844=4,0.65,0.8))))</f>
        <v>0.3</v>
      </c>
      <c r="F844" s="29">
        <f>IF(Dataset!C844&lt;=2,1,IF(Dataset!C844=3,2,IF(Dataset!C844=4,3,4)))</f>
        <v>1</v>
      </c>
      <c r="G844" s="29">
        <f t="shared" si="105"/>
        <v>0.3</v>
      </c>
      <c r="H844" s="29">
        <f>IF(Dataset!G844&lt;=3,0.25,IF(Dataset!G844&lt;=6,0.45,IF(Dataset!G844&lt;=9,0.65,0.85)))</f>
        <v>0.45</v>
      </c>
      <c r="I844" s="29">
        <f>IF(Dataset!G844&lt;=3,1,IF(Dataset!G844&lt;=6,2,IF(Dataset!G844&lt;=9,3,4)))</f>
        <v>2</v>
      </c>
      <c r="J844" s="29">
        <f t="shared" si="106"/>
        <v>0.9</v>
      </c>
      <c r="K844" s="29">
        <f>IF(Dataset!H844&lt;1,0.2,IF(Dataset!H844&lt;1.3,0.45,IF(Dataset!H844&lt;1.8,0.7,0.9)))</f>
        <v>0.9</v>
      </c>
      <c r="L844" s="29">
        <f>IF(Dataset!H844&lt;1,1,IF(Dataset!H844&lt;1.3,2,IF(Dataset!H844&lt;1.8,3,4)))</f>
        <v>4</v>
      </c>
      <c r="M844" s="29">
        <f t="shared" si="107"/>
        <v>3.6</v>
      </c>
      <c r="N844" s="29">
        <f>IF(Dataset!F844=1,0.75,IF(Dataset!F844=2,0.45,0.2))</f>
        <v>0.75</v>
      </c>
      <c r="O844" s="29">
        <f>IF(Dataset!F844=1,3,IF(Dataset!F844=2,2,1))</f>
        <v>3</v>
      </c>
      <c r="P844" s="29">
        <f t="shared" si="108"/>
        <v>2.25</v>
      </c>
      <c r="Q844" s="29">
        <f>IF(Dataset!K844&lt;5,0.2,IF(Dataset!K844&lt;10,0.45,IF(Dataset!K844&lt;18,0.7,0.9)))</f>
        <v>0.2</v>
      </c>
      <c r="R844" s="29">
        <f>IF(Dataset!K844&lt;5,1,IF(Dataset!K844&lt;10,2,IF(Dataset!K844&lt;18,3,4)))</f>
        <v>1</v>
      </c>
      <c r="S844" s="29">
        <f t="shared" si="109"/>
        <v>0.2</v>
      </c>
      <c r="T844" s="29">
        <f t="shared" si="110"/>
        <v>1.915</v>
      </c>
      <c r="U844" s="29" t="str">
        <f t="shared" si="111"/>
        <v>High</v>
      </c>
    </row>
    <row r="845" spans="1:21" ht="15" customHeight="1" x14ac:dyDescent="0.25">
      <c r="A845" s="29">
        <f>Dataset!A845</f>
        <v>841</v>
      </c>
      <c r="B845" s="29">
        <f>IF(Dataset!B845&lt;25,0.3,IF(Dataset!B845&lt;75,0.5,IF(Dataset!B845&lt;120,0.65,0.8)))</f>
        <v>0.5</v>
      </c>
      <c r="C845" s="29">
        <f>IF(Dataset!B845&lt;25,1,IF(Dataset!B845&lt;75,2,IF(Dataset!B845&lt;120,3,4)))</f>
        <v>2</v>
      </c>
      <c r="D845" s="29">
        <f t="shared" si="104"/>
        <v>1</v>
      </c>
      <c r="E845" s="29">
        <f>IF(Dataset!C845&lt;=1,0.3,IF(Dataset!C845=2,0.4,IF(Dataset!C845=3,0.5,IF(Dataset!C845=4,0.65,0.8))))</f>
        <v>0.65</v>
      </c>
      <c r="F845" s="29">
        <f>IF(Dataset!C845&lt;=2,1,IF(Dataset!C845=3,2,IF(Dataset!C845=4,3,4)))</f>
        <v>3</v>
      </c>
      <c r="G845" s="29">
        <f t="shared" si="105"/>
        <v>1.9500000000000002</v>
      </c>
      <c r="H845" s="29">
        <f>IF(Dataset!G845&lt;=3,0.25,IF(Dataset!G845&lt;=6,0.45,IF(Dataset!G845&lt;=9,0.65,0.85)))</f>
        <v>0.25</v>
      </c>
      <c r="I845" s="29">
        <f>IF(Dataset!G845&lt;=3,1,IF(Dataset!G845&lt;=6,2,IF(Dataset!G845&lt;=9,3,4)))</f>
        <v>1</v>
      </c>
      <c r="J845" s="29">
        <f t="shared" si="106"/>
        <v>0.25</v>
      </c>
      <c r="K845" s="29">
        <f>IF(Dataset!H845&lt;1,0.2,IF(Dataset!H845&lt;1.3,0.45,IF(Dataset!H845&lt;1.8,0.7,0.9)))</f>
        <v>0.9</v>
      </c>
      <c r="L845" s="29">
        <f>IF(Dataset!H845&lt;1,1,IF(Dataset!H845&lt;1.3,2,IF(Dataset!H845&lt;1.8,3,4)))</f>
        <v>4</v>
      </c>
      <c r="M845" s="29">
        <f t="shared" si="107"/>
        <v>3.6</v>
      </c>
      <c r="N845" s="29">
        <f>IF(Dataset!F845=1,0.75,IF(Dataset!F845=2,0.45,0.2))</f>
        <v>0.45</v>
      </c>
      <c r="O845" s="29">
        <f>IF(Dataset!F845=1,3,IF(Dataset!F845=2,2,1))</f>
        <v>2</v>
      </c>
      <c r="P845" s="29">
        <f t="shared" si="108"/>
        <v>0.9</v>
      </c>
      <c r="Q845" s="29">
        <f>IF(Dataset!K845&lt;5,0.2,IF(Dataset!K845&lt;10,0.45,IF(Dataset!K845&lt;18,0.7,0.9)))</f>
        <v>0.7</v>
      </c>
      <c r="R845" s="29">
        <f>IF(Dataset!K845&lt;5,1,IF(Dataset!K845&lt;10,2,IF(Dataset!K845&lt;18,3,4)))</f>
        <v>3</v>
      </c>
      <c r="S845" s="29">
        <f t="shared" si="109"/>
        <v>2.0999999999999996</v>
      </c>
      <c r="T845" s="29">
        <f t="shared" si="110"/>
        <v>1.7510000000000001</v>
      </c>
      <c r="U845" s="29" t="str">
        <f t="shared" si="111"/>
        <v>Medium</v>
      </c>
    </row>
    <row r="846" spans="1:21" ht="15" customHeight="1" x14ac:dyDescent="0.25">
      <c r="A846" s="29">
        <f>Dataset!A846</f>
        <v>842</v>
      </c>
      <c r="B846" s="29">
        <f>IF(Dataset!B846&lt;25,0.3,IF(Dataset!B846&lt;75,0.5,IF(Dataset!B846&lt;120,0.65,0.8)))</f>
        <v>0.5</v>
      </c>
      <c r="C846" s="29">
        <f>IF(Dataset!B846&lt;25,1,IF(Dataset!B846&lt;75,2,IF(Dataset!B846&lt;120,3,4)))</f>
        <v>2</v>
      </c>
      <c r="D846" s="29">
        <f t="shared" si="104"/>
        <v>1</v>
      </c>
      <c r="E846" s="29">
        <f>IF(Dataset!C846&lt;=1,0.3,IF(Dataset!C846=2,0.4,IF(Dataset!C846=3,0.5,IF(Dataset!C846=4,0.65,0.8))))</f>
        <v>0.8</v>
      </c>
      <c r="F846" s="29">
        <f>IF(Dataset!C846&lt;=2,1,IF(Dataset!C846=3,2,IF(Dataset!C846=4,3,4)))</f>
        <v>4</v>
      </c>
      <c r="G846" s="29">
        <f t="shared" si="105"/>
        <v>3.2</v>
      </c>
      <c r="H846" s="29">
        <f>IF(Dataset!G846&lt;=3,0.25,IF(Dataset!G846&lt;=6,0.45,IF(Dataset!G846&lt;=9,0.65,0.85)))</f>
        <v>0.65</v>
      </c>
      <c r="I846" s="29">
        <f>IF(Dataset!G846&lt;=3,1,IF(Dataset!G846&lt;=6,2,IF(Dataset!G846&lt;=9,3,4)))</f>
        <v>3</v>
      </c>
      <c r="J846" s="29">
        <f t="shared" si="106"/>
        <v>1.9500000000000002</v>
      </c>
      <c r="K846" s="29">
        <f>IF(Dataset!H846&lt;1,0.2,IF(Dataset!H846&lt;1.3,0.45,IF(Dataset!H846&lt;1.8,0.7,0.9)))</f>
        <v>0.2</v>
      </c>
      <c r="L846" s="29">
        <f>IF(Dataset!H846&lt;1,1,IF(Dataset!H846&lt;1.3,2,IF(Dataset!H846&lt;1.8,3,4)))</f>
        <v>1</v>
      </c>
      <c r="M846" s="29">
        <f t="shared" si="107"/>
        <v>0.2</v>
      </c>
      <c r="N846" s="29">
        <f>IF(Dataset!F846=1,0.75,IF(Dataset!F846=2,0.45,0.2))</f>
        <v>0.45</v>
      </c>
      <c r="O846" s="29">
        <f>IF(Dataset!F846=1,3,IF(Dataset!F846=2,2,1))</f>
        <v>2</v>
      </c>
      <c r="P846" s="29">
        <f t="shared" si="108"/>
        <v>0.9</v>
      </c>
      <c r="Q846" s="29">
        <f>IF(Dataset!K846&lt;5,0.2,IF(Dataset!K846&lt;10,0.45,IF(Dataset!K846&lt;18,0.7,0.9)))</f>
        <v>0.9</v>
      </c>
      <c r="R846" s="29">
        <f>IF(Dataset!K846&lt;5,1,IF(Dataset!K846&lt;10,2,IF(Dataset!K846&lt;18,3,4)))</f>
        <v>4</v>
      </c>
      <c r="S846" s="29">
        <f t="shared" si="109"/>
        <v>3.6</v>
      </c>
      <c r="T846" s="29">
        <f t="shared" si="110"/>
        <v>1.6600000000000006</v>
      </c>
      <c r="U846" s="29" t="str">
        <f t="shared" si="111"/>
        <v>Medium</v>
      </c>
    </row>
    <row r="847" spans="1:21" ht="15" customHeight="1" x14ac:dyDescent="0.25">
      <c r="A847" s="29">
        <f>Dataset!A847</f>
        <v>843</v>
      </c>
      <c r="B847" s="29">
        <f>IF(Dataset!B847&lt;25,0.3,IF(Dataset!B847&lt;75,0.5,IF(Dataset!B847&lt;120,0.65,0.8)))</f>
        <v>0.3</v>
      </c>
      <c r="C847" s="29">
        <f>IF(Dataset!B847&lt;25,1,IF(Dataset!B847&lt;75,2,IF(Dataset!B847&lt;120,3,4)))</f>
        <v>1</v>
      </c>
      <c r="D847" s="29">
        <f t="shared" si="104"/>
        <v>0.3</v>
      </c>
      <c r="E847" s="29">
        <f>IF(Dataset!C847&lt;=1,0.3,IF(Dataset!C847=2,0.4,IF(Dataset!C847=3,0.5,IF(Dataset!C847=4,0.65,0.8))))</f>
        <v>0.8</v>
      </c>
      <c r="F847" s="29">
        <f>IF(Dataset!C847&lt;=2,1,IF(Dataset!C847=3,2,IF(Dataset!C847=4,3,4)))</f>
        <v>4</v>
      </c>
      <c r="G847" s="29">
        <f t="shared" si="105"/>
        <v>3.2</v>
      </c>
      <c r="H847" s="29">
        <f>IF(Dataset!G847&lt;=3,0.25,IF(Dataset!G847&lt;=6,0.45,IF(Dataset!G847&lt;=9,0.65,0.85)))</f>
        <v>0.65</v>
      </c>
      <c r="I847" s="29">
        <f>IF(Dataset!G847&lt;=3,1,IF(Dataset!G847&lt;=6,2,IF(Dataset!G847&lt;=9,3,4)))</f>
        <v>3</v>
      </c>
      <c r="J847" s="29">
        <f t="shared" si="106"/>
        <v>1.9500000000000002</v>
      </c>
      <c r="K847" s="29">
        <f>IF(Dataset!H847&lt;1,0.2,IF(Dataset!H847&lt;1.3,0.45,IF(Dataset!H847&lt;1.8,0.7,0.9)))</f>
        <v>0.45</v>
      </c>
      <c r="L847" s="29">
        <f>IF(Dataset!H847&lt;1,1,IF(Dataset!H847&lt;1.3,2,IF(Dataset!H847&lt;1.8,3,4)))</f>
        <v>2</v>
      </c>
      <c r="M847" s="29">
        <f t="shared" si="107"/>
        <v>0.9</v>
      </c>
      <c r="N847" s="29">
        <f>IF(Dataset!F847=1,0.75,IF(Dataset!F847=2,0.45,0.2))</f>
        <v>0.75</v>
      </c>
      <c r="O847" s="29">
        <f>IF(Dataset!F847=1,3,IF(Dataset!F847=2,2,1))</f>
        <v>3</v>
      </c>
      <c r="P847" s="29">
        <f t="shared" si="108"/>
        <v>2.25</v>
      </c>
      <c r="Q847" s="29">
        <f>IF(Dataset!K847&lt;5,0.2,IF(Dataset!K847&lt;10,0.45,IF(Dataset!K847&lt;18,0.7,0.9)))</f>
        <v>0.9</v>
      </c>
      <c r="R847" s="29">
        <f>IF(Dataset!K847&lt;5,1,IF(Dataset!K847&lt;10,2,IF(Dataset!K847&lt;18,3,4)))</f>
        <v>4</v>
      </c>
      <c r="S847" s="29">
        <f t="shared" si="109"/>
        <v>3.6</v>
      </c>
      <c r="T847" s="29">
        <f t="shared" si="110"/>
        <v>1.8370000000000002</v>
      </c>
      <c r="U847" s="29" t="str">
        <f t="shared" si="111"/>
        <v>High</v>
      </c>
    </row>
    <row r="848" spans="1:21" ht="15" customHeight="1" x14ac:dyDescent="0.25">
      <c r="A848" s="29">
        <f>Dataset!A848</f>
        <v>844</v>
      </c>
      <c r="B848" s="29">
        <f>IF(Dataset!B848&lt;25,0.3,IF(Dataset!B848&lt;75,0.5,IF(Dataset!B848&lt;120,0.65,0.8)))</f>
        <v>0.8</v>
      </c>
      <c r="C848" s="29">
        <f>IF(Dataset!B848&lt;25,1,IF(Dataset!B848&lt;75,2,IF(Dataset!B848&lt;120,3,4)))</f>
        <v>4</v>
      </c>
      <c r="D848" s="29">
        <f t="shared" si="104"/>
        <v>3.2</v>
      </c>
      <c r="E848" s="29">
        <f>IF(Dataset!C848&lt;=1,0.3,IF(Dataset!C848=2,0.4,IF(Dataset!C848=3,0.5,IF(Dataset!C848=4,0.65,0.8))))</f>
        <v>0.4</v>
      </c>
      <c r="F848" s="29">
        <f>IF(Dataset!C848&lt;=2,1,IF(Dataset!C848=3,2,IF(Dataset!C848=4,3,4)))</f>
        <v>1</v>
      </c>
      <c r="G848" s="29">
        <f t="shared" si="105"/>
        <v>0.4</v>
      </c>
      <c r="H848" s="29">
        <f>IF(Dataset!G848&lt;=3,0.25,IF(Dataset!G848&lt;=6,0.45,IF(Dataset!G848&lt;=9,0.65,0.85)))</f>
        <v>0.45</v>
      </c>
      <c r="I848" s="29">
        <f>IF(Dataset!G848&lt;=3,1,IF(Dataset!G848&lt;=6,2,IF(Dataset!G848&lt;=9,3,4)))</f>
        <v>2</v>
      </c>
      <c r="J848" s="29">
        <f t="shared" si="106"/>
        <v>0.9</v>
      </c>
      <c r="K848" s="29">
        <f>IF(Dataset!H848&lt;1,0.2,IF(Dataset!H848&lt;1.3,0.45,IF(Dataset!H848&lt;1.8,0.7,0.9)))</f>
        <v>0.7</v>
      </c>
      <c r="L848" s="29">
        <f>IF(Dataset!H848&lt;1,1,IF(Dataset!H848&lt;1.3,2,IF(Dataset!H848&lt;1.8,3,4)))</f>
        <v>3</v>
      </c>
      <c r="M848" s="29">
        <f t="shared" si="107"/>
        <v>2.0999999999999996</v>
      </c>
      <c r="N848" s="29">
        <f>IF(Dataset!F848=1,0.75,IF(Dataset!F848=2,0.45,0.2))</f>
        <v>0.75</v>
      </c>
      <c r="O848" s="29">
        <f>IF(Dataset!F848=1,3,IF(Dataset!F848=2,2,1))</f>
        <v>3</v>
      </c>
      <c r="P848" s="29">
        <f t="shared" si="108"/>
        <v>2.25</v>
      </c>
      <c r="Q848" s="29">
        <f>IF(Dataset!K848&lt;5,0.2,IF(Dataset!K848&lt;10,0.45,IF(Dataset!K848&lt;18,0.7,0.9)))</f>
        <v>0.2</v>
      </c>
      <c r="R848" s="29">
        <f>IF(Dataset!K848&lt;5,1,IF(Dataset!K848&lt;10,2,IF(Dataset!K848&lt;18,3,4)))</f>
        <v>1</v>
      </c>
      <c r="S848" s="29">
        <f t="shared" si="109"/>
        <v>0.2</v>
      </c>
      <c r="T848" s="29">
        <f t="shared" si="110"/>
        <v>1.569</v>
      </c>
      <c r="U848" s="29" t="str">
        <f t="shared" si="111"/>
        <v>Medium</v>
      </c>
    </row>
    <row r="849" spans="1:21" ht="15" customHeight="1" x14ac:dyDescent="0.25">
      <c r="A849" s="29">
        <f>Dataset!A849</f>
        <v>845</v>
      </c>
      <c r="B849" s="29">
        <f>IF(Dataset!B849&lt;25,0.3,IF(Dataset!B849&lt;75,0.5,IF(Dataset!B849&lt;120,0.65,0.8)))</f>
        <v>0.65</v>
      </c>
      <c r="C849" s="29">
        <f>IF(Dataset!B849&lt;25,1,IF(Dataset!B849&lt;75,2,IF(Dataset!B849&lt;120,3,4)))</f>
        <v>3</v>
      </c>
      <c r="D849" s="29">
        <f t="shared" si="104"/>
        <v>1.9500000000000002</v>
      </c>
      <c r="E849" s="29">
        <f>IF(Dataset!C849&lt;=1,0.3,IF(Dataset!C849=2,0.4,IF(Dataset!C849=3,0.5,IF(Dataset!C849=4,0.65,0.8))))</f>
        <v>0.5</v>
      </c>
      <c r="F849" s="29">
        <f>IF(Dataset!C849&lt;=2,1,IF(Dataset!C849=3,2,IF(Dataset!C849=4,3,4)))</f>
        <v>2</v>
      </c>
      <c r="G849" s="29">
        <f t="shared" si="105"/>
        <v>1</v>
      </c>
      <c r="H849" s="29">
        <f>IF(Dataset!G849&lt;=3,0.25,IF(Dataset!G849&lt;=6,0.45,IF(Dataset!G849&lt;=9,0.65,0.85)))</f>
        <v>0.45</v>
      </c>
      <c r="I849" s="29">
        <f>IF(Dataset!G849&lt;=3,1,IF(Dataset!G849&lt;=6,2,IF(Dataset!G849&lt;=9,3,4)))</f>
        <v>2</v>
      </c>
      <c r="J849" s="29">
        <f t="shared" si="106"/>
        <v>0.9</v>
      </c>
      <c r="K849" s="29">
        <f>IF(Dataset!H849&lt;1,0.2,IF(Dataset!H849&lt;1.3,0.45,IF(Dataset!H849&lt;1.8,0.7,0.9)))</f>
        <v>0.45</v>
      </c>
      <c r="L849" s="29">
        <f>IF(Dataset!H849&lt;1,1,IF(Dataset!H849&lt;1.3,2,IF(Dataset!H849&lt;1.8,3,4)))</f>
        <v>2</v>
      </c>
      <c r="M849" s="29">
        <f t="shared" si="107"/>
        <v>0.9</v>
      </c>
      <c r="N849" s="29">
        <f>IF(Dataset!F849=1,0.75,IF(Dataset!F849=2,0.45,0.2))</f>
        <v>0.2</v>
      </c>
      <c r="O849" s="29">
        <f>IF(Dataset!F849=1,3,IF(Dataset!F849=2,2,1))</f>
        <v>1</v>
      </c>
      <c r="P849" s="29">
        <f t="shared" si="108"/>
        <v>0.2</v>
      </c>
      <c r="Q849" s="29">
        <f>IF(Dataset!K849&lt;5,0.2,IF(Dataset!K849&lt;10,0.45,IF(Dataset!K849&lt;18,0.7,0.9)))</f>
        <v>0.45</v>
      </c>
      <c r="R849" s="29">
        <f>IF(Dataset!K849&lt;5,1,IF(Dataset!K849&lt;10,2,IF(Dataset!K849&lt;18,3,4)))</f>
        <v>2</v>
      </c>
      <c r="S849" s="29">
        <f t="shared" si="109"/>
        <v>0.9</v>
      </c>
      <c r="T849" s="29">
        <f t="shared" si="110"/>
        <v>1.0330000000000001</v>
      </c>
      <c r="U849" s="29" t="str">
        <f t="shared" si="111"/>
        <v>Low</v>
      </c>
    </row>
    <row r="850" spans="1:21" ht="15" customHeight="1" x14ac:dyDescent="0.25">
      <c r="A850" s="29">
        <f>Dataset!A850</f>
        <v>846</v>
      </c>
      <c r="B850" s="29">
        <f>IF(Dataset!B850&lt;25,0.3,IF(Dataset!B850&lt;75,0.5,IF(Dataset!B850&lt;120,0.65,0.8)))</f>
        <v>0.5</v>
      </c>
      <c r="C850" s="29">
        <f>IF(Dataset!B850&lt;25,1,IF(Dataset!B850&lt;75,2,IF(Dataset!B850&lt;120,3,4)))</f>
        <v>2</v>
      </c>
      <c r="D850" s="29">
        <f t="shared" si="104"/>
        <v>1</v>
      </c>
      <c r="E850" s="29">
        <f>IF(Dataset!C850&lt;=1,0.3,IF(Dataset!C850=2,0.4,IF(Dataset!C850=3,0.5,IF(Dataset!C850=4,0.65,0.8))))</f>
        <v>0.5</v>
      </c>
      <c r="F850" s="29">
        <f>IF(Dataset!C850&lt;=2,1,IF(Dataset!C850=3,2,IF(Dataset!C850=4,3,4)))</f>
        <v>2</v>
      </c>
      <c r="G850" s="29">
        <f t="shared" si="105"/>
        <v>1</v>
      </c>
      <c r="H850" s="29">
        <f>IF(Dataset!G850&lt;=3,0.25,IF(Dataset!G850&lt;=6,0.45,IF(Dataset!G850&lt;=9,0.65,0.85)))</f>
        <v>0.65</v>
      </c>
      <c r="I850" s="29">
        <f>IF(Dataset!G850&lt;=3,1,IF(Dataset!G850&lt;=6,2,IF(Dataset!G850&lt;=9,3,4)))</f>
        <v>3</v>
      </c>
      <c r="J850" s="29">
        <f t="shared" si="106"/>
        <v>1.9500000000000002</v>
      </c>
      <c r="K850" s="29">
        <f>IF(Dataset!H850&lt;1,0.2,IF(Dataset!H850&lt;1.3,0.45,IF(Dataset!H850&lt;1.8,0.7,0.9)))</f>
        <v>0.9</v>
      </c>
      <c r="L850" s="29">
        <f>IF(Dataset!H850&lt;1,1,IF(Dataset!H850&lt;1.3,2,IF(Dataset!H850&lt;1.8,3,4)))</f>
        <v>4</v>
      </c>
      <c r="M850" s="29">
        <f t="shared" si="107"/>
        <v>3.6</v>
      </c>
      <c r="N850" s="29">
        <f>IF(Dataset!F850=1,0.75,IF(Dataset!F850=2,0.45,0.2))</f>
        <v>0.75</v>
      </c>
      <c r="O850" s="29">
        <f>IF(Dataset!F850=1,3,IF(Dataset!F850=2,2,1))</f>
        <v>3</v>
      </c>
      <c r="P850" s="29">
        <f t="shared" si="108"/>
        <v>2.25</v>
      </c>
      <c r="Q850" s="29">
        <f>IF(Dataset!K850&lt;5,0.2,IF(Dataset!K850&lt;10,0.45,IF(Dataset!K850&lt;18,0.7,0.9)))</f>
        <v>0.45</v>
      </c>
      <c r="R850" s="29">
        <f>IF(Dataset!K850&lt;5,1,IF(Dataset!K850&lt;10,2,IF(Dataset!K850&lt;18,3,4)))</f>
        <v>2</v>
      </c>
      <c r="S850" s="29">
        <f t="shared" si="109"/>
        <v>0.9</v>
      </c>
      <c r="T850" s="29">
        <f t="shared" si="110"/>
        <v>1.9250000000000003</v>
      </c>
      <c r="U850" s="29" t="str">
        <f t="shared" si="111"/>
        <v>High</v>
      </c>
    </row>
    <row r="851" spans="1:21" ht="15" customHeight="1" x14ac:dyDescent="0.25">
      <c r="A851" s="29">
        <f>Dataset!A851</f>
        <v>847</v>
      </c>
      <c r="B851" s="29">
        <f>IF(Dataset!B851&lt;25,0.3,IF(Dataset!B851&lt;75,0.5,IF(Dataset!B851&lt;120,0.65,0.8)))</f>
        <v>0.3</v>
      </c>
      <c r="C851" s="29">
        <f>IF(Dataset!B851&lt;25,1,IF(Dataset!B851&lt;75,2,IF(Dataset!B851&lt;120,3,4)))</f>
        <v>1</v>
      </c>
      <c r="D851" s="29">
        <f t="shared" si="104"/>
        <v>0.3</v>
      </c>
      <c r="E851" s="29">
        <f>IF(Dataset!C851&lt;=1,0.3,IF(Dataset!C851=2,0.4,IF(Dataset!C851=3,0.5,IF(Dataset!C851=4,0.65,0.8))))</f>
        <v>0.4</v>
      </c>
      <c r="F851" s="29">
        <f>IF(Dataset!C851&lt;=2,1,IF(Dataset!C851=3,2,IF(Dataset!C851=4,3,4)))</f>
        <v>1</v>
      </c>
      <c r="G851" s="29">
        <f t="shared" si="105"/>
        <v>0.4</v>
      </c>
      <c r="H851" s="29">
        <f>IF(Dataset!G851&lt;=3,0.25,IF(Dataset!G851&lt;=6,0.45,IF(Dataset!G851&lt;=9,0.65,0.85)))</f>
        <v>0.45</v>
      </c>
      <c r="I851" s="29">
        <f>IF(Dataset!G851&lt;=3,1,IF(Dataset!G851&lt;=6,2,IF(Dataset!G851&lt;=9,3,4)))</f>
        <v>2</v>
      </c>
      <c r="J851" s="29">
        <f t="shared" si="106"/>
        <v>0.9</v>
      </c>
      <c r="K851" s="29">
        <f>IF(Dataset!H851&lt;1,0.2,IF(Dataset!H851&lt;1.3,0.45,IF(Dataset!H851&lt;1.8,0.7,0.9)))</f>
        <v>0.7</v>
      </c>
      <c r="L851" s="29">
        <f>IF(Dataset!H851&lt;1,1,IF(Dataset!H851&lt;1.3,2,IF(Dataset!H851&lt;1.8,3,4)))</f>
        <v>3</v>
      </c>
      <c r="M851" s="29">
        <f t="shared" si="107"/>
        <v>2.0999999999999996</v>
      </c>
      <c r="N851" s="29">
        <f>IF(Dataset!F851=1,0.75,IF(Dataset!F851=2,0.45,0.2))</f>
        <v>0.45</v>
      </c>
      <c r="O851" s="29">
        <f>IF(Dataset!F851=1,3,IF(Dataset!F851=2,2,1))</f>
        <v>2</v>
      </c>
      <c r="P851" s="29">
        <f t="shared" si="108"/>
        <v>0.9</v>
      </c>
      <c r="Q851" s="29">
        <f>IF(Dataset!K851&lt;5,0.2,IF(Dataset!K851&lt;10,0.45,IF(Dataset!K851&lt;18,0.7,0.9)))</f>
        <v>0.45</v>
      </c>
      <c r="R851" s="29">
        <f>IF(Dataset!K851&lt;5,1,IF(Dataset!K851&lt;10,2,IF(Dataset!K851&lt;18,3,4)))</f>
        <v>2</v>
      </c>
      <c r="S851" s="29">
        <f t="shared" si="109"/>
        <v>0.9</v>
      </c>
      <c r="T851" s="29">
        <f t="shared" si="110"/>
        <v>1.01</v>
      </c>
      <c r="U851" s="29" t="str">
        <f t="shared" si="111"/>
        <v>Low</v>
      </c>
    </row>
    <row r="852" spans="1:21" ht="15" customHeight="1" x14ac:dyDescent="0.25">
      <c r="A852" s="29">
        <f>Dataset!A852</f>
        <v>848</v>
      </c>
      <c r="B852" s="29">
        <f>IF(Dataset!B852&lt;25,0.3,IF(Dataset!B852&lt;75,0.5,IF(Dataset!B852&lt;120,0.65,0.8)))</f>
        <v>0.5</v>
      </c>
      <c r="C852" s="29">
        <f>IF(Dataset!B852&lt;25,1,IF(Dataset!B852&lt;75,2,IF(Dataset!B852&lt;120,3,4)))</f>
        <v>2</v>
      </c>
      <c r="D852" s="29">
        <f t="shared" si="104"/>
        <v>1</v>
      </c>
      <c r="E852" s="29">
        <f>IF(Dataset!C852&lt;=1,0.3,IF(Dataset!C852=2,0.4,IF(Dataset!C852=3,0.5,IF(Dataset!C852=4,0.65,0.8))))</f>
        <v>0.65</v>
      </c>
      <c r="F852" s="29">
        <f>IF(Dataset!C852&lt;=2,1,IF(Dataset!C852=3,2,IF(Dataset!C852=4,3,4)))</f>
        <v>3</v>
      </c>
      <c r="G852" s="29">
        <f t="shared" si="105"/>
        <v>1.9500000000000002</v>
      </c>
      <c r="H852" s="29">
        <f>IF(Dataset!G852&lt;=3,0.25,IF(Dataset!G852&lt;=6,0.45,IF(Dataset!G852&lt;=9,0.65,0.85)))</f>
        <v>0.45</v>
      </c>
      <c r="I852" s="29">
        <f>IF(Dataset!G852&lt;=3,1,IF(Dataset!G852&lt;=6,2,IF(Dataset!G852&lt;=9,3,4)))</f>
        <v>2</v>
      </c>
      <c r="J852" s="29">
        <f t="shared" si="106"/>
        <v>0.9</v>
      </c>
      <c r="K852" s="29">
        <f>IF(Dataset!H852&lt;1,0.2,IF(Dataset!H852&lt;1.3,0.45,IF(Dataset!H852&lt;1.8,0.7,0.9)))</f>
        <v>0.45</v>
      </c>
      <c r="L852" s="29">
        <f>IF(Dataset!H852&lt;1,1,IF(Dataset!H852&lt;1.3,2,IF(Dataset!H852&lt;1.8,3,4)))</f>
        <v>2</v>
      </c>
      <c r="M852" s="29">
        <f t="shared" si="107"/>
        <v>0.9</v>
      </c>
      <c r="N852" s="29">
        <f>IF(Dataset!F852=1,0.75,IF(Dataset!F852=2,0.45,0.2))</f>
        <v>0.45</v>
      </c>
      <c r="O852" s="29">
        <f>IF(Dataset!F852=1,3,IF(Dataset!F852=2,2,1))</f>
        <v>2</v>
      </c>
      <c r="P852" s="29">
        <f t="shared" si="108"/>
        <v>0.9</v>
      </c>
      <c r="Q852" s="29">
        <f>IF(Dataset!K852&lt;5,0.2,IF(Dataset!K852&lt;10,0.45,IF(Dataset!K852&lt;18,0.7,0.9)))</f>
        <v>0.7</v>
      </c>
      <c r="R852" s="29">
        <f>IF(Dataset!K852&lt;5,1,IF(Dataset!K852&lt;10,2,IF(Dataset!K852&lt;18,3,4)))</f>
        <v>3</v>
      </c>
      <c r="S852" s="29">
        <f t="shared" si="109"/>
        <v>2.0999999999999996</v>
      </c>
      <c r="T852" s="29">
        <f t="shared" si="110"/>
        <v>1.2330000000000001</v>
      </c>
      <c r="U852" s="29" t="str">
        <f t="shared" si="111"/>
        <v>Low</v>
      </c>
    </row>
    <row r="853" spans="1:21" ht="15" customHeight="1" x14ac:dyDescent="0.25">
      <c r="A853" s="29">
        <f>Dataset!A853</f>
        <v>849</v>
      </c>
      <c r="B853" s="29">
        <f>IF(Dataset!B853&lt;25,0.3,IF(Dataset!B853&lt;75,0.5,IF(Dataset!B853&lt;120,0.65,0.8)))</f>
        <v>0.5</v>
      </c>
      <c r="C853" s="29">
        <f>IF(Dataset!B853&lt;25,1,IF(Dataset!B853&lt;75,2,IF(Dataset!B853&lt;120,3,4)))</f>
        <v>2</v>
      </c>
      <c r="D853" s="29">
        <f t="shared" si="104"/>
        <v>1</v>
      </c>
      <c r="E853" s="29">
        <f>IF(Dataset!C853&lt;=1,0.3,IF(Dataset!C853=2,0.4,IF(Dataset!C853=3,0.5,IF(Dataset!C853=4,0.65,0.8))))</f>
        <v>0.5</v>
      </c>
      <c r="F853" s="29">
        <f>IF(Dataset!C853&lt;=2,1,IF(Dataset!C853=3,2,IF(Dataset!C853=4,3,4)))</f>
        <v>2</v>
      </c>
      <c r="G853" s="29">
        <f t="shared" si="105"/>
        <v>1</v>
      </c>
      <c r="H853" s="29">
        <f>IF(Dataset!G853&lt;=3,0.25,IF(Dataset!G853&lt;=6,0.45,IF(Dataset!G853&lt;=9,0.65,0.85)))</f>
        <v>0.45</v>
      </c>
      <c r="I853" s="29">
        <f>IF(Dataset!G853&lt;=3,1,IF(Dataset!G853&lt;=6,2,IF(Dataset!G853&lt;=9,3,4)))</f>
        <v>2</v>
      </c>
      <c r="J853" s="29">
        <f t="shared" si="106"/>
        <v>0.9</v>
      </c>
      <c r="K853" s="29">
        <f>IF(Dataset!H853&lt;1,0.2,IF(Dataset!H853&lt;1.3,0.45,IF(Dataset!H853&lt;1.8,0.7,0.9)))</f>
        <v>0.7</v>
      </c>
      <c r="L853" s="29">
        <f>IF(Dataset!H853&lt;1,1,IF(Dataset!H853&lt;1.3,2,IF(Dataset!H853&lt;1.8,3,4)))</f>
        <v>3</v>
      </c>
      <c r="M853" s="29">
        <f t="shared" si="107"/>
        <v>2.0999999999999996</v>
      </c>
      <c r="N853" s="29">
        <f>IF(Dataset!F853=1,0.75,IF(Dataset!F853=2,0.45,0.2))</f>
        <v>0.45</v>
      </c>
      <c r="O853" s="29">
        <f>IF(Dataset!F853=1,3,IF(Dataset!F853=2,2,1))</f>
        <v>2</v>
      </c>
      <c r="P853" s="29">
        <f t="shared" si="108"/>
        <v>0.9</v>
      </c>
      <c r="Q853" s="29">
        <f>IF(Dataset!K853&lt;5,0.2,IF(Dataset!K853&lt;10,0.45,IF(Dataset!K853&lt;18,0.7,0.9)))</f>
        <v>0.2</v>
      </c>
      <c r="R853" s="29">
        <f>IF(Dataset!K853&lt;5,1,IF(Dataset!K853&lt;10,2,IF(Dataset!K853&lt;18,3,4)))</f>
        <v>1</v>
      </c>
      <c r="S853" s="29">
        <f t="shared" si="109"/>
        <v>0.2</v>
      </c>
      <c r="T853" s="29">
        <f t="shared" si="110"/>
        <v>1.1220000000000001</v>
      </c>
      <c r="U853" s="29" t="str">
        <f t="shared" si="111"/>
        <v>Low</v>
      </c>
    </row>
    <row r="854" spans="1:21" ht="15" customHeight="1" x14ac:dyDescent="0.25">
      <c r="A854" s="29">
        <f>Dataset!A854</f>
        <v>850</v>
      </c>
      <c r="B854" s="29">
        <f>IF(Dataset!B854&lt;25,0.3,IF(Dataset!B854&lt;75,0.5,IF(Dataset!B854&lt;120,0.65,0.8)))</f>
        <v>0.5</v>
      </c>
      <c r="C854" s="29">
        <f>IF(Dataset!B854&lt;25,1,IF(Dataset!B854&lt;75,2,IF(Dataset!B854&lt;120,3,4)))</f>
        <v>2</v>
      </c>
      <c r="D854" s="29">
        <f t="shared" si="104"/>
        <v>1</v>
      </c>
      <c r="E854" s="29">
        <f>IF(Dataset!C854&lt;=1,0.3,IF(Dataset!C854=2,0.4,IF(Dataset!C854=3,0.5,IF(Dataset!C854=4,0.65,0.8))))</f>
        <v>0.5</v>
      </c>
      <c r="F854" s="29">
        <f>IF(Dataset!C854&lt;=2,1,IF(Dataset!C854=3,2,IF(Dataset!C854=4,3,4)))</f>
        <v>2</v>
      </c>
      <c r="G854" s="29">
        <f t="shared" si="105"/>
        <v>1</v>
      </c>
      <c r="H854" s="29">
        <f>IF(Dataset!G854&lt;=3,0.25,IF(Dataset!G854&lt;=6,0.45,IF(Dataset!G854&lt;=9,0.65,0.85)))</f>
        <v>0.45</v>
      </c>
      <c r="I854" s="29">
        <f>IF(Dataset!G854&lt;=3,1,IF(Dataset!G854&lt;=6,2,IF(Dataset!G854&lt;=9,3,4)))</f>
        <v>2</v>
      </c>
      <c r="J854" s="29">
        <f t="shared" si="106"/>
        <v>0.9</v>
      </c>
      <c r="K854" s="29">
        <f>IF(Dataset!H854&lt;1,0.2,IF(Dataset!H854&lt;1.3,0.45,IF(Dataset!H854&lt;1.8,0.7,0.9)))</f>
        <v>0.9</v>
      </c>
      <c r="L854" s="29">
        <f>IF(Dataset!H854&lt;1,1,IF(Dataset!H854&lt;1.3,2,IF(Dataset!H854&lt;1.8,3,4)))</f>
        <v>4</v>
      </c>
      <c r="M854" s="29">
        <f t="shared" si="107"/>
        <v>3.6</v>
      </c>
      <c r="N854" s="29">
        <f>IF(Dataset!F854=1,0.75,IF(Dataset!F854=2,0.45,0.2))</f>
        <v>0.75</v>
      </c>
      <c r="O854" s="29">
        <f>IF(Dataset!F854=1,3,IF(Dataset!F854=2,2,1))</f>
        <v>3</v>
      </c>
      <c r="P854" s="29">
        <f t="shared" si="108"/>
        <v>2.25</v>
      </c>
      <c r="Q854" s="29">
        <f>IF(Dataset!K854&lt;5,0.2,IF(Dataset!K854&lt;10,0.45,IF(Dataset!K854&lt;18,0.7,0.9)))</f>
        <v>0.45</v>
      </c>
      <c r="R854" s="29">
        <f>IF(Dataset!K854&lt;5,1,IF(Dataset!K854&lt;10,2,IF(Dataset!K854&lt;18,3,4)))</f>
        <v>2</v>
      </c>
      <c r="S854" s="29">
        <f t="shared" si="109"/>
        <v>0.9</v>
      </c>
      <c r="T854" s="29">
        <f t="shared" si="110"/>
        <v>1.7150000000000001</v>
      </c>
      <c r="U854" s="29" t="str">
        <f t="shared" si="111"/>
        <v>Medium</v>
      </c>
    </row>
    <row r="855" spans="1:21" ht="15" customHeight="1" x14ac:dyDescent="0.25">
      <c r="A855" s="29">
        <f>Dataset!A855</f>
        <v>851</v>
      </c>
      <c r="B855" s="29">
        <f>IF(Dataset!B855&lt;25,0.3,IF(Dataset!B855&lt;75,0.5,IF(Dataset!B855&lt;120,0.65,0.8)))</f>
        <v>0.3</v>
      </c>
      <c r="C855" s="29">
        <f>IF(Dataset!B855&lt;25,1,IF(Dataset!B855&lt;75,2,IF(Dataset!B855&lt;120,3,4)))</f>
        <v>1</v>
      </c>
      <c r="D855" s="29">
        <f t="shared" si="104"/>
        <v>0.3</v>
      </c>
      <c r="E855" s="29">
        <f>IF(Dataset!C855&lt;=1,0.3,IF(Dataset!C855=2,0.4,IF(Dataset!C855=3,0.5,IF(Dataset!C855=4,0.65,0.8))))</f>
        <v>0.4</v>
      </c>
      <c r="F855" s="29">
        <f>IF(Dataset!C855&lt;=2,1,IF(Dataset!C855=3,2,IF(Dataset!C855=4,3,4)))</f>
        <v>1</v>
      </c>
      <c r="G855" s="29">
        <f t="shared" si="105"/>
        <v>0.4</v>
      </c>
      <c r="H855" s="29">
        <f>IF(Dataset!G855&lt;=3,0.25,IF(Dataset!G855&lt;=6,0.45,IF(Dataset!G855&lt;=9,0.65,0.85)))</f>
        <v>0.65</v>
      </c>
      <c r="I855" s="29">
        <f>IF(Dataset!G855&lt;=3,1,IF(Dataset!G855&lt;=6,2,IF(Dataset!G855&lt;=9,3,4)))</f>
        <v>3</v>
      </c>
      <c r="J855" s="29">
        <f t="shared" si="106"/>
        <v>1.9500000000000002</v>
      </c>
      <c r="K855" s="29">
        <f>IF(Dataset!H855&lt;1,0.2,IF(Dataset!H855&lt;1.3,0.45,IF(Dataset!H855&lt;1.8,0.7,0.9)))</f>
        <v>0.45</v>
      </c>
      <c r="L855" s="29">
        <f>IF(Dataset!H855&lt;1,1,IF(Dataset!H855&lt;1.3,2,IF(Dataset!H855&lt;1.8,3,4)))</f>
        <v>2</v>
      </c>
      <c r="M855" s="29">
        <f t="shared" si="107"/>
        <v>0.9</v>
      </c>
      <c r="N855" s="29">
        <f>IF(Dataset!F855=1,0.75,IF(Dataset!F855=2,0.45,0.2))</f>
        <v>0.75</v>
      </c>
      <c r="O855" s="29">
        <f>IF(Dataset!F855=1,3,IF(Dataset!F855=2,2,1))</f>
        <v>3</v>
      </c>
      <c r="P855" s="29">
        <f t="shared" si="108"/>
        <v>2.25</v>
      </c>
      <c r="Q855" s="29">
        <f>IF(Dataset!K855&lt;5,0.2,IF(Dataset!K855&lt;10,0.45,IF(Dataset!K855&lt;18,0.7,0.9)))</f>
        <v>0.2</v>
      </c>
      <c r="R855" s="29">
        <f>IF(Dataset!K855&lt;5,1,IF(Dataset!K855&lt;10,2,IF(Dataset!K855&lt;18,3,4)))</f>
        <v>1</v>
      </c>
      <c r="S855" s="29">
        <f t="shared" si="109"/>
        <v>0.2</v>
      </c>
      <c r="T855" s="29">
        <f t="shared" si="110"/>
        <v>0.96900000000000008</v>
      </c>
      <c r="U855" s="29" t="str">
        <f t="shared" si="111"/>
        <v>Low</v>
      </c>
    </row>
    <row r="856" spans="1:21" ht="15" customHeight="1" x14ac:dyDescent="0.25">
      <c r="A856" s="29">
        <f>Dataset!A856</f>
        <v>852</v>
      </c>
      <c r="B856" s="29">
        <f>IF(Dataset!B856&lt;25,0.3,IF(Dataset!B856&lt;75,0.5,IF(Dataset!B856&lt;120,0.65,0.8)))</f>
        <v>0.3</v>
      </c>
      <c r="C856" s="29">
        <f>IF(Dataset!B856&lt;25,1,IF(Dataset!B856&lt;75,2,IF(Dataset!B856&lt;120,3,4)))</f>
        <v>1</v>
      </c>
      <c r="D856" s="29">
        <f t="shared" si="104"/>
        <v>0.3</v>
      </c>
      <c r="E856" s="29">
        <f>IF(Dataset!C856&lt;=1,0.3,IF(Dataset!C856=2,0.4,IF(Dataset!C856=3,0.5,IF(Dataset!C856=4,0.65,0.8))))</f>
        <v>0.5</v>
      </c>
      <c r="F856" s="29">
        <f>IF(Dataset!C856&lt;=2,1,IF(Dataset!C856=3,2,IF(Dataset!C856=4,3,4)))</f>
        <v>2</v>
      </c>
      <c r="G856" s="29">
        <f t="shared" si="105"/>
        <v>1</v>
      </c>
      <c r="H856" s="29">
        <f>IF(Dataset!G856&lt;=3,0.25,IF(Dataset!G856&lt;=6,0.45,IF(Dataset!G856&lt;=9,0.65,0.85)))</f>
        <v>0.45</v>
      </c>
      <c r="I856" s="29">
        <f>IF(Dataset!G856&lt;=3,1,IF(Dataset!G856&lt;=6,2,IF(Dataset!G856&lt;=9,3,4)))</f>
        <v>2</v>
      </c>
      <c r="J856" s="29">
        <f t="shared" si="106"/>
        <v>0.9</v>
      </c>
      <c r="K856" s="29">
        <f>IF(Dataset!H856&lt;1,0.2,IF(Dataset!H856&lt;1.3,0.45,IF(Dataset!H856&lt;1.8,0.7,0.9)))</f>
        <v>0.7</v>
      </c>
      <c r="L856" s="29">
        <f>IF(Dataset!H856&lt;1,1,IF(Dataset!H856&lt;1.3,2,IF(Dataset!H856&lt;1.8,3,4)))</f>
        <v>3</v>
      </c>
      <c r="M856" s="29">
        <f t="shared" si="107"/>
        <v>2.0999999999999996</v>
      </c>
      <c r="N856" s="29">
        <f>IF(Dataset!F856=1,0.75,IF(Dataset!F856=2,0.45,0.2))</f>
        <v>0.45</v>
      </c>
      <c r="O856" s="29">
        <f>IF(Dataset!F856=1,3,IF(Dataset!F856=2,2,1))</f>
        <v>2</v>
      </c>
      <c r="P856" s="29">
        <f t="shared" si="108"/>
        <v>0.9</v>
      </c>
      <c r="Q856" s="29">
        <f>IF(Dataset!K856&lt;5,0.2,IF(Dataset!K856&lt;10,0.45,IF(Dataset!K856&lt;18,0.7,0.9)))</f>
        <v>0.45</v>
      </c>
      <c r="R856" s="29">
        <f>IF(Dataset!K856&lt;5,1,IF(Dataset!K856&lt;10,2,IF(Dataset!K856&lt;18,3,4)))</f>
        <v>2</v>
      </c>
      <c r="S856" s="29">
        <f t="shared" si="109"/>
        <v>0.9</v>
      </c>
      <c r="T856" s="29">
        <f t="shared" si="110"/>
        <v>1.0939999999999999</v>
      </c>
      <c r="U856" s="29" t="str">
        <f t="shared" si="111"/>
        <v>Low</v>
      </c>
    </row>
    <row r="857" spans="1:21" ht="15" customHeight="1" x14ac:dyDescent="0.25">
      <c r="A857" s="29">
        <f>Dataset!A857</f>
        <v>853</v>
      </c>
      <c r="B857" s="29">
        <f>IF(Dataset!B857&lt;25,0.3,IF(Dataset!B857&lt;75,0.5,IF(Dataset!B857&lt;120,0.65,0.8)))</f>
        <v>0.8</v>
      </c>
      <c r="C857" s="29">
        <f>IF(Dataset!B857&lt;25,1,IF(Dataset!B857&lt;75,2,IF(Dataset!B857&lt;120,3,4)))</f>
        <v>4</v>
      </c>
      <c r="D857" s="29">
        <f t="shared" si="104"/>
        <v>3.2</v>
      </c>
      <c r="E857" s="29">
        <f>IF(Dataset!C857&lt;=1,0.3,IF(Dataset!C857=2,0.4,IF(Dataset!C857=3,0.5,IF(Dataset!C857=4,0.65,0.8))))</f>
        <v>0.4</v>
      </c>
      <c r="F857" s="29">
        <f>IF(Dataset!C857&lt;=2,1,IF(Dataset!C857=3,2,IF(Dataset!C857=4,3,4)))</f>
        <v>1</v>
      </c>
      <c r="G857" s="29">
        <f t="shared" si="105"/>
        <v>0.4</v>
      </c>
      <c r="H857" s="29">
        <f>IF(Dataset!G857&lt;=3,0.25,IF(Dataset!G857&lt;=6,0.45,IF(Dataset!G857&lt;=9,0.65,0.85)))</f>
        <v>0.45</v>
      </c>
      <c r="I857" s="29">
        <f>IF(Dataset!G857&lt;=3,1,IF(Dataset!G857&lt;=6,2,IF(Dataset!G857&lt;=9,3,4)))</f>
        <v>2</v>
      </c>
      <c r="J857" s="29">
        <f t="shared" si="106"/>
        <v>0.9</v>
      </c>
      <c r="K857" s="29">
        <f>IF(Dataset!H857&lt;1,0.2,IF(Dataset!H857&lt;1.3,0.45,IF(Dataset!H857&lt;1.8,0.7,0.9)))</f>
        <v>0.9</v>
      </c>
      <c r="L857" s="29">
        <f>IF(Dataset!H857&lt;1,1,IF(Dataset!H857&lt;1.3,2,IF(Dataset!H857&lt;1.8,3,4)))</f>
        <v>4</v>
      </c>
      <c r="M857" s="29">
        <f t="shared" si="107"/>
        <v>3.6</v>
      </c>
      <c r="N857" s="29">
        <f>IF(Dataset!F857=1,0.75,IF(Dataset!F857=2,0.45,0.2))</f>
        <v>0.45</v>
      </c>
      <c r="O857" s="29">
        <f>IF(Dataset!F857=1,3,IF(Dataset!F857=2,2,1))</f>
        <v>2</v>
      </c>
      <c r="P857" s="29">
        <f t="shared" si="108"/>
        <v>0.9</v>
      </c>
      <c r="Q857" s="29">
        <f>IF(Dataset!K857&lt;5,0.2,IF(Dataset!K857&lt;10,0.45,IF(Dataset!K857&lt;18,0.7,0.9)))</f>
        <v>0.2</v>
      </c>
      <c r="R857" s="29">
        <f>IF(Dataset!K857&lt;5,1,IF(Dataset!K857&lt;10,2,IF(Dataset!K857&lt;18,3,4)))</f>
        <v>1</v>
      </c>
      <c r="S857" s="29">
        <f t="shared" si="109"/>
        <v>0.2</v>
      </c>
      <c r="T857" s="29">
        <f t="shared" si="110"/>
        <v>1.7940000000000003</v>
      </c>
      <c r="U857" s="29" t="str">
        <f t="shared" si="111"/>
        <v>High</v>
      </c>
    </row>
    <row r="858" spans="1:21" ht="15" customHeight="1" x14ac:dyDescent="0.25">
      <c r="A858" s="29">
        <f>Dataset!A858</f>
        <v>854</v>
      </c>
      <c r="B858" s="29">
        <f>IF(Dataset!B858&lt;25,0.3,IF(Dataset!B858&lt;75,0.5,IF(Dataset!B858&lt;120,0.65,0.8)))</f>
        <v>0.5</v>
      </c>
      <c r="C858" s="29">
        <f>IF(Dataset!B858&lt;25,1,IF(Dataset!B858&lt;75,2,IF(Dataset!B858&lt;120,3,4)))</f>
        <v>2</v>
      </c>
      <c r="D858" s="29">
        <f t="shared" si="104"/>
        <v>1</v>
      </c>
      <c r="E858" s="29">
        <f>IF(Dataset!C858&lt;=1,0.3,IF(Dataset!C858=2,0.4,IF(Dataset!C858=3,0.5,IF(Dataset!C858=4,0.65,0.8))))</f>
        <v>0.5</v>
      </c>
      <c r="F858" s="29">
        <f>IF(Dataset!C858&lt;=2,1,IF(Dataset!C858=3,2,IF(Dataset!C858=4,3,4)))</f>
        <v>2</v>
      </c>
      <c r="G858" s="29">
        <f t="shared" si="105"/>
        <v>1</v>
      </c>
      <c r="H858" s="29">
        <f>IF(Dataset!G858&lt;=3,0.25,IF(Dataset!G858&lt;=6,0.45,IF(Dataset!G858&lt;=9,0.65,0.85)))</f>
        <v>0.65</v>
      </c>
      <c r="I858" s="29">
        <f>IF(Dataset!G858&lt;=3,1,IF(Dataset!G858&lt;=6,2,IF(Dataset!G858&lt;=9,3,4)))</f>
        <v>3</v>
      </c>
      <c r="J858" s="29">
        <f t="shared" si="106"/>
        <v>1.9500000000000002</v>
      </c>
      <c r="K858" s="29">
        <f>IF(Dataset!H858&lt;1,0.2,IF(Dataset!H858&lt;1.3,0.45,IF(Dataset!H858&lt;1.8,0.7,0.9)))</f>
        <v>0.9</v>
      </c>
      <c r="L858" s="29">
        <f>IF(Dataset!H858&lt;1,1,IF(Dataset!H858&lt;1.3,2,IF(Dataset!H858&lt;1.8,3,4)))</f>
        <v>4</v>
      </c>
      <c r="M858" s="29">
        <f t="shared" si="107"/>
        <v>3.6</v>
      </c>
      <c r="N858" s="29">
        <f>IF(Dataset!F858=1,0.75,IF(Dataset!F858=2,0.45,0.2))</f>
        <v>0.75</v>
      </c>
      <c r="O858" s="29">
        <f>IF(Dataset!F858=1,3,IF(Dataset!F858=2,2,1))</f>
        <v>3</v>
      </c>
      <c r="P858" s="29">
        <f t="shared" si="108"/>
        <v>2.25</v>
      </c>
      <c r="Q858" s="29">
        <f>IF(Dataset!K858&lt;5,0.2,IF(Dataset!K858&lt;10,0.45,IF(Dataset!K858&lt;18,0.7,0.9)))</f>
        <v>0.45</v>
      </c>
      <c r="R858" s="29">
        <f>IF(Dataset!K858&lt;5,1,IF(Dataset!K858&lt;10,2,IF(Dataset!K858&lt;18,3,4)))</f>
        <v>2</v>
      </c>
      <c r="S858" s="29">
        <f t="shared" si="109"/>
        <v>0.9</v>
      </c>
      <c r="T858" s="29">
        <f t="shared" si="110"/>
        <v>1.9250000000000003</v>
      </c>
      <c r="U858" s="29" t="str">
        <f t="shared" si="111"/>
        <v>High</v>
      </c>
    </row>
    <row r="859" spans="1:21" ht="15" customHeight="1" x14ac:dyDescent="0.25">
      <c r="A859" s="29">
        <f>Dataset!A859</f>
        <v>855</v>
      </c>
      <c r="B859" s="29">
        <f>IF(Dataset!B859&lt;25,0.3,IF(Dataset!B859&lt;75,0.5,IF(Dataset!B859&lt;120,0.65,0.8)))</f>
        <v>0.5</v>
      </c>
      <c r="C859" s="29">
        <f>IF(Dataset!B859&lt;25,1,IF(Dataset!B859&lt;75,2,IF(Dataset!B859&lt;120,3,4)))</f>
        <v>2</v>
      </c>
      <c r="D859" s="29">
        <f t="shared" si="104"/>
        <v>1</v>
      </c>
      <c r="E859" s="29">
        <f>IF(Dataset!C859&lt;=1,0.3,IF(Dataset!C859=2,0.4,IF(Dataset!C859=3,0.5,IF(Dataset!C859=4,0.65,0.8))))</f>
        <v>0.4</v>
      </c>
      <c r="F859" s="29">
        <f>IF(Dataset!C859&lt;=2,1,IF(Dataset!C859=3,2,IF(Dataset!C859=4,3,4)))</f>
        <v>1</v>
      </c>
      <c r="G859" s="29">
        <f t="shared" si="105"/>
        <v>0.4</v>
      </c>
      <c r="H859" s="29">
        <f>IF(Dataset!G859&lt;=3,0.25,IF(Dataset!G859&lt;=6,0.45,IF(Dataset!G859&lt;=9,0.65,0.85)))</f>
        <v>0.45</v>
      </c>
      <c r="I859" s="29">
        <f>IF(Dataset!G859&lt;=3,1,IF(Dataset!G859&lt;=6,2,IF(Dataset!G859&lt;=9,3,4)))</f>
        <v>2</v>
      </c>
      <c r="J859" s="29">
        <f t="shared" si="106"/>
        <v>0.9</v>
      </c>
      <c r="K859" s="29">
        <f>IF(Dataset!H859&lt;1,0.2,IF(Dataset!H859&lt;1.3,0.45,IF(Dataset!H859&lt;1.8,0.7,0.9)))</f>
        <v>0.45</v>
      </c>
      <c r="L859" s="29">
        <f>IF(Dataset!H859&lt;1,1,IF(Dataset!H859&lt;1.3,2,IF(Dataset!H859&lt;1.8,3,4)))</f>
        <v>2</v>
      </c>
      <c r="M859" s="29">
        <f t="shared" si="107"/>
        <v>0.9</v>
      </c>
      <c r="N859" s="29">
        <f>IF(Dataset!F859=1,0.75,IF(Dataset!F859=2,0.45,0.2))</f>
        <v>0.45</v>
      </c>
      <c r="O859" s="29">
        <f>IF(Dataset!F859=1,3,IF(Dataset!F859=2,2,1))</f>
        <v>2</v>
      </c>
      <c r="P859" s="29">
        <f t="shared" si="108"/>
        <v>0.9</v>
      </c>
      <c r="Q859" s="29">
        <f>IF(Dataset!K859&lt;5,0.2,IF(Dataset!K859&lt;10,0.45,IF(Dataset!K859&lt;18,0.7,0.9)))</f>
        <v>0.2</v>
      </c>
      <c r="R859" s="29">
        <f>IF(Dataset!K859&lt;5,1,IF(Dataset!K859&lt;10,2,IF(Dataset!K859&lt;18,3,4)))</f>
        <v>1</v>
      </c>
      <c r="S859" s="29">
        <f t="shared" si="109"/>
        <v>0.2</v>
      </c>
      <c r="T859" s="29">
        <f t="shared" si="110"/>
        <v>0.75</v>
      </c>
      <c r="U859" s="29" t="str">
        <f t="shared" si="111"/>
        <v>Low</v>
      </c>
    </row>
    <row r="860" spans="1:21" ht="15" customHeight="1" x14ac:dyDescent="0.25">
      <c r="A860" s="29">
        <f>Dataset!A860</f>
        <v>856</v>
      </c>
      <c r="B860" s="29">
        <f>IF(Dataset!B860&lt;25,0.3,IF(Dataset!B860&lt;75,0.5,IF(Dataset!B860&lt;120,0.65,0.8)))</f>
        <v>0.5</v>
      </c>
      <c r="C860" s="29">
        <f>IF(Dataset!B860&lt;25,1,IF(Dataset!B860&lt;75,2,IF(Dataset!B860&lt;120,3,4)))</f>
        <v>2</v>
      </c>
      <c r="D860" s="29">
        <f t="shared" si="104"/>
        <v>1</v>
      </c>
      <c r="E860" s="29">
        <f>IF(Dataset!C860&lt;=1,0.3,IF(Dataset!C860=2,0.4,IF(Dataset!C860=3,0.5,IF(Dataset!C860=4,0.65,0.8))))</f>
        <v>0.8</v>
      </c>
      <c r="F860" s="29">
        <f>IF(Dataset!C860&lt;=2,1,IF(Dataset!C860=3,2,IF(Dataset!C860=4,3,4)))</f>
        <v>4</v>
      </c>
      <c r="G860" s="29">
        <f t="shared" si="105"/>
        <v>3.2</v>
      </c>
      <c r="H860" s="29">
        <f>IF(Dataset!G860&lt;=3,0.25,IF(Dataset!G860&lt;=6,0.45,IF(Dataset!G860&lt;=9,0.65,0.85)))</f>
        <v>0.45</v>
      </c>
      <c r="I860" s="29">
        <f>IF(Dataset!G860&lt;=3,1,IF(Dataset!G860&lt;=6,2,IF(Dataset!G860&lt;=9,3,4)))</f>
        <v>2</v>
      </c>
      <c r="J860" s="29">
        <f t="shared" si="106"/>
        <v>0.9</v>
      </c>
      <c r="K860" s="29">
        <f>IF(Dataset!H860&lt;1,0.2,IF(Dataset!H860&lt;1.3,0.45,IF(Dataset!H860&lt;1.8,0.7,0.9)))</f>
        <v>0.9</v>
      </c>
      <c r="L860" s="29">
        <f>IF(Dataset!H860&lt;1,1,IF(Dataset!H860&lt;1.3,2,IF(Dataset!H860&lt;1.8,3,4)))</f>
        <v>4</v>
      </c>
      <c r="M860" s="29">
        <f t="shared" si="107"/>
        <v>3.6</v>
      </c>
      <c r="N860" s="29">
        <f>IF(Dataset!F860=1,0.75,IF(Dataset!F860=2,0.45,0.2))</f>
        <v>0.45</v>
      </c>
      <c r="O860" s="29">
        <f>IF(Dataset!F860=1,3,IF(Dataset!F860=2,2,1))</f>
        <v>2</v>
      </c>
      <c r="P860" s="29">
        <f t="shared" si="108"/>
        <v>0.9</v>
      </c>
      <c r="Q860" s="29">
        <f>IF(Dataset!K860&lt;5,0.2,IF(Dataset!K860&lt;10,0.45,IF(Dataset!K860&lt;18,0.7,0.9)))</f>
        <v>0.7</v>
      </c>
      <c r="R860" s="29">
        <f>IF(Dataset!K860&lt;5,1,IF(Dataset!K860&lt;10,2,IF(Dataset!K860&lt;18,3,4)))</f>
        <v>3</v>
      </c>
      <c r="S860" s="29">
        <f t="shared" si="109"/>
        <v>2.0999999999999996</v>
      </c>
      <c r="T860" s="29">
        <f t="shared" si="110"/>
        <v>2.056</v>
      </c>
      <c r="U860" s="29" t="str">
        <f t="shared" si="111"/>
        <v>High</v>
      </c>
    </row>
    <row r="861" spans="1:21" ht="15" customHeight="1" x14ac:dyDescent="0.25">
      <c r="A861" s="29">
        <f>Dataset!A861</f>
        <v>857</v>
      </c>
      <c r="B861" s="29">
        <f>IF(Dataset!B861&lt;25,0.3,IF(Dataset!B861&lt;75,0.5,IF(Dataset!B861&lt;120,0.65,0.8)))</f>
        <v>0.5</v>
      </c>
      <c r="C861" s="29">
        <f>IF(Dataset!B861&lt;25,1,IF(Dataset!B861&lt;75,2,IF(Dataset!B861&lt;120,3,4)))</f>
        <v>2</v>
      </c>
      <c r="D861" s="29">
        <f t="shared" si="104"/>
        <v>1</v>
      </c>
      <c r="E861" s="29">
        <f>IF(Dataset!C861&lt;=1,0.3,IF(Dataset!C861=2,0.4,IF(Dataset!C861=3,0.5,IF(Dataset!C861=4,0.65,0.8))))</f>
        <v>0.4</v>
      </c>
      <c r="F861" s="29">
        <f>IF(Dataset!C861&lt;=2,1,IF(Dataset!C861=3,2,IF(Dataset!C861=4,3,4)))</f>
        <v>1</v>
      </c>
      <c r="G861" s="29">
        <f t="shared" si="105"/>
        <v>0.4</v>
      </c>
      <c r="H861" s="29">
        <f>IF(Dataset!G861&lt;=3,0.25,IF(Dataset!G861&lt;=6,0.45,IF(Dataset!G861&lt;=9,0.65,0.85)))</f>
        <v>0.45</v>
      </c>
      <c r="I861" s="29">
        <f>IF(Dataset!G861&lt;=3,1,IF(Dataset!G861&lt;=6,2,IF(Dataset!G861&lt;=9,3,4)))</f>
        <v>2</v>
      </c>
      <c r="J861" s="29">
        <f t="shared" si="106"/>
        <v>0.9</v>
      </c>
      <c r="K861" s="29">
        <f>IF(Dataset!H861&lt;1,0.2,IF(Dataset!H861&lt;1.3,0.45,IF(Dataset!H861&lt;1.8,0.7,0.9)))</f>
        <v>0.45</v>
      </c>
      <c r="L861" s="29">
        <f>IF(Dataset!H861&lt;1,1,IF(Dataset!H861&lt;1.3,2,IF(Dataset!H861&lt;1.8,3,4)))</f>
        <v>2</v>
      </c>
      <c r="M861" s="29">
        <f t="shared" si="107"/>
        <v>0.9</v>
      </c>
      <c r="N861" s="29">
        <f>IF(Dataset!F861=1,0.75,IF(Dataset!F861=2,0.45,0.2))</f>
        <v>0.75</v>
      </c>
      <c r="O861" s="29">
        <f>IF(Dataset!F861=1,3,IF(Dataset!F861=2,2,1))</f>
        <v>3</v>
      </c>
      <c r="P861" s="29">
        <f t="shared" si="108"/>
        <v>2.25</v>
      </c>
      <c r="Q861" s="29">
        <f>IF(Dataset!K861&lt;5,0.2,IF(Dataset!K861&lt;10,0.45,IF(Dataset!K861&lt;18,0.7,0.9)))</f>
        <v>0.2</v>
      </c>
      <c r="R861" s="29">
        <f>IF(Dataset!K861&lt;5,1,IF(Dataset!K861&lt;10,2,IF(Dataset!K861&lt;18,3,4)))</f>
        <v>1</v>
      </c>
      <c r="S861" s="29">
        <f t="shared" si="109"/>
        <v>0.2</v>
      </c>
      <c r="T861" s="29">
        <f t="shared" si="110"/>
        <v>0.88500000000000001</v>
      </c>
      <c r="U861" s="29" t="str">
        <f t="shared" si="111"/>
        <v>Low</v>
      </c>
    </row>
    <row r="862" spans="1:21" ht="15" customHeight="1" x14ac:dyDescent="0.25">
      <c r="A862" s="29">
        <f>Dataset!A862</f>
        <v>858</v>
      </c>
      <c r="B862" s="29">
        <f>IF(Dataset!B862&lt;25,0.3,IF(Dataset!B862&lt;75,0.5,IF(Dataset!B862&lt;120,0.65,0.8)))</f>
        <v>0.3</v>
      </c>
      <c r="C862" s="29">
        <f>IF(Dataset!B862&lt;25,1,IF(Dataset!B862&lt;75,2,IF(Dataset!B862&lt;120,3,4)))</f>
        <v>1</v>
      </c>
      <c r="D862" s="29">
        <f t="shared" si="104"/>
        <v>0.3</v>
      </c>
      <c r="E862" s="29">
        <f>IF(Dataset!C862&lt;=1,0.3,IF(Dataset!C862=2,0.4,IF(Dataset!C862=3,0.5,IF(Dataset!C862=4,0.65,0.8))))</f>
        <v>0.5</v>
      </c>
      <c r="F862" s="29">
        <f>IF(Dataset!C862&lt;=2,1,IF(Dataset!C862=3,2,IF(Dataset!C862=4,3,4)))</f>
        <v>2</v>
      </c>
      <c r="G862" s="29">
        <f t="shared" si="105"/>
        <v>1</v>
      </c>
      <c r="H862" s="29">
        <f>IF(Dataset!G862&lt;=3,0.25,IF(Dataset!G862&lt;=6,0.45,IF(Dataset!G862&lt;=9,0.65,0.85)))</f>
        <v>0.85</v>
      </c>
      <c r="I862" s="29">
        <f>IF(Dataset!G862&lt;=3,1,IF(Dataset!G862&lt;=6,2,IF(Dataset!G862&lt;=9,3,4)))</f>
        <v>4</v>
      </c>
      <c r="J862" s="29">
        <f t="shared" si="106"/>
        <v>3.4</v>
      </c>
      <c r="K862" s="29">
        <f>IF(Dataset!H862&lt;1,0.2,IF(Dataset!H862&lt;1.3,0.45,IF(Dataset!H862&lt;1.8,0.7,0.9)))</f>
        <v>0.7</v>
      </c>
      <c r="L862" s="29">
        <f>IF(Dataset!H862&lt;1,1,IF(Dataset!H862&lt;1.3,2,IF(Dataset!H862&lt;1.8,3,4)))</f>
        <v>3</v>
      </c>
      <c r="M862" s="29">
        <f t="shared" si="107"/>
        <v>2.0999999999999996</v>
      </c>
      <c r="N862" s="29">
        <f>IF(Dataset!F862=1,0.75,IF(Dataset!F862=2,0.45,0.2))</f>
        <v>0.45</v>
      </c>
      <c r="O862" s="29">
        <f>IF(Dataset!F862=1,3,IF(Dataset!F862=2,2,1))</f>
        <v>2</v>
      </c>
      <c r="P862" s="29">
        <f t="shared" si="108"/>
        <v>0.9</v>
      </c>
      <c r="Q862" s="29">
        <f>IF(Dataset!K862&lt;5,0.2,IF(Dataset!K862&lt;10,0.45,IF(Dataset!K862&lt;18,0.7,0.9)))</f>
        <v>0.2</v>
      </c>
      <c r="R862" s="29">
        <f>IF(Dataset!K862&lt;5,1,IF(Dataset!K862&lt;10,2,IF(Dataset!K862&lt;18,3,4)))</f>
        <v>1</v>
      </c>
      <c r="S862" s="29">
        <f t="shared" si="109"/>
        <v>0.2</v>
      </c>
      <c r="T862" s="29">
        <f t="shared" si="110"/>
        <v>1.4960000000000002</v>
      </c>
      <c r="U862" s="29" t="str">
        <f t="shared" si="111"/>
        <v>Medium</v>
      </c>
    </row>
    <row r="863" spans="1:21" ht="15" customHeight="1" x14ac:dyDescent="0.25">
      <c r="A863" s="29">
        <f>Dataset!A863</f>
        <v>859</v>
      </c>
      <c r="B863" s="29">
        <f>IF(Dataset!B863&lt;25,0.3,IF(Dataset!B863&lt;75,0.5,IF(Dataset!B863&lt;120,0.65,0.8)))</f>
        <v>0.8</v>
      </c>
      <c r="C863" s="29">
        <f>IF(Dataset!B863&lt;25,1,IF(Dataset!B863&lt;75,2,IF(Dataset!B863&lt;120,3,4)))</f>
        <v>4</v>
      </c>
      <c r="D863" s="29">
        <f t="shared" si="104"/>
        <v>3.2</v>
      </c>
      <c r="E863" s="29">
        <f>IF(Dataset!C863&lt;=1,0.3,IF(Dataset!C863=2,0.4,IF(Dataset!C863=3,0.5,IF(Dataset!C863=4,0.65,0.8))))</f>
        <v>0.4</v>
      </c>
      <c r="F863" s="29">
        <f>IF(Dataset!C863&lt;=2,1,IF(Dataset!C863=3,2,IF(Dataset!C863=4,3,4)))</f>
        <v>1</v>
      </c>
      <c r="G863" s="29">
        <f t="shared" si="105"/>
        <v>0.4</v>
      </c>
      <c r="H863" s="29">
        <f>IF(Dataset!G863&lt;=3,0.25,IF(Dataset!G863&lt;=6,0.45,IF(Dataset!G863&lt;=9,0.65,0.85)))</f>
        <v>0.65</v>
      </c>
      <c r="I863" s="29">
        <f>IF(Dataset!G863&lt;=3,1,IF(Dataset!G863&lt;=6,2,IF(Dataset!G863&lt;=9,3,4)))</f>
        <v>3</v>
      </c>
      <c r="J863" s="29">
        <f t="shared" si="106"/>
        <v>1.9500000000000002</v>
      </c>
      <c r="K863" s="29">
        <f>IF(Dataset!H863&lt;1,0.2,IF(Dataset!H863&lt;1.3,0.45,IF(Dataset!H863&lt;1.8,0.7,0.9)))</f>
        <v>0.45</v>
      </c>
      <c r="L863" s="29">
        <f>IF(Dataset!H863&lt;1,1,IF(Dataset!H863&lt;1.3,2,IF(Dataset!H863&lt;1.8,3,4)))</f>
        <v>2</v>
      </c>
      <c r="M863" s="29">
        <f t="shared" si="107"/>
        <v>0.9</v>
      </c>
      <c r="N863" s="29">
        <f>IF(Dataset!F863=1,0.75,IF(Dataset!F863=2,0.45,0.2))</f>
        <v>0.75</v>
      </c>
      <c r="O863" s="29">
        <f>IF(Dataset!F863=1,3,IF(Dataset!F863=2,2,1))</f>
        <v>3</v>
      </c>
      <c r="P863" s="29">
        <f t="shared" si="108"/>
        <v>2.25</v>
      </c>
      <c r="Q863" s="29">
        <f>IF(Dataset!K863&lt;5,0.2,IF(Dataset!K863&lt;10,0.45,IF(Dataset!K863&lt;18,0.7,0.9)))</f>
        <v>0.2</v>
      </c>
      <c r="R863" s="29">
        <f>IF(Dataset!K863&lt;5,1,IF(Dataset!K863&lt;10,2,IF(Dataset!K863&lt;18,3,4)))</f>
        <v>1</v>
      </c>
      <c r="S863" s="29">
        <f t="shared" si="109"/>
        <v>0.2</v>
      </c>
      <c r="T863" s="29">
        <f t="shared" si="110"/>
        <v>1.4910000000000001</v>
      </c>
      <c r="U863" s="29" t="str">
        <f t="shared" si="111"/>
        <v>Medium</v>
      </c>
    </row>
    <row r="864" spans="1:21" ht="15" customHeight="1" x14ac:dyDescent="0.25">
      <c r="A864" s="29">
        <f>Dataset!A864</f>
        <v>860</v>
      </c>
      <c r="B864" s="29">
        <f>IF(Dataset!B864&lt;25,0.3,IF(Dataset!B864&lt;75,0.5,IF(Dataset!B864&lt;120,0.65,0.8)))</f>
        <v>0.5</v>
      </c>
      <c r="C864" s="29">
        <f>IF(Dataset!B864&lt;25,1,IF(Dataset!B864&lt;75,2,IF(Dataset!B864&lt;120,3,4)))</f>
        <v>2</v>
      </c>
      <c r="D864" s="29">
        <f t="shared" si="104"/>
        <v>1</v>
      </c>
      <c r="E864" s="29">
        <f>IF(Dataset!C864&lt;=1,0.3,IF(Dataset!C864=2,0.4,IF(Dataset!C864=3,0.5,IF(Dataset!C864=4,0.65,0.8))))</f>
        <v>0.3</v>
      </c>
      <c r="F864" s="29">
        <f>IF(Dataset!C864&lt;=2,1,IF(Dataset!C864=3,2,IF(Dataset!C864=4,3,4)))</f>
        <v>1</v>
      </c>
      <c r="G864" s="29">
        <f t="shared" si="105"/>
        <v>0.3</v>
      </c>
      <c r="H864" s="29">
        <f>IF(Dataset!G864&lt;=3,0.25,IF(Dataset!G864&lt;=6,0.45,IF(Dataset!G864&lt;=9,0.65,0.85)))</f>
        <v>0.45</v>
      </c>
      <c r="I864" s="29">
        <f>IF(Dataset!G864&lt;=3,1,IF(Dataset!G864&lt;=6,2,IF(Dataset!G864&lt;=9,3,4)))</f>
        <v>2</v>
      </c>
      <c r="J864" s="29">
        <f t="shared" si="106"/>
        <v>0.9</v>
      </c>
      <c r="K864" s="29">
        <f>IF(Dataset!H864&lt;1,0.2,IF(Dataset!H864&lt;1.3,0.45,IF(Dataset!H864&lt;1.8,0.7,0.9)))</f>
        <v>0.9</v>
      </c>
      <c r="L864" s="29">
        <f>IF(Dataset!H864&lt;1,1,IF(Dataset!H864&lt;1.3,2,IF(Dataset!H864&lt;1.8,3,4)))</f>
        <v>4</v>
      </c>
      <c r="M864" s="29">
        <f t="shared" si="107"/>
        <v>3.6</v>
      </c>
      <c r="N864" s="29">
        <f>IF(Dataset!F864=1,0.75,IF(Dataset!F864=2,0.45,0.2))</f>
        <v>0.45</v>
      </c>
      <c r="O864" s="29">
        <f>IF(Dataset!F864=1,3,IF(Dataset!F864=2,2,1))</f>
        <v>2</v>
      </c>
      <c r="P864" s="29">
        <f t="shared" si="108"/>
        <v>0.9</v>
      </c>
      <c r="Q864" s="29">
        <f>IF(Dataset!K864&lt;5,0.2,IF(Dataset!K864&lt;10,0.45,IF(Dataset!K864&lt;18,0.7,0.9)))</f>
        <v>0.2</v>
      </c>
      <c r="R864" s="29">
        <f>IF(Dataset!K864&lt;5,1,IF(Dataset!K864&lt;10,2,IF(Dataset!K864&lt;18,3,4)))</f>
        <v>1</v>
      </c>
      <c r="S864" s="29">
        <f t="shared" si="109"/>
        <v>0.2</v>
      </c>
      <c r="T864" s="29">
        <f t="shared" si="110"/>
        <v>1.3840000000000001</v>
      </c>
      <c r="U864" s="29" t="str">
        <f t="shared" si="111"/>
        <v>Medium</v>
      </c>
    </row>
    <row r="865" spans="1:21" ht="15" customHeight="1" x14ac:dyDescent="0.25">
      <c r="A865" s="29">
        <f>Dataset!A865</f>
        <v>861</v>
      </c>
      <c r="B865" s="29">
        <f>IF(Dataset!B865&lt;25,0.3,IF(Dataset!B865&lt;75,0.5,IF(Dataset!B865&lt;120,0.65,0.8)))</f>
        <v>0.5</v>
      </c>
      <c r="C865" s="29">
        <f>IF(Dataset!B865&lt;25,1,IF(Dataset!B865&lt;75,2,IF(Dataset!B865&lt;120,3,4)))</f>
        <v>2</v>
      </c>
      <c r="D865" s="29">
        <f t="shared" si="104"/>
        <v>1</v>
      </c>
      <c r="E865" s="29">
        <f>IF(Dataset!C865&lt;=1,0.3,IF(Dataset!C865=2,0.4,IF(Dataset!C865=3,0.5,IF(Dataset!C865=4,0.65,0.8))))</f>
        <v>0.4</v>
      </c>
      <c r="F865" s="29">
        <f>IF(Dataset!C865&lt;=2,1,IF(Dataset!C865=3,2,IF(Dataset!C865=4,3,4)))</f>
        <v>1</v>
      </c>
      <c r="G865" s="29">
        <f t="shared" si="105"/>
        <v>0.4</v>
      </c>
      <c r="H865" s="29">
        <f>IF(Dataset!G865&lt;=3,0.25,IF(Dataset!G865&lt;=6,0.45,IF(Dataset!G865&lt;=9,0.65,0.85)))</f>
        <v>0.65</v>
      </c>
      <c r="I865" s="29">
        <f>IF(Dataset!G865&lt;=3,1,IF(Dataset!G865&lt;=6,2,IF(Dataset!G865&lt;=9,3,4)))</f>
        <v>3</v>
      </c>
      <c r="J865" s="29">
        <f t="shared" si="106"/>
        <v>1.9500000000000002</v>
      </c>
      <c r="K865" s="29">
        <f>IF(Dataset!H865&lt;1,0.2,IF(Dataset!H865&lt;1.3,0.45,IF(Dataset!H865&lt;1.8,0.7,0.9)))</f>
        <v>0.9</v>
      </c>
      <c r="L865" s="29">
        <f>IF(Dataset!H865&lt;1,1,IF(Dataset!H865&lt;1.3,2,IF(Dataset!H865&lt;1.8,3,4)))</f>
        <v>4</v>
      </c>
      <c r="M865" s="29">
        <f t="shared" si="107"/>
        <v>3.6</v>
      </c>
      <c r="N865" s="29">
        <f>IF(Dataset!F865=1,0.75,IF(Dataset!F865=2,0.45,0.2))</f>
        <v>0.75</v>
      </c>
      <c r="O865" s="29">
        <f>IF(Dataset!F865=1,3,IF(Dataset!F865=2,2,1))</f>
        <v>3</v>
      </c>
      <c r="P865" s="29">
        <f t="shared" si="108"/>
        <v>2.25</v>
      </c>
      <c r="Q865" s="29">
        <f>IF(Dataset!K865&lt;5,0.2,IF(Dataset!K865&lt;10,0.45,IF(Dataset!K865&lt;18,0.7,0.9)))</f>
        <v>0.45</v>
      </c>
      <c r="R865" s="29">
        <f>IF(Dataset!K865&lt;5,1,IF(Dataset!K865&lt;10,2,IF(Dataset!K865&lt;18,3,4)))</f>
        <v>2</v>
      </c>
      <c r="S865" s="29">
        <f t="shared" si="109"/>
        <v>0.9</v>
      </c>
      <c r="T865" s="29">
        <f t="shared" si="110"/>
        <v>1.8410000000000004</v>
      </c>
      <c r="U865" s="29" t="str">
        <f t="shared" si="111"/>
        <v>High</v>
      </c>
    </row>
    <row r="866" spans="1:21" ht="15" customHeight="1" x14ac:dyDescent="0.25">
      <c r="A866" s="29">
        <f>Dataset!A866</f>
        <v>862</v>
      </c>
      <c r="B866" s="29">
        <f>IF(Dataset!B866&lt;25,0.3,IF(Dataset!B866&lt;75,0.5,IF(Dataset!B866&lt;120,0.65,0.8)))</f>
        <v>0.8</v>
      </c>
      <c r="C866" s="29">
        <f>IF(Dataset!B866&lt;25,1,IF(Dataset!B866&lt;75,2,IF(Dataset!B866&lt;120,3,4)))</f>
        <v>4</v>
      </c>
      <c r="D866" s="29">
        <f t="shared" si="104"/>
        <v>3.2</v>
      </c>
      <c r="E866" s="29">
        <f>IF(Dataset!C866&lt;=1,0.3,IF(Dataset!C866=2,0.4,IF(Dataset!C866=3,0.5,IF(Dataset!C866=4,0.65,0.8))))</f>
        <v>0.3</v>
      </c>
      <c r="F866" s="29">
        <f>IF(Dataset!C866&lt;=2,1,IF(Dataset!C866=3,2,IF(Dataset!C866=4,3,4)))</f>
        <v>1</v>
      </c>
      <c r="G866" s="29">
        <f t="shared" si="105"/>
        <v>0.3</v>
      </c>
      <c r="H866" s="29">
        <f>IF(Dataset!G866&lt;=3,0.25,IF(Dataset!G866&lt;=6,0.45,IF(Dataset!G866&lt;=9,0.65,0.85)))</f>
        <v>0.65</v>
      </c>
      <c r="I866" s="29">
        <f>IF(Dataset!G866&lt;=3,1,IF(Dataset!G866&lt;=6,2,IF(Dataset!G866&lt;=9,3,4)))</f>
        <v>3</v>
      </c>
      <c r="J866" s="29">
        <f t="shared" si="106"/>
        <v>1.9500000000000002</v>
      </c>
      <c r="K866" s="29">
        <f>IF(Dataset!H866&lt;1,0.2,IF(Dataset!H866&lt;1.3,0.45,IF(Dataset!H866&lt;1.8,0.7,0.9)))</f>
        <v>0.7</v>
      </c>
      <c r="L866" s="29">
        <f>IF(Dataset!H866&lt;1,1,IF(Dataset!H866&lt;1.3,2,IF(Dataset!H866&lt;1.8,3,4)))</f>
        <v>3</v>
      </c>
      <c r="M866" s="29">
        <f t="shared" si="107"/>
        <v>2.0999999999999996</v>
      </c>
      <c r="N866" s="29">
        <f>IF(Dataset!F866=1,0.75,IF(Dataset!F866=2,0.45,0.2))</f>
        <v>0.45</v>
      </c>
      <c r="O866" s="29">
        <f>IF(Dataset!F866=1,3,IF(Dataset!F866=2,2,1))</f>
        <v>2</v>
      </c>
      <c r="P866" s="29">
        <f t="shared" si="108"/>
        <v>0.9</v>
      </c>
      <c r="Q866" s="29">
        <f>IF(Dataset!K866&lt;5,0.2,IF(Dataset!K866&lt;10,0.45,IF(Dataset!K866&lt;18,0.7,0.9)))</f>
        <v>0.2</v>
      </c>
      <c r="R866" s="29">
        <f>IF(Dataset!K866&lt;5,1,IF(Dataset!K866&lt;10,2,IF(Dataset!K866&lt;18,3,4)))</f>
        <v>1</v>
      </c>
      <c r="S866" s="29">
        <f t="shared" si="109"/>
        <v>0.2</v>
      </c>
      <c r="T866" s="29">
        <f t="shared" si="110"/>
        <v>1.6300000000000001</v>
      </c>
      <c r="U866" s="29" t="str">
        <f t="shared" si="111"/>
        <v>Medium</v>
      </c>
    </row>
    <row r="867" spans="1:21" ht="15" customHeight="1" x14ac:dyDescent="0.25">
      <c r="A867" s="29">
        <f>Dataset!A867</f>
        <v>863</v>
      </c>
      <c r="B867" s="29">
        <f>IF(Dataset!B867&lt;25,0.3,IF(Dataset!B867&lt;75,0.5,IF(Dataset!B867&lt;120,0.65,0.8)))</f>
        <v>0.3</v>
      </c>
      <c r="C867" s="29">
        <f>IF(Dataset!B867&lt;25,1,IF(Dataset!B867&lt;75,2,IF(Dataset!B867&lt;120,3,4)))</f>
        <v>1</v>
      </c>
      <c r="D867" s="29">
        <f t="shared" si="104"/>
        <v>0.3</v>
      </c>
      <c r="E867" s="29">
        <f>IF(Dataset!C867&lt;=1,0.3,IF(Dataset!C867=2,0.4,IF(Dataset!C867=3,0.5,IF(Dataset!C867=4,0.65,0.8))))</f>
        <v>0.4</v>
      </c>
      <c r="F867" s="29">
        <f>IF(Dataset!C867&lt;=2,1,IF(Dataset!C867=3,2,IF(Dataset!C867=4,3,4)))</f>
        <v>1</v>
      </c>
      <c r="G867" s="29">
        <f t="shared" si="105"/>
        <v>0.4</v>
      </c>
      <c r="H867" s="29">
        <f>IF(Dataset!G867&lt;=3,0.25,IF(Dataset!G867&lt;=6,0.45,IF(Dataset!G867&lt;=9,0.65,0.85)))</f>
        <v>0.25</v>
      </c>
      <c r="I867" s="29">
        <f>IF(Dataset!G867&lt;=3,1,IF(Dataset!G867&lt;=6,2,IF(Dataset!G867&lt;=9,3,4)))</f>
        <v>1</v>
      </c>
      <c r="J867" s="29">
        <f t="shared" si="106"/>
        <v>0.25</v>
      </c>
      <c r="K867" s="29">
        <f>IF(Dataset!H867&lt;1,0.2,IF(Dataset!H867&lt;1.3,0.45,IF(Dataset!H867&lt;1.8,0.7,0.9)))</f>
        <v>0.7</v>
      </c>
      <c r="L867" s="29">
        <f>IF(Dataset!H867&lt;1,1,IF(Dataset!H867&lt;1.3,2,IF(Dataset!H867&lt;1.8,3,4)))</f>
        <v>3</v>
      </c>
      <c r="M867" s="29">
        <f t="shared" si="107"/>
        <v>2.0999999999999996</v>
      </c>
      <c r="N867" s="29">
        <f>IF(Dataset!F867=1,0.75,IF(Dataset!F867=2,0.45,0.2))</f>
        <v>0.45</v>
      </c>
      <c r="O867" s="29">
        <f>IF(Dataset!F867=1,3,IF(Dataset!F867=2,2,1))</f>
        <v>2</v>
      </c>
      <c r="P867" s="29">
        <f t="shared" si="108"/>
        <v>0.9</v>
      </c>
      <c r="Q867" s="29">
        <f>IF(Dataset!K867&lt;5,0.2,IF(Dataset!K867&lt;10,0.45,IF(Dataset!K867&lt;18,0.7,0.9)))</f>
        <v>0.2</v>
      </c>
      <c r="R867" s="29">
        <f>IF(Dataset!K867&lt;5,1,IF(Dataset!K867&lt;10,2,IF(Dataset!K867&lt;18,3,4)))</f>
        <v>1</v>
      </c>
      <c r="S867" s="29">
        <f t="shared" si="109"/>
        <v>0.2</v>
      </c>
      <c r="T867" s="29">
        <f t="shared" si="110"/>
        <v>0.78199999999999992</v>
      </c>
      <c r="U867" s="29" t="str">
        <f t="shared" si="111"/>
        <v>Low</v>
      </c>
    </row>
    <row r="868" spans="1:21" ht="15" customHeight="1" x14ac:dyDescent="0.25">
      <c r="A868" s="29">
        <f>Dataset!A868</f>
        <v>864</v>
      </c>
      <c r="B868" s="29">
        <f>IF(Dataset!B868&lt;25,0.3,IF(Dataset!B868&lt;75,0.5,IF(Dataset!B868&lt;120,0.65,0.8)))</f>
        <v>0.5</v>
      </c>
      <c r="C868" s="29">
        <f>IF(Dataset!B868&lt;25,1,IF(Dataset!B868&lt;75,2,IF(Dataset!B868&lt;120,3,4)))</f>
        <v>2</v>
      </c>
      <c r="D868" s="29">
        <f t="shared" si="104"/>
        <v>1</v>
      </c>
      <c r="E868" s="29">
        <f>IF(Dataset!C868&lt;=1,0.3,IF(Dataset!C868=2,0.4,IF(Dataset!C868=3,0.5,IF(Dataset!C868=4,0.65,0.8))))</f>
        <v>0.5</v>
      </c>
      <c r="F868" s="29">
        <f>IF(Dataset!C868&lt;=2,1,IF(Dataset!C868=3,2,IF(Dataset!C868=4,3,4)))</f>
        <v>2</v>
      </c>
      <c r="G868" s="29">
        <f t="shared" si="105"/>
        <v>1</v>
      </c>
      <c r="H868" s="29">
        <f>IF(Dataset!G868&lt;=3,0.25,IF(Dataset!G868&lt;=6,0.45,IF(Dataset!G868&lt;=9,0.65,0.85)))</f>
        <v>0.65</v>
      </c>
      <c r="I868" s="29">
        <f>IF(Dataset!G868&lt;=3,1,IF(Dataset!G868&lt;=6,2,IF(Dataset!G868&lt;=9,3,4)))</f>
        <v>3</v>
      </c>
      <c r="J868" s="29">
        <f t="shared" si="106"/>
        <v>1.9500000000000002</v>
      </c>
      <c r="K868" s="29">
        <f>IF(Dataset!H868&lt;1,0.2,IF(Dataset!H868&lt;1.3,0.45,IF(Dataset!H868&lt;1.8,0.7,0.9)))</f>
        <v>0.7</v>
      </c>
      <c r="L868" s="29">
        <f>IF(Dataset!H868&lt;1,1,IF(Dataset!H868&lt;1.3,2,IF(Dataset!H868&lt;1.8,3,4)))</f>
        <v>3</v>
      </c>
      <c r="M868" s="29">
        <f t="shared" si="107"/>
        <v>2.0999999999999996</v>
      </c>
      <c r="N868" s="29">
        <f>IF(Dataset!F868=1,0.75,IF(Dataset!F868=2,0.45,0.2))</f>
        <v>0.45</v>
      </c>
      <c r="O868" s="29">
        <f>IF(Dataset!F868=1,3,IF(Dataset!F868=2,2,1))</f>
        <v>2</v>
      </c>
      <c r="P868" s="29">
        <f t="shared" si="108"/>
        <v>0.9</v>
      </c>
      <c r="Q868" s="29">
        <f>IF(Dataset!K868&lt;5,0.2,IF(Dataset!K868&lt;10,0.45,IF(Dataset!K868&lt;18,0.7,0.9)))</f>
        <v>0.45</v>
      </c>
      <c r="R868" s="29">
        <f>IF(Dataset!K868&lt;5,1,IF(Dataset!K868&lt;10,2,IF(Dataset!K868&lt;18,3,4)))</f>
        <v>2</v>
      </c>
      <c r="S868" s="29">
        <f t="shared" si="109"/>
        <v>0.9</v>
      </c>
      <c r="T868" s="29">
        <f t="shared" si="110"/>
        <v>1.4300000000000002</v>
      </c>
      <c r="U868" s="29" t="str">
        <f t="shared" si="111"/>
        <v>Medium</v>
      </c>
    </row>
    <row r="869" spans="1:21" ht="15" customHeight="1" x14ac:dyDescent="0.25">
      <c r="A869" s="29">
        <f>Dataset!A869</f>
        <v>865</v>
      </c>
      <c r="B869" s="29">
        <f>IF(Dataset!B869&lt;25,0.3,IF(Dataset!B869&lt;75,0.5,IF(Dataset!B869&lt;120,0.65,0.8)))</f>
        <v>0.65</v>
      </c>
      <c r="C869" s="29">
        <f>IF(Dataset!B869&lt;25,1,IF(Dataset!B869&lt;75,2,IF(Dataset!B869&lt;120,3,4)))</f>
        <v>3</v>
      </c>
      <c r="D869" s="29">
        <f t="shared" si="104"/>
        <v>1.9500000000000002</v>
      </c>
      <c r="E869" s="29">
        <f>IF(Dataset!C869&lt;=1,0.3,IF(Dataset!C869=2,0.4,IF(Dataset!C869=3,0.5,IF(Dataset!C869=4,0.65,0.8))))</f>
        <v>0.65</v>
      </c>
      <c r="F869" s="29">
        <f>IF(Dataset!C869&lt;=2,1,IF(Dataset!C869=3,2,IF(Dataset!C869=4,3,4)))</f>
        <v>3</v>
      </c>
      <c r="G869" s="29">
        <f t="shared" si="105"/>
        <v>1.9500000000000002</v>
      </c>
      <c r="H869" s="29">
        <f>IF(Dataset!G869&lt;=3,0.25,IF(Dataset!G869&lt;=6,0.45,IF(Dataset!G869&lt;=9,0.65,0.85)))</f>
        <v>0.65</v>
      </c>
      <c r="I869" s="29">
        <f>IF(Dataset!G869&lt;=3,1,IF(Dataset!G869&lt;=6,2,IF(Dataset!G869&lt;=9,3,4)))</f>
        <v>3</v>
      </c>
      <c r="J869" s="29">
        <f t="shared" si="106"/>
        <v>1.9500000000000002</v>
      </c>
      <c r="K869" s="29">
        <f>IF(Dataset!H869&lt;1,0.2,IF(Dataset!H869&lt;1.3,0.45,IF(Dataset!H869&lt;1.8,0.7,0.9)))</f>
        <v>0.2</v>
      </c>
      <c r="L869" s="29">
        <f>IF(Dataset!H869&lt;1,1,IF(Dataset!H869&lt;1.3,2,IF(Dataset!H869&lt;1.8,3,4)))</f>
        <v>1</v>
      </c>
      <c r="M869" s="29">
        <f t="shared" si="107"/>
        <v>0.2</v>
      </c>
      <c r="N869" s="29">
        <f>IF(Dataset!F869=1,0.75,IF(Dataset!F869=2,0.45,0.2))</f>
        <v>0.45</v>
      </c>
      <c r="O869" s="29">
        <f>IF(Dataset!F869=1,3,IF(Dataset!F869=2,2,1))</f>
        <v>2</v>
      </c>
      <c r="P869" s="29">
        <f t="shared" si="108"/>
        <v>0.9</v>
      </c>
      <c r="Q869" s="29">
        <f>IF(Dataset!K869&lt;5,0.2,IF(Dataset!K869&lt;10,0.45,IF(Dataset!K869&lt;18,0.7,0.9)))</f>
        <v>0.45</v>
      </c>
      <c r="R869" s="29">
        <f>IF(Dataset!K869&lt;5,1,IF(Dataset!K869&lt;10,2,IF(Dataset!K869&lt;18,3,4)))</f>
        <v>2</v>
      </c>
      <c r="S869" s="29">
        <f t="shared" si="109"/>
        <v>0.9</v>
      </c>
      <c r="T869" s="29">
        <f t="shared" si="110"/>
        <v>1.2780000000000005</v>
      </c>
      <c r="U869" s="29" t="str">
        <f t="shared" si="111"/>
        <v>Low</v>
      </c>
    </row>
    <row r="870" spans="1:21" ht="15" customHeight="1" x14ac:dyDescent="0.25">
      <c r="A870" s="29">
        <f>Dataset!A870</f>
        <v>866</v>
      </c>
      <c r="B870" s="29">
        <f>IF(Dataset!B870&lt;25,0.3,IF(Dataset!B870&lt;75,0.5,IF(Dataset!B870&lt;120,0.65,0.8)))</f>
        <v>0.65</v>
      </c>
      <c r="C870" s="29">
        <f>IF(Dataset!B870&lt;25,1,IF(Dataset!B870&lt;75,2,IF(Dataset!B870&lt;120,3,4)))</f>
        <v>3</v>
      </c>
      <c r="D870" s="29">
        <f t="shared" si="104"/>
        <v>1.9500000000000002</v>
      </c>
      <c r="E870" s="29">
        <f>IF(Dataset!C870&lt;=1,0.3,IF(Dataset!C870=2,0.4,IF(Dataset!C870=3,0.5,IF(Dataset!C870=4,0.65,0.8))))</f>
        <v>0.4</v>
      </c>
      <c r="F870" s="29">
        <f>IF(Dataset!C870&lt;=2,1,IF(Dataset!C870=3,2,IF(Dataset!C870=4,3,4)))</f>
        <v>1</v>
      </c>
      <c r="G870" s="29">
        <f t="shared" si="105"/>
        <v>0.4</v>
      </c>
      <c r="H870" s="29">
        <f>IF(Dataset!G870&lt;=3,0.25,IF(Dataset!G870&lt;=6,0.45,IF(Dataset!G870&lt;=9,0.65,0.85)))</f>
        <v>0.45</v>
      </c>
      <c r="I870" s="29">
        <f>IF(Dataset!G870&lt;=3,1,IF(Dataset!G870&lt;=6,2,IF(Dataset!G870&lt;=9,3,4)))</f>
        <v>2</v>
      </c>
      <c r="J870" s="29">
        <f t="shared" si="106"/>
        <v>0.9</v>
      </c>
      <c r="K870" s="29">
        <f>IF(Dataset!H870&lt;1,0.2,IF(Dataset!H870&lt;1.3,0.45,IF(Dataset!H870&lt;1.8,0.7,0.9)))</f>
        <v>0.9</v>
      </c>
      <c r="L870" s="29">
        <f>IF(Dataset!H870&lt;1,1,IF(Dataset!H870&lt;1.3,2,IF(Dataset!H870&lt;1.8,3,4)))</f>
        <v>4</v>
      </c>
      <c r="M870" s="29">
        <f t="shared" si="107"/>
        <v>3.6</v>
      </c>
      <c r="N870" s="29">
        <f>IF(Dataset!F870=1,0.75,IF(Dataset!F870=2,0.45,0.2))</f>
        <v>0.2</v>
      </c>
      <c r="O870" s="29">
        <f>IF(Dataset!F870=1,3,IF(Dataset!F870=2,2,1))</f>
        <v>1</v>
      </c>
      <c r="P870" s="29">
        <f t="shared" si="108"/>
        <v>0.2</v>
      </c>
      <c r="Q870" s="29">
        <f>IF(Dataset!K870&lt;5,0.2,IF(Dataset!K870&lt;10,0.45,IF(Dataset!K870&lt;18,0.7,0.9)))</f>
        <v>0.2</v>
      </c>
      <c r="R870" s="29">
        <f>IF(Dataset!K870&lt;5,1,IF(Dataset!K870&lt;10,2,IF(Dataset!K870&lt;18,3,4)))</f>
        <v>1</v>
      </c>
      <c r="S870" s="29">
        <f t="shared" si="109"/>
        <v>0.2</v>
      </c>
      <c r="T870" s="29">
        <f t="shared" si="110"/>
        <v>1.4990000000000001</v>
      </c>
      <c r="U870" s="29" t="str">
        <f t="shared" si="111"/>
        <v>Medium</v>
      </c>
    </row>
    <row r="871" spans="1:21" ht="15" customHeight="1" x14ac:dyDescent="0.25">
      <c r="A871" s="29">
        <f>Dataset!A871</f>
        <v>867</v>
      </c>
      <c r="B871" s="29">
        <f>IF(Dataset!B871&lt;25,0.3,IF(Dataset!B871&lt;75,0.5,IF(Dataset!B871&lt;120,0.65,0.8)))</f>
        <v>0.5</v>
      </c>
      <c r="C871" s="29">
        <f>IF(Dataset!B871&lt;25,1,IF(Dataset!B871&lt;75,2,IF(Dataset!B871&lt;120,3,4)))</f>
        <v>2</v>
      </c>
      <c r="D871" s="29">
        <f t="shared" si="104"/>
        <v>1</v>
      </c>
      <c r="E871" s="29">
        <f>IF(Dataset!C871&lt;=1,0.3,IF(Dataset!C871=2,0.4,IF(Dataset!C871=3,0.5,IF(Dataset!C871=4,0.65,0.8))))</f>
        <v>0.5</v>
      </c>
      <c r="F871" s="29">
        <f>IF(Dataset!C871&lt;=2,1,IF(Dataset!C871=3,2,IF(Dataset!C871=4,3,4)))</f>
        <v>2</v>
      </c>
      <c r="G871" s="29">
        <f t="shared" si="105"/>
        <v>1</v>
      </c>
      <c r="H871" s="29">
        <f>IF(Dataset!G871&lt;=3,0.25,IF(Dataset!G871&lt;=6,0.45,IF(Dataset!G871&lt;=9,0.65,0.85)))</f>
        <v>0.65</v>
      </c>
      <c r="I871" s="29">
        <f>IF(Dataset!G871&lt;=3,1,IF(Dataset!G871&lt;=6,2,IF(Dataset!G871&lt;=9,3,4)))</f>
        <v>3</v>
      </c>
      <c r="J871" s="29">
        <f t="shared" si="106"/>
        <v>1.9500000000000002</v>
      </c>
      <c r="K871" s="29">
        <f>IF(Dataset!H871&lt;1,0.2,IF(Dataset!H871&lt;1.3,0.45,IF(Dataset!H871&lt;1.8,0.7,0.9)))</f>
        <v>0.9</v>
      </c>
      <c r="L871" s="29">
        <f>IF(Dataset!H871&lt;1,1,IF(Dataset!H871&lt;1.3,2,IF(Dataset!H871&lt;1.8,3,4)))</f>
        <v>4</v>
      </c>
      <c r="M871" s="29">
        <f t="shared" si="107"/>
        <v>3.6</v>
      </c>
      <c r="N871" s="29">
        <f>IF(Dataset!F871=1,0.75,IF(Dataset!F871=2,0.45,0.2))</f>
        <v>0.45</v>
      </c>
      <c r="O871" s="29">
        <f>IF(Dataset!F871=1,3,IF(Dataset!F871=2,2,1))</f>
        <v>2</v>
      </c>
      <c r="P871" s="29">
        <f t="shared" si="108"/>
        <v>0.9</v>
      </c>
      <c r="Q871" s="29">
        <f>IF(Dataset!K871&lt;5,0.2,IF(Dataset!K871&lt;10,0.45,IF(Dataset!K871&lt;18,0.7,0.9)))</f>
        <v>0.45</v>
      </c>
      <c r="R871" s="29">
        <f>IF(Dataset!K871&lt;5,1,IF(Dataset!K871&lt;10,2,IF(Dataset!K871&lt;18,3,4)))</f>
        <v>2</v>
      </c>
      <c r="S871" s="29">
        <f t="shared" si="109"/>
        <v>0.9</v>
      </c>
      <c r="T871" s="29">
        <f t="shared" si="110"/>
        <v>1.7900000000000003</v>
      </c>
      <c r="U871" s="29" t="str">
        <f t="shared" si="111"/>
        <v>High</v>
      </c>
    </row>
    <row r="872" spans="1:21" ht="15" customHeight="1" x14ac:dyDescent="0.25">
      <c r="A872" s="29">
        <f>Dataset!A872</f>
        <v>868</v>
      </c>
      <c r="B872" s="29">
        <f>IF(Dataset!B872&lt;25,0.3,IF(Dataset!B872&lt;75,0.5,IF(Dataset!B872&lt;120,0.65,0.8)))</f>
        <v>0.5</v>
      </c>
      <c r="C872" s="29">
        <f>IF(Dataset!B872&lt;25,1,IF(Dataset!B872&lt;75,2,IF(Dataset!B872&lt;120,3,4)))</f>
        <v>2</v>
      </c>
      <c r="D872" s="29">
        <f t="shared" si="104"/>
        <v>1</v>
      </c>
      <c r="E872" s="29">
        <f>IF(Dataset!C872&lt;=1,0.3,IF(Dataset!C872=2,0.4,IF(Dataset!C872=3,0.5,IF(Dataset!C872=4,0.65,0.8))))</f>
        <v>0.65</v>
      </c>
      <c r="F872" s="29">
        <f>IF(Dataset!C872&lt;=2,1,IF(Dataset!C872=3,2,IF(Dataset!C872=4,3,4)))</f>
        <v>3</v>
      </c>
      <c r="G872" s="29">
        <f t="shared" si="105"/>
        <v>1.9500000000000002</v>
      </c>
      <c r="H872" s="29">
        <f>IF(Dataset!G872&lt;=3,0.25,IF(Dataset!G872&lt;=6,0.45,IF(Dataset!G872&lt;=9,0.65,0.85)))</f>
        <v>0.45</v>
      </c>
      <c r="I872" s="29">
        <f>IF(Dataset!G872&lt;=3,1,IF(Dataset!G872&lt;=6,2,IF(Dataset!G872&lt;=9,3,4)))</f>
        <v>2</v>
      </c>
      <c r="J872" s="29">
        <f t="shared" si="106"/>
        <v>0.9</v>
      </c>
      <c r="K872" s="29">
        <f>IF(Dataset!H872&lt;1,0.2,IF(Dataset!H872&lt;1.3,0.45,IF(Dataset!H872&lt;1.8,0.7,0.9)))</f>
        <v>0.45</v>
      </c>
      <c r="L872" s="29">
        <f>IF(Dataset!H872&lt;1,1,IF(Dataset!H872&lt;1.3,2,IF(Dataset!H872&lt;1.8,3,4)))</f>
        <v>2</v>
      </c>
      <c r="M872" s="29">
        <f t="shared" si="107"/>
        <v>0.9</v>
      </c>
      <c r="N872" s="29">
        <f>IF(Dataset!F872=1,0.75,IF(Dataset!F872=2,0.45,0.2))</f>
        <v>0.2</v>
      </c>
      <c r="O872" s="29">
        <f>IF(Dataset!F872=1,3,IF(Dataset!F872=2,2,1))</f>
        <v>1</v>
      </c>
      <c r="P872" s="29">
        <f t="shared" si="108"/>
        <v>0.2</v>
      </c>
      <c r="Q872" s="29">
        <f>IF(Dataset!K872&lt;5,0.2,IF(Dataset!K872&lt;10,0.45,IF(Dataset!K872&lt;18,0.7,0.9)))</f>
        <v>0.7</v>
      </c>
      <c r="R872" s="29">
        <f>IF(Dataset!K872&lt;5,1,IF(Dataset!K872&lt;10,2,IF(Dataset!K872&lt;18,3,4)))</f>
        <v>3</v>
      </c>
      <c r="S872" s="29">
        <f t="shared" si="109"/>
        <v>2.0999999999999996</v>
      </c>
      <c r="T872" s="29">
        <f t="shared" si="110"/>
        <v>1.163</v>
      </c>
      <c r="U872" s="29" t="str">
        <f t="shared" si="111"/>
        <v>Low</v>
      </c>
    </row>
    <row r="873" spans="1:21" ht="15" customHeight="1" x14ac:dyDescent="0.25">
      <c r="A873" s="29">
        <f>Dataset!A873</f>
        <v>869</v>
      </c>
      <c r="B873" s="29">
        <f>IF(Dataset!B873&lt;25,0.3,IF(Dataset!B873&lt;75,0.5,IF(Dataset!B873&lt;120,0.65,0.8)))</f>
        <v>0.65</v>
      </c>
      <c r="C873" s="29">
        <f>IF(Dataset!B873&lt;25,1,IF(Dataset!B873&lt;75,2,IF(Dataset!B873&lt;120,3,4)))</f>
        <v>3</v>
      </c>
      <c r="D873" s="29">
        <f t="shared" si="104"/>
        <v>1.9500000000000002</v>
      </c>
      <c r="E873" s="29">
        <f>IF(Dataset!C873&lt;=1,0.3,IF(Dataset!C873=2,0.4,IF(Dataset!C873=3,0.5,IF(Dataset!C873=4,0.65,0.8))))</f>
        <v>0.5</v>
      </c>
      <c r="F873" s="29">
        <f>IF(Dataset!C873&lt;=2,1,IF(Dataset!C873=3,2,IF(Dataset!C873=4,3,4)))</f>
        <v>2</v>
      </c>
      <c r="G873" s="29">
        <f t="shared" si="105"/>
        <v>1</v>
      </c>
      <c r="H873" s="29">
        <f>IF(Dataset!G873&lt;=3,0.25,IF(Dataset!G873&lt;=6,0.45,IF(Dataset!G873&lt;=9,0.65,0.85)))</f>
        <v>0.45</v>
      </c>
      <c r="I873" s="29">
        <f>IF(Dataset!G873&lt;=3,1,IF(Dataset!G873&lt;=6,2,IF(Dataset!G873&lt;=9,3,4)))</f>
        <v>2</v>
      </c>
      <c r="J873" s="29">
        <f t="shared" si="106"/>
        <v>0.9</v>
      </c>
      <c r="K873" s="29">
        <f>IF(Dataset!H873&lt;1,0.2,IF(Dataset!H873&lt;1.3,0.45,IF(Dataset!H873&lt;1.8,0.7,0.9)))</f>
        <v>0.7</v>
      </c>
      <c r="L873" s="29">
        <f>IF(Dataset!H873&lt;1,1,IF(Dataset!H873&lt;1.3,2,IF(Dataset!H873&lt;1.8,3,4)))</f>
        <v>3</v>
      </c>
      <c r="M873" s="29">
        <f t="shared" si="107"/>
        <v>2.0999999999999996</v>
      </c>
      <c r="N873" s="29">
        <f>IF(Dataset!F873=1,0.75,IF(Dataset!F873=2,0.45,0.2))</f>
        <v>0.75</v>
      </c>
      <c r="O873" s="29">
        <f>IF(Dataset!F873=1,3,IF(Dataset!F873=2,2,1))</f>
        <v>3</v>
      </c>
      <c r="P873" s="29">
        <f t="shared" si="108"/>
        <v>2.25</v>
      </c>
      <c r="Q873" s="29">
        <f>IF(Dataset!K873&lt;5,0.2,IF(Dataset!K873&lt;10,0.45,IF(Dataset!K873&lt;18,0.7,0.9)))</f>
        <v>0.45</v>
      </c>
      <c r="R873" s="29">
        <f>IF(Dataset!K873&lt;5,1,IF(Dataset!K873&lt;10,2,IF(Dataset!K873&lt;18,3,4)))</f>
        <v>2</v>
      </c>
      <c r="S873" s="29">
        <f t="shared" si="109"/>
        <v>0.9</v>
      </c>
      <c r="T873" s="29">
        <f t="shared" si="110"/>
        <v>1.526</v>
      </c>
      <c r="U873" s="29" t="str">
        <f t="shared" si="111"/>
        <v>Medium</v>
      </c>
    </row>
    <row r="874" spans="1:21" ht="15" customHeight="1" x14ac:dyDescent="0.25">
      <c r="A874" s="29">
        <f>Dataset!A874</f>
        <v>870</v>
      </c>
      <c r="B874" s="29">
        <f>IF(Dataset!B874&lt;25,0.3,IF(Dataset!B874&lt;75,0.5,IF(Dataset!B874&lt;120,0.65,0.8)))</f>
        <v>0.8</v>
      </c>
      <c r="C874" s="29">
        <f>IF(Dataset!B874&lt;25,1,IF(Dataset!B874&lt;75,2,IF(Dataset!B874&lt;120,3,4)))</f>
        <v>4</v>
      </c>
      <c r="D874" s="29">
        <f t="shared" si="104"/>
        <v>3.2</v>
      </c>
      <c r="E874" s="29">
        <f>IF(Dataset!C874&lt;=1,0.3,IF(Dataset!C874=2,0.4,IF(Dataset!C874=3,0.5,IF(Dataset!C874=4,0.65,0.8))))</f>
        <v>0.5</v>
      </c>
      <c r="F874" s="29">
        <f>IF(Dataset!C874&lt;=2,1,IF(Dataset!C874=3,2,IF(Dataset!C874=4,3,4)))</f>
        <v>2</v>
      </c>
      <c r="G874" s="29">
        <f t="shared" si="105"/>
        <v>1</v>
      </c>
      <c r="H874" s="29">
        <f>IF(Dataset!G874&lt;=3,0.25,IF(Dataset!G874&lt;=6,0.45,IF(Dataset!G874&lt;=9,0.65,0.85)))</f>
        <v>0.45</v>
      </c>
      <c r="I874" s="29">
        <f>IF(Dataset!G874&lt;=3,1,IF(Dataset!G874&lt;=6,2,IF(Dataset!G874&lt;=9,3,4)))</f>
        <v>2</v>
      </c>
      <c r="J874" s="29">
        <f t="shared" si="106"/>
        <v>0.9</v>
      </c>
      <c r="K874" s="29">
        <f>IF(Dataset!H874&lt;1,0.2,IF(Dataset!H874&lt;1.3,0.45,IF(Dataset!H874&lt;1.8,0.7,0.9)))</f>
        <v>0.9</v>
      </c>
      <c r="L874" s="29">
        <f>IF(Dataset!H874&lt;1,1,IF(Dataset!H874&lt;1.3,2,IF(Dataset!H874&lt;1.8,3,4)))</f>
        <v>4</v>
      </c>
      <c r="M874" s="29">
        <f t="shared" si="107"/>
        <v>3.6</v>
      </c>
      <c r="N874" s="29">
        <f>IF(Dataset!F874=1,0.75,IF(Dataset!F874=2,0.45,0.2))</f>
        <v>0.45</v>
      </c>
      <c r="O874" s="29">
        <f>IF(Dataset!F874=1,3,IF(Dataset!F874=2,2,1))</f>
        <v>2</v>
      </c>
      <c r="P874" s="29">
        <f t="shared" si="108"/>
        <v>0.9</v>
      </c>
      <c r="Q874" s="29">
        <f>IF(Dataset!K874&lt;5,0.2,IF(Dataset!K874&lt;10,0.45,IF(Dataset!K874&lt;18,0.7,0.9)))</f>
        <v>0.2</v>
      </c>
      <c r="R874" s="29">
        <f>IF(Dataset!K874&lt;5,1,IF(Dataset!K874&lt;10,2,IF(Dataset!K874&lt;18,3,4)))</f>
        <v>1</v>
      </c>
      <c r="S874" s="29">
        <f t="shared" si="109"/>
        <v>0.2</v>
      </c>
      <c r="T874" s="29">
        <f t="shared" si="110"/>
        <v>1.8780000000000001</v>
      </c>
      <c r="U874" s="29" t="str">
        <f t="shared" si="111"/>
        <v>High</v>
      </c>
    </row>
    <row r="875" spans="1:21" ht="15" customHeight="1" x14ac:dyDescent="0.25">
      <c r="A875" s="29">
        <f>Dataset!A875</f>
        <v>871</v>
      </c>
      <c r="B875" s="29">
        <f>IF(Dataset!B875&lt;25,0.3,IF(Dataset!B875&lt;75,0.5,IF(Dataset!B875&lt;120,0.65,0.8)))</f>
        <v>0.5</v>
      </c>
      <c r="C875" s="29">
        <f>IF(Dataset!B875&lt;25,1,IF(Dataset!B875&lt;75,2,IF(Dataset!B875&lt;120,3,4)))</f>
        <v>2</v>
      </c>
      <c r="D875" s="29">
        <f t="shared" si="104"/>
        <v>1</v>
      </c>
      <c r="E875" s="29">
        <f>IF(Dataset!C875&lt;=1,0.3,IF(Dataset!C875=2,0.4,IF(Dataset!C875=3,0.5,IF(Dataset!C875=4,0.65,0.8))))</f>
        <v>0.3</v>
      </c>
      <c r="F875" s="29">
        <f>IF(Dataset!C875&lt;=2,1,IF(Dataset!C875=3,2,IF(Dataset!C875=4,3,4)))</f>
        <v>1</v>
      </c>
      <c r="G875" s="29">
        <f t="shared" si="105"/>
        <v>0.3</v>
      </c>
      <c r="H875" s="29">
        <f>IF(Dataset!G875&lt;=3,0.25,IF(Dataset!G875&lt;=6,0.45,IF(Dataset!G875&lt;=9,0.65,0.85)))</f>
        <v>0.45</v>
      </c>
      <c r="I875" s="29">
        <f>IF(Dataset!G875&lt;=3,1,IF(Dataset!G875&lt;=6,2,IF(Dataset!G875&lt;=9,3,4)))</f>
        <v>2</v>
      </c>
      <c r="J875" s="29">
        <f t="shared" si="106"/>
        <v>0.9</v>
      </c>
      <c r="K875" s="29">
        <f>IF(Dataset!H875&lt;1,0.2,IF(Dataset!H875&lt;1.3,0.45,IF(Dataset!H875&lt;1.8,0.7,0.9)))</f>
        <v>0.45</v>
      </c>
      <c r="L875" s="29">
        <f>IF(Dataset!H875&lt;1,1,IF(Dataset!H875&lt;1.3,2,IF(Dataset!H875&lt;1.8,3,4)))</f>
        <v>2</v>
      </c>
      <c r="M875" s="29">
        <f t="shared" si="107"/>
        <v>0.9</v>
      </c>
      <c r="N875" s="29">
        <f>IF(Dataset!F875=1,0.75,IF(Dataset!F875=2,0.45,0.2))</f>
        <v>0.75</v>
      </c>
      <c r="O875" s="29">
        <f>IF(Dataset!F875=1,3,IF(Dataset!F875=2,2,1))</f>
        <v>3</v>
      </c>
      <c r="P875" s="29">
        <f t="shared" si="108"/>
        <v>2.25</v>
      </c>
      <c r="Q875" s="29">
        <f>IF(Dataset!K875&lt;5,0.2,IF(Dataset!K875&lt;10,0.45,IF(Dataset!K875&lt;18,0.7,0.9)))</f>
        <v>0.2</v>
      </c>
      <c r="R875" s="29">
        <f>IF(Dataset!K875&lt;5,1,IF(Dataset!K875&lt;10,2,IF(Dataset!K875&lt;18,3,4)))</f>
        <v>1</v>
      </c>
      <c r="S875" s="29">
        <f t="shared" si="109"/>
        <v>0.2</v>
      </c>
      <c r="T875" s="29">
        <f t="shared" si="110"/>
        <v>0.871</v>
      </c>
      <c r="U875" s="29" t="str">
        <f t="shared" si="111"/>
        <v>Low</v>
      </c>
    </row>
    <row r="876" spans="1:21" ht="15" customHeight="1" x14ac:dyDescent="0.25">
      <c r="A876" s="29">
        <f>Dataset!A876</f>
        <v>872</v>
      </c>
      <c r="B876" s="29">
        <f>IF(Dataset!B876&lt;25,0.3,IF(Dataset!B876&lt;75,0.5,IF(Dataset!B876&lt;120,0.65,0.8)))</f>
        <v>0.5</v>
      </c>
      <c r="C876" s="29">
        <f>IF(Dataset!B876&lt;25,1,IF(Dataset!B876&lt;75,2,IF(Dataset!B876&lt;120,3,4)))</f>
        <v>2</v>
      </c>
      <c r="D876" s="29">
        <f t="shared" si="104"/>
        <v>1</v>
      </c>
      <c r="E876" s="29">
        <f>IF(Dataset!C876&lt;=1,0.3,IF(Dataset!C876=2,0.4,IF(Dataset!C876=3,0.5,IF(Dataset!C876=4,0.65,0.8))))</f>
        <v>0.4</v>
      </c>
      <c r="F876" s="29">
        <f>IF(Dataset!C876&lt;=2,1,IF(Dataset!C876=3,2,IF(Dataset!C876=4,3,4)))</f>
        <v>1</v>
      </c>
      <c r="G876" s="29">
        <f t="shared" si="105"/>
        <v>0.4</v>
      </c>
      <c r="H876" s="29">
        <f>IF(Dataset!G876&lt;=3,0.25,IF(Dataset!G876&lt;=6,0.45,IF(Dataset!G876&lt;=9,0.65,0.85)))</f>
        <v>0.45</v>
      </c>
      <c r="I876" s="29">
        <f>IF(Dataset!G876&lt;=3,1,IF(Dataset!G876&lt;=6,2,IF(Dataset!G876&lt;=9,3,4)))</f>
        <v>2</v>
      </c>
      <c r="J876" s="29">
        <f t="shared" si="106"/>
        <v>0.9</v>
      </c>
      <c r="K876" s="29">
        <f>IF(Dataset!H876&lt;1,0.2,IF(Dataset!H876&lt;1.3,0.45,IF(Dataset!H876&lt;1.8,0.7,0.9)))</f>
        <v>0.9</v>
      </c>
      <c r="L876" s="29">
        <f>IF(Dataset!H876&lt;1,1,IF(Dataset!H876&lt;1.3,2,IF(Dataset!H876&lt;1.8,3,4)))</f>
        <v>4</v>
      </c>
      <c r="M876" s="29">
        <f t="shared" si="107"/>
        <v>3.6</v>
      </c>
      <c r="N876" s="29">
        <f>IF(Dataset!F876=1,0.75,IF(Dataset!F876=2,0.45,0.2))</f>
        <v>0.45</v>
      </c>
      <c r="O876" s="29">
        <f>IF(Dataset!F876=1,3,IF(Dataset!F876=2,2,1))</f>
        <v>2</v>
      </c>
      <c r="P876" s="29">
        <f t="shared" si="108"/>
        <v>0.9</v>
      </c>
      <c r="Q876" s="29">
        <f>IF(Dataset!K876&lt;5,0.2,IF(Dataset!K876&lt;10,0.45,IF(Dataset!K876&lt;18,0.7,0.9)))</f>
        <v>0.45</v>
      </c>
      <c r="R876" s="29">
        <f>IF(Dataset!K876&lt;5,1,IF(Dataset!K876&lt;10,2,IF(Dataset!K876&lt;18,3,4)))</f>
        <v>2</v>
      </c>
      <c r="S876" s="29">
        <f t="shared" si="109"/>
        <v>0.9</v>
      </c>
      <c r="T876" s="29">
        <f t="shared" si="110"/>
        <v>1.4960000000000002</v>
      </c>
      <c r="U876" s="29" t="str">
        <f t="shared" si="111"/>
        <v>Medium</v>
      </c>
    </row>
    <row r="877" spans="1:21" ht="15" customHeight="1" x14ac:dyDescent="0.25">
      <c r="A877" s="29">
        <f>Dataset!A877</f>
        <v>873</v>
      </c>
      <c r="B877" s="29">
        <f>IF(Dataset!B877&lt;25,0.3,IF(Dataset!B877&lt;75,0.5,IF(Dataset!B877&lt;120,0.65,0.8)))</f>
        <v>0.3</v>
      </c>
      <c r="C877" s="29">
        <f>IF(Dataset!B877&lt;25,1,IF(Dataset!B877&lt;75,2,IF(Dataset!B877&lt;120,3,4)))</f>
        <v>1</v>
      </c>
      <c r="D877" s="29">
        <f t="shared" si="104"/>
        <v>0.3</v>
      </c>
      <c r="E877" s="29">
        <f>IF(Dataset!C877&lt;=1,0.3,IF(Dataset!C877=2,0.4,IF(Dataset!C877=3,0.5,IF(Dataset!C877=4,0.65,0.8))))</f>
        <v>0.5</v>
      </c>
      <c r="F877" s="29">
        <f>IF(Dataset!C877&lt;=2,1,IF(Dataset!C877=3,2,IF(Dataset!C877=4,3,4)))</f>
        <v>2</v>
      </c>
      <c r="G877" s="29">
        <f t="shared" si="105"/>
        <v>1</v>
      </c>
      <c r="H877" s="29">
        <f>IF(Dataset!G877&lt;=3,0.25,IF(Dataset!G877&lt;=6,0.45,IF(Dataset!G877&lt;=9,0.65,0.85)))</f>
        <v>0.85</v>
      </c>
      <c r="I877" s="29">
        <f>IF(Dataset!G877&lt;=3,1,IF(Dataset!G877&lt;=6,2,IF(Dataset!G877&lt;=9,3,4)))</f>
        <v>4</v>
      </c>
      <c r="J877" s="29">
        <f t="shared" si="106"/>
        <v>3.4</v>
      </c>
      <c r="K877" s="29">
        <f>IF(Dataset!H877&lt;1,0.2,IF(Dataset!H877&lt;1.3,0.45,IF(Dataset!H877&lt;1.8,0.7,0.9)))</f>
        <v>0.7</v>
      </c>
      <c r="L877" s="29">
        <f>IF(Dataset!H877&lt;1,1,IF(Dataset!H877&lt;1.3,2,IF(Dataset!H877&lt;1.8,3,4)))</f>
        <v>3</v>
      </c>
      <c r="M877" s="29">
        <f t="shared" si="107"/>
        <v>2.0999999999999996</v>
      </c>
      <c r="N877" s="29">
        <f>IF(Dataset!F877=1,0.75,IF(Dataset!F877=2,0.45,0.2))</f>
        <v>0.45</v>
      </c>
      <c r="O877" s="29">
        <f>IF(Dataset!F877=1,3,IF(Dataset!F877=2,2,1))</f>
        <v>2</v>
      </c>
      <c r="P877" s="29">
        <f t="shared" si="108"/>
        <v>0.9</v>
      </c>
      <c r="Q877" s="29">
        <f>IF(Dataset!K877&lt;5,0.2,IF(Dataset!K877&lt;10,0.45,IF(Dataset!K877&lt;18,0.7,0.9)))</f>
        <v>0.45</v>
      </c>
      <c r="R877" s="29">
        <f>IF(Dataset!K877&lt;5,1,IF(Dataset!K877&lt;10,2,IF(Dataset!K877&lt;18,3,4)))</f>
        <v>2</v>
      </c>
      <c r="S877" s="29">
        <f t="shared" si="109"/>
        <v>0.9</v>
      </c>
      <c r="T877" s="29">
        <f t="shared" si="110"/>
        <v>1.5940000000000003</v>
      </c>
      <c r="U877" s="29" t="str">
        <f t="shared" si="111"/>
        <v>Medium</v>
      </c>
    </row>
    <row r="878" spans="1:21" ht="15" customHeight="1" x14ac:dyDescent="0.25">
      <c r="A878" s="29">
        <f>Dataset!A878</f>
        <v>874</v>
      </c>
      <c r="B878" s="29">
        <f>IF(Dataset!B878&lt;25,0.3,IF(Dataset!B878&lt;75,0.5,IF(Dataset!B878&lt;120,0.65,0.8)))</f>
        <v>0.5</v>
      </c>
      <c r="C878" s="29">
        <f>IF(Dataset!B878&lt;25,1,IF(Dataset!B878&lt;75,2,IF(Dataset!B878&lt;120,3,4)))</f>
        <v>2</v>
      </c>
      <c r="D878" s="29">
        <f t="shared" si="104"/>
        <v>1</v>
      </c>
      <c r="E878" s="29">
        <f>IF(Dataset!C878&lt;=1,0.3,IF(Dataset!C878=2,0.4,IF(Dataset!C878=3,0.5,IF(Dataset!C878=4,0.65,0.8))))</f>
        <v>0.8</v>
      </c>
      <c r="F878" s="29">
        <f>IF(Dataset!C878&lt;=2,1,IF(Dataset!C878=3,2,IF(Dataset!C878=4,3,4)))</f>
        <v>4</v>
      </c>
      <c r="G878" s="29">
        <f t="shared" si="105"/>
        <v>3.2</v>
      </c>
      <c r="H878" s="29">
        <f>IF(Dataset!G878&lt;=3,0.25,IF(Dataset!G878&lt;=6,0.45,IF(Dataset!G878&lt;=9,0.65,0.85)))</f>
        <v>0.65</v>
      </c>
      <c r="I878" s="29">
        <f>IF(Dataset!G878&lt;=3,1,IF(Dataset!G878&lt;=6,2,IF(Dataset!G878&lt;=9,3,4)))</f>
        <v>3</v>
      </c>
      <c r="J878" s="29">
        <f t="shared" si="106"/>
        <v>1.9500000000000002</v>
      </c>
      <c r="K878" s="29">
        <f>IF(Dataset!H878&lt;1,0.2,IF(Dataset!H878&lt;1.3,0.45,IF(Dataset!H878&lt;1.8,0.7,0.9)))</f>
        <v>0.2</v>
      </c>
      <c r="L878" s="29">
        <f>IF(Dataset!H878&lt;1,1,IF(Dataset!H878&lt;1.3,2,IF(Dataset!H878&lt;1.8,3,4)))</f>
        <v>1</v>
      </c>
      <c r="M878" s="29">
        <f t="shared" si="107"/>
        <v>0.2</v>
      </c>
      <c r="N878" s="29">
        <f>IF(Dataset!F878=1,0.75,IF(Dataset!F878=2,0.45,0.2))</f>
        <v>0.2</v>
      </c>
      <c r="O878" s="29">
        <f>IF(Dataset!F878=1,3,IF(Dataset!F878=2,2,1))</f>
        <v>1</v>
      </c>
      <c r="P878" s="29">
        <f t="shared" si="108"/>
        <v>0.2</v>
      </c>
      <c r="Q878" s="29">
        <f>IF(Dataset!K878&lt;5,0.2,IF(Dataset!K878&lt;10,0.45,IF(Dataset!K878&lt;18,0.7,0.9)))</f>
        <v>0.9</v>
      </c>
      <c r="R878" s="29">
        <f>IF(Dataset!K878&lt;5,1,IF(Dataset!K878&lt;10,2,IF(Dataset!K878&lt;18,3,4)))</f>
        <v>4</v>
      </c>
      <c r="S878" s="29">
        <f t="shared" si="109"/>
        <v>3.6</v>
      </c>
      <c r="T878" s="29">
        <f t="shared" si="110"/>
        <v>1.5900000000000003</v>
      </c>
      <c r="U878" s="29" t="str">
        <f t="shared" si="111"/>
        <v>Medium</v>
      </c>
    </row>
    <row r="879" spans="1:21" ht="15" customHeight="1" x14ac:dyDescent="0.25">
      <c r="A879" s="29">
        <f>Dataset!A879</f>
        <v>875</v>
      </c>
      <c r="B879" s="29">
        <f>IF(Dataset!B879&lt;25,0.3,IF(Dataset!B879&lt;75,0.5,IF(Dataset!B879&lt;120,0.65,0.8)))</f>
        <v>0.65</v>
      </c>
      <c r="C879" s="29">
        <f>IF(Dataset!B879&lt;25,1,IF(Dataset!B879&lt;75,2,IF(Dataset!B879&lt;120,3,4)))</f>
        <v>3</v>
      </c>
      <c r="D879" s="29">
        <f t="shared" si="104"/>
        <v>1.9500000000000002</v>
      </c>
      <c r="E879" s="29">
        <f>IF(Dataset!C879&lt;=1,0.3,IF(Dataset!C879=2,0.4,IF(Dataset!C879=3,0.5,IF(Dataset!C879=4,0.65,0.8))))</f>
        <v>0.8</v>
      </c>
      <c r="F879" s="29">
        <f>IF(Dataset!C879&lt;=2,1,IF(Dataset!C879=3,2,IF(Dataset!C879=4,3,4)))</f>
        <v>4</v>
      </c>
      <c r="G879" s="29">
        <f t="shared" si="105"/>
        <v>3.2</v>
      </c>
      <c r="H879" s="29">
        <f>IF(Dataset!G879&lt;=3,0.25,IF(Dataset!G879&lt;=6,0.45,IF(Dataset!G879&lt;=9,0.65,0.85)))</f>
        <v>0.45</v>
      </c>
      <c r="I879" s="29">
        <f>IF(Dataset!G879&lt;=3,1,IF(Dataset!G879&lt;=6,2,IF(Dataset!G879&lt;=9,3,4)))</f>
        <v>2</v>
      </c>
      <c r="J879" s="29">
        <f t="shared" si="106"/>
        <v>0.9</v>
      </c>
      <c r="K879" s="29">
        <f>IF(Dataset!H879&lt;1,0.2,IF(Dataset!H879&lt;1.3,0.45,IF(Dataset!H879&lt;1.8,0.7,0.9)))</f>
        <v>0.9</v>
      </c>
      <c r="L879" s="29">
        <f>IF(Dataset!H879&lt;1,1,IF(Dataset!H879&lt;1.3,2,IF(Dataset!H879&lt;1.8,3,4)))</f>
        <v>4</v>
      </c>
      <c r="M879" s="29">
        <f t="shared" si="107"/>
        <v>3.6</v>
      </c>
      <c r="N879" s="29">
        <f>IF(Dataset!F879=1,0.75,IF(Dataset!F879=2,0.45,0.2))</f>
        <v>0.45</v>
      </c>
      <c r="O879" s="29">
        <f>IF(Dataset!F879=1,3,IF(Dataset!F879=2,2,1))</f>
        <v>2</v>
      </c>
      <c r="P879" s="29">
        <f t="shared" si="108"/>
        <v>0.9</v>
      </c>
      <c r="Q879" s="29">
        <f>IF(Dataset!K879&lt;5,0.2,IF(Dataset!K879&lt;10,0.45,IF(Dataset!K879&lt;18,0.7,0.9)))</f>
        <v>0.7</v>
      </c>
      <c r="R879" s="29">
        <f>IF(Dataset!K879&lt;5,1,IF(Dataset!K879&lt;10,2,IF(Dataset!K879&lt;18,3,4)))</f>
        <v>3</v>
      </c>
      <c r="S879" s="29">
        <f t="shared" si="109"/>
        <v>2.0999999999999996</v>
      </c>
      <c r="T879" s="29">
        <f t="shared" si="110"/>
        <v>2.2270000000000003</v>
      </c>
      <c r="U879" s="29" t="str">
        <f t="shared" si="111"/>
        <v>High</v>
      </c>
    </row>
    <row r="880" spans="1:21" ht="15" customHeight="1" x14ac:dyDescent="0.25">
      <c r="A880" s="29">
        <f>Dataset!A880</f>
        <v>876</v>
      </c>
      <c r="B880" s="29">
        <f>IF(Dataset!B880&lt;25,0.3,IF(Dataset!B880&lt;75,0.5,IF(Dataset!B880&lt;120,0.65,0.8)))</f>
        <v>0.8</v>
      </c>
      <c r="C880" s="29">
        <f>IF(Dataset!B880&lt;25,1,IF(Dataset!B880&lt;75,2,IF(Dataset!B880&lt;120,3,4)))</f>
        <v>4</v>
      </c>
      <c r="D880" s="29">
        <f t="shared" si="104"/>
        <v>3.2</v>
      </c>
      <c r="E880" s="29">
        <f>IF(Dataset!C880&lt;=1,0.3,IF(Dataset!C880=2,0.4,IF(Dataset!C880=3,0.5,IF(Dataset!C880=4,0.65,0.8))))</f>
        <v>0.8</v>
      </c>
      <c r="F880" s="29">
        <f>IF(Dataset!C880&lt;=2,1,IF(Dataset!C880=3,2,IF(Dataset!C880=4,3,4)))</f>
        <v>4</v>
      </c>
      <c r="G880" s="29">
        <f t="shared" si="105"/>
        <v>3.2</v>
      </c>
      <c r="H880" s="29">
        <f>IF(Dataset!G880&lt;=3,0.25,IF(Dataset!G880&lt;=6,0.45,IF(Dataset!G880&lt;=9,0.65,0.85)))</f>
        <v>0.25</v>
      </c>
      <c r="I880" s="29">
        <f>IF(Dataset!G880&lt;=3,1,IF(Dataset!G880&lt;=6,2,IF(Dataset!G880&lt;=9,3,4)))</f>
        <v>1</v>
      </c>
      <c r="J880" s="29">
        <f t="shared" si="106"/>
        <v>0.25</v>
      </c>
      <c r="K880" s="29">
        <f>IF(Dataset!H880&lt;1,0.2,IF(Dataset!H880&lt;1.3,0.45,IF(Dataset!H880&lt;1.8,0.7,0.9)))</f>
        <v>0.7</v>
      </c>
      <c r="L880" s="29">
        <f>IF(Dataset!H880&lt;1,1,IF(Dataset!H880&lt;1.3,2,IF(Dataset!H880&lt;1.8,3,4)))</f>
        <v>3</v>
      </c>
      <c r="M880" s="29">
        <f t="shared" si="107"/>
        <v>2.0999999999999996</v>
      </c>
      <c r="N880" s="29">
        <f>IF(Dataset!F880=1,0.75,IF(Dataset!F880=2,0.45,0.2))</f>
        <v>0.45</v>
      </c>
      <c r="O880" s="29">
        <f>IF(Dataset!F880=1,3,IF(Dataset!F880=2,2,1))</f>
        <v>2</v>
      </c>
      <c r="P880" s="29">
        <f t="shared" si="108"/>
        <v>0.9</v>
      </c>
      <c r="Q880" s="29">
        <f>IF(Dataset!K880&lt;5,0.2,IF(Dataset!K880&lt;10,0.45,IF(Dataset!K880&lt;18,0.7,0.9)))</f>
        <v>0.9</v>
      </c>
      <c r="R880" s="29">
        <f>IF(Dataset!K880&lt;5,1,IF(Dataset!K880&lt;10,2,IF(Dataset!K880&lt;18,3,4)))</f>
        <v>4</v>
      </c>
      <c r="S880" s="29">
        <f t="shared" si="109"/>
        <v>3.6</v>
      </c>
      <c r="T880" s="29">
        <f t="shared" si="110"/>
        <v>2.1720000000000002</v>
      </c>
      <c r="U880" s="29" t="str">
        <f t="shared" si="111"/>
        <v>High</v>
      </c>
    </row>
    <row r="881" spans="1:21" ht="15" customHeight="1" x14ac:dyDescent="0.25">
      <c r="A881" s="29">
        <f>Dataset!A881</f>
        <v>877</v>
      </c>
      <c r="B881" s="29">
        <f>IF(Dataset!B881&lt;25,0.3,IF(Dataset!B881&lt;75,0.5,IF(Dataset!B881&lt;120,0.65,0.8)))</f>
        <v>0.5</v>
      </c>
      <c r="C881" s="29">
        <f>IF(Dataset!B881&lt;25,1,IF(Dataset!B881&lt;75,2,IF(Dataset!B881&lt;120,3,4)))</f>
        <v>2</v>
      </c>
      <c r="D881" s="29">
        <f t="shared" si="104"/>
        <v>1</v>
      </c>
      <c r="E881" s="29">
        <f>IF(Dataset!C881&lt;=1,0.3,IF(Dataset!C881=2,0.4,IF(Dataset!C881=3,0.5,IF(Dataset!C881=4,0.65,0.8))))</f>
        <v>0.5</v>
      </c>
      <c r="F881" s="29">
        <f>IF(Dataset!C881&lt;=2,1,IF(Dataset!C881=3,2,IF(Dataset!C881=4,3,4)))</f>
        <v>2</v>
      </c>
      <c r="G881" s="29">
        <f t="shared" si="105"/>
        <v>1</v>
      </c>
      <c r="H881" s="29">
        <f>IF(Dataset!G881&lt;=3,0.25,IF(Dataset!G881&lt;=6,0.45,IF(Dataset!G881&lt;=9,0.65,0.85)))</f>
        <v>0.45</v>
      </c>
      <c r="I881" s="29">
        <f>IF(Dataset!G881&lt;=3,1,IF(Dataset!G881&lt;=6,2,IF(Dataset!G881&lt;=9,3,4)))</f>
        <v>2</v>
      </c>
      <c r="J881" s="29">
        <f t="shared" si="106"/>
        <v>0.9</v>
      </c>
      <c r="K881" s="29">
        <f>IF(Dataset!H881&lt;1,0.2,IF(Dataset!H881&lt;1.3,0.45,IF(Dataset!H881&lt;1.8,0.7,0.9)))</f>
        <v>0.7</v>
      </c>
      <c r="L881" s="29">
        <f>IF(Dataset!H881&lt;1,1,IF(Dataset!H881&lt;1.3,2,IF(Dataset!H881&lt;1.8,3,4)))</f>
        <v>3</v>
      </c>
      <c r="M881" s="29">
        <f t="shared" si="107"/>
        <v>2.0999999999999996</v>
      </c>
      <c r="N881" s="29">
        <f>IF(Dataset!F881=1,0.75,IF(Dataset!F881=2,0.45,0.2))</f>
        <v>0.75</v>
      </c>
      <c r="O881" s="29">
        <f>IF(Dataset!F881=1,3,IF(Dataset!F881=2,2,1))</f>
        <v>3</v>
      </c>
      <c r="P881" s="29">
        <f t="shared" si="108"/>
        <v>2.25</v>
      </c>
      <c r="Q881" s="29">
        <f>IF(Dataset!K881&lt;5,0.2,IF(Dataset!K881&lt;10,0.45,IF(Dataset!K881&lt;18,0.7,0.9)))</f>
        <v>0.45</v>
      </c>
      <c r="R881" s="29">
        <f>IF(Dataset!K881&lt;5,1,IF(Dataset!K881&lt;10,2,IF(Dataset!K881&lt;18,3,4)))</f>
        <v>2</v>
      </c>
      <c r="S881" s="29">
        <f t="shared" si="109"/>
        <v>0.9</v>
      </c>
      <c r="T881" s="29">
        <f t="shared" si="110"/>
        <v>1.3550000000000002</v>
      </c>
      <c r="U881" s="29" t="str">
        <f t="shared" si="111"/>
        <v>Medium</v>
      </c>
    </row>
    <row r="882" spans="1:21" ht="15" customHeight="1" x14ac:dyDescent="0.25">
      <c r="A882" s="29">
        <f>Dataset!A882</f>
        <v>878</v>
      </c>
      <c r="B882" s="29">
        <f>IF(Dataset!B882&lt;25,0.3,IF(Dataset!B882&lt;75,0.5,IF(Dataset!B882&lt;120,0.65,0.8)))</f>
        <v>0.5</v>
      </c>
      <c r="C882" s="29">
        <f>IF(Dataset!B882&lt;25,1,IF(Dataset!B882&lt;75,2,IF(Dataset!B882&lt;120,3,4)))</f>
        <v>2</v>
      </c>
      <c r="D882" s="29">
        <f t="shared" si="104"/>
        <v>1</v>
      </c>
      <c r="E882" s="29">
        <f>IF(Dataset!C882&lt;=1,0.3,IF(Dataset!C882=2,0.4,IF(Dataset!C882=3,0.5,IF(Dataset!C882=4,0.65,0.8))))</f>
        <v>0.4</v>
      </c>
      <c r="F882" s="29">
        <f>IF(Dataset!C882&lt;=2,1,IF(Dataset!C882=3,2,IF(Dataset!C882=4,3,4)))</f>
        <v>1</v>
      </c>
      <c r="G882" s="29">
        <f t="shared" si="105"/>
        <v>0.4</v>
      </c>
      <c r="H882" s="29">
        <f>IF(Dataset!G882&lt;=3,0.25,IF(Dataset!G882&lt;=6,0.45,IF(Dataset!G882&lt;=9,0.65,0.85)))</f>
        <v>0.25</v>
      </c>
      <c r="I882" s="29">
        <f>IF(Dataset!G882&lt;=3,1,IF(Dataset!G882&lt;=6,2,IF(Dataset!G882&lt;=9,3,4)))</f>
        <v>1</v>
      </c>
      <c r="J882" s="29">
        <f t="shared" si="106"/>
        <v>0.25</v>
      </c>
      <c r="K882" s="29">
        <f>IF(Dataset!H882&lt;1,0.2,IF(Dataset!H882&lt;1.3,0.45,IF(Dataset!H882&lt;1.8,0.7,0.9)))</f>
        <v>0.9</v>
      </c>
      <c r="L882" s="29">
        <f>IF(Dataset!H882&lt;1,1,IF(Dataset!H882&lt;1.3,2,IF(Dataset!H882&lt;1.8,3,4)))</f>
        <v>4</v>
      </c>
      <c r="M882" s="29">
        <f t="shared" si="107"/>
        <v>3.6</v>
      </c>
      <c r="N882" s="29">
        <f>IF(Dataset!F882=1,0.75,IF(Dataset!F882=2,0.45,0.2))</f>
        <v>0.75</v>
      </c>
      <c r="O882" s="29">
        <f>IF(Dataset!F882=1,3,IF(Dataset!F882=2,2,1))</f>
        <v>3</v>
      </c>
      <c r="P882" s="29">
        <f t="shared" si="108"/>
        <v>2.25</v>
      </c>
      <c r="Q882" s="29">
        <f>IF(Dataset!K882&lt;5,0.2,IF(Dataset!K882&lt;10,0.45,IF(Dataset!K882&lt;18,0.7,0.9)))</f>
        <v>0.2</v>
      </c>
      <c r="R882" s="29">
        <f>IF(Dataset!K882&lt;5,1,IF(Dataset!K882&lt;10,2,IF(Dataset!K882&lt;18,3,4)))</f>
        <v>1</v>
      </c>
      <c r="S882" s="29">
        <f t="shared" si="109"/>
        <v>0.2</v>
      </c>
      <c r="T882" s="29">
        <f t="shared" si="110"/>
        <v>1.403</v>
      </c>
      <c r="U882" s="29" t="str">
        <f t="shared" si="111"/>
        <v>Medium</v>
      </c>
    </row>
    <row r="883" spans="1:21" ht="15" customHeight="1" x14ac:dyDescent="0.25">
      <c r="A883" s="29">
        <f>Dataset!A883</f>
        <v>879</v>
      </c>
      <c r="B883" s="29">
        <f>IF(Dataset!B883&lt;25,0.3,IF(Dataset!B883&lt;75,0.5,IF(Dataset!B883&lt;120,0.65,0.8)))</f>
        <v>0.8</v>
      </c>
      <c r="C883" s="29">
        <f>IF(Dataset!B883&lt;25,1,IF(Dataset!B883&lt;75,2,IF(Dataset!B883&lt;120,3,4)))</f>
        <v>4</v>
      </c>
      <c r="D883" s="29">
        <f t="shared" si="104"/>
        <v>3.2</v>
      </c>
      <c r="E883" s="29">
        <f>IF(Dataset!C883&lt;=1,0.3,IF(Dataset!C883=2,0.4,IF(Dataset!C883=3,0.5,IF(Dataset!C883=4,0.65,0.8))))</f>
        <v>0.5</v>
      </c>
      <c r="F883" s="29">
        <f>IF(Dataset!C883&lt;=2,1,IF(Dataset!C883=3,2,IF(Dataset!C883=4,3,4)))</f>
        <v>2</v>
      </c>
      <c r="G883" s="29">
        <f t="shared" si="105"/>
        <v>1</v>
      </c>
      <c r="H883" s="29">
        <f>IF(Dataset!G883&lt;=3,0.25,IF(Dataset!G883&lt;=6,0.45,IF(Dataset!G883&lt;=9,0.65,0.85)))</f>
        <v>0.65</v>
      </c>
      <c r="I883" s="29">
        <f>IF(Dataset!G883&lt;=3,1,IF(Dataset!G883&lt;=6,2,IF(Dataset!G883&lt;=9,3,4)))</f>
        <v>3</v>
      </c>
      <c r="J883" s="29">
        <f t="shared" si="106"/>
        <v>1.9500000000000002</v>
      </c>
      <c r="K883" s="29">
        <f>IF(Dataset!H883&lt;1,0.2,IF(Dataset!H883&lt;1.3,0.45,IF(Dataset!H883&lt;1.8,0.7,0.9)))</f>
        <v>0.45</v>
      </c>
      <c r="L883" s="29">
        <f>IF(Dataset!H883&lt;1,1,IF(Dataset!H883&lt;1.3,2,IF(Dataset!H883&lt;1.8,3,4)))</f>
        <v>2</v>
      </c>
      <c r="M883" s="29">
        <f t="shared" si="107"/>
        <v>0.9</v>
      </c>
      <c r="N883" s="29">
        <f>IF(Dataset!F883=1,0.75,IF(Dataset!F883=2,0.45,0.2))</f>
        <v>0.2</v>
      </c>
      <c r="O883" s="29">
        <f>IF(Dataset!F883=1,3,IF(Dataset!F883=2,2,1))</f>
        <v>1</v>
      </c>
      <c r="P883" s="29">
        <f t="shared" si="108"/>
        <v>0.2</v>
      </c>
      <c r="Q883" s="29">
        <f>IF(Dataset!K883&lt;5,0.2,IF(Dataset!K883&lt;10,0.45,IF(Dataset!K883&lt;18,0.7,0.9)))</f>
        <v>0.2</v>
      </c>
      <c r="R883" s="29">
        <f>IF(Dataset!K883&lt;5,1,IF(Dataset!K883&lt;10,2,IF(Dataset!K883&lt;18,3,4)))</f>
        <v>1</v>
      </c>
      <c r="S883" s="29">
        <f t="shared" si="109"/>
        <v>0.2</v>
      </c>
      <c r="T883" s="29">
        <f t="shared" si="110"/>
        <v>1.37</v>
      </c>
      <c r="U883" s="29" t="str">
        <f t="shared" si="111"/>
        <v>Medium</v>
      </c>
    </row>
    <row r="884" spans="1:21" ht="15" customHeight="1" x14ac:dyDescent="0.25">
      <c r="A884" s="29">
        <f>Dataset!A884</f>
        <v>880</v>
      </c>
      <c r="B884" s="29">
        <f>IF(Dataset!B884&lt;25,0.3,IF(Dataset!B884&lt;75,0.5,IF(Dataset!B884&lt;120,0.65,0.8)))</f>
        <v>0.65</v>
      </c>
      <c r="C884" s="29">
        <f>IF(Dataset!B884&lt;25,1,IF(Dataset!B884&lt;75,2,IF(Dataset!B884&lt;120,3,4)))</f>
        <v>3</v>
      </c>
      <c r="D884" s="29">
        <f t="shared" si="104"/>
        <v>1.9500000000000002</v>
      </c>
      <c r="E884" s="29">
        <f>IF(Dataset!C884&lt;=1,0.3,IF(Dataset!C884=2,0.4,IF(Dataset!C884=3,0.5,IF(Dataset!C884=4,0.65,0.8))))</f>
        <v>0.5</v>
      </c>
      <c r="F884" s="29">
        <f>IF(Dataset!C884&lt;=2,1,IF(Dataset!C884=3,2,IF(Dataset!C884=4,3,4)))</f>
        <v>2</v>
      </c>
      <c r="G884" s="29">
        <f t="shared" si="105"/>
        <v>1</v>
      </c>
      <c r="H884" s="29">
        <f>IF(Dataset!G884&lt;=3,0.25,IF(Dataset!G884&lt;=6,0.45,IF(Dataset!G884&lt;=9,0.65,0.85)))</f>
        <v>0.65</v>
      </c>
      <c r="I884" s="29">
        <f>IF(Dataset!G884&lt;=3,1,IF(Dataset!G884&lt;=6,2,IF(Dataset!G884&lt;=9,3,4)))</f>
        <v>3</v>
      </c>
      <c r="J884" s="29">
        <f t="shared" si="106"/>
        <v>1.9500000000000002</v>
      </c>
      <c r="K884" s="29">
        <f>IF(Dataset!H884&lt;1,0.2,IF(Dataset!H884&lt;1.3,0.45,IF(Dataset!H884&lt;1.8,0.7,0.9)))</f>
        <v>0.9</v>
      </c>
      <c r="L884" s="29">
        <f>IF(Dataset!H884&lt;1,1,IF(Dataset!H884&lt;1.3,2,IF(Dataset!H884&lt;1.8,3,4)))</f>
        <v>4</v>
      </c>
      <c r="M884" s="29">
        <f t="shared" si="107"/>
        <v>3.6</v>
      </c>
      <c r="N884" s="29">
        <f>IF(Dataset!F884=1,0.75,IF(Dataset!F884=2,0.45,0.2))</f>
        <v>0.75</v>
      </c>
      <c r="O884" s="29">
        <f>IF(Dataset!F884=1,3,IF(Dataset!F884=2,2,1))</f>
        <v>3</v>
      </c>
      <c r="P884" s="29">
        <f t="shared" si="108"/>
        <v>2.25</v>
      </c>
      <c r="Q884" s="29">
        <f>IF(Dataset!K884&lt;5,0.2,IF(Dataset!K884&lt;10,0.45,IF(Dataset!K884&lt;18,0.7,0.9)))</f>
        <v>0.45</v>
      </c>
      <c r="R884" s="29">
        <f>IF(Dataset!K884&lt;5,1,IF(Dataset!K884&lt;10,2,IF(Dataset!K884&lt;18,3,4)))</f>
        <v>2</v>
      </c>
      <c r="S884" s="29">
        <f t="shared" si="109"/>
        <v>0.9</v>
      </c>
      <c r="T884" s="29">
        <f t="shared" si="110"/>
        <v>2.0960000000000001</v>
      </c>
      <c r="U884" s="29" t="str">
        <f t="shared" si="111"/>
        <v>High</v>
      </c>
    </row>
    <row r="885" spans="1:21" ht="15" customHeight="1" x14ac:dyDescent="0.25">
      <c r="A885" s="29">
        <f>Dataset!A885</f>
        <v>881</v>
      </c>
      <c r="B885" s="29">
        <f>IF(Dataset!B885&lt;25,0.3,IF(Dataset!B885&lt;75,0.5,IF(Dataset!B885&lt;120,0.65,0.8)))</f>
        <v>0.5</v>
      </c>
      <c r="C885" s="29">
        <f>IF(Dataset!B885&lt;25,1,IF(Dataset!B885&lt;75,2,IF(Dataset!B885&lt;120,3,4)))</f>
        <v>2</v>
      </c>
      <c r="D885" s="29">
        <f t="shared" si="104"/>
        <v>1</v>
      </c>
      <c r="E885" s="29">
        <f>IF(Dataset!C885&lt;=1,0.3,IF(Dataset!C885=2,0.4,IF(Dataset!C885=3,0.5,IF(Dataset!C885=4,0.65,0.8))))</f>
        <v>0.3</v>
      </c>
      <c r="F885" s="29">
        <f>IF(Dataset!C885&lt;=2,1,IF(Dataset!C885=3,2,IF(Dataset!C885=4,3,4)))</f>
        <v>1</v>
      </c>
      <c r="G885" s="29">
        <f t="shared" si="105"/>
        <v>0.3</v>
      </c>
      <c r="H885" s="29">
        <f>IF(Dataset!G885&lt;=3,0.25,IF(Dataset!G885&lt;=6,0.45,IF(Dataset!G885&lt;=9,0.65,0.85)))</f>
        <v>0.45</v>
      </c>
      <c r="I885" s="29">
        <f>IF(Dataset!G885&lt;=3,1,IF(Dataset!G885&lt;=6,2,IF(Dataset!G885&lt;=9,3,4)))</f>
        <v>2</v>
      </c>
      <c r="J885" s="29">
        <f t="shared" si="106"/>
        <v>0.9</v>
      </c>
      <c r="K885" s="29">
        <f>IF(Dataset!H885&lt;1,0.2,IF(Dataset!H885&lt;1.3,0.45,IF(Dataset!H885&lt;1.8,0.7,0.9)))</f>
        <v>0.9</v>
      </c>
      <c r="L885" s="29">
        <f>IF(Dataset!H885&lt;1,1,IF(Dataset!H885&lt;1.3,2,IF(Dataset!H885&lt;1.8,3,4)))</f>
        <v>4</v>
      </c>
      <c r="M885" s="29">
        <f t="shared" si="107"/>
        <v>3.6</v>
      </c>
      <c r="N885" s="29">
        <f>IF(Dataset!F885=1,0.75,IF(Dataset!F885=2,0.45,0.2))</f>
        <v>0.75</v>
      </c>
      <c r="O885" s="29">
        <f>IF(Dataset!F885=1,3,IF(Dataset!F885=2,2,1))</f>
        <v>3</v>
      </c>
      <c r="P885" s="29">
        <f t="shared" si="108"/>
        <v>2.25</v>
      </c>
      <c r="Q885" s="29">
        <f>IF(Dataset!K885&lt;5,0.2,IF(Dataset!K885&lt;10,0.45,IF(Dataset!K885&lt;18,0.7,0.9)))</f>
        <v>0.2</v>
      </c>
      <c r="R885" s="29">
        <f>IF(Dataset!K885&lt;5,1,IF(Dataset!K885&lt;10,2,IF(Dataset!K885&lt;18,3,4)))</f>
        <v>1</v>
      </c>
      <c r="S885" s="29">
        <f t="shared" si="109"/>
        <v>0.2</v>
      </c>
      <c r="T885" s="29">
        <f t="shared" si="110"/>
        <v>1.5190000000000001</v>
      </c>
      <c r="U885" s="29" t="str">
        <f t="shared" si="111"/>
        <v>Medium</v>
      </c>
    </row>
    <row r="886" spans="1:21" ht="15" customHeight="1" x14ac:dyDescent="0.25">
      <c r="A886" s="29">
        <f>Dataset!A886</f>
        <v>882</v>
      </c>
      <c r="B886" s="29">
        <f>IF(Dataset!B886&lt;25,0.3,IF(Dataset!B886&lt;75,0.5,IF(Dataset!B886&lt;120,0.65,0.8)))</f>
        <v>0.8</v>
      </c>
      <c r="C886" s="29">
        <f>IF(Dataset!B886&lt;25,1,IF(Dataset!B886&lt;75,2,IF(Dataset!B886&lt;120,3,4)))</f>
        <v>4</v>
      </c>
      <c r="D886" s="29">
        <f t="shared" si="104"/>
        <v>3.2</v>
      </c>
      <c r="E886" s="29">
        <f>IF(Dataset!C886&lt;=1,0.3,IF(Dataset!C886=2,0.4,IF(Dataset!C886=3,0.5,IF(Dataset!C886=4,0.65,0.8))))</f>
        <v>0.4</v>
      </c>
      <c r="F886" s="29">
        <f>IF(Dataset!C886&lt;=2,1,IF(Dataset!C886=3,2,IF(Dataset!C886=4,3,4)))</f>
        <v>1</v>
      </c>
      <c r="G886" s="29">
        <f t="shared" si="105"/>
        <v>0.4</v>
      </c>
      <c r="H886" s="29">
        <f>IF(Dataset!G886&lt;=3,0.25,IF(Dataset!G886&lt;=6,0.45,IF(Dataset!G886&lt;=9,0.65,0.85)))</f>
        <v>0.65</v>
      </c>
      <c r="I886" s="29">
        <f>IF(Dataset!G886&lt;=3,1,IF(Dataset!G886&lt;=6,2,IF(Dataset!G886&lt;=9,3,4)))</f>
        <v>3</v>
      </c>
      <c r="J886" s="29">
        <f t="shared" si="106"/>
        <v>1.9500000000000002</v>
      </c>
      <c r="K886" s="29">
        <f>IF(Dataset!H886&lt;1,0.2,IF(Dataset!H886&lt;1.3,0.45,IF(Dataset!H886&lt;1.8,0.7,0.9)))</f>
        <v>0.9</v>
      </c>
      <c r="L886" s="29">
        <f>IF(Dataset!H886&lt;1,1,IF(Dataset!H886&lt;1.3,2,IF(Dataset!H886&lt;1.8,3,4)))</f>
        <v>4</v>
      </c>
      <c r="M886" s="29">
        <f t="shared" si="107"/>
        <v>3.6</v>
      </c>
      <c r="N886" s="29">
        <f>IF(Dataset!F886=1,0.75,IF(Dataset!F886=2,0.45,0.2))</f>
        <v>0.2</v>
      </c>
      <c r="O886" s="29">
        <f>IF(Dataset!F886=1,3,IF(Dataset!F886=2,2,1))</f>
        <v>1</v>
      </c>
      <c r="P886" s="29">
        <f t="shared" si="108"/>
        <v>0.2</v>
      </c>
      <c r="Q886" s="29">
        <f>IF(Dataset!K886&lt;5,0.2,IF(Dataset!K886&lt;10,0.45,IF(Dataset!K886&lt;18,0.7,0.9)))</f>
        <v>0.45</v>
      </c>
      <c r="R886" s="29">
        <f>IF(Dataset!K886&lt;5,1,IF(Dataset!K886&lt;10,2,IF(Dataset!K886&lt;18,3,4)))</f>
        <v>2</v>
      </c>
      <c r="S886" s="29">
        <f t="shared" si="109"/>
        <v>0.9</v>
      </c>
      <c r="T886" s="29">
        <f t="shared" si="110"/>
        <v>2.032</v>
      </c>
      <c r="U886" s="29" t="str">
        <f t="shared" si="111"/>
        <v>High</v>
      </c>
    </row>
    <row r="887" spans="1:21" ht="15" customHeight="1" x14ac:dyDescent="0.25">
      <c r="A887" s="29">
        <f>Dataset!A887</f>
        <v>883</v>
      </c>
      <c r="B887" s="29">
        <f>IF(Dataset!B887&lt;25,0.3,IF(Dataset!B887&lt;75,0.5,IF(Dataset!B887&lt;120,0.65,0.8)))</f>
        <v>0.5</v>
      </c>
      <c r="C887" s="29">
        <f>IF(Dataset!B887&lt;25,1,IF(Dataset!B887&lt;75,2,IF(Dataset!B887&lt;120,3,4)))</f>
        <v>2</v>
      </c>
      <c r="D887" s="29">
        <f t="shared" si="104"/>
        <v>1</v>
      </c>
      <c r="E887" s="29">
        <f>IF(Dataset!C887&lt;=1,0.3,IF(Dataset!C887=2,0.4,IF(Dataset!C887=3,0.5,IF(Dataset!C887=4,0.65,0.8))))</f>
        <v>0.5</v>
      </c>
      <c r="F887" s="29">
        <f>IF(Dataset!C887&lt;=2,1,IF(Dataset!C887=3,2,IF(Dataset!C887=4,3,4)))</f>
        <v>2</v>
      </c>
      <c r="G887" s="29">
        <f t="shared" si="105"/>
        <v>1</v>
      </c>
      <c r="H887" s="29">
        <f>IF(Dataset!G887&lt;=3,0.25,IF(Dataset!G887&lt;=6,0.45,IF(Dataset!G887&lt;=9,0.65,0.85)))</f>
        <v>0.45</v>
      </c>
      <c r="I887" s="29">
        <f>IF(Dataset!G887&lt;=3,1,IF(Dataset!G887&lt;=6,2,IF(Dataset!G887&lt;=9,3,4)))</f>
        <v>2</v>
      </c>
      <c r="J887" s="29">
        <f t="shared" si="106"/>
        <v>0.9</v>
      </c>
      <c r="K887" s="29">
        <f>IF(Dataset!H887&lt;1,0.2,IF(Dataset!H887&lt;1.3,0.45,IF(Dataset!H887&lt;1.8,0.7,0.9)))</f>
        <v>0.9</v>
      </c>
      <c r="L887" s="29">
        <f>IF(Dataset!H887&lt;1,1,IF(Dataset!H887&lt;1.3,2,IF(Dataset!H887&lt;1.8,3,4)))</f>
        <v>4</v>
      </c>
      <c r="M887" s="29">
        <f t="shared" si="107"/>
        <v>3.6</v>
      </c>
      <c r="N887" s="29">
        <f>IF(Dataset!F887=1,0.75,IF(Dataset!F887=2,0.45,0.2))</f>
        <v>0.2</v>
      </c>
      <c r="O887" s="29">
        <f>IF(Dataset!F887=1,3,IF(Dataset!F887=2,2,1))</f>
        <v>1</v>
      </c>
      <c r="P887" s="29">
        <f t="shared" si="108"/>
        <v>0.2</v>
      </c>
      <c r="Q887" s="29">
        <f>IF(Dataset!K887&lt;5,0.2,IF(Dataset!K887&lt;10,0.45,IF(Dataset!K887&lt;18,0.7,0.9)))</f>
        <v>0.45</v>
      </c>
      <c r="R887" s="29">
        <f>IF(Dataset!K887&lt;5,1,IF(Dataset!K887&lt;10,2,IF(Dataset!K887&lt;18,3,4)))</f>
        <v>2</v>
      </c>
      <c r="S887" s="29">
        <f t="shared" si="109"/>
        <v>0.9</v>
      </c>
      <c r="T887" s="29">
        <f t="shared" si="110"/>
        <v>1.51</v>
      </c>
      <c r="U887" s="29" t="str">
        <f t="shared" si="111"/>
        <v>Medium</v>
      </c>
    </row>
    <row r="888" spans="1:21" ht="15" customHeight="1" x14ac:dyDescent="0.25">
      <c r="A888" s="29">
        <f>Dataset!A888</f>
        <v>884</v>
      </c>
      <c r="B888" s="29">
        <f>IF(Dataset!B888&lt;25,0.3,IF(Dataset!B888&lt;75,0.5,IF(Dataset!B888&lt;120,0.65,0.8)))</f>
        <v>0.3</v>
      </c>
      <c r="C888" s="29">
        <f>IF(Dataset!B888&lt;25,1,IF(Dataset!B888&lt;75,2,IF(Dataset!B888&lt;120,3,4)))</f>
        <v>1</v>
      </c>
      <c r="D888" s="29">
        <f t="shared" si="104"/>
        <v>0.3</v>
      </c>
      <c r="E888" s="29">
        <f>IF(Dataset!C888&lt;=1,0.3,IF(Dataset!C888=2,0.4,IF(Dataset!C888=3,0.5,IF(Dataset!C888=4,0.65,0.8))))</f>
        <v>0.5</v>
      </c>
      <c r="F888" s="29">
        <f>IF(Dataset!C888&lt;=2,1,IF(Dataset!C888=3,2,IF(Dataset!C888=4,3,4)))</f>
        <v>2</v>
      </c>
      <c r="G888" s="29">
        <f t="shared" si="105"/>
        <v>1</v>
      </c>
      <c r="H888" s="29">
        <f>IF(Dataset!G888&lt;=3,0.25,IF(Dataset!G888&lt;=6,0.45,IF(Dataset!G888&lt;=9,0.65,0.85)))</f>
        <v>0.25</v>
      </c>
      <c r="I888" s="29">
        <f>IF(Dataset!G888&lt;=3,1,IF(Dataset!G888&lt;=6,2,IF(Dataset!G888&lt;=9,3,4)))</f>
        <v>1</v>
      </c>
      <c r="J888" s="29">
        <f t="shared" si="106"/>
        <v>0.25</v>
      </c>
      <c r="K888" s="29">
        <f>IF(Dataset!H888&lt;1,0.2,IF(Dataset!H888&lt;1.3,0.45,IF(Dataset!H888&lt;1.8,0.7,0.9)))</f>
        <v>0.9</v>
      </c>
      <c r="L888" s="29">
        <f>IF(Dataset!H888&lt;1,1,IF(Dataset!H888&lt;1.3,2,IF(Dataset!H888&lt;1.8,3,4)))</f>
        <v>4</v>
      </c>
      <c r="M888" s="29">
        <f t="shared" si="107"/>
        <v>3.6</v>
      </c>
      <c r="N888" s="29">
        <f>IF(Dataset!F888=1,0.75,IF(Dataset!F888=2,0.45,0.2))</f>
        <v>0.45</v>
      </c>
      <c r="O888" s="29">
        <f>IF(Dataset!F888=1,3,IF(Dataset!F888=2,2,1))</f>
        <v>2</v>
      </c>
      <c r="P888" s="29">
        <f t="shared" si="108"/>
        <v>0.9</v>
      </c>
      <c r="Q888" s="29">
        <f>IF(Dataset!K888&lt;5,0.2,IF(Dataset!K888&lt;10,0.45,IF(Dataset!K888&lt;18,0.7,0.9)))</f>
        <v>0.45</v>
      </c>
      <c r="R888" s="29">
        <f>IF(Dataset!K888&lt;5,1,IF(Dataset!K888&lt;10,2,IF(Dataset!K888&lt;18,3,4)))</f>
        <v>2</v>
      </c>
      <c r="S888" s="29">
        <f t="shared" si="109"/>
        <v>0.9</v>
      </c>
      <c r="T888" s="29">
        <f t="shared" si="110"/>
        <v>1.3240000000000003</v>
      </c>
      <c r="U888" s="29" t="str">
        <f t="shared" si="111"/>
        <v>Low</v>
      </c>
    </row>
    <row r="889" spans="1:21" ht="15" customHeight="1" x14ac:dyDescent="0.25">
      <c r="A889" s="29">
        <f>Dataset!A889</f>
        <v>885</v>
      </c>
      <c r="B889" s="29">
        <f>IF(Dataset!B889&lt;25,0.3,IF(Dataset!B889&lt;75,0.5,IF(Dataset!B889&lt;120,0.65,0.8)))</f>
        <v>0.8</v>
      </c>
      <c r="C889" s="29">
        <f>IF(Dataset!B889&lt;25,1,IF(Dataset!B889&lt;75,2,IF(Dataset!B889&lt;120,3,4)))</f>
        <v>4</v>
      </c>
      <c r="D889" s="29">
        <f t="shared" si="104"/>
        <v>3.2</v>
      </c>
      <c r="E889" s="29">
        <f>IF(Dataset!C889&lt;=1,0.3,IF(Dataset!C889=2,0.4,IF(Dataset!C889=3,0.5,IF(Dataset!C889=4,0.65,0.8))))</f>
        <v>0.4</v>
      </c>
      <c r="F889" s="29">
        <f>IF(Dataset!C889&lt;=2,1,IF(Dataset!C889=3,2,IF(Dataset!C889=4,3,4)))</f>
        <v>1</v>
      </c>
      <c r="G889" s="29">
        <f t="shared" si="105"/>
        <v>0.4</v>
      </c>
      <c r="H889" s="29">
        <f>IF(Dataset!G889&lt;=3,0.25,IF(Dataset!G889&lt;=6,0.45,IF(Dataset!G889&lt;=9,0.65,0.85)))</f>
        <v>0.85</v>
      </c>
      <c r="I889" s="29">
        <f>IF(Dataset!G889&lt;=3,1,IF(Dataset!G889&lt;=6,2,IF(Dataset!G889&lt;=9,3,4)))</f>
        <v>4</v>
      </c>
      <c r="J889" s="29">
        <f t="shared" si="106"/>
        <v>3.4</v>
      </c>
      <c r="K889" s="29">
        <f>IF(Dataset!H889&lt;1,0.2,IF(Dataset!H889&lt;1.3,0.45,IF(Dataset!H889&lt;1.8,0.7,0.9)))</f>
        <v>0.7</v>
      </c>
      <c r="L889" s="29">
        <f>IF(Dataset!H889&lt;1,1,IF(Dataset!H889&lt;1.3,2,IF(Dataset!H889&lt;1.8,3,4)))</f>
        <v>3</v>
      </c>
      <c r="M889" s="29">
        <f t="shared" si="107"/>
        <v>2.0999999999999996</v>
      </c>
      <c r="N889" s="29">
        <f>IF(Dataset!F889=1,0.75,IF(Dataset!F889=2,0.45,0.2))</f>
        <v>0.45</v>
      </c>
      <c r="O889" s="29">
        <f>IF(Dataset!F889=1,3,IF(Dataset!F889=2,2,1))</f>
        <v>2</v>
      </c>
      <c r="P889" s="29">
        <f t="shared" si="108"/>
        <v>0.9</v>
      </c>
      <c r="Q889" s="29">
        <f>IF(Dataset!K889&lt;5,0.2,IF(Dataset!K889&lt;10,0.45,IF(Dataset!K889&lt;18,0.7,0.9)))</f>
        <v>0.45</v>
      </c>
      <c r="R889" s="29">
        <f>IF(Dataset!K889&lt;5,1,IF(Dataset!K889&lt;10,2,IF(Dataset!K889&lt;18,3,4)))</f>
        <v>2</v>
      </c>
      <c r="S889" s="29">
        <f t="shared" si="109"/>
        <v>0.9</v>
      </c>
      <c r="T889" s="29">
        <f t="shared" si="110"/>
        <v>2.032</v>
      </c>
      <c r="U889" s="29" t="str">
        <f t="shared" si="111"/>
        <v>High</v>
      </c>
    </row>
    <row r="890" spans="1:21" ht="15" customHeight="1" x14ac:dyDescent="0.25">
      <c r="A890" s="29">
        <f>Dataset!A890</f>
        <v>886</v>
      </c>
      <c r="B890" s="29">
        <f>IF(Dataset!B890&lt;25,0.3,IF(Dataset!B890&lt;75,0.5,IF(Dataset!B890&lt;120,0.65,0.8)))</f>
        <v>0.3</v>
      </c>
      <c r="C890" s="29">
        <f>IF(Dataset!B890&lt;25,1,IF(Dataset!B890&lt;75,2,IF(Dataset!B890&lt;120,3,4)))</f>
        <v>1</v>
      </c>
      <c r="D890" s="29">
        <f t="shared" si="104"/>
        <v>0.3</v>
      </c>
      <c r="E890" s="29">
        <f>IF(Dataset!C890&lt;=1,0.3,IF(Dataset!C890=2,0.4,IF(Dataset!C890=3,0.5,IF(Dataset!C890=4,0.65,0.8))))</f>
        <v>0.65</v>
      </c>
      <c r="F890" s="29">
        <f>IF(Dataset!C890&lt;=2,1,IF(Dataset!C890=3,2,IF(Dataset!C890=4,3,4)))</f>
        <v>3</v>
      </c>
      <c r="G890" s="29">
        <f t="shared" si="105"/>
        <v>1.9500000000000002</v>
      </c>
      <c r="H890" s="29">
        <f>IF(Dataset!G890&lt;=3,0.25,IF(Dataset!G890&lt;=6,0.45,IF(Dataset!G890&lt;=9,0.65,0.85)))</f>
        <v>0.65</v>
      </c>
      <c r="I890" s="29">
        <f>IF(Dataset!G890&lt;=3,1,IF(Dataset!G890&lt;=6,2,IF(Dataset!G890&lt;=9,3,4)))</f>
        <v>3</v>
      </c>
      <c r="J890" s="29">
        <f t="shared" si="106"/>
        <v>1.9500000000000002</v>
      </c>
      <c r="K890" s="29">
        <f>IF(Dataset!H890&lt;1,0.2,IF(Dataset!H890&lt;1.3,0.45,IF(Dataset!H890&lt;1.8,0.7,0.9)))</f>
        <v>0.45</v>
      </c>
      <c r="L890" s="29">
        <f>IF(Dataset!H890&lt;1,1,IF(Dataset!H890&lt;1.3,2,IF(Dataset!H890&lt;1.8,3,4)))</f>
        <v>2</v>
      </c>
      <c r="M890" s="29">
        <f t="shared" si="107"/>
        <v>0.9</v>
      </c>
      <c r="N890" s="29">
        <f>IF(Dataset!F890=1,0.75,IF(Dataset!F890=2,0.45,0.2))</f>
        <v>0.2</v>
      </c>
      <c r="O890" s="29">
        <f>IF(Dataset!F890=1,3,IF(Dataset!F890=2,2,1))</f>
        <v>1</v>
      </c>
      <c r="P890" s="29">
        <f t="shared" si="108"/>
        <v>0.2</v>
      </c>
      <c r="Q890" s="29">
        <f>IF(Dataset!K890&lt;5,0.2,IF(Dataset!K890&lt;10,0.45,IF(Dataset!K890&lt;18,0.7,0.9)))</f>
        <v>0.45</v>
      </c>
      <c r="R890" s="29">
        <f>IF(Dataset!K890&lt;5,1,IF(Dataset!K890&lt;10,2,IF(Dataset!K890&lt;18,3,4)))</f>
        <v>2</v>
      </c>
      <c r="S890" s="29">
        <f t="shared" si="109"/>
        <v>0.9</v>
      </c>
      <c r="T890" s="29">
        <f t="shared" si="110"/>
        <v>1.0790000000000002</v>
      </c>
      <c r="U890" s="29" t="str">
        <f t="shared" si="111"/>
        <v>Low</v>
      </c>
    </row>
    <row r="891" spans="1:21" ht="15" customHeight="1" x14ac:dyDescent="0.25">
      <c r="A891" s="29">
        <f>Dataset!A891</f>
        <v>887</v>
      </c>
      <c r="B891" s="29">
        <f>IF(Dataset!B891&lt;25,0.3,IF(Dataset!B891&lt;75,0.5,IF(Dataset!B891&lt;120,0.65,0.8)))</f>
        <v>0.8</v>
      </c>
      <c r="C891" s="29">
        <f>IF(Dataset!B891&lt;25,1,IF(Dataset!B891&lt;75,2,IF(Dataset!B891&lt;120,3,4)))</f>
        <v>4</v>
      </c>
      <c r="D891" s="29">
        <f t="shared" si="104"/>
        <v>3.2</v>
      </c>
      <c r="E891" s="29">
        <f>IF(Dataset!C891&lt;=1,0.3,IF(Dataset!C891=2,0.4,IF(Dataset!C891=3,0.5,IF(Dataset!C891=4,0.65,0.8))))</f>
        <v>0.5</v>
      </c>
      <c r="F891" s="29">
        <f>IF(Dataset!C891&lt;=2,1,IF(Dataset!C891=3,2,IF(Dataset!C891=4,3,4)))</f>
        <v>2</v>
      </c>
      <c r="G891" s="29">
        <f t="shared" si="105"/>
        <v>1</v>
      </c>
      <c r="H891" s="29">
        <f>IF(Dataset!G891&lt;=3,0.25,IF(Dataset!G891&lt;=6,0.45,IF(Dataset!G891&lt;=9,0.65,0.85)))</f>
        <v>0.45</v>
      </c>
      <c r="I891" s="29">
        <f>IF(Dataset!G891&lt;=3,1,IF(Dataset!G891&lt;=6,2,IF(Dataset!G891&lt;=9,3,4)))</f>
        <v>2</v>
      </c>
      <c r="J891" s="29">
        <f t="shared" si="106"/>
        <v>0.9</v>
      </c>
      <c r="K891" s="29">
        <f>IF(Dataset!H891&lt;1,0.2,IF(Dataset!H891&lt;1.3,0.45,IF(Dataset!H891&lt;1.8,0.7,0.9)))</f>
        <v>0.9</v>
      </c>
      <c r="L891" s="29">
        <f>IF(Dataset!H891&lt;1,1,IF(Dataset!H891&lt;1.3,2,IF(Dataset!H891&lt;1.8,3,4)))</f>
        <v>4</v>
      </c>
      <c r="M891" s="29">
        <f t="shared" si="107"/>
        <v>3.6</v>
      </c>
      <c r="N891" s="29">
        <f>IF(Dataset!F891=1,0.75,IF(Dataset!F891=2,0.45,0.2))</f>
        <v>0.75</v>
      </c>
      <c r="O891" s="29">
        <f>IF(Dataset!F891=1,3,IF(Dataset!F891=2,2,1))</f>
        <v>3</v>
      </c>
      <c r="P891" s="29">
        <f t="shared" si="108"/>
        <v>2.25</v>
      </c>
      <c r="Q891" s="29">
        <f>IF(Dataset!K891&lt;5,0.2,IF(Dataset!K891&lt;10,0.45,IF(Dataset!K891&lt;18,0.7,0.9)))</f>
        <v>0.2</v>
      </c>
      <c r="R891" s="29">
        <f>IF(Dataset!K891&lt;5,1,IF(Dataset!K891&lt;10,2,IF(Dataset!K891&lt;18,3,4)))</f>
        <v>1</v>
      </c>
      <c r="S891" s="29">
        <f t="shared" si="109"/>
        <v>0.2</v>
      </c>
      <c r="T891" s="29">
        <f t="shared" si="110"/>
        <v>2.0129999999999999</v>
      </c>
      <c r="U891" s="29" t="str">
        <f t="shared" si="111"/>
        <v>High</v>
      </c>
    </row>
    <row r="892" spans="1:21" ht="15" customHeight="1" x14ac:dyDescent="0.25">
      <c r="A892" s="29">
        <f>Dataset!A892</f>
        <v>888</v>
      </c>
      <c r="B892" s="29">
        <f>IF(Dataset!B892&lt;25,0.3,IF(Dataset!B892&lt;75,0.5,IF(Dataset!B892&lt;120,0.65,0.8)))</f>
        <v>0.5</v>
      </c>
      <c r="C892" s="29">
        <f>IF(Dataset!B892&lt;25,1,IF(Dataset!B892&lt;75,2,IF(Dataset!B892&lt;120,3,4)))</f>
        <v>2</v>
      </c>
      <c r="D892" s="29">
        <f t="shared" si="104"/>
        <v>1</v>
      </c>
      <c r="E892" s="29">
        <f>IF(Dataset!C892&lt;=1,0.3,IF(Dataset!C892=2,0.4,IF(Dataset!C892=3,0.5,IF(Dataset!C892=4,0.65,0.8))))</f>
        <v>0.8</v>
      </c>
      <c r="F892" s="29">
        <f>IF(Dataset!C892&lt;=2,1,IF(Dataset!C892=3,2,IF(Dataset!C892=4,3,4)))</f>
        <v>4</v>
      </c>
      <c r="G892" s="29">
        <f t="shared" si="105"/>
        <v>3.2</v>
      </c>
      <c r="H892" s="29">
        <f>IF(Dataset!G892&lt;=3,0.25,IF(Dataset!G892&lt;=6,0.45,IF(Dataset!G892&lt;=9,0.65,0.85)))</f>
        <v>0.65</v>
      </c>
      <c r="I892" s="29">
        <f>IF(Dataset!G892&lt;=3,1,IF(Dataset!G892&lt;=6,2,IF(Dataset!G892&lt;=9,3,4)))</f>
        <v>3</v>
      </c>
      <c r="J892" s="29">
        <f t="shared" si="106"/>
        <v>1.9500000000000002</v>
      </c>
      <c r="K892" s="29">
        <f>IF(Dataset!H892&lt;1,0.2,IF(Dataset!H892&lt;1.3,0.45,IF(Dataset!H892&lt;1.8,0.7,0.9)))</f>
        <v>0.9</v>
      </c>
      <c r="L892" s="29">
        <f>IF(Dataset!H892&lt;1,1,IF(Dataset!H892&lt;1.3,2,IF(Dataset!H892&lt;1.8,3,4)))</f>
        <v>4</v>
      </c>
      <c r="M892" s="29">
        <f t="shared" si="107"/>
        <v>3.6</v>
      </c>
      <c r="N892" s="29">
        <f>IF(Dataset!F892=1,0.75,IF(Dataset!F892=2,0.45,0.2))</f>
        <v>0.45</v>
      </c>
      <c r="O892" s="29">
        <f>IF(Dataset!F892=1,3,IF(Dataset!F892=2,2,1))</f>
        <v>2</v>
      </c>
      <c r="P892" s="29">
        <f t="shared" si="108"/>
        <v>0.9</v>
      </c>
      <c r="Q892" s="29">
        <f>IF(Dataset!K892&lt;5,0.2,IF(Dataset!K892&lt;10,0.45,IF(Dataset!K892&lt;18,0.7,0.9)))</f>
        <v>0.45</v>
      </c>
      <c r="R892" s="29">
        <f>IF(Dataset!K892&lt;5,1,IF(Dataset!K892&lt;10,2,IF(Dataset!K892&lt;18,3,4)))</f>
        <v>2</v>
      </c>
      <c r="S892" s="29">
        <f t="shared" si="109"/>
        <v>0.9</v>
      </c>
      <c r="T892" s="29">
        <f t="shared" si="110"/>
        <v>2.0980000000000003</v>
      </c>
      <c r="U892" s="29" t="str">
        <f t="shared" si="111"/>
        <v>High</v>
      </c>
    </row>
    <row r="893" spans="1:21" ht="15" customHeight="1" x14ac:dyDescent="0.25">
      <c r="A893" s="29">
        <f>Dataset!A893</f>
        <v>889</v>
      </c>
      <c r="B893" s="29">
        <f>IF(Dataset!B893&lt;25,0.3,IF(Dataset!B893&lt;75,0.5,IF(Dataset!B893&lt;120,0.65,0.8)))</f>
        <v>0.5</v>
      </c>
      <c r="C893" s="29">
        <f>IF(Dataset!B893&lt;25,1,IF(Dataset!B893&lt;75,2,IF(Dataset!B893&lt;120,3,4)))</f>
        <v>2</v>
      </c>
      <c r="D893" s="29">
        <f t="shared" si="104"/>
        <v>1</v>
      </c>
      <c r="E893" s="29">
        <f>IF(Dataset!C893&lt;=1,0.3,IF(Dataset!C893=2,0.4,IF(Dataset!C893=3,0.5,IF(Dataset!C893=4,0.65,0.8))))</f>
        <v>0.5</v>
      </c>
      <c r="F893" s="29">
        <f>IF(Dataset!C893&lt;=2,1,IF(Dataset!C893=3,2,IF(Dataset!C893=4,3,4)))</f>
        <v>2</v>
      </c>
      <c r="G893" s="29">
        <f t="shared" si="105"/>
        <v>1</v>
      </c>
      <c r="H893" s="29">
        <f>IF(Dataset!G893&lt;=3,0.25,IF(Dataset!G893&lt;=6,0.45,IF(Dataset!G893&lt;=9,0.65,0.85)))</f>
        <v>0.25</v>
      </c>
      <c r="I893" s="29">
        <f>IF(Dataset!G893&lt;=3,1,IF(Dataset!G893&lt;=6,2,IF(Dataset!G893&lt;=9,3,4)))</f>
        <v>1</v>
      </c>
      <c r="J893" s="29">
        <f t="shared" si="106"/>
        <v>0.25</v>
      </c>
      <c r="K893" s="29">
        <f>IF(Dataset!H893&lt;1,0.2,IF(Dataset!H893&lt;1.3,0.45,IF(Dataset!H893&lt;1.8,0.7,0.9)))</f>
        <v>0.2</v>
      </c>
      <c r="L893" s="29">
        <f>IF(Dataset!H893&lt;1,1,IF(Dataset!H893&lt;1.3,2,IF(Dataset!H893&lt;1.8,3,4)))</f>
        <v>1</v>
      </c>
      <c r="M893" s="29">
        <f t="shared" si="107"/>
        <v>0.2</v>
      </c>
      <c r="N893" s="29">
        <f>IF(Dataset!F893=1,0.75,IF(Dataset!F893=2,0.45,0.2))</f>
        <v>0.45</v>
      </c>
      <c r="O893" s="29">
        <f>IF(Dataset!F893=1,3,IF(Dataset!F893=2,2,1))</f>
        <v>2</v>
      </c>
      <c r="P893" s="29">
        <f t="shared" si="108"/>
        <v>0.9</v>
      </c>
      <c r="Q893" s="29">
        <f>IF(Dataset!K893&lt;5,0.2,IF(Dataset!K893&lt;10,0.45,IF(Dataset!K893&lt;18,0.7,0.9)))</f>
        <v>0.45</v>
      </c>
      <c r="R893" s="29">
        <f>IF(Dataset!K893&lt;5,1,IF(Dataset!K893&lt;10,2,IF(Dataset!K893&lt;18,3,4)))</f>
        <v>2</v>
      </c>
      <c r="S893" s="29">
        <f t="shared" si="109"/>
        <v>0.9</v>
      </c>
      <c r="T893" s="29">
        <f t="shared" si="110"/>
        <v>0.63400000000000001</v>
      </c>
      <c r="U893" s="29" t="str">
        <f t="shared" si="111"/>
        <v>Low</v>
      </c>
    </row>
    <row r="894" spans="1:21" ht="15" customHeight="1" x14ac:dyDescent="0.25">
      <c r="A894" s="29">
        <f>Dataset!A894</f>
        <v>890</v>
      </c>
      <c r="B894" s="29">
        <f>IF(Dataset!B894&lt;25,0.3,IF(Dataset!B894&lt;75,0.5,IF(Dataset!B894&lt;120,0.65,0.8)))</f>
        <v>0.5</v>
      </c>
      <c r="C894" s="29">
        <f>IF(Dataset!B894&lt;25,1,IF(Dataset!B894&lt;75,2,IF(Dataset!B894&lt;120,3,4)))</f>
        <v>2</v>
      </c>
      <c r="D894" s="29">
        <f t="shared" si="104"/>
        <v>1</v>
      </c>
      <c r="E894" s="29">
        <f>IF(Dataset!C894&lt;=1,0.3,IF(Dataset!C894=2,0.4,IF(Dataset!C894=3,0.5,IF(Dataset!C894=4,0.65,0.8))))</f>
        <v>0.5</v>
      </c>
      <c r="F894" s="29">
        <f>IF(Dataset!C894&lt;=2,1,IF(Dataset!C894=3,2,IF(Dataset!C894=4,3,4)))</f>
        <v>2</v>
      </c>
      <c r="G894" s="29">
        <f t="shared" si="105"/>
        <v>1</v>
      </c>
      <c r="H894" s="29">
        <f>IF(Dataset!G894&lt;=3,0.25,IF(Dataset!G894&lt;=6,0.45,IF(Dataset!G894&lt;=9,0.65,0.85)))</f>
        <v>0.45</v>
      </c>
      <c r="I894" s="29">
        <f>IF(Dataset!G894&lt;=3,1,IF(Dataset!G894&lt;=6,2,IF(Dataset!G894&lt;=9,3,4)))</f>
        <v>2</v>
      </c>
      <c r="J894" s="29">
        <f t="shared" si="106"/>
        <v>0.9</v>
      </c>
      <c r="K894" s="29">
        <f>IF(Dataset!H894&lt;1,0.2,IF(Dataset!H894&lt;1.3,0.45,IF(Dataset!H894&lt;1.8,0.7,0.9)))</f>
        <v>0.7</v>
      </c>
      <c r="L894" s="29">
        <f>IF(Dataset!H894&lt;1,1,IF(Dataset!H894&lt;1.3,2,IF(Dataset!H894&lt;1.8,3,4)))</f>
        <v>3</v>
      </c>
      <c r="M894" s="29">
        <f t="shared" si="107"/>
        <v>2.0999999999999996</v>
      </c>
      <c r="N894" s="29">
        <f>IF(Dataset!F894=1,0.75,IF(Dataset!F894=2,0.45,0.2))</f>
        <v>0.2</v>
      </c>
      <c r="O894" s="29">
        <f>IF(Dataset!F894=1,3,IF(Dataset!F894=2,2,1))</f>
        <v>1</v>
      </c>
      <c r="P894" s="29">
        <f t="shared" si="108"/>
        <v>0.2</v>
      </c>
      <c r="Q894" s="29">
        <f>IF(Dataset!K894&lt;5,0.2,IF(Dataset!K894&lt;10,0.45,IF(Dataset!K894&lt;18,0.7,0.9)))</f>
        <v>0.45</v>
      </c>
      <c r="R894" s="29">
        <f>IF(Dataset!K894&lt;5,1,IF(Dataset!K894&lt;10,2,IF(Dataset!K894&lt;18,3,4)))</f>
        <v>2</v>
      </c>
      <c r="S894" s="29">
        <f t="shared" si="109"/>
        <v>0.9</v>
      </c>
      <c r="T894" s="29">
        <f t="shared" si="110"/>
        <v>1.1500000000000001</v>
      </c>
      <c r="U894" s="29" t="str">
        <f t="shared" si="111"/>
        <v>Low</v>
      </c>
    </row>
    <row r="895" spans="1:21" ht="15" customHeight="1" x14ac:dyDescent="0.25">
      <c r="A895" s="29">
        <f>Dataset!A895</f>
        <v>891</v>
      </c>
      <c r="B895" s="29">
        <f>IF(Dataset!B895&lt;25,0.3,IF(Dataset!B895&lt;75,0.5,IF(Dataset!B895&lt;120,0.65,0.8)))</f>
        <v>0.5</v>
      </c>
      <c r="C895" s="29">
        <f>IF(Dataset!B895&lt;25,1,IF(Dataset!B895&lt;75,2,IF(Dataset!B895&lt;120,3,4)))</f>
        <v>2</v>
      </c>
      <c r="D895" s="29">
        <f t="shared" si="104"/>
        <v>1</v>
      </c>
      <c r="E895" s="29">
        <f>IF(Dataset!C895&lt;=1,0.3,IF(Dataset!C895=2,0.4,IF(Dataset!C895=3,0.5,IF(Dataset!C895=4,0.65,0.8))))</f>
        <v>0.4</v>
      </c>
      <c r="F895" s="29">
        <f>IF(Dataset!C895&lt;=2,1,IF(Dataset!C895=3,2,IF(Dataset!C895=4,3,4)))</f>
        <v>1</v>
      </c>
      <c r="G895" s="29">
        <f t="shared" si="105"/>
        <v>0.4</v>
      </c>
      <c r="H895" s="29">
        <f>IF(Dataset!G895&lt;=3,0.25,IF(Dataset!G895&lt;=6,0.45,IF(Dataset!G895&lt;=9,0.65,0.85)))</f>
        <v>0.65</v>
      </c>
      <c r="I895" s="29">
        <f>IF(Dataset!G895&lt;=3,1,IF(Dataset!G895&lt;=6,2,IF(Dataset!G895&lt;=9,3,4)))</f>
        <v>3</v>
      </c>
      <c r="J895" s="29">
        <f t="shared" si="106"/>
        <v>1.9500000000000002</v>
      </c>
      <c r="K895" s="29">
        <f>IF(Dataset!H895&lt;1,0.2,IF(Dataset!H895&lt;1.3,0.45,IF(Dataset!H895&lt;1.8,0.7,0.9)))</f>
        <v>0.2</v>
      </c>
      <c r="L895" s="29">
        <f>IF(Dataset!H895&lt;1,1,IF(Dataset!H895&lt;1.3,2,IF(Dataset!H895&lt;1.8,3,4)))</f>
        <v>1</v>
      </c>
      <c r="M895" s="29">
        <f t="shared" si="107"/>
        <v>0.2</v>
      </c>
      <c r="N895" s="29">
        <f>IF(Dataset!F895=1,0.75,IF(Dataset!F895=2,0.45,0.2))</f>
        <v>0.2</v>
      </c>
      <c r="O895" s="29">
        <f>IF(Dataset!F895=1,3,IF(Dataset!F895=2,2,1))</f>
        <v>1</v>
      </c>
      <c r="P895" s="29">
        <f t="shared" si="108"/>
        <v>0.2</v>
      </c>
      <c r="Q895" s="29">
        <f>IF(Dataset!K895&lt;5,0.2,IF(Dataset!K895&lt;10,0.45,IF(Dataset!K895&lt;18,0.7,0.9)))</f>
        <v>0.45</v>
      </c>
      <c r="R895" s="29">
        <f>IF(Dataset!K895&lt;5,1,IF(Dataset!K895&lt;10,2,IF(Dataset!K895&lt;18,3,4)))</f>
        <v>2</v>
      </c>
      <c r="S895" s="29">
        <f t="shared" si="109"/>
        <v>0.9</v>
      </c>
      <c r="T895" s="29">
        <f t="shared" si="110"/>
        <v>0.82000000000000017</v>
      </c>
      <c r="U895" s="29" t="str">
        <f t="shared" si="111"/>
        <v>Low</v>
      </c>
    </row>
    <row r="896" spans="1:21" ht="15" customHeight="1" x14ac:dyDescent="0.25">
      <c r="A896" s="29">
        <f>Dataset!A896</f>
        <v>892</v>
      </c>
      <c r="B896" s="29">
        <f>IF(Dataset!B896&lt;25,0.3,IF(Dataset!B896&lt;75,0.5,IF(Dataset!B896&lt;120,0.65,0.8)))</f>
        <v>0.5</v>
      </c>
      <c r="C896" s="29">
        <f>IF(Dataset!B896&lt;25,1,IF(Dataset!B896&lt;75,2,IF(Dataset!B896&lt;120,3,4)))</f>
        <v>2</v>
      </c>
      <c r="D896" s="29">
        <f t="shared" si="104"/>
        <v>1</v>
      </c>
      <c r="E896" s="29">
        <f>IF(Dataset!C896&lt;=1,0.3,IF(Dataset!C896=2,0.4,IF(Dataset!C896=3,0.5,IF(Dataset!C896=4,0.65,0.8))))</f>
        <v>0.5</v>
      </c>
      <c r="F896" s="29">
        <f>IF(Dataset!C896&lt;=2,1,IF(Dataset!C896=3,2,IF(Dataset!C896=4,3,4)))</f>
        <v>2</v>
      </c>
      <c r="G896" s="29">
        <f t="shared" si="105"/>
        <v>1</v>
      </c>
      <c r="H896" s="29">
        <f>IF(Dataset!G896&lt;=3,0.25,IF(Dataset!G896&lt;=6,0.45,IF(Dataset!G896&lt;=9,0.65,0.85)))</f>
        <v>0.45</v>
      </c>
      <c r="I896" s="29">
        <f>IF(Dataset!G896&lt;=3,1,IF(Dataset!G896&lt;=6,2,IF(Dataset!G896&lt;=9,3,4)))</f>
        <v>2</v>
      </c>
      <c r="J896" s="29">
        <f t="shared" si="106"/>
        <v>0.9</v>
      </c>
      <c r="K896" s="29">
        <f>IF(Dataset!H896&lt;1,0.2,IF(Dataset!H896&lt;1.3,0.45,IF(Dataset!H896&lt;1.8,0.7,0.9)))</f>
        <v>0.2</v>
      </c>
      <c r="L896" s="29">
        <f>IF(Dataset!H896&lt;1,1,IF(Dataset!H896&lt;1.3,2,IF(Dataset!H896&lt;1.8,3,4)))</f>
        <v>1</v>
      </c>
      <c r="M896" s="29">
        <f t="shared" si="107"/>
        <v>0.2</v>
      </c>
      <c r="N896" s="29">
        <f>IF(Dataset!F896=1,0.75,IF(Dataset!F896=2,0.45,0.2))</f>
        <v>0.45</v>
      </c>
      <c r="O896" s="29">
        <f>IF(Dataset!F896=1,3,IF(Dataset!F896=2,2,1))</f>
        <v>2</v>
      </c>
      <c r="P896" s="29">
        <f t="shared" si="108"/>
        <v>0.9</v>
      </c>
      <c r="Q896" s="29">
        <f>IF(Dataset!K896&lt;5,0.2,IF(Dataset!K896&lt;10,0.45,IF(Dataset!K896&lt;18,0.7,0.9)))</f>
        <v>0.45</v>
      </c>
      <c r="R896" s="29">
        <f>IF(Dataset!K896&lt;5,1,IF(Dataset!K896&lt;10,2,IF(Dataset!K896&lt;18,3,4)))</f>
        <v>2</v>
      </c>
      <c r="S896" s="29">
        <f t="shared" si="109"/>
        <v>0.9</v>
      </c>
      <c r="T896" s="29">
        <f t="shared" si="110"/>
        <v>0.76400000000000001</v>
      </c>
      <c r="U896" s="29" t="str">
        <f t="shared" si="111"/>
        <v>Low</v>
      </c>
    </row>
    <row r="897" spans="1:21" ht="15" customHeight="1" x14ac:dyDescent="0.25">
      <c r="A897" s="29">
        <f>Dataset!A897</f>
        <v>893</v>
      </c>
      <c r="B897" s="29">
        <f>IF(Dataset!B897&lt;25,0.3,IF(Dataset!B897&lt;75,0.5,IF(Dataset!B897&lt;120,0.65,0.8)))</f>
        <v>0.65</v>
      </c>
      <c r="C897" s="29">
        <f>IF(Dataset!B897&lt;25,1,IF(Dataset!B897&lt;75,2,IF(Dataset!B897&lt;120,3,4)))</f>
        <v>3</v>
      </c>
      <c r="D897" s="29">
        <f t="shared" si="104"/>
        <v>1.9500000000000002</v>
      </c>
      <c r="E897" s="29">
        <f>IF(Dataset!C897&lt;=1,0.3,IF(Dataset!C897=2,0.4,IF(Dataset!C897=3,0.5,IF(Dataset!C897=4,0.65,0.8))))</f>
        <v>0.4</v>
      </c>
      <c r="F897" s="29">
        <f>IF(Dataset!C897&lt;=2,1,IF(Dataset!C897=3,2,IF(Dataset!C897=4,3,4)))</f>
        <v>1</v>
      </c>
      <c r="G897" s="29">
        <f t="shared" si="105"/>
        <v>0.4</v>
      </c>
      <c r="H897" s="29">
        <f>IF(Dataset!G897&lt;=3,0.25,IF(Dataset!G897&lt;=6,0.45,IF(Dataset!G897&lt;=9,0.65,0.85)))</f>
        <v>0.45</v>
      </c>
      <c r="I897" s="29">
        <f>IF(Dataset!G897&lt;=3,1,IF(Dataset!G897&lt;=6,2,IF(Dataset!G897&lt;=9,3,4)))</f>
        <v>2</v>
      </c>
      <c r="J897" s="29">
        <f t="shared" si="106"/>
        <v>0.9</v>
      </c>
      <c r="K897" s="29">
        <f>IF(Dataset!H897&lt;1,0.2,IF(Dataset!H897&lt;1.3,0.45,IF(Dataset!H897&lt;1.8,0.7,0.9)))</f>
        <v>0.9</v>
      </c>
      <c r="L897" s="29">
        <f>IF(Dataset!H897&lt;1,1,IF(Dataset!H897&lt;1.3,2,IF(Dataset!H897&lt;1.8,3,4)))</f>
        <v>4</v>
      </c>
      <c r="M897" s="29">
        <f t="shared" si="107"/>
        <v>3.6</v>
      </c>
      <c r="N897" s="29">
        <f>IF(Dataset!F897=1,0.75,IF(Dataset!F897=2,0.45,0.2))</f>
        <v>0.75</v>
      </c>
      <c r="O897" s="29">
        <f>IF(Dataset!F897=1,3,IF(Dataset!F897=2,2,1))</f>
        <v>3</v>
      </c>
      <c r="P897" s="29">
        <f t="shared" si="108"/>
        <v>2.25</v>
      </c>
      <c r="Q897" s="29">
        <f>IF(Dataset!K897&lt;5,0.2,IF(Dataset!K897&lt;10,0.45,IF(Dataset!K897&lt;18,0.7,0.9)))</f>
        <v>0.2</v>
      </c>
      <c r="R897" s="29">
        <f>IF(Dataset!K897&lt;5,1,IF(Dataset!K897&lt;10,2,IF(Dataset!K897&lt;18,3,4)))</f>
        <v>1</v>
      </c>
      <c r="S897" s="29">
        <f t="shared" si="109"/>
        <v>0.2</v>
      </c>
      <c r="T897" s="29">
        <f t="shared" si="110"/>
        <v>1.7040000000000002</v>
      </c>
      <c r="U897" s="29" t="str">
        <f t="shared" si="111"/>
        <v>Medium</v>
      </c>
    </row>
    <row r="898" spans="1:21" ht="15" customHeight="1" x14ac:dyDescent="0.25">
      <c r="A898" s="29">
        <f>Dataset!A898</f>
        <v>894</v>
      </c>
      <c r="B898" s="29">
        <f>IF(Dataset!B898&lt;25,0.3,IF(Dataset!B898&lt;75,0.5,IF(Dataset!B898&lt;120,0.65,0.8)))</f>
        <v>0.5</v>
      </c>
      <c r="C898" s="29">
        <f>IF(Dataset!B898&lt;25,1,IF(Dataset!B898&lt;75,2,IF(Dataset!B898&lt;120,3,4)))</f>
        <v>2</v>
      </c>
      <c r="D898" s="29">
        <f t="shared" si="104"/>
        <v>1</v>
      </c>
      <c r="E898" s="29">
        <f>IF(Dataset!C898&lt;=1,0.3,IF(Dataset!C898=2,0.4,IF(Dataset!C898=3,0.5,IF(Dataset!C898=4,0.65,0.8))))</f>
        <v>0.4</v>
      </c>
      <c r="F898" s="29">
        <f>IF(Dataset!C898&lt;=2,1,IF(Dataset!C898=3,2,IF(Dataset!C898=4,3,4)))</f>
        <v>1</v>
      </c>
      <c r="G898" s="29">
        <f t="shared" si="105"/>
        <v>0.4</v>
      </c>
      <c r="H898" s="29">
        <f>IF(Dataset!G898&lt;=3,0.25,IF(Dataset!G898&lt;=6,0.45,IF(Dataset!G898&lt;=9,0.65,0.85)))</f>
        <v>0.25</v>
      </c>
      <c r="I898" s="29">
        <f>IF(Dataset!G898&lt;=3,1,IF(Dataset!G898&lt;=6,2,IF(Dataset!G898&lt;=9,3,4)))</f>
        <v>1</v>
      </c>
      <c r="J898" s="29">
        <f t="shared" si="106"/>
        <v>0.25</v>
      </c>
      <c r="K898" s="29">
        <f>IF(Dataset!H898&lt;1,0.2,IF(Dataset!H898&lt;1.3,0.45,IF(Dataset!H898&lt;1.8,0.7,0.9)))</f>
        <v>0.9</v>
      </c>
      <c r="L898" s="29">
        <f>IF(Dataset!H898&lt;1,1,IF(Dataset!H898&lt;1.3,2,IF(Dataset!H898&lt;1.8,3,4)))</f>
        <v>4</v>
      </c>
      <c r="M898" s="29">
        <f t="shared" si="107"/>
        <v>3.6</v>
      </c>
      <c r="N898" s="29">
        <f>IF(Dataset!F898=1,0.75,IF(Dataset!F898=2,0.45,0.2))</f>
        <v>0.45</v>
      </c>
      <c r="O898" s="29">
        <f>IF(Dataset!F898=1,3,IF(Dataset!F898=2,2,1))</f>
        <v>2</v>
      </c>
      <c r="P898" s="29">
        <f t="shared" si="108"/>
        <v>0.9</v>
      </c>
      <c r="Q898" s="29">
        <f>IF(Dataset!K898&lt;5,0.2,IF(Dataset!K898&lt;10,0.45,IF(Dataset!K898&lt;18,0.7,0.9)))</f>
        <v>0.45</v>
      </c>
      <c r="R898" s="29">
        <f>IF(Dataset!K898&lt;5,1,IF(Dataset!K898&lt;10,2,IF(Dataset!K898&lt;18,3,4)))</f>
        <v>2</v>
      </c>
      <c r="S898" s="29">
        <f t="shared" si="109"/>
        <v>0.9</v>
      </c>
      <c r="T898" s="29">
        <f t="shared" si="110"/>
        <v>1.3660000000000001</v>
      </c>
      <c r="U898" s="29" t="str">
        <f t="shared" si="111"/>
        <v>Medium</v>
      </c>
    </row>
    <row r="899" spans="1:21" ht="15" customHeight="1" x14ac:dyDescent="0.25">
      <c r="A899" s="29">
        <f>Dataset!A899</f>
        <v>895</v>
      </c>
      <c r="B899" s="29">
        <f>IF(Dataset!B899&lt;25,0.3,IF(Dataset!B899&lt;75,0.5,IF(Dataset!B899&lt;120,0.65,0.8)))</f>
        <v>0.5</v>
      </c>
      <c r="C899" s="29">
        <f>IF(Dataset!B899&lt;25,1,IF(Dataset!B899&lt;75,2,IF(Dataset!B899&lt;120,3,4)))</f>
        <v>2</v>
      </c>
      <c r="D899" s="29">
        <f t="shared" si="104"/>
        <v>1</v>
      </c>
      <c r="E899" s="29">
        <f>IF(Dataset!C899&lt;=1,0.3,IF(Dataset!C899=2,0.4,IF(Dataset!C899=3,0.5,IF(Dataset!C899=4,0.65,0.8))))</f>
        <v>0.65</v>
      </c>
      <c r="F899" s="29">
        <f>IF(Dataset!C899&lt;=2,1,IF(Dataset!C899=3,2,IF(Dataset!C899=4,3,4)))</f>
        <v>3</v>
      </c>
      <c r="G899" s="29">
        <f t="shared" si="105"/>
        <v>1.9500000000000002</v>
      </c>
      <c r="H899" s="29">
        <f>IF(Dataset!G899&lt;=3,0.25,IF(Dataset!G899&lt;=6,0.45,IF(Dataset!G899&lt;=9,0.65,0.85)))</f>
        <v>0.65</v>
      </c>
      <c r="I899" s="29">
        <f>IF(Dataset!G899&lt;=3,1,IF(Dataset!G899&lt;=6,2,IF(Dataset!G899&lt;=9,3,4)))</f>
        <v>3</v>
      </c>
      <c r="J899" s="29">
        <f t="shared" si="106"/>
        <v>1.9500000000000002</v>
      </c>
      <c r="K899" s="29">
        <f>IF(Dataset!H899&lt;1,0.2,IF(Dataset!H899&lt;1.3,0.45,IF(Dataset!H899&lt;1.8,0.7,0.9)))</f>
        <v>0.45</v>
      </c>
      <c r="L899" s="29">
        <f>IF(Dataset!H899&lt;1,1,IF(Dataset!H899&lt;1.3,2,IF(Dataset!H899&lt;1.8,3,4)))</f>
        <v>2</v>
      </c>
      <c r="M899" s="29">
        <f t="shared" si="107"/>
        <v>0.9</v>
      </c>
      <c r="N899" s="29">
        <f>IF(Dataset!F899=1,0.75,IF(Dataset!F899=2,0.45,0.2))</f>
        <v>0.75</v>
      </c>
      <c r="O899" s="29">
        <f>IF(Dataset!F899=1,3,IF(Dataset!F899=2,2,1))</f>
        <v>3</v>
      </c>
      <c r="P899" s="29">
        <f t="shared" si="108"/>
        <v>2.25</v>
      </c>
      <c r="Q899" s="29">
        <f>IF(Dataset!K899&lt;5,0.2,IF(Dataset!K899&lt;10,0.45,IF(Dataset!K899&lt;18,0.7,0.9)))</f>
        <v>0.45</v>
      </c>
      <c r="R899" s="29">
        <f>IF(Dataset!K899&lt;5,1,IF(Dataset!K899&lt;10,2,IF(Dataset!K899&lt;18,3,4)))</f>
        <v>2</v>
      </c>
      <c r="S899" s="29">
        <f t="shared" si="109"/>
        <v>0.9</v>
      </c>
      <c r="T899" s="29">
        <f t="shared" si="110"/>
        <v>1.4100000000000004</v>
      </c>
      <c r="U899" s="29" t="str">
        <f t="shared" si="111"/>
        <v>Medium</v>
      </c>
    </row>
    <row r="900" spans="1:21" ht="15" customHeight="1" x14ac:dyDescent="0.25">
      <c r="A900" s="29">
        <f>Dataset!A900</f>
        <v>896</v>
      </c>
      <c r="B900" s="29">
        <f>IF(Dataset!B900&lt;25,0.3,IF(Dataset!B900&lt;75,0.5,IF(Dataset!B900&lt;120,0.65,0.8)))</f>
        <v>0.3</v>
      </c>
      <c r="C900" s="29">
        <f>IF(Dataset!B900&lt;25,1,IF(Dataset!B900&lt;75,2,IF(Dataset!B900&lt;120,3,4)))</f>
        <v>1</v>
      </c>
      <c r="D900" s="29">
        <f t="shared" si="104"/>
        <v>0.3</v>
      </c>
      <c r="E900" s="29">
        <f>IF(Dataset!C900&lt;=1,0.3,IF(Dataset!C900=2,0.4,IF(Dataset!C900=3,0.5,IF(Dataset!C900=4,0.65,0.8))))</f>
        <v>0.5</v>
      </c>
      <c r="F900" s="29">
        <f>IF(Dataset!C900&lt;=2,1,IF(Dataset!C900=3,2,IF(Dataset!C900=4,3,4)))</f>
        <v>2</v>
      </c>
      <c r="G900" s="29">
        <f t="shared" si="105"/>
        <v>1</v>
      </c>
      <c r="H900" s="29">
        <f>IF(Dataset!G900&lt;=3,0.25,IF(Dataset!G900&lt;=6,0.45,IF(Dataset!G900&lt;=9,0.65,0.85)))</f>
        <v>0.45</v>
      </c>
      <c r="I900" s="29">
        <f>IF(Dataset!G900&lt;=3,1,IF(Dataset!G900&lt;=6,2,IF(Dataset!G900&lt;=9,3,4)))</f>
        <v>2</v>
      </c>
      <c r="J900" s="29">
        <f t="shared" si="106"/>
        <v>0.9</v>
      </c>
      <c r="K900" s="29">
        <f>IF(Dataset!H900&lt;1,0.2,IF(Dataset!H900&lt;1.3,0.45,IF(Dataset!H900&lt;1.8,0.7,0.9)))</f>
        <v>0.45</v>
      </c>
      <c r="L900" s="29">
        <f>IF(Dataset!H900&lt;1,1,IF(Dataset!H900&lt;1.3,2,IF(Dataset!H900&lt;1.8,3,4)))</f>
        <v>2</v>
      </c>
      <c r="M900" s="29">
        <f t="shared" si="107"/>
        <v>0.9</v>
      </c>
      <c r="N900" s="29">
        <f>IF(Dataset!F900=1,0.75,IF(Dataset!F900=2,0.45,0.2))</f>
        <v>0.2</v>
      </c>
      <c r="O900" s="29">
        <f>IF(Dataset!F900=1,3,IF(Dataset!F900=2,2,1))</f>
        <v>1</v>
      </c>
      <c r="P900" s="29">
        <f t="shared" si="108"/>
        <v>0.2</v>
      </c>
      <c r="Q900" s="29">
        <f>IF(Dataset!K900&lt;5,0.2,IF(Dataset!K900&lt;10,0.45,IF(Dataset!K900&lt;18,0.7,0.9)))</f>
        <v>0.45</v>
      </c>
      <c r="R900" s="29">
        <f>IF(Dataset!K900&lt;5,1,IF(Dataset!K900&lt;10,2,IF(Dataset!K900&lt;18,3,4)))</f>
        <v>2</v>
      </c>
      <c r="S900" s="29">
        <f t="shared" si="109"/>
        <v>0.9</v>
      </c>
      <c r="T900" s="29">
        <f t="shared" si="110"/>
        <v>0.73599999999999999</v>
      </c>
      <c r="U900" s="29" t="str">
        <f t="shared" si="111"/>
        <v>Low</v>
      </c>
    </row>
    <row r="901" spans="1:21" ht="15" customHeight="1" x14ac:dyDescent="0.25">
      <c r="A901" s="29">
        <f>Dataset!A901</f>
        <v>897</v>
      </c>
      <c r="B901" s="29">
        <f>IF(Dataset!B901&lt;25,0.3,IF(Dataset!B901&lt;75,0.5,IF(Dataset!B901&lt;120,0.65,0.8)))</f>
        <v>0.5</v>
      </c>
      <c r="C901" s="29">
        <f>IF(Dataset!B901&lt;25,1,IF(Dataset!B901&lt;75,2,IF(Dataset!B901&lt;120,3,4)))</f>
        <v>2</v>
      </c>
      <c r="D901" s="29">
        <f t="shared" ref="D901:D964" si="112">B901*C901</f>
        <v>1</v>
      </c>
      <c r="E901" s="29">
        <f>IF(Dataset!C901&lt;=1,0.3,IF(Dataset!C901=2,0.4,IF(Dataset!C901=3,0.5,IF(Dataset!C901=4,0.65,0.8))))</f>
        <v>0.4</v>
      </c>
      <c r="F901" s="29">
        <f>IF(Dataset!C901&lt;=2,1,IF(Dataset!C901=3,2,IF(Dataset!C901=4,3,4)))</f>
        <v>1</v>
      </c>
      <c r="G901" s="29">
        <f t="shared" ref="G901:G964" si="113">E901*F901</f>
        <v>0.4</v>
      </c>
      <c r="H901" s="29">
        <f>IF(Dataset!G901&lt;=3,0.25,IF(Dataset!G901&lt;=6,0.45,IF(Dataset!G901&lt;=9,0.65,0.85)))</f>
        <v>0.45</v>
      </c>
      <c r="I901" s="29">
        <f>IF(Dataset!G901&lt;=3,1,IF(Dataset!G901&lt;=6,2,IF(Dataset!G901&lt;=9,3,4)))</f>
        <v>2</v>
      </c>
      <c r="J901" s="29">
        <f t="shared" ref="J901:J964" si="114">H901*I901</f>
        <v>0.9</v>
      </c>
      <c r="K901" s="29">
        <f>IF(Dataset!H901&lt;1,0.2,IF(Dataset!H901&lt;1.3,0.45,IF(Dataset!H901&lt;1.8,0.7,0.9)))</f>
        <v>0.9</v>
      </c>
      <c r="L901" s="29">
        <f>IF(Dataset!H901&lt;1,1,IF(Dataset!H901&lt;1.3,2,IF(Dataset!H901&lt;1.8,3,4)))</f>
        <v>4</v>
      </c>
      <c r="M901" s="29">
        <f t="shared" ref="M901:M964" si="115">K901*L901</f>
        <v>3.6</v>
      </c>
      <c r="N901" s="29">
        <f>IF(Dataset!F901=1,0.75,IF(Dataset!F901=2,0.45,0.2))</f>
        <v>0.75</v>
      </c>
      <c r="O901" s="29">
        <f>IF(Dataset!F901=1,3,IF(Dataset!F901=2,2,1))</f>
        <v>3</v>
      </c>
      <c r="P901" s="29">
        <f t="shared" ref="P901:P964" si="116">N901*O901</f>
        <v>2.25</v>
      </c>
      <c r="Q901" s="29">
        <f>IF(Dataset!K901&lt;5,0.2,IF(Dataset!K901&lt;10,0.45,IF(Dataset!K901&lt;18,0.7,0.9)))</f>
        <v>0.45</v>
      </c>
      <c r="R901" s="29">
        <f>IF(Dataset!K901&lt;5,1,IF(Dataset!K901&lt;10,2,IF(Dataset!K901&lt;18,3,4)))</f>
        <v>2</v>
      </c>
      <c r="S901" s="29">
        <f t="shared" ref="S901:S964" si="117">Q901*R901</f>
        <v>0.9</v>
      </c>
      <c r="T901" s="29">
        <f t="shared" ref="T901:T964" si="118">$Y$6*D901+$Y$7*G901+$Y$8*J901+$Y$9*M901+$Y$10*P901+$Y$11*S901</f>
        <v>1.6310000000000002</v>
      </c>
      <c r="U901" s="29" t="str">
        <f t="shared" ref="U901:U964" si="119">IF(T901&lt;=$Y$15,"Low",IF(T901&lt;=$Y$16,"Medium","High"))</f>
        <v>Medium</v>
      </c>
    </row>
    <row r="902" spans="1:21" ht="15" customHeight="1" x14ac:dyDescent="0.25">
      <c r="A902" s="29">
        <f>Dataset!A902</f>
        <v>898</v>
      </c>
      <c r="B902" s="29">
        <f>IF(Dataset!B902&lt;25,0.3,IF(Dataset!B902&lt;75,0.5,IF(Dataset!B902&lt;120,0.65,0.8)))</f>
        <v>0.5</v>
      </c>
      <c r="C902" s="29">
        <f>IF(Dataset!B902&lt;25,1,IF(Dataset!B902&lt;75,2,IF(Dataset!B902&lt;120,3,4)))</f>
        <v>2</v>
      </c>
      <c r="D902" s="29">
        <f t="shared" si="112"/>
        <v>1</v>
      </c>
      <c r="E902" s="29">
        <f>IF(Dataset!C902&lt;=1,0.3,IF(Dataset!C902=2,0.4,IF(Dataset!C902=3,0.5,IF(Dataset!C902=4,0.65,0.8))))</f>
        <v>0.8</v>
      </c>
      <c r="F902" s="29">
        <f>IF(Dataset!C902&lt;=2,1,IF(Dataset!C902=3,2,IF(Dataset!C902=4,3,4)))</f>
        <v>4</v>
      </c>
      <c r="G902" s="29">
        <f t="shared" si="113"/>
        <v>3.2</v>
      </c>
      <c r="H902" s="29">
        <f>IF(Dataset!G902&lt;=3,0.25,IF(Dataset!G902&lt;=6,0.45,IF(Dataset!G902&lt;=9,0.65,0.85)))</f>
        <v>0.45</v>
      </c>
      <c r="I902" s="29">
        <f>IF(Dataset!G902&lt;=3,1,IF(Dataset!G902&lt;=6,2,IF(Dataset!G902&lt;=9,3,4)))</f>
        <v>2</v>
      </c>
      <c r="J902" s="29">
        <f t="shared" si="114"/>
        <v>0.9</v>
      </c>
      <c r="K902" s="29">
        <f>IF(Dataset!H902&lt;1,0.2,IF(Dataset!H902&lt;1.3,0.45,IF(Dataset!H902&lt;1.8,0.7,0.9)))</f>
        <v>0.45</v>
      </c>
      <c r="L902" s="29">
        <f>IF(Dataset!H902&lt;1,1,IF(Dataset!H902&lt;1.3,2,IF(Dataset!H902&lt;1.8,3,4)))</f>
        <v>2</v>
      </c>
      <c r="M902" s="29">
        <f t="shared" si="115"/>
        <v>0.9</v>
      </c>
      <c r="N902" s="29">
        <f>IF(Dataset!F902=1,0.75,IF(Dataset!F902=2,0.45,0.2))</f>
        <v>0.75</v>
      </c>
      <c r="O902" s="29">
        <f>IF(Dataset!F902=1,3,IF(Dataset!F902=2,2,1))</f>
        <v>3</v>
      </c>
      <c r="P902" s="29">
        <f t="shared" si="116"/>
        <v>2.25</v>
      </c>
      <c r="Q902" s="29">
        <f>IF(Dataset!K902&lt;5,0.2,IF(Dataset!K902&lt;10,0.45,IF(Dataset!K902&lt;18,0.7,0.9)))</f>
        <v>0.7</v>
      </c>
      <c r="R902" s="29">
        <f>IF(Dataset!K902&lt;5,1,IF(Dataset!K902&lt;10,2,IF(Dataset!K902&lt;18,3,4)))</f>
        <v>3</v>
      </c>
      <c r="S902" s="29">
        <f t="shared" si="117"/>
        <v>2.0999999999999996</v>
      </c>
      <c r="T902" s="29">
        <f t="shared" si="118"/>
        <v>1.5430000000000004</v>
      </c>
      <c r="U902" s="29" t="str">
        <f t="shared" si="119"/>
        <v>Medium</v>
      </c>
    </row>
    <row r="903" spans="1:21" ht="15" customHeight="1" x14ac:dyDescent="0.25">
      <c r="A903" s="29">
        <f>Dataset!A903</f>
        <v>899</v>
      </c>
      <c r="B903" s="29">
        <f>IF(Dataset!B903&lt;25,0.3,IF(Dataset!B903&lt;75,0.5,IF(Dataset!B903&lt;120,0.65,0.8)))</f>
        <v>0.8</v>
      </c>
      <c r="C903" s="29">
        <f>IF(Dataset!B903&lt;25,1,IF(Dataset!B903&lt;75,2,IF(Dataset!B903&lt;120,3,4)))</f>
        <v>4</v>
      </c>
      <c r="D903" s="29">
        <f t="shared" si="112"/>
        <v>3.2</v>
      </c>
      <c r="E903" s="29">
        <f>IF(Dataset!C903&lt;=1,0.3,IF(Dataset!C903=2,0.4,IF(Dataset!C903=3,0.5,IF(Dataset!C903=4,0.65,0.8))))</f>
        <v>0.3</v>
      </c>
      <c r="F903" s="29">
        <f>IF(Dataset!C903&lt;=2,1,IF(Dataset!C903=3,2,IF(Dataset!C903=4,3,4)))</f>
        <v>1</v>
      </c>
      <c r="G903" s="29">
        <f t="shared" si="113"/>
        <v>0.3</v>
      </c>
      <c r="H903" s="29">
        <f>IF(Dataset!G903&lt;=3,0.25,IF(Dataset!G903&lt;=6,0.45,IF(Dataset!G903&lt;=9,0.65,0.85)))</f>
        <v>0.45</v>
      </c>
      <c r="I903" s="29">
        <f>IF(Dataset!G903&lt;=3,1,IF(Dataset!G903&lt;=6,2,IF(Dataset!G903&lt;=9,3,4)))</f>
        <v>2</v>
      </c>
      <c r="J903" s="29">
        <f t="shared" si="114"/>
        <v>0.9</v>
      </c>
      <c r="K903" s="29">
        <f>IF(Dataset!H903&lt;1,0.2,IF(Dataset!H903&lt;1.3,0.45,IF(Dataset!H903&lt;1.8,0.7,0.9)))</f>
        <v>0.2</v>
      </c>
      <c r="L903" s="29">
        <f>IF(Dataset!H903&lt;1,1,IF(Dataset!H903&lt;1.3,2,IF(Dataset!H903&lt;1.8,3,4)))</f>
        <v>1</v>
      </c>
      <c r="M903" s="29">
        <f t="shared" si="115"/>
        <v>0.2</v>
      </c>
      <c r="N903" s="29">
        <f>IF(Dataset!F903=1,0.75,IF(Dataset!F903=2,0.45,0.2))</f>
        <v>0.45</v>
      </c>
      <c r="O903" s="29">
        <f>IF(Dataset!F903=1,3,IF(Dataset!F903=2,2,1))</f>
        <v>2</v>
      </c>
      <c r="P903" s="29">
        <f t="shared" si="116"/>
        <v>0.9</v>
      </c>
      <c r="Q903" s="29">
        <f>IF(Dataset!K903&lt;5,0.2,IF(Dataset!K903&lt;10,0.45,IF(Dataset!K903&lt;18,0.7,0.9)))</f>
        <v>0.2</v>
      </c>
      <c r="R903" s="29">
        <f>IF(Dataset!K903&lt;5,1,IF(Dataset!K903&lt;10,2,IF(Dataset!K903&lt;18,3,4)))</f>
        <v>1</v>
      </c>
      <c r="S903" s="29">
        <f t="shared" si="117"/>
        <v>0.2</v>
      </c>
      <c r="T903" s="29">
        <f t="shared" si="118"/>
        <v>0.96400000000000008</v>
      </c>
      <c r="U903" s="29" t="str">
        <f t="shared" si="119"/>
        <v>Low</v>
      </c>
    </row>
    <row r="904" spans="1:21" ht="15" customHeight="1" x14ac:dyDescent="0.25">
      <c r="A904" s="29">
        <f>Dataset!A904</f>
        <v>900</v>
      </c>
      <c r="B904" s="29">
        <f>IF(Dataset!B904&lt;25,0.3,IF(Dataset!B904&lt;75,0.5,IF(Dataset!B904&lt;120,0.65,0.8)))</f>
        <v>0.5</v>
      </c>
      <c r="C904" s="29">
        <f>IF(Dataset!B904&lt;25,1,IF(Dataset!B904&lt;75,2,IF(Dataset!B904&lt;120,3,4)))</f>
        <v>2</v>
      </c>
      <c r="D904" s="29">
        <f t="shared" si="112"/>
        <v>1</v>
      </c>
      <c r="E904" s="29">
        <f>IF(Dataset!C904&lt;=1,0.3,IF(Dataset!C904=2,0.4,IF(Dataset!C904=3,0.5,IF(Dataset!C904=4,0.65,0.8))))</f>
        <v>0.65</v>
      </c>
      <c r="F904" s="29">
        <f>IF(Dataset!C904&lt;=2,1,IF(Dataset!C904=3,2,IF(Dataset!C904=4,3,4)))</f>
        <v>3</v>
      </c>
      <c r="G904" s="29">
        <f t="shared" si="113"/>
        <v>1.9500000000000002</v>
      </c>
      <c r="H904" s="29">
        <f>IF(Dataset!G904&lt;=3,0.25,IF(Dataset!G904&lt;=6,0.45,IF(Dataset!G904&lt;=9,0.65,0.85)))</f>
        <v>0.45</v>
      </c>
      <c r="I904" s="29">
        <f>IF(Dataset!G904&lt;=3,1,IF(Dataset!G904&lt;=6,2,IF(Dataset!G904&lt;=9,3,4)))</f>
        <v>2</v>
      </c>
      <c r="J904" s="29">
        <f t="shared" si="114"/>
        <v>0.9</v>
      </c>
      <c r="K904" s="29">
        <f>IF(Dataset!H904&lt;1,0.2,IF(Dataset!H904&lt;1.3,0.45,IF(Dataset!H904&lt;1.8,0.7,0.9)))</f>
        <v>0.45</v>
      </c>
      <c r="L904" s="29">
        <f>IF(Dataset!H904&lt;1,1,IF(Dataset!H904&lt;1.3,2,IF(Dataset!H904&lt;1.8,3,4)))</f>
        <v>2</v>
      </c>
      <c r="M904" s="29">
        <f t="shared" si="115"/>
        <v>0.9</v>
      </c>
      <c r="N904" s="29">
        <f>IF(Dataset!F904=1,0.75,IF(Dataset!F904=2,0.45,0.2))</f>
        <v>0.45</v>
      </c>
      <c r="O904" s="29">
        <f>IF(Dataset!F904=1,3,IF(Dataset!F904=2,2,1))</f>
        <v>2</v>
      </c>
      <c r="P904" s="29">
        <f t="shared" si="116"/>
        <v>0.9</v>
      </c>
      <c r="Q904" s="29">
        <f>IF(Dataset!K904&lt;5,0.2,IF(Dataset!K904&lt;10,0.45,IF(Dataset!K904&lt;18,0.7,0.9)))</f>
        <v>0.45</v>
      </c>
      <c r="R904" s="29">
        <f>IF(Dataset!K904&lt;5,1,IF(Dataset!K904&lt;10,2,IF(Dataset!K904&lt;18,3,4)))</f>
        <v>2</v>
      </c>
      <c r="S904" s="29">
        <f t="shared" si="117"/>
        <v>0.9</v>
      </c>
      <c r="T904" s="29">
        <f t="shared" si="118"/>
        <v>1.0650000000000002</v>
      </c>
      <c r="U904" s="29" t="str">
        <f t="shared" si="119"/>
        <v>Low</v>
      </c>
    </row>
    <row r="905" spans="1:21" ht="15" customHeight="1" x14ac:dyDescent="0.25">
      <c r="A905" s="29">
        <f>Dataset!A905</f>
        <v>901</v>
      </c>
      <c r="B905" s="29">
        <f>IF(Dataset!B905&lt;25,0.3,IF(Dataset!B905&lt;75,0.5,IF(Dataset!B905&lt;120,0.65,0.8)))</f>
        <v>0.65</v>
      </c>
      <c r="C905" s="29">
        <f>IF(Dataset!B905&lt;25,1,IF(Dataset!B905&lt;75,2,IF(Dataset!B905&lt;120,3,4)))</f>
        <v>3</v>
      </c>
      <c r="D905" s="29">
        <f t="shared" si="112"/>
        <v>1.9500000000000002</v>
      </c>
      <c r="E905" s="29">
        <f>IF(Dataset!C905&lt;=1,0.3,IF(Dataset!C905=2,0.4,IF(Dataset!C905=3,0.5,IF(Dataset!C905=4,0.65,0.8))))</f>
        <v>0.5</v>
      </c>
      <c r="F905" s="29">
        <f>IF(Dataset!C905&lt;=2,1,IF(Dataset!C905=3,2,IF(Dataset!C905=4,3,4)))</f>
        <v>2</v>
      </c>
      <c r="G905" s="29">
        <f t="shared" si="113"/>
        <v>1</v>
      </c>
      <c r="H905" s="29">
        <f>IF(Dataset!G905&lt;=3,0.25,IF(Dataset!G905&lt;=6,0.45,IF(Dataset!G905&lt;=9,0.65,0.85)))</f>
        <v>0.25</v>
      </c>
      <c r="I905" s="29">
        <f>IF(Dataset!G905&lt;=3,1,IF(Dataset!G905&lt;=6,2,IF(Dataset!G905&lt;=9,3,4)))</f>
        <v>1</v>
      </c>
      <c r="J905" s="29">
        <f t="shared" si="114"/>
        <v>0.25</v>
      </c>
      <c r="K905" s="29">
        <f>IF(Dataset!H905&lt;1,0.2,IF(Dataset!H905&lt;1.3,0.45,IF(Dataset!H905&lt;1.8,0.7,0.9)))</f>
        <v>0.9</v>
      </c>
      <c r="L905" s="29">
        <f>IF(Dataset!H905&lt;1,1,IF(Dataset!H905&lt;1.3,2,IF(Dataset!H905&lt;1.8,3,4)))</f>
        <v>4</v>
      </c>
      <c r="M905" s="29">
        <f t="shared" si="115"/>
        <v>3.6</v>
      </c>
      <c r="N905" s="29">
        <f>IF(Dataset!F905=1,0.75,IF(Dataset!F905=2,0.45,0.2))</f>
        <v>0.2</v>
      </c>
      <c r="O905" s="29">
        <f>IF(Dataset!F905=1,3,IF(Dataset!F905=2,2,1))</f>
        <v>1</v>
      </c>
      <c r="P905" s="29">
        <f t="shared" si="116"/>
        <v>0.2</v>
      </c>
      <c r="Q905" s="29">
        <f>IF(Dataset!K905&lt;5,0.2,IF(Dataset!K905&lt;10,0.45,IF(Dataset!K905&lt;18,0.7,0.9)))</f>
        <v>0.45</v>
      </c>
      <c r="R905" s="29">
        <f>IF(Dataset!K905&lt;5,1,IF(Dataset!K905&lt;10,2,IF(Dataset!K905&lt;18,3,4)))</f>
        <v>2</v>
      </c>
      <c r="S905" s="29">
        <f t="shared" si="117"/>
        <v>0.9</v>
      </c>
      <c r="T905" s="29">
        <f t="shared" si="118"/>
        <v>1.5510000000000002</v>
      </c>
      <c r="U905" s="29" t="str">
        <f t="shared" si="119"/>
        <v>Medium</v>
      </c>
    </row>
    <row r="906" spans="1:21" ht="15" customHeight="1" x14ac:dyDescent="0.25">
      <c r="A906" s="29">
        <f>Dataset!A906</f>
        <v>902</v>
      </c>
      <c r="B906" s="29">
        <f>IF(Dataset!B906&lt;25,0.3,IF(Dataset!B906&lt;75,0.5,IF(Dataset!B906&lt;120,0.65,0.8)))</f>
        <v>0.65</v>
      </c>
      <c r="C906" s="29">
        <f>IF(Dataset!B906&lt;25,1,IF(Dataset!B906&lt;75,2,IF(Dataset!B906&lt;120,3,4)))</f>
        <v>3</v>
      </c>
      <c r="D906" s="29">
        <f t="shared" si="112"/>
        <v>1.9500000000000002</v>
      </c>
      <c r="E906" s="29">
        <f>IF(Dataset!C906&lt;=1,0.3,IF(Dataset!C906=2,0.4,IF(Dataset!C906=3,0.5,IF(Dataset!C906=4,0.65,0.8))))</f>
        <v>0.5</v>
      </c>
      <c r="F906" s="29">
        <f>IF(Dataset!C906&lt;=2,1,IF(Dataset!C906=3,2,IF(Dataset!C906=4,3,4)))</f>
        <v>2</v>
      </c>
      <c r="G906" s="29">
        <f t="shared" si="113"/>
        <v>1</v>
      </c>
      <c r="H906" s="29">
        <f>IF(Dataset!G906&lt;=3,0.25,IF(Dataset!G906&lt;=6,0.45,IF(Dataset!G906&lt;=9,0.65,0.85)))</f>
        <v>0.65</v>
      </c>
      <c r="I906" s="29">
        <f>IF(Dataset!G906&lt;=3,1,IF(Dataset!G906&lt;=6,2,IF(Dataset!G906&lt;=9,3,4)))</f>
        <v>3</v>
      </c>
      <c r="J906" s="29">
        <f t="shared" si="114"/>
        <v>1.9500000000000002</v>
      </c>
      <c r="K906" s="29">
        <f>IF(Dataset!H906&lt;1,0.2,IF(Dataset!H906&lt;1.3,0.45,IF(Dataset!H906&lt;1.8,0.7,0.9)))</f>
        <v>0.9</v>
      </c>
      <c r="L906" s="29">
        <f>IF(Dataset!H906&lt;1,1,IF(Dataset!H906&lt;1.3,2,IF(Dataset!H906&lt;1.8,3,4)))</f>
        <v>4</v>
      </c>
      <c r="M906" s="29">
        <f t="shared" si="115"/>
        <v>3.6</v>
      </c>
      <c r="N906" s="29">
        <f>IF(Dataset!F906=1,0.75,IF(Dataset!F906=2,0.45,0.2))</f>
        <v>0.75</v>
      </c>
      <c r="O906" s="29">
        <f>IF(Dataset!F906=1,3,IF(Dataset!F906=2,2,1))</f>
        <v>3</v>
      </c>
      <c r="P906" s="29">
        <f t="shared" si="116"/>
        <v>2.25</v>
      </c>
      <c r="Q906" s="29">
        <f>IF(Dataset!K906&lt;5,0.2,IF(Dataset!K906&lt;10,0.45,IF(Dataset!K906&lt;18,0.7,0.9)))</f>
        <v>0.45</v>
      </c>
      <c r="R906" s="29">
        <f>IF(Dataset!K906&lt;5,1,IF(Dataset!K906&lt;10,2,IF(Dataset!K906&lt;18,3,4)))</f>
        <v>2</v>
      </c>
      <c r="S906" s="29">
        <f t="shared" si="117"/>
        <v>0.9</v>
      </c>
      <c r="T906" s="29">
        <f t="shared" si="118"/>
        <v>2.0960000000000001</v>
      </c>
      <c r="U906" s="29" t="str">
        <f t="shared" si="119"/>
        <v>High</v>
      </c>
    </row>
    <row r="907" spans="1:21" ht="15" customHeight="1" x14ac:dyDescent="0.25">
      <c r="A907" s="29">
        <f>Dataset!A907</f>
        <v>903</v>
      </c>
      <c r="B907" s="29">
        <f>IF(Dataset!B907&lt;25,0.3,IF(Dataset!B907&lt;75,0.5,IF(Dataset!B907&lt;120,0.65,0.8)))</f>
        <v>0.65</v>
      </c>
      <c r="C907" s="29">
        <f>IF(Dataset!B907&lt;25,1,IF(Dataset!B907&lt;75,2,IF(Dataset!B907&lt;120,3,4)))</f>
        <v>3</v>
      </c>
      <c r="D907" s="29">
        <f t="shared" si="112"/>
        <v>1.9500000000000002</v>
      </c>
      <c r="E907" s="29">
        <f>IF(Dataset!C907&lt;=1,0.3,IF(Dataset!C907=2,0.4,IF(Dataset!C907=3,0.5,IF(Dataset!C907=4,0.65,0.8))))</f>
        <v>0.5</v>
      </c>
      <c r="F907" s="29">
        <f>IF(Dataset!C907&lt;=2,1,IF(Dataset!C907=3,2,IF(Dataset!C907=4,3,4)))</f>
        <v>2</v>
      </c>
      <c r="G907" s="29">
        <f t="shared" si="113"/>
        <v>1</v>
      </c>
      <c r="H907" s="29">
        <f>IF(Dataset!G907&lt;=3,0.25,IF(Dataset!G907&lt;=6,0.45,IF(Dataset!G907&lt;=9,0.65,0.85)))</f>
        <v>0.45</v>
      </c>
      <c r="I907" s="29">
        <f>IF(Dataset!G907&lt;=3,1,IF(Dataset!G907&lt;=6,2,IF(Dataset!G907&lt;=9,3,4)))</f>
        <v>2</v>
      </c>
      <c r="J907" s="29">
        <f t="shared" si="114"/>
        <v>0.9</v>
      </c>
      <c r="K907" s="29">
        <f>IF(Dataset!H907&lt;1,0.2,IF(Dataset!H907&lt;1.3,0.45,IF(Dataset!H907&lt;1.8,0.7,0.9)))</f>
        <v>0.45</v>
      </c>
      <c r="L907" s="29">
        <f>IF(Dataset!H907&lt;1,1,IF(Dataset!H907&lt;1.3,2,IF(Dataset!H907&lt;1.8,3,4)))</f>
        <v>2</v>
      </c>
      <c r="M907" s="29">
        <f t="shared" si="115"/>
        <v>0.9</v>
      </c>
      <c r="N907" s="29">
        <f>IF(Dataset!F907=1,0.75,IF(Dataset!F907=2,0.45,0.2))</f>
        <v>0.2</v>
      </c>
      <c r="O907" s="29">
        <f>IF(Dataset!F907=1,3,IF(Dataset!F907=2,2,1))</f>
        <v>1</v>
      </c>
      <c r="P907" s="29">
        <f t="shared" si="116"/>
        <v>0.2</v>
      </c>
      <c r="Q907" s="29">
        <f>IF(Dataset!K907&lt;5,0.2,IF(Dataset!K907&lt;10,0.45,IF(Dataset!K907&lt;18,0.7,0.9)))</f>
        <v>0.45</v>
      </c>
      <c r="R907" s="29">
        <f>IF(Dataset!K907&lt;5,1,IF(Dataset!K907&lt;10,2,IF(Dataset!K907&lt;18,3,4)))</f>
        <v>2</v>
      </c>
      <c r="S907" s="29">
        <f t="shared" si="117"/>
        <v>0.9</v>
      </c>
      <c r="T907" s="29">
        <f t="shared" si="118"/>
        <v>1.0330000000000001</v>
      </c>
      <c r="U907" s="29" t="str">
        <f t="shared" si="119"/>
        <v>Low</v>
      </c>
    </row>
    <row r="908" spans="1:21" ht="15" customHeight="1" x14ac:dyDescent="0.25">
      <c r="A908" s="29">
        <f>Dataset!A908</f>
        <v>904</v>
      </c>
      <c r="B908" s="29">
        <f>IF(Dataset!B908&lt;25,0.3,IF(Dataset!B908&lt;75,0.5,IF(Dataset!B908&lt;120,0.65,0.8)))</f>
        <v>0.5</v>
      </c>
      <c r="C908" s="29">
        <f>IF(Dataset!B908&lt;25,1,IF(Dataset!B908&lt;75,2,IF(Dataset!B908&lt;120,3,4)))</f>
        <v>2</v>
      </c>
      <c r="D908" s="29">
        <f t="shared" si="112"/>
        <v>1</v>
      </c>
      <c r="E908" s="29">
        <f>IF(Dataset!C908&lt;=1,0.3,IF(Dataset!C908=2,0.4,IF(Dataset!C908=3,0.5,IF(Dataset!C908=4,0.65,0.8))))</f>
        <v>0.4</v>
      </c>
      <c r="F908" s="29">
        <f>IF(Dataset!C908&lt;=2,1,IF(Dataset!C908=3,2,IF(Dataset!C908=4,3,4)))</f>
        <v>1</v>
      </c>
      <c r="G908" s="29">
        <f t="shared" si="113"/>
        <v>0.4</v>
      </c>
      <c r="H908" s="29">
        <f>IF(Dataset!G908&lt;=3,0.25,IF(Dataset!G908&lt;=6,0.45,IF(Dataset!G908&lt;=9,0.65,0.85)))</f>
        <v>0.65</v>
      </c>
      <c r="I908" s="29">
        <f>IF(Dataset!G908&lt;=3,1,IF(Dataset!G908&lt;=6,2,IF(Dataset!G908&lt;=9,3,4)))</f>
        <v>3</v>
      </c>
      <c r="J908" s="29">
        <f t="shared" si="114"/>
        <v>1.9500000000000002</v>
      </c>
      <c r="K908" s="29">
        <f>IF(Dataset!H908&lt;1,0.2,IF(Dataset!H908&lt;1.3,0.45,IF(Dataset!H908&lt;1.8,0.7,0.9)))</f>
        <v>0.9</v>
      </c>
      <c r="L908" s="29">
        <f>IF(Dataset!H908&lt;1,1,IF(Dataset!H908&lt;1.3,2,IF(Dataset!H908&lt;1.8,3,4)))</f>
        <v>4</v>
      </c>
      <c r="M908" s="29">
        <f t="shared" si="115"/>
        <v>3.6</v>
      </c>
      <c r="N908" s="29">
        <f>IF(Dataset!F908=1,0.75,IF(Dataset!F908=2,0.45,0.2))</f>
        <v>0.75</v>
      </c>
      <c r="O908" s="29">
        <f>IF(Dataset!F908=1,3,IF(Dataset!F908=2,2,1))</f>
        <v>3</v>
      </c>
      <c r="P908" s="29">
        <f t="shared" si="116"/>
        <v>2.25</v>
      </c>
      <c r="Q908" s="29">
        <f>IF(Dataset!K908&lt;5,0.2,IF(Dataset!K908&lt;10,0.45,IF(Dataset!K908&lt;18,0.7,0.9)))</f>
        <v>0.45</v>
      </c>
      <c r="R908" s="29">
        <f>IF(Dataset!K908&lt;5,1,IF(Dataset!K908&lt;10,2,IF(Dataset!K908&lt;18,3,4)))</f>
        <v>2</v>
      </c>
      <c r="S908" s="29">
        <f t="shared" si="117"/>
        <v>0.9</v>
      </c>
      <c r="T908" s="29">
        <f t="shared" si="118"/>
        <v>1.8410000000000004</v>
      </c>
      <c r="U908" s="29" t="str">
        <f t="shared" si="119"/>
        <v>High</v>
      </c>
    </row>
    <row r="909" spans="1:21" ht="15" customHeight="1" x14ac:dyDescent="0.25">
      <c r="A909" s="29">
        <f>Dataset!A909</f>
        <v>905</v>
      </c>
      <c r="B909" s="29">
        <f>IF(Dataset!B909&lt;25,0.3,IF(Dataset!B909&lt;75,0.5,IF(Dataset!B909&lt;120,0.65,0.8)))</f>
        <v>0.5</v>
      </c>
      <c r="C909" s="29">
        <f>IF(Dataset!B909&lt;25,1,IF(Dataset!B909&lt;75,2,IF(Dataset!B909&lt;120,3,4)))</f>
        <v>2</v>
      </c>
      <c r="D909" s="29">
        <f t="shared" si="112"/>
        <v>1</v>
      </c>
      <c r="E909" s="29">
        <f>IF(Dataset!C909&lt;=1,0.3,IF(Dataset!C909=2,0.4,IF(Dataset!C909=3,0.5,IF(Dataset!C909=4,0.65,0.8))))</f>
        <v>0.65</v>
      </c>
      <c r="F909" s="29">
        <f>IF(Dataset!C909&lt;=2,1,IF(Dataset!C909=3,2,IF(Dataset!C909=4,3,4)))</f>
        <v>3</v>
      </c>
      <c r="G909" s="29">
        <f t="shared" si="113"/>
        <v>1.9500000000000002</v>
      </c>
      <c r="H909" s="29">
        <f>IF(Dataset!G909&lt;=3,0.25,IF(Dataset!G909&lt;=6,0.45,IF(Dataset!G909&lt;=9,0.65,0.85)))</f>
        <v>0.65</v>
      </c>
      <c r="I909" s="29">
        <f>IF(Dataset!G909&lt;=3,1,IF(Dataset!G909&lt;=6,2,IF(Dataset!G909&lt;=9,3,4)))</f>
        <v>3</v>
      </c>
      <c r="J909" s="29">
        <f t="shared" si="114"/>
        <v>1.9500000000000002</v>
      </c>
      <c r="K909" s="29">
        <f>IF(Dataset!H909&lt;1,0.2,IF(Dataset!H909&lt;1.3,0.45,IF(Dataset!H909&lt;1.8,0.7,0.9)))</f>
        <v>0.7</v>
      </c>
      <c r="L909" s="29">
        <f>IF(Dataset!H909&lt;1,1,IF(Dataset!H909&lt;1.3,2,IF(Dataset!H909&lt;1.8,3,4)))</f>
        <v>3</v>
      </c>
      <c r="M909" s="29">
        <f t="shared" si="115"/>
        <v>2.0999999999999996</v>
      </c>
      <c r="N909" s="29">
        <f>IF(Dataset!F909=1,0.75,IF(Dataset!F909=2,0.45,0.2))</f>
        <v>0.75</v>
      </c>
      <c r="O909" s="29">
        <f>IF(Dataset!F909=1,3,IF(Dataset!F909=2,2,1))</f>
        <v>3</v>
      </c>
      <c r="P909" s="29">
        <f t="shared" si="116"/>
        <v>2.25</v>
      </c>
      <c r="Q909" s="29">
        <f>IF(Dataset!K909&lt;5,0.2,IF(Dataset!K909&lt;10,0.45,IF(Dataset!K909&lt;18,0.7,0.9)))</f>
        <v>0.45</v>
      </c>
      <c r="R909" s="29">
        <f>IF(Dataset!K909&lt;5,1,IF(Dataset!K909&lt;10,2,IF(Dataset!K909&lt;18,3,4)))</f>
        <v>2</v>
      </c>
      <c r="S909" s="29">
        <f t="shared" si="117"/>
        <v>0.9</v>
      </c>
      <c r="T909" s="29">
        <f t="shared" si="118"/>
        <v>1.6980000000000002</v>
      </c>
      <c r="U909" s="29" t="str">
        <f t="shared" si="119"/>
        <v>Medium</v>
      </c>
    </row>
    <row r="910" spans="1:21" ht="15" customHeight="1" x14ac:dyDescent="0.25">
      <c r="A910" s="29">
        <f>Dataset!A910</f>
        <v>906</v>
      </c>
      <c r="B910" s="29">
        <f>IF(Dataset!B910&lt;25,0.3,IF(Dataset!B910&lt;75,0.5,IF(Dataset!B910&lt;120,0.65,0.8)))</f>
        <v>0.65</v>
      </c>
      <c r="C910" s="29">
        <f>IF(Dataset!B910&lt;25,1,IF(Dataset!B910&lt;75,2,IF(Dataset!B910&lt;120,3,4)))</f>
        <v>3</v>
      </c>
      <c r="D910" s="29">
        <f t="shared" si="112"/>
        <v>1.9500000000000002</v>
      </c>
      <c r="E910" s="29">
        <f>IF(Dataset!C910&lt;=1,0.3,IF(Dataset!C910=2,0.4,IF(Dataset!C910=3,0.5,IF(Dataset!C910=4,0.65,0.8))))</f>
        <v>0.4</v>
      </c>
      <c r="F910" s="29">
        <f>IF(Dataset!C910&lt;=2,1,IF(Dataset!C910=3,2,IF(Dataset!C910=4,3,4)))</f>
        <v>1</v>
      </c>
      <c r="G910" s="29">
        <f t="shared" si="113"/>
        <v>0.4</v>
      </c>
      <c r="H910" s="29">
        <f>IF(Dataset!G910&lt;=3,0.25,IF(Dataset!G910&lt;=6,0.45,IF(Dataset!G910&lt;=9,0.65,0.85)))</f>
        <v>0.45</v>
      </c>
      <c r="I910" s="29">
        <f>IF(Dataset!G910&lt;=3,1,IF(Dataset!G910&lt;=6,2,IF(Dataset!G910&lt;=9,3,4)))</f>
        <v>2</v>
      </c>
      <c r="J910" s="29">
        <f t="shared" si="114"/>
        <v>0.9</v>
      </c>
      <c r="K910" s="29">
        <f>IF(Dataset!H910&lt;1,0.2,IF(Dataset!H910&lt;1.3,0.45,IF(Dataset!H910&lt;1.8,0.7,0.9)))</f>
        <v>0.2</v>
      </c>
      <c r="L910" s="29">
        <f>IF(Dataset!H910&lt;1,1,IF(Dataset!H910&lt;1.3,2,IF(Dataset!H910&lt;1.8,3,4)))</f>
        <v>1</v>
      </c>
      <c r="M910" s="29">
        <f t="shared" si="115"/>
        <v>0.2</v>
      </c>
      <c r="N910" s="29">
        <f>IF(Dataset!F910=1,0.75,IF(Dataset!F910=2,0.45,0.2))</f>
        <v>0.45</v>
      </c>
      <c r="O910" s="29">
        <f>IF(Dataset!F910=1,3,IF(Dataset!F910=2,2,1))</f>
        <v>2</v>
      </c>
      <c r="P910" s="29">
        <f t="shared" si="116"/>
        <v>0.9</v>
      </c>
      <c r="Q910" s="29">
        <f>IF(Dataset!K910&lt;5,0.2,IF(Dataset!K910&lt;10,0.45,IF(Dataset!K910&lt;18,0.7,0.9)))</f>
        <v>0.2</v>
      </c>
      <c r="R910" s="29">
        <f>IF(Dataset!K910&lt;5,1,IF(Dataset!K910&lt;10,2,IF(Dataset!K910&lt;18,3,4)))</f>
        <v>1</v>
      </c>
      <c r="S910" s="29">
        <f t="shared" si="117"/>
        <v>0.2</v>
      </c>
      <c r="T910" s="29">
        <f t="shared" si="118"/>
        <v>0.75300000000000011</v>
      </c>
      <c r="U910" s="29" t="str">
        <f t="shared" si="119"/>
        <v>Low</v>
      </c>
    </row>
    <row r="911" spans="1:21" ht="15" customHeight="1" x14ac:dyDescent="0.25">
      <c r="A911" s="29">
        <f>Dataset!A911</f>
        <v>907</v>
      </c>
      <c r="B911" s="29">
        <f>IF(Dataset!B911&lt;25,0.3,IF(Dataset!B911&lt;75,0.5,IF(Dataset!B911&lt;120,0.65,0.8)))</f>
        <v>0.5</v>
      </c>
      <c r="C911" s="29">
        <f>IF(Dataset!B911&lt;25,1,IF(Dataset!B911&lt;75,2,IF(Dataset!B911&lt;120,3,4)))</f>
        <v>2</v>
      </c>
      <c r="D911" s="29">
        <f t="shared" si="112"/>
        <v>1</v>
      </c>
      <c r="E911" s="29">
        <f>IF(Dataset!C911&lt;=1,0.3,IF(Dataset!C911=2,0.4,IF(Dataset!C911=3,0.5,IF(Dataset!C911=4,0.65,0.8))))</f>
        <v>0.4</v>
      </c>
      <c r="F911" s="29">
        <f>IF(Dataset!C911&lt;=2,1,IF(Dataset!C911=3,2,IF(Dataset!C911=4,3,4)))</f>
        <v>1</v>
      </c>
      <c r="G911" s="29">
        <f t="shared" si="113"/>
        <v>0.4</v>
      </c>
      <c r="H911" s="29">
        <f>IF(Dataset!G911&lt;=3,0.25,IF(Dataset!G911&lt;=6,0.45,IF(Dataset!G911&lt;=9,0.65,0.85)))</f>
        <v>0.65</v>
      </c>
      <c r="I911" s="29">
        <f>IF(Dataset!G911&lt;=3,1,IF(Dataset!G911&lt;=6,2,IF(Dataset!G911&lt;=9,3,4)))</f>
        <v>3</v>
      </c>
      <c r="J911" s="29">
        <f t="shared" si="114"/>
        <v>1.9500000000000002</v>
      </c>
      <c r="K911" s="29">
        <f>IF(Dataset!H911&lt;1,0.2,IF(Dataset!H911&lt;1.3,0.45,IF(Dataset!H911&lt;1.8,0.7,0.9)))</f>
        <v>0.45</v>
      </c>
      <c r="L911" s="29">
        <f>IF(Dataset!H911&lt;1,1,IF(Dataset!H911&lt;1.3,2,IF(Dataset!H911&lt;1.8,3,4)))</f>
        <v>2</v>
      </c>
      <c r="M911" s="29">
        <f t="shared" si="115"/>
        <v>0.9</v>
      </c>
      <c r="N911" s="29">
        <f>IF(Dataset!F911=1,0.75,IF(Dataset!F911=2,0.45,0.2))</f>
        <v>0.75</v>
      </c>
      <c r="O911" s="29">
        <f>IF(Dataset!F911=1,3,IF(Dataset!F911=2,2,1))</f>
        <v>3</v>
      </c>
      <c r="P911" s="29">
        <f t="shared" si="116"/>
        <v>2.25</v>
      </c>
      <c r="Q911" s="29">
        <f>IF(Dataset!K911&lt;5,0.2,IF(Dataset!K911&lt;10,0.45,IF(Dataset!K911&lt;18,0.7,0.9)))</f>
        <v>0.45</v>
      </c>
      <c r="R911" s="29">
        <f>IF(Dataset!K911&lt;5,1,IF(Dataset!K911&lt;10,2,IF(Dataset!K911&lt;18,3,4)))</f>
        <v>2</v>
      </c>
      <c r="S911" s="29">
        <f t="shared" si="117"/>
        <v>0.9</v>
      </c>
      <c r="T911" s="29">
        <f t="shared" si="118"/>
        <v>1.1930000000000003</v>
      </c>
      <c r="U911" s="29" t="str">
        <f t="shared" si="119"/>
        <v>Low</v>
      </c>
    </row>
    <row r="912" spans="1:21" ht="15" customHeight="1" x14ac:dyDescent="0.25">
      <c r="A912" s="29">
        <f>Dataset!A912</f>
        <v>908</v>
      </c>
      <c r="B912" s="29">
        <f>IF(Dataset!B912&lt;25,0.3,IF(Dataset!B912&lt;75,0.5,IF(Dataset!B912&lt;120,0.65,0.8)))</f>
        <v>0.5</v>
      </c>
      <c r="C912" s="29">
        <f>IF(Dataset!B912&lt;25,1,IF(Dataset!B912&lt;75,2,IF(Dataset!B912&lt;120,3,4)))</f>
        <v>2</v>
      </c>
      <c r="D912" s="29">
        <f t="shared" si="112"/>
        <v>1</v>
      </c>
      <c r="E912" s="29">
        <f>IF(Dataset!C912&lt;=1,0.3,IF(Dataset!C912=2,0.4,IF(Dataset!C912=3,0.5,IF(Dataset!C912=4,0.65,0.8))))</f>
        <v>0.5</v>
      </c>
      <c r="F912" s="29">
        <f>IF(Dataset!C912&lt;=2,1,IF(Dataset!C912=3,2,IF(Dataset!C912=4,3,4)))</f>
        <v>2</v>
      </c>
      <c r="G912" s="29">
        <f t="shared" si="113"/>
        <v>1</v>
      </c>
      <c r="H912" s="29">
        <f>IF(Dataset!G912&lt;=3,0.25,IF(Dataset!G912&lt;=6,0.45,IF(Dataset!G912&lt;=9,0.65,0.85)))</f>
        <v>0.25</v>
      </c>
      <c r="I912" s="29">
        <f>IF(Dataset!G912&lt;=3,1,IF(Dataset!G912&lt;=6,2,IF(Dataset!G912&lt;=9,3,4)))</f>
        <v>1</v>
      </c>
      <c r="J912" s="29">
        <f t="shared" si="114"/>
        <v>0.25</v>
      </c>
      <c r="K912" s="29">
        <f>IF(Dataset!H912&lt;1,0.2,IF(Dataset!H912&lt;1.3,0.45,IF(Dataset!H912&lt;1.8,0.7,0.9)))</f>
        <v>0.9</v>
      </c>
      <c r="L912" s="29">
        <f>IF(Dataset!H912&lt;1,1,IF(Dataset!H912&lt;1.3,2,IF(Dataset!H912&lt;1.8,3,4)))</f>
        <v>4</v>
      </c>
      <c r="M912" s="29">
        <f t="shared" si="115"/>
        <v>3.6</v>
      </c>
      <c r="N912" s="29">
        <f>IF(Dataset!F912=1,0.75,IF(Dataset!F912=2,0.45,0.2))</f>
        <v>0.45</v>
      </c>
      <c r="O912" s="29">
        <f>IF(Dataset!F912=1,3,IF(Dataset!F912=2,2,1))</f>
        <v>2</v>
      </c>
      <c r="P912" s="29">
        <f t="shared" si="116"/>
        <v>0.9</v>
      </c>
      <c r="Q912" s="29">
        <f>IF(Dataset!K912&lt;5,0.2,IF(Dataset!K912&lt;10,0.45,IF(Dataset!K912&lt;18,0.7,0.9)))</f>
        <v>0.45</v>
      </c>
      <c r="R912" s="29">
        <f>IF(Dataset!K912&lt;5,1,IF(Dataset!K912&lt;10,2,IF(Dataset!K912&lt;18,3,4)))</f>
        <v>2</v>
      </c>
      <c r="S912" s="29">
        <f t="shared" si="117"/>
        <v>0.9</v>
      </c>
      <c r="T912" s="29">
        <f t="shared" si="118"/>
        <v>1.4500000000000002</v>
      </c>
      <c r="U912" s="29" t="str">
        <f t="shared" si="119"/>
        <v>Medium</v>
      </c>
    </row>
    <row r="913" spans="1:21" ht="15" customHeight="1" x14ac:dyDescent="0.25">
      <c r="A913" s="29">
        <f>Dataset!A913</f>
        <v>909</v>
      </c>
      <c r="B913" s="29">
        <f>IF(Dataset!B913&lt;25,0.3,IF(Dataset!B913&lt;75,0.5,IF(Dataset!B913&lt;120,0.65,0.8)))</f>
        <v>0.5</v>
      </c>
      <c r="C913" s="29">
        <f>IF(Dataset!B913&lt;25,1,IF(Dataset!B913&lt;75,2,IF(Dataset!B913&lt;120,3,4)))</f>
        <v>2</v>
      </c>
      <c r="D913" s="29">
        <f t="shared" si="112"/>
        <v>1</v>
      </c>
      <c r="E913" s="29">
        <f>IF(Dataset!C913&lt;=1,0.3,IF(Dataset!C913=2,0.4,IF(Dataset!C913=3,0.5,IF(Dataset!C913=4,0.65,0.8))))</f>
        <v>0.8</v>
      </c>
      <c r="F913" s="29">
        <f>IF(Dataset!C913&lt;=2,1,IF(Dataset!C913=3,2,IF(Dataset!C913=4,3,4)))</f>
        <v>4</v>
      </c>
      <c r="G913" s="29">
        <f t="shared" si="113"/>
        <v>3.2</v>
      </c>
      <c r="H913" s="29">
        <f>IF(Dataset!G913&lt;=3,0.25,IF(Dataset!G913&lt;=6,0.45,IF(Dataset!G913&lt;=9,0.65,0.85)))</f>
        <v>0.65</v>
      </c>
      <c r="I913" s="29">
        <f>IF(Dataset!G913&lt;=3,1,IF(Dataset!G913&lt;=6,2,IF(Dataset!G913&lt;=9,3,4)))</f>
        <v>3</v>
      </c>
      <c r="J913" s="29">
        <f t="shared" si="114"/>
        <v>1.9500000000000002</v>
      </c>
      <c r="K913" s="29">
        <f>IF(Dataset!H913&lt;1,0.2,IF(Dataset!H913&lt;1.3,0.45,IF(Dataset!H913&lt;1.8,0.7,0.9)))</f>
        <v>0.9</v>
      </c>
      <c r="L913" s="29">
        <f>IF(Dataset!H913&lt;1,1,IF(Dataset!H913&lt;1.3,2,IF(Dataset!H913&lt;1.8,3,4)))</f>
        <v>4</v>
      </c>
      <c r="M913" s="29">
        <f t="shared" si="115"/>
        <v>3.6</v>
      </c>
      <c r="N913" s="29">
        <f>IF(Dataset!F913=1,0.75,IF(Dataset!F913=2,0.45,0.2))</f>
        <v>0.75</v>
      </c>
      <c r="O913" s="29">
        <f>IF(Dataset!F913=1,3,IF(Dataset!F913=2,2,1))</f>
        <v>3</v>
      </c>
      <c r="P913" s="29">
        <f t="shared" si="116"/>
        <v>2.25</v>
      </c>
      <c r="Q913" s="29">
        <f>IF(Dataset!K913&lt;5,0.2,IF(Dataset!K913&lt;10,0.45,IF(Dataset!K913&lt;18,0.7,0.9)))</f>
        <v>0.7</v>
      </c>
      <c r="R913" s="29">
        <f>IF(Dataset!K913&lt;5,1,IF(Dataset!K913&lt;10,2,IF(Dataset!K913&lt;18,3,4)))</f>
        <v>3</v>
      </c>
      <c r="S913" s="29">
        <f t="shared" si="117"/>
        <v>2.0999999999999996</v>
      </c>
      <c r="T913" s="29">
        <f t="shared" si="118"/>
        <v>2.4010000000000002</v>
      </c>
      <c r="U913" s="29" t="str">
        <f t="shared" si="119"/>
        <v>High</v>
      </c>
    </row>
    <row r="914" spans="1:21" ht="15" customHeight="1" x14ac:dyDescent="0.25">
      <c r="A914" s="29">
        <f>Dataset!A914</f>
        <v>910</v>
      </c>
      <c r="B914" s="29">
        <f>IF(Dataset!B914&lt;25,0.3,IF(Dataset!B914&lt;75,0.5,IF(Dataset!B914&lt;120,0.65,0.8)))</f>
        <v>0.5</v>
      </c>
      <c r="C914" s="29">
        <f>IF(Dataset!B914&lt;25,1,IF(Dataset!B914&lt;75,2,IF(Dataset!B914&lt;120,3,4)))</f>
        <v>2</v>
      </c>
      <c r="D914" s="29">
        <f t="shared" si="112"/>
        <v>1</v>
      </c>
      <c r="E914" s="29">
        <f>IF(Dataset!C914&lt;=1,0.3,IF(Dataset!C914=2,0.4,IF(Dataset!C914=3,0.5,IF(Dataset!C914=4,0.65,0.8))))</f>
        <v>0.65</v>
      </c>
      <c r="F914" s="29">
        <f>IF(Dataset!C914&lt;=2,1,IF(Dataset!C914=3,2,IF(Dataset!C914=4,3,4)))</f>
        <v>3</v>
      </c>
      <c r="G914" s="29">
        <f t="shared" si="113"/>
        <v>1.9500000000000002</v>
      </c>
      <c r="H914" s="29">
        <f>IF(Dataset!G914&lt;=3,0.25,IF(Dataset!G914&lt;=6,0.45,IF(Dataset!G914&lt;=9,0.65,0.85)))</f>
        <v>0.25</v>
      </c>
      <c r="I914" s="29">
        <f>IF(Dataset!G914&lt;=3,1,IF(Dataset!G914&lt;=6,2,IF(Dataset!G914&lt;=9,3,4)))</f>
        <v>1</v>
      </c>
      <c r="J914" s="29">
        <f t="shared" si="114"/>
        <v>0.25</v>
      </c>
      <c r="K914" s="29">
        <f>IF(Dataset!H914&lt;1,0.2,IF(Dataset!H914&lt;1.3,0.45,IF(Dataset!H914&lt;1.8,0.7,0.9)))</f>
        <v>0.45</v>
      </c>
      <c r="L914" s="29">
        <f>IF(Dataset!H914&lt;1,1,IF(Dataset!H914&lt;1.3,2,IF(Dataset!H914&lt;1.8,3,4)))</f>
        <v>2</v>
      </c>
      <c r="M914" s="29">
        <f t="shared" si="115"/>
        <v>0.9</v>
      </c>
      <c r="N914" s="29">
        <f>IF(Dataset!F914=1,0.75,IF(Dataset!F914=2,0.45,0.2))</f>
        <v>0.75</v>
      </c>
      <c r="O914" s="29">
        <f>IF(Dataset!F914=1,3,IF(Dataset!F914=2,2,1))</f>
        <v>3</v>
      </c>
      <c r="P914" s="29">
        <f t="shared" si="116"/>
        <v>2.25</v>
      </c>
      <c r="Q914" s="29">
        <f>IF(Dataset!K914&lt;5,0.2,IF(Dataset!K914&lt;10,0.45,IF(Dataset!K914&lt;18,0.7,0.9)))</f>
        <v>0.7</v>
      </c>
      <c r="R914" s="29">
        <f>IF(Dataset!K914&lt;5,1,IF(Dataset!K914&lt;10,2,IF(Dataset!K914&lt;18,3,4)))</f>
        <v>3</v>
      </c>
      <c r="S914" s="29">
        <f t="shared" si="117"/>
        <v>2.0999999999999996</v>
      </c>
      <c r="T914" s="29">
        <f t="shared" si="118"/>
        <v>1.238</v>
      </c>
      <c r="U914" s="29" t="str">
        <f t="shared" si="119"/>
        <v>Low</v>
      </c>
    </row>
    <row r="915" spans="1:21" ht="15" customHeight="1" x14ac:dyDescent="0.25">
      <c r="A915" s="29">
        <f>Dataset!A915</f>
        <v>911</v>
      </c>
      <c r="B915" s="29">
        <f>IF(Dataset!B915&lt;25,0.3,IF(Dataset!B915&lt;75,0.5,IF(Dataset!B915&lt;120,0.65,0.8)))</f>
        <v>0.3</v>
      </c>
      <c r="C915" s="29">
        <f>IF(Dataset!B915&lt;25,1,IF(Dataset!B915&lt;75,2,IF(Dataset!B915&lt;120,3,4)))</f>
        <v>1</v>
      </c>
      <c r="D915" s="29">
        <f t="shared" si="112"/>
        <v>0.3</v>
      </c>
      <c r="E915" s="29">
        <f>IF(Dataset!C915&lt;=1,0.3,IF(Dataset!C915=2,0.4,IF(Dataset!C915=3,0.5,IF(Dataset!C915=4,0.65,0.8))))</f>
        <v>0.8</v>
      </c>
      <c r="F915" s="29">
        <f>IF(Dataset!C915&lt;=2,1,IF(Dataset!C915=3,2,IF(Dataset!C915=4,3,4)))</f>
        <v>4</v>
      </c>
      <c r="G915" s="29">
        <f t="shared" si="113"/>
        <v>3.2</v>
      </c>
      <c r="H915" s="29">
        <f>IF(Dataset!G915&lt;=3,0.25,IF(Dataset!G915&lt;=6,0.45,IF(Dataset!G915&lt;=9,0.65,0.85)))</f>
        <v>0.45</v>
      </c>
      <c r="I915" s="29">
        <f>IF(Dataset!G915&lt;=3,1,IF(Dataset!G915&lt;=6,2,IF(Dataset!G915&lt;=9,3,4)))</f>
        <v>2</v>
      </c>
      <c r="J915" s="29">
        <f t="shared" si="114"/>
        <v>0.9</v>
      </c>
      <c r="K915" s="29">
        <f>IF(Dataset!H915&lt;1,0.2,IF(Dataset!H915&lt;1.3,0.45,IF(Dataset!H915&lt;1.8,0.7,0.9)))</f>
        <v>0.9</v>
      </c>
      <c r="L915" s="29">
        <f>IF(Dataset!H915&lt;1,1,IF(Dataset!H915&lt;1.3,2,IF(Dataset!H915&lt;1.8,3,4)))</f>
        <v>4</v>
      </c>
      <c r="M915" s="29">
        <f t="shared" si="115"/>
        <v>3.6</v>
      </c>
      <c r="N915" s="29">
        <f>IF(Dataset!F915=1,0.75,IF(Dataset!F915=2,0.45,0.2))</f>
        <v>0.45</v>
      </c>
      <c r="O915" s="29">
        <f>IF(Dataset!F915=1,3,IF(Dataset!F915=2,2,1))</f>
        <v>2</v>
      </c>
      <c r="P915" s="29">
        <f t="shared" si="116"/>
        <v>0.9</v>
      </c>
      <c r="Q915" s="29">
        <f>IF(Dataset!K915&lt;5,0.2,IF(Dataset!K915&lt;10,0.45,IF(Dataset!K915&lt;18,0.7,0.9)))</f>
        <v>0.7</v>
      </c>
      <c r="R915" s="29">
        <f>IF(Dataset!K915&lt;5,1,IF(Dataset!K915&lt;10,2,IF(Dataset!K915&lt;18,3,4)))</f>
        <v>3</v>
      </c>
      <c r="S915" s="29">
        <f t="shared" si="117"/>
        <v>2.0999999999999996</v>
      </c>
      <c r="T915" s="29">
        <f t="shared" si="118"/>
        <v>1.9300000000000004</v>
      </c>
      <c r="U915" s="29" t="str">
        <f t="shared" si="119"/>
        <v>High</v>
      </c>
    </row>
    <row r="916" spans="1:21" ht="15" customHeight="1" x14ac:dyDescent="0.25">
      <c r="A916" s="29">
        <f>Dataset!A916</f>
        <v>912</v>
      </c>
      <c r="B916" s="29">
        <f>IF(Dataset!B916&lt;25,0.3,IF(Dataset!B916&lt;75,0.5,IF(Dataset!B916&lt;120,0.65,0.8)))</f>
        <v>0.3</v>
      </c>
      <c r="C916" s="29">
        <f>IF(Dataset!B916&lt;25,1,IF(Dataset!B916&lt;75,2,IF(Dataset!B916&lt;120,3,4)))</f>
        <v>1</v>
      </c>
      <c r="D916" s="29">
        <f t="shared" si="112"/>
        <v>0.3</v>
      </c>
      <c r="E916" s="29">
        <f>IF(Dataset!C916&lt;=1,0.3,IF(Dataset!C916=2,0.4,IF(Dataset!C916=3,0.5,IF(Dataset!C916=4,0.65,0.8))))</f>
        <v>0.65</v>
      </c>
      <c r="F916" s="29">
        <f>IF(Dataset!C916&lt;=2,1,IF(Dataset!C916=3,2,IF(Dataset!C916=4,3,4)))</f>
        <v>3</v>
      </c>
      <c r="G916" s="29">
        <f t="shared" si="113"/>
        <v>1.9500000000000002</v>
      </c>
      <c r="H916" s="29">
        <f>IF(Dataset!G916&lt;=3,0.25,IF(Dataset!G916&lt;=6,0.45,IF(Dataset!G916&lt;=9,0.65,0.85)))</f>
        <v>0.45</v>
      </c>
      <c r="I916" s="29">
        <f>IF(Dataset!G916&lt;=3,1,IF(Dataset!G916&lt;=6,2,IF(Dataset!G916&lt;=9,3,4)))</f>
        <v>2</v>
      </c>
      <c r="J916" s="29">
        <f t="shared" si="114"/>
        <v>0.9</v>
      </c>
      <c r="K916" s="29">
        <f>IF(Dataset!H916&lt;1,0.2,IF(Dataset!H916&lt;1.3,0.45,IF(Dataset!H916&lt;1.8,0.7,0.9)))</f>
        <v>0.7</v>
      </c>
      <c r="L916" s="29">
        <f>IF(Dataset!H916&lt;1,1,IF(Dataset!H916&lt;1.3,2,IF(Dataset!H916&lt;1.8,3,4)))</f>
        <v>3</v>
      </c>
      <c r="M916" s="29">
        <f t="shared" si="115"/>
        <v>2.0999999999999996</v>
      </c>
      <c r="N916" s="29">
        <f>IF(Dataset!F916=1,0.75,IF(Dataset!F916=2,0.45,0.2))</f>
        <v>0.75</v>
      </c>
      <c r="O916" s="29">
        <f>IF(Dataset!F916=1,3,IF(Dataset!F916=2,2,1))</f>
        <v>3</v>
      </c>
      <c r="P916" s="29">
        <f t="shared" si="116"/>
        <v>2.25</v>
      </c>
      <c r="Q916" s="29">
        <f>IF(Dataset!K916&lt;5,0.2,IF(Dataset!K916&lt;10,0.45,IF(Dataset!K916&lt;18,0.7,0.9)))</f>
        <v>0.45</v>
      </c>
      <c r="R916" s="29">
        <f>IF(Dataset!K916&lt;5,1,IF(Dataset!K916&lt;10,2,IF(Dataset!K916&lt;18,3,4)))</f>
        <v>2</v>
      </c>
      <c r="S916" s="29">
        <f t="shared" si="117"/>
        <v>0.9</v>
      </c>
      <c r="T916" s="29">
        <f t="shared" si="118"/>
        <v>1.3620000000000003</v>
      </c>
      <c r="U916" s="29" t="str">
        <f t="shared" si="119"/>
        <v>Medium</v>
      </c>
    </row>
    <row r="917" spans="1:21" ht="15" customHeight="1" x14ac:dyDescent="0.25">
      <c r="A917" s="29">
        <f>Dataset!A917</f>
        <v>913</v>
      </c>
      <c r="B917" s="29">
        <f>IF(Dataset!B917&lt;25,0.3,IF(Dataset!B917&lt;75,0.5,IF(Dataset!B917&lt;120,0.65,0.8)))</f>
        <v>0.3</v>
      </c>
      <c r="C917" s="29">
        <f>IF(Dataset!B917&lt;25,1,IF(Dataset!B917&lt;75,2,IF(Dataset!B917&lt;120,3,4)))</f>
        <v>1</v>
      </c>
      <c r="D917" s="29">
        <f t="shared" si="112"/>
        <v>0.3</v>
      </c>
      <c r="E917" s="29">
        <f>IF(Dataset!C917&lt;=1,0.3,IF(Dataset!C917=2,0.4,IF(Dataset!C917=3,0.5,IF(Dataset!C917=4,0.65,0.8))))</f>
        <v>0.65</v>
      </c>
      <c r="F917" s="29">
        <f>IF(Dataset!C917&lt;=2,1,IF(Dataset!C917=3,2,IF(Dataset!C917=4,3,4)))</f>
        <v>3</v>
      </c>
      <c r="G917" s="29">
        <f t="shared" si="113"/>
        <v>1.9500000000000002</v>
      </c>
      <c r="H917" s="29">
        <f>IF(Dataset!G917&lt;=3,0.25,IF(Dataset!G917&lt;=6,0.45,IF(Dataset!G917&lt;=9,0.65,0.85)))</f>
        <v>0.65</v>
      </c>
      <c r="I917" s="29">
        <f>IF(Dataset!G917&lt;=3,1,IF(Dataset!G917&lt;=6,2,IF(Dataset!G917&lt;=9,3,4)))</f>
        <v>3</v>
      </c>
      <c r="J917" s="29">
        <f t="shared" si="114"/>
        <v>1.9500000000000002</v>
      </c>
      <c r="K917" s="29">
        <f>IF(Dataset!H917&lt;1,0.2,IF(Dataset!H917&lt;1.3,0.45,IF(Dataset!H917&lt;1.8,0.7,0.9)))</f>
        <v>0.9</v>
      </c>
      <c r="L917" s="29">
        <f>IF(Dataset!H917&lt;1,1,IF(Dataset!H917&lt;1.3,2,IF(Dataset!H917&lt;1.8,3,4)))</f>
        <v>4</v>
      </c>
      <c r="M917" s="29">
        <f t="shared" si="115"/>
        <v>3.6</v>
      </c>
      <c r="N917" s="29">
        <f>IF(Dataset!F917=1,0.75,IF(Dataset!F917=2,0.45,0.2))</f>
        <v>0.45</v>
      </c>
      <c r="O917" s="29">
        <f>IF(Dataset!F917=1,3,IF(Dataset!F917=2,2,1))</f>
        <v>2</v>
      </c>
      <c r="P917" s="29">
        <f t="shared" si="116"/>
        <v>0.9</v>
      </c>
      <c r="Q917" s="29">
        <f>IF(Dataset!K917&lt;5,0.2,IF(Dataset!K917&lt;10,0.45,IF(Dataset!K917&lt;18,0.7,0.9)))</f>
        <v>0.45</v>
      </c>
      <c r="R917" s="29">
        <f>IF(Dataset!K917&lt;5,1,IF(Dataset!K917&lt;10,2,IF(Dataset!K917&lt;18,3,4)))</f>
        <v>2</v>
      </c>
      <c r="S917" s="29">
        <f t="shared" si="117"/>
        <v>0.9</v>
      </c>
      <c r="T917" s="29">
        <f t="shared" si="118"/>
        <v>1.7970000000000002</v>
      </c>
      <c r="U917" s="29" t="str">
        <f t="shared" si="119"/>
        <v>High</v>
      </c>
    </row>
    <row r="918" spans="1:21" ht="15" customHeight="1" x14ac:dyDescent="0.25">
      <c r="A918" s="29">
        <f>Dataset!A918</f>
        <v>914</v>
      </c>
      <c r="B918" s="29">
        <f>IF(Dataset!B918&lt;25,0.3,IF(Dataset!B918&lt;75,0.5,IF(Dataset!B918&lt;120,0.65,0.8)))</f>
        <v>0.65</v>
      </c>
      <c r="C918" s="29">
        <f>IF(Dataset!B918&lt;25,1,IF(Dataset!B918&lt;75,2,IF(Dataset!B918&lt;120,3,4)))</f>
        <v>3</v>
      </c>
      <c r="D918" s="29">
        <f t="shared" si="112"/>
        <v>1.9500000000000002</v>
      </c>
      <c r="E918" s="29">
        <f>IF(Dataset!C918&lt;=1,0.3,IF(Dataset!C918=2,0.4,IF(Dataset!C918=3,0.5,IF(Dataset!C918=4,0.65,0.8))))</f>
        <v>0.5</v>
      </c>
      <c r="F918" s="29">
        <f>IF(Dataset!C918&lt;=2,1,IF(Dataset!C918=3,2,IF(Dataset!C918=4,3,4)))</f>
        <v>2</v>
      </c>
      <c r="G918" s="29">
        <f t="shared" si="113"/>
        <v>1</v>
      </c>
      <c r="H918" s="29">
        <f>IF(Dataset!G918&lt;=3,0.25,IF(Dataset!G918&lt;=6,0.45,IF(Dataset!G918&lt;=9,0.65,0.85)))</f>
        <v>0.65</v>
      </c>
      <c r="I918" s="29">
        <f>IF(Dataset!G918&lt;=3,1,IF(Dataset!G918&lt;=6,2,IF(Dataset!G918&lt;=9,3,4)))</f>
        <v>3</v>
      </c>
      <c r="J918" s="29">
        <f t="shared" si="114"/>
        <v>1.9500000000000002</v>
      </c>
      <c r="K918" s="29">
        <f>IF(Dataset!H918&lt;1,0.2,IF(Dataset!H918&lt;1.3,0.45,IF(Dataset!H918&lt;1.8,0.7,0.9)))</f>
        <v>0.9</v>
      </c>
      <c r="L918" s="29">
        <f>IF(Dataset!H918&lt;1,1,IF(Dataset!H918&lt;1.3,2,IF(Dataset!H918&lt;1.8,3,4)))</f>
        <v>4</v>
      </c>
      <c r="M918" s="29">
        <f t="shared" si="115"/>
        <v>3.6</v>
      </c>
      <c r="N918" s="29">
        <f>IF(Dataset!F918=1,0.75,IF(Dataset!F918=2,0.45,0.2))</f>
        <v>0.45</v>
      </c>
      <c r="O918" s="29">
        <f>IF(Dataset!F918=1,3,IF(Dataset!F918=2,2,1))</f>
        <v>2</v>
      </c>
      <c r="P918" s="29">
        <f t="shared" si="116"/>
        <v>0.9</v>
      </c>
      <c r="Q918" s="29">
        <f>IF(Dataset!K918&lt;5,0.2,IF(Dataset!K918&lt;10,0.45,IF(Dataset!K918&lt;18,0.7,0.9)))</f>
        <v>0.45</v>
      </c>
      <c r="R918" s="29">
        <f>IF(Dataset!K918&lt;5,1,IF(Dataset!K918&lt;10,2,IF(Dataset!K918&lt;18,3,4)))</f>
        <v>2</v>
      </c>
      <c r="S918" s="29">
        <f t="shared" si="117"/>
        <v>0.9</v>
      </c>
      <c r="T918" s="29">
        <f t="shared" si="118"/>
        <v>1.9610000000000003</v>
      </c>
      <c r="U918" s="29" t="str">
        <f t="shared" si="119"/>
        <v>High</v>
      </c>
    </row>
    <row r="919" spans="1:21" ht="15" customHeight="1" x14ac:dyDescent="0.25">
      <c r="A919" s="29">
        <f>Dataset!A919</f>
        <v>915</v>
      </c>
      <c r="B919" s="29">
        <f>IF(Dataset!B919&lt;25,0.3,IF(Dataset!B919&lt;75,0.5,IF(Dataset!B919&lt;120,0.65,0.8)))</f>
        <v>0.5</v>
      </c>
      <c r="C919" s="29">
        <f>IF(Dataset!B919&lt;25,1,IF(Dataset!B919&lt;75,2,IF(Dataset!B919&lt;120,3,4)))</f>
        <v>2</v>
      </c>
      <c r="D919" s="29">
        <f t="shared" si="112"/>
        <v>1</v>
      </c>
      <c r="E919" s="29">
        <f>IF(Dataset!C919&lt;=1,0.3,IF(Dataset!C919=2,0.4,IF(Dataset!C919=3,0.5,IF(Dataset!C919=4,0.65,0.8))))</f>
        <v>0.8</v>
      </c>
      <c r="F919" s="29">
        <f>IF(Dataset!C919&lt;=2,1,IF(Dataset!C919=3,2,IF(Dataset!C919=4,3,4)))</f>
        <v>4</v>
      </c>
      <c r="G919" s="29">
        <f t="shared" si="113"/>
        <v>3.2</v>
      </c>
      <c r="H919" s="29">
        <f>IF(Dataset!G919&lt;=3,0.25,IF(Dataset!G919&lt;=6,0.45,IF(Dataset!G919&lt;=9,0.65,0.85)))</f>
        <v>0.85</v>
      </c>
      <c r="I919" s="29">
        <f>IF(Dataset!G919&lt;=3,1,IF(Dataset!G919&lt;=6,2,IF(Dataset!G919&lt;=9,3,4)))</f>
        <v>4</v>
      </c>
      <c r="J919" s="29">
        <f t="shared" si="114"/>
        <v>3.4</v>
      </c>
      <c r="K919" s="29">
        <f>IF(Dataset!H919&lt;1,0.2,IF(Dataset!H919&lt;1.3,0.45,IF(Dataset!H919&lt;1.8,0.7,0.9)))</f>
        <v>0.45</v>
      </c>
      <c r="L919" s="29">
        <f>IF(Dataset!H919&lt;1,1,IF(Dataset!H919&lt;1.3,2,IF(Dataset!H919&lt;1.8,3,4)))</f>
        <v>2</v>
      </c>
      <c r="M919" s="29">
        <f t="shared" si="115"/>
        <v>0.9</v>
      </c>
      <c r="N919" s="29">
        <f>IF(Dataset!F919=1,0.75,IF(Dataset!F919=2,0.45,0.2))</f>
        <v>0.75</v>
      </c>
      <c r="O919" s="29">
        <f>IF(Dataset!F919=1,3,IF(Dataset!F919=2,2,1))</f>
        <v>3</v>
      </c>
      <c r="P919" s="29">
        <f t="shared" si="116"/>
        <v>2.25</v>
      </c>
      <c r="Q919" s="29">
        <f>IF(Dataset!K919&lt;5,0.2,IF(Dataset!K919&lt;10,0.45,IF(Dataset!K919&lt;18,0.7,0.9)))</f>
        <v>0.9</v>
      </c>
      <c r="R919" s="29">
        <f>IF(Dataset!K919&lt;5,1,IF(Dataset!K919&lt;10,2,IF(Dataset!K919&lt;18,3,4)))</f>
        <v>4</v>
      </c>
      <c r="S919" s="29">
        <f t="shared" si="117"/>
        <v>3.6</v>
      </c>
      <c r="T919" s="29">
        <f t="shared" si="118"/>
        <v>2.2530000000000006</v>
      </c>
      <c r="U919" s="29" t="str">
        <f t="shared" si="119"/>
        <v>High</v>
      </c>
    </row>
    <row r="920" spans="1:21" ht="15" customHeight="1" x14ac:dyDescent="0.25">
      <c r="A920" s="29">
        <f>Dataset!A920</f>
        <v>916</v>
      </c>
      <c r="B920" s="29">
        <f>IF(Dataset!B920&lt;25,0.3,IF(Dataset!B920&lt;75,0.5,IF(Dataset!B920&lt;120,0.65,0.8)))</f>
        <v>0.65</v>
      </c>
      <c r="C920" s="29">
        <f>IF(Dataset!B920&lt;25,1,IF(Dataset!B920&lt;75,2,IF(Dataset!B920&lt;120,3,4)))</f>
        <v>3</v>
      </c>
      <c r="D920" s="29">
        <f t="shared" si="112"/>
        <v>1.9500000000000002</v>
      </c>
      <c r="E920" s="29">
        <f>IF(Dataset!C920&lt;=1,0.3,IF(Dataset!C920=2,0.4,IF(Dataset!C920=3,0.5,IF(Dataset!C920=4,0.65,0.8))))</f>
        <v>0.5</v>
      </c>
      <c r="F920" s="29">
        <f>IF(Dataset!C920&lt;=2,1,IF(Dataset!C920=3,2,IF(Dataset!C920=4,3,4)))</f>
        <v>2</v>
      </c>
      <c r="G920" s="29">
        <f t="shared" si="113"/>
        <v>1</v>
      </c>
      <c r="H920" s="29">
        <f>IF(Dataset!G920&lt;=3,0.25,IF(Dataset!G920&lt;=6,0.45,IF(Dataset!G920&lt;=9,0.65,0.85)))</f>
        <v>0.85</v>
      </c>
      <c r="I920" s="29">
        <f>IF(Dataset!G920&lt;=3,1,IF(Dataset!G920&lt;=6,2,IF(Dataset!G920&lt;=9,3,4)))</f>
        <v>4</v>
      </c>
      <c r="J920" s="29">
        <f t="shared" si="114"/>
        <v>3.4</v>
      </c>
      <c r="K920" s="29">
        <f>IF(Dataset!H920&lt;1,0.2,IF(Dataset!H920&lt;1.3,0.45,IF(Dataset!H920&lt;1.8,0.7,0.9)))</f>
        <v>0.7</v>
      </c>
      <c r="L920" s="29">
        <f>IF(Dataset!H920&lt;1,1,IF(Dataset!H920&lt;1.3,2,IF(Dataset!H920&lt;1.8,3,4)))</f>
        <v>3</v>
      </c>
      <c r="M920" s="29">
        <f t="shared" si="115"/>
        <v>2.0999999999999996</v>
      </c>
      <c r="N920" s="29">
        <f>IF(Dataset!F920=1,0.75,IF(Dataset!F920=2,0.45,0.2))</f>
        <v>0.2</v>
      </c>
      <c r="O920" s="29">
        <f>IF(Dataset!F920=1,3,IF(Dataset!F920=2,2,1))</f>
        <v>1</v>
      </c>
      <c r="P920" s="29">
        <f t="shared" si="116"/>
        <v>0.2</v>
      </c>
      <c r="Q920" s="29">
        <f>IF(Dataset!K920&lt;5,0.2,IF(Dataset!K920&lt;10,0.45,IF(Dataset!K920&lt;18,0.7,0.9)))</f>
        <v>0.45</v>
      </c>
      <c r="R920" s="29">
        <f>IF(Dataset!K920&lt;5,1,IF(Dataset!K920&lt;10,2,IF(Dataset!K920&lt;18,3,4)))</f>
        <v>2</v>
      </c>
      <c r="S920" s="29">
        <f t="shared" si="117"/>
        <v>0.9</v>
      </c>
      <c r="T920" s="29">
        <f t="shared" si="118"/>
        <v>1.821</v>
      </c>
      <c r="U920" s="29" t="str">
        <f t="shared" si="119"/>
        <v>High</v>
      </c>
    </row>
    <row r="921" spans="1:21" ht="15" customHeight="1" x14ac:dyDescent="0.25">
      <c r="A921" s="29">
        <f>Dataset!A921</f>
        <v>917</v>
      </c>
      <c r="B921" s="29">
        <f>IF(Dataset!B921&lt;25,0.3,IF(Dataset!B921&lt;75,0.5,IF(Dataset!B921&lt;120,0.65,0.8)))</f>
        <v>0.5</v>
      </c>
      <c r="C921" s="29">
        <f>IF(Dataset!B921&lt;25,1,IF(Dataset!B921&lt;75,2,IF(Dataset!B921&lt;120,3,4)))</f>
        <v>2</v>
      </c>
      <c r="D921" s="29">
        <f t="shared" si="112"/>
        <v>1</v>
      </c>
      <c r="E921" s="29">
        <f>IF(Dataset!C921&lt;=1,0.3,IF(Dataset!C921=2,0.4,IF(Dataset!C921=3,0.5,IF(Dataset!C921=4,0.65,0.8))))</f>
        <v>0.5</v>
      </c>
      <c r="F921" s="29">
        <f>IF(Dataset!C921&lt;=2,1,IF(Dataset!C921=3,2,IF(Dataset!C921=4,3,4)))</f>
        <v>2</v>
      </c>
      <c r="G921" s="29">
        <f t="shared" si="113"/>
        <v>1</v>
      </c>
      <c r="H921" s="29">
        <f>IF(Dataset!G921&lt;=3,0.25,IF(Dataset!G921&lt;=6,0.45,IF(Dataset!G921&lt;=9,0.65,0.85)))</f>
        <v>0.45</v>
      </c>
      <c r="I921" s="29">
        <f>IF(Dataset!G921&lt;=3,1,IF(Dataset!G921&lt;=6,2,IF(Dataset!G921&lt;=9,3,4)))</f>
        <v>2</v>
      </c>
      <c r="J921" s="29">
        <f t="shared" si="114"/>
        <v>0.9</v>
      </c>
      <c r="K921" s="29">
        <f>IF(Dataset!H921&lt;1,0.2,IF(Dataset!H921&lt;1.3,0.45,IF(Dataset!H921&lt;1.8,0.7,0.9)))</f>
        <v>0.9</v>
      </c>
      <c r="L921" s="29">
        <f>IF(Dataset!H921&lt;1,1,IF(Dataset!H921&lt;1.3,2,IF(Dataset!H921&lt;1.8,3,4)))</f>
        <v>4</v>
      </c>
      <c r="M921" s="29">
        <f t="shared" si="115"/>
        <v>3.6</v>
      </c>
      <c r="N921" s="29">
        <f>IF(Dataset!F921=1,0.75,IF(Dataset!F921=2,0.45,0.2))</f>
        <v>0.75</v>
      </c>
      <c r="O921" s="29">
        <f>IF(Dataset!F921=1,3,IF(Dataset!F921=2,2,1))</f>
        <v>3</v>
      </c>
      <c r="P921" s="29">
        <f t="shared" si="116"/>
        <v>2.25</v>
      </c>
      <c r="Q921" s="29">
        <f>IF(Dataset!K921&lt;5,0.2,IF(Dataset!K921&lt;10,0.45,IF(Dataset!K921&lt;18,0.7,0.9)))</f>
        <v>0.45</v>
      </c>
      <c r="R921" s="29">
        <f>IF(Dataset!K921&lt;5,1,IF(Dataset!K921&lt;10,2,IF(Dataset!K921&lt;18,3,4)))</f>
        <v>2</v>
      </c>
      <c r="S921" s="29">
        <f t="shared" si="117"/>
        <v>0.9</v>
      </c>
      <c r="T921" s="29">
        <f t="shared" si="118"/>
        <v>1.7150000000000001</v>
      </c>
      <c r="U921" s="29" t="str">
        <f t="shared" si="119"/>
        <v>Medium</v>
      </c>
    </row>
    <row r="922" spans="1:21" ht="15" customHeight="1" x14ac:dyDescent="0.25">
      <c r="A922" s="29">
        <f>Dataset!A922</f>
        <v>918</v>
      </c>
      <c r="B922" s="29">
        <f>IF(Dataset!B922&lt;25,0.3,IF(Dataset!B922&lt;75,0.5,IF(Dataset!B922&lt;120,0.65,0.8)))</f>
        <v>0.8</v>
      </c>
      <c r="C922" s="29">
        <f>IF(Dataset!B922&lt;25,1,IF(Dataset!B922&lt;75,2,IF(Dataset!B922&lt;120,3,4)))</f>
        <v>4</v>
      </c>
      <c r="D922" s="29">
        <f t="shared" si="112"/>
        <v>3.2</v>
      </c>
      <c r="E922" s="29">
        <f>IF(Dataset!C922&lt;=1,0.3,IF(Dataset!C922=2,0.4,IF(Dataset!C922=3,0.5,IF(Dataset!C922=4,0.65,0.8))))</f>
        <v>0.65</v>
      </c>
      <c r="F922" s="29">
        <f>IF(Dataset!C922&lt;=2,1,IF(Dataset!C922=3,2,IF(Dataset!C922=4,3,4)))</f>
        <v>3</v>
      </c>
      <c r="G922" s="29">
        <f t="shared" si="113"/>
        <v>1.9500000000000002</v>
      </c>
      <c r="H922" s="29">
        <f>IF(Dataset!G922&lt;=3,0.25,IF(Dataset!G922&lt;=6,0.45,IF(Dataset!G922&lt;=9,0.65,0.85)))</f>
        <v>0.45</v>
      </c>
      <c r="I922" s="29">
        <f>IF(Dataset!G922&lt;=3,1,IF(Dataset!G922&lt;=6,2,IF(Dataset!G922&lt;=9,3,4)))</f>
        <v>2</v>
      </c>
      <c r="J922" s="29">
        <f t="shared" si="114"/>
        <v>0.9</v>
      </c>
      <c r="K922" s="29">
        <f>IF(Dataset!H922&lt;1,0.2,IF(Dataset!H922&lt;1.3,0.45,IF(Dataset!H922&lt;1.8,0.7,0.9)))</f>
        <v>0.9</v>
      </c>
      <c r="L922" s="29">
        <f>IF(Dataset!H922&lt;1,1,IF(Dataset!H922&lt;1.3,2,IF(Dataset!H922&lt;1.8,3,4)))</f>
        <v>4</v>
      </c>
      <c r="M922" s="29">
        <f t="shared" si="115"/>
        <v>3.6</v>
      </c>
      <c r="N922" s="29">
        <f>IF(Dataset!F922=1,0.75,IF(Dataset!F922=2,0.45,0.2))</f>
        <v>0.45</v>
      </c>
      <c r="O922" s="29">
        <f>IF(Dataset!F922=1,3,IF(Dataset!F922=2,2,1))</f>
        <v>2</v>
      </c>
      <c r="P922" s="29">
        <f t="shared" si="116"/>
        <v>0.9</v>
      </c>
      <c r="Q922" s="29">
        <f>IF(Dataset!K922&lt;5,0.2,IF(Dataset!K922&lt;10,0.45,IF(Dataset!K922&lt;18,0.7,0.9)))</f>
        <v>0.45</v>
      </c>
      <c r="R922" s="29">
        <f>IF(Dataset!K922&lt;5,1,IF(Dataset!K922&lt;10,2,IF(Dataset!K922&lt;18,3,4)))</f>
        <v>2</v>
      </c>
      <c r="S922" s="29">
        <f t="shared" si="117"/>
        <v>0.9</v>
      </c>
      <c r="T922" s="29">
        <f t="shared" si="118"/>
        <v>2.109</v>
      </c>
      <c r="U922" s="29" t="str">
        <f t="shared" si="119"/>
        <v>High</v>
      </c>
    </row>
    <row r="923" spans="1:21" ht="15" customHeight="1" x14ac:dyDescent="0.25">
      <c r="A923" s="29">
        <f>Dataset!A923</f>
        <v>919</v>
      </c>
      <c r="B923" s="29">
        <f>IF(Dataset!B923&lt;25,0.3,IF(Dataset!B923&lt;75,0.5,IF(Dataset!B923&lt;120,0.65,0.8)))</f>
        <v>0.3</v>
      </c>
      <c r="C923" s="29">
        <f>IF(Dataset!B923&lt;25,1,IF(Dataset!B923&lt;75,2,IF(Dataset!B923&lt;120,3,4)))</f>
        <v>1</v>
      </c>
      <c r="D923" s="29">
        <f t="shared" si="112"/>
        <v>0.3</v>
      </c>
      <c r="E923" s="29">
        <f>IF(Dataset!C923&lt;=1,0.3,IF(Dataset!C923=2,0.4,IF(Dataset!C923=3,0.5,IF(Dataset!C923=4,0.65,0.8))))</f>
        <v>0.5</v>
      </c>
      <c r="F923" s="29">
        <f>IF(Dataset!C923&lt;=2,1,IF(Dataset!C923=3,2,IF(Dataset!C923=4,3,4)))</f>
        <v>2</v>
      </c>
      <c r="G923" s="29">
        <f t="shared" si="113"/>
        <v>1</v>
      </c>
      <c r="H923" s="29">
        <f>IF(Dataset!G923&lt;=3,0.25,IF(Dataset!G923&lt;=6,0.45,IF(Dataset!G923&lt;=9,0.65,0.85)))</f>
        <v>0.45</v>
      </c>
      <c r="I923" s="29">
        <f>IF(Dataset!G923&lt;=3,1,IF(Dataset!G923&lt;=6,2,IF(Dataset!G923&lt;=9,3,4)))</f>
        <v>2</v>
      </c>
      <c r="J923" s="29">
        <f t="shared" si="114"/>
        <v>0.9</v>
      </c>
      <c r="K923" s="29">
        <f>IF(Dataset!H923&lt;1,0.2,IF(Dataset!H923&lt;1.3,0.45,IF(Dataset!H923&lt;1.8,0.7,0.9)))</f>
        <v>0.9</v>
      </c>
      <c r="L923" s="29">
        <f>IF(Dataset!H923&lt;1,1,IF(Dataset!H923&lt;1.3,2,IF(Dataset!H923&lt;1.8,3,4)))</f>
        <v>4</v>
      </c>
      <c r="M923" s="29">
        <f t="shared" si="115"/>
        <v>3.6</v>
      </c>
      <c r="N923" s="29">
        <f>IF(Dataset!F923=1,0.75,IF(Dataset!F923=2,0.45,0.2))</f>
        <v>0.75</v>
      </c>
      <c r="O923" s="29">
        <f>IF(Dataset!F923=1,3,IF(Dataset!F923=2,2,1))</f>
        <v>3</v>
      </c>
      <c r="P923" s="29">
        <f t="shared" si="116"/>
        <v>2.25</v>
      </c>
      <c r="Q923" s="29">
        <f>IF(Dataset!K923&lt;5,0.2,IF(Dataset!K923&lt;10,0.45,IF(Dataset!K923&lt;18,0.7,0.9)))</f>
        <v>0.45</v>
      </c>
      <c r="R923" s="29">
        <f>IF(Dataset!K923&lt;5,1,IF(Dataset!K923&lt;10,2,IF(Dataset!K923&lt;18,3,4)))</f>
        <v>2</v>
      </c>
      <c r="S923" s="29">
        <f t="shared" si="117"/>
        <v>0.9</v>
      </c>
      <c r="T923" s="29">
        <f t="shared" si="118"/>
        <v>1.5890000000000002</v>
      </c>
      <c r="U923" s="29" t="str">
        <f t="shared" si="119"/>
        <v>Medium</v>
      </c>
    </row>
    <row r="924" spans="1:21" ht="15" customHeight="1" x14ac:dyDescent="0.25">
      <c r="A924" s="29">
        <f>Dataset!A924</f>
        <v>920</v>
      </c>
      <c r="B924" s="29">
        <f>IF(Dataset!B924&lt;25,0.3,IF(Dataset!B924&lt;75,0.5,IF(Dataset!B924&lt;120,0.65,0.8)))</f>
        <v>0.3</v>
      </c>
      <c r="C924" s="29">
        <f>IF(Dataset!B924&lt;25,1,IF(Dataset!B924&lt;75,2,IF(Dataset!B924&lt;120,3,4)))</f>
        <v>1</v>
      </c>
      <c r="D924" s="29">
        <f t="shared" si="112"/>
        <v>0.3</v>
      </c>
      <c r="E924" s="29">
        <f>IF(Dataset!C924&lt;=1,0.3,IF(Dataset!C924=2,0.4,IF(Dataset!C924=3,0.5,IF(Dataset!C924=4,0.65,0.8))))</f>
        <v>0.4</v>
      </c>
      <c r="F924" s="29">
        <f>IF(Dataset!C924&lt;=2,1,IF(Dataset!C924=3,2,IF(Dataset!C924=4,3,4)))</f>
        <v>1</v>
      </c>
      <c r="G924" s="29">
        <f t="shared" si="113"/>
        <v>0.4</v>
      </c>
      <c r="H924" s="29">
        <f>IF(Dataset!G924&lt;=3,0.25,IF(Dataset!G924&lt;=6,0.45,IF(Dataset!G924&lt;=9,0.65,0.85)))</f>
        <v>0.45</v>
      </c>
      <c r="I924" s="29">
        <f>IF(Dataset!G924&lt;=3,1,IF(Dataset!G924&lt;=6,2,IF(Dataset!G924&lt;=9,3,4)))</f>
        <v>2</v>
      </c>
      <c r="J924" s="29">
        <f t="shared" si="114"/>
        <v>0.9</v>
      </c>
      <c r="K924" s="29">
        <f>IF(Dataset!H924&lt;1,0.2,IF(Dataset!H924&lt;1.3,0.45,IF(Dataset!H924&lt;1.8,0.7,0.9)))</f>
        <v>0.7</v>
      </c>
      <c r="L924" s="29">
        <f>IF(Dataset!H924&lt;1,1,IF(Dataset!H924&lt;1.3,2,IF(Dataset!H924&lt;1.8,3,4)))</f>
        <v>3</v>
      </c>
      <c r="M924" s="29">
        <f t="shared" si="115"/>
        <v>2.0999999999999996</v>
      </c>
      <c r="N924" s="29">
        <f>IF(Dataset!F924=1,0.75,IF(Dataset!F924=2,0.45,0.2))</f>
        <v>0.2</v>
      </c>
      <c r="O924" s="29">
        <f>IF(Dataset!F924=1,3,IF(Dataset!F924=2,2,1))</f>
        <v>1</v>
      </c>
      <c r="P924" s="29">
        <f t="shared" si="116"/>
        <v>0.2</v>
      </c>
      <c r="Q924" s="29">
        <f>IF(Dataset!K924&lt;5,0.2,IF(Dataset!K924&lt;10,0.45,IF(Dataset!K924&lt;18,0.7,0.9)))</f>
        <v>0.2</v>
      </c>
      <c r="R924" s="29">
        <f>IF(Dataset!K924&lt;5,1,IF(Dataset!K924&lt;10,2,IF(Dataset!K924&lt;18,3,4)))</f>
        <v>1</v>
      </c>
      <c r="S924" s="29">
        <f t="shared" si="117"/>
        <v>0.2</v>
      </c>
      <c r="T924" s="29">
        <f t="shared" si="118"/>
        <v>0.84199999999999997</v>
      </c>
      <c r="U924" s="29" t="str">
        <f t="shared" si="119"/>
        <v>Low</v>
      </c>
    </row>
    <row r="925" spans="1:21" ht="15" customHeight="1" x14ac:dyDescent="0.25">
      <c r="A925" s="29">
        <f>Dataset!A925</f>
        <v>921</v>
      </c>
      <c r="B925" s="29">
        <f>IF(Dataset!B925&lt;25,0.3,IF(Dataset!B925&lt;75,0.5,IF(Dataset!B925&lt;120,0.65,0.8)))</f>
        <v>0.8</v>
      </c>
      <c r="C925" s="29">
        <f>IF(Dataset!B925&lt;25,1,IF(Dataset!B925&lt;75,2,IF(Dataset!B925&lt;120,3,4)))</f>
        <v>4</v>
      </c>
      <c r="D925" s="29">
        <f t="shared" si="112"/>
        <v>3.2</v>
      </c>
      <c r="E925" s="29">
        <f>IF(Dataset!C925&lt;=1,0.3,IF(Dataset!C925=2,0.4,IF(Dataset!C925=3,0.5,IF(Dataset!C925=4,0.65,0.8))))</f>
        <v>0.5</v>
      </c>
      <c r="F925" s="29">
        <f>IF(Dataset!C925&lt;=2,1,IF(Dataset!C925=3,2,IF(Dataset!C925=4,3,4)))</f>
        <v>2</v>
      </c>
      <c r="G925" s="29">
        <f t="shared" si="113"/>
        <v>1</v>
      </c>
      <c r="H925" s="29">
        <f>IF(Dataset!G925&lt;=3,0.25,IF(Dataset!G925&lt;=6,0.45,IF(Dataset!G925&lt;=9,0.65,0.85)))</f>
        <v>0.45</v>
      </c>
      <c r="I925" s="29">
        <f>IF(Dataset!G925&lt;=3,1,IF(Dataset!G925&lt;=6,2,IF(Dataset!G925&lt;=9,3,4)))</f>
        <v>2</v>
      </c>
      <c r="J925" s="29">
        <f t="shared" si="114"/>
        <v>0.9</v>
      </c>
      <c r="K925" s="29">
        <f>IF(Dataset!H925&lt;1,0.2,IF(Dataset!H925&lt;1.3,0.45,IF(Dataset!H925&lt;1.8,0.7,0.9)))</f>
        <v>0.9</v>
      </c>
      <c r="L925" s="29">
        <f>IF(Dataset!H925&lt;1,1,IF(Dataset!H925&lt;1.3,2,IF(Dataset!H925&lt;1.8,3,4)))</f>
        <v>4</v>
      </c>
      <c r="M925" s="29">
        <f t="shared" si="115"/>
        <v>3.6</v>
      </c>
      <c r="N925" s="29">
        <f>IF(Dataset!F925=1,0.75,IF(Dataset!F925=2,0.45,0.2))</f>
        <v>0.45</v>
      </c>
      <c r="O925" s="29">
        <f>IF(Dataset!F925=1,3,IF(Dataset!F925=2,2,1))</f>
        <v>2</v>
      </c>
      <c r="P925" s="29">
        <f t="shared" si="116"/>
        <v>0.9</v>
      </c>
      <c r="Q925" s="29">
        <f>IF(Dataset!K925&lt;5,0.2,IF(Dataset!K925&lt;10,0.45,IF(Dataset!K925&lt;18,0.7,0.9)))</f>
        <v>0.45</v>
      </c>
      <c r="R925" s="29">
        <f>IF(Dataset!K925&lt;5,1,IF(Dataset!K925&lt;10,2,IF(Dataset!K925&lt;18,3,4)))</f>
        <v>2</v>
      </c>
      <c r="S925" s="29">
        <f t="shared" si="117"/>
        <v>0.9</v>
      </c>
      <c r="T925" s="29">
        <f t="shared" si="118"/>
        <v>1.9760000000000002</v>
      </c>
      <c r="U925" s="29" t="str">
        <f t="shared" si="119"/>
        <v>High</v>
      </c>
    </row>
    <row r="926" spans="1:21" ht="15" customHeight="1" x14ac:dyDescent="0.25">
      <c r="A926" s="29">
        <f>Dataset!A926</f>
        <v>922</v>
      </c>
      <c r="B926" s="29">
        <f>IF(Dataset!B926&lt;25,0.3,IF(Dataset!B926&lt;75,0.5,IF(Dataset!B926&lt;120,0.65,0.8)))</f>
        <v>0.5</v>
      </c>
      <c r="C926" s="29">
        <f>IF(Dataset!B926&lt;25,1,IF(Dataset!B926&lt;75,2,IF(Dataset!B926&lt;120,3,4)))</f>
        <v>2</v>
      </c>
      <c r="D926" s="29">
        <f t="shared" si="112"/>
        <v>1</v>
      </c>
      <c r="E926" s="29">
        <f>IF(Dataset!C926&lt;=1,0.3,IF(Dataset!C926=2,0.4,IF(Dataset!C926=3,0.5,IF(Dataset!C926=4,0.65,0.8))))</f>
        <v>0.5</v>
      </c>
      <c r="F926" s="29">
        <f>IF(Dataset!C926&lt;=2,1,IF(Dataset!C926=3,2,IF(Dataset!C926=4,3,4)))</f>
        <v>2</v>
      </c>
      <c r="G926" s="29">
        <f t="shared" si="113"/>
        <v>1</v>
      </c>
      <c r="H926" s="29">
        <f>IF(Dataset!G926&lt;=3,0.25,IF(Dataset!G926&lt;=6,0.45,IF(Dataset!G926&lt;=9,0.65,0.85)))</f>
        <v>0.45</v>
      </c>
      <c r="I926" s="29">
        <f>IF(Dataset!G926&lt;=3,1,IF(Dataset!G926&lt;=6,2,IF(Dataset!G926&lt;=9,3,4)))</f>
        <v>2</v>
      </c>
      <c r="J926" s="29">
        <f t="shared" si="114"/>
        <v>0.9</v>
      </c>
      <c r="K926" s="29">
        <f>IF(Dataset!H926&lt;1,0.2,IF(Dataset!H926&lt;1.3,0.45,IF(Dataset!H926&lt;1.8,0.7,0.9)))</f>
        <v>0.45</v>
      </c>
      <c r="L926" s="29">
        <f>IF(Dataset!H926&lt;1,1,IF(Dataset!H926&lt;1.3,2,IF(Dataset!H926&lt;1.8,3,4)))</f>
        <v>2</v>
      </c>
      <c r="M926" s="29">
        <f t="shared" si="115"/>
        <v>0.9</v>
      </c>
      <c r="N926" s="29">
        <f>IF(Dataset!F926=1,0.75,IF(Dataset!F926=2,0.45,0.2))</f>
        <v>0.45</v>
      </c>
      <c r="O926" s="29">
        <f>IF(Dataset!F926=1,3,IF(Dataset!F926=2,2,1))</f>
        <v>2</v>
      </c>
      <c r="P926" s="29">
        <f t="shared" si="116"/>
        <v>0.9</v>
      </c>
      <c r="Q926" s="29">
        <f>IF(Dataset!K926&lt;5,0.2,IF(Dataset!K926&lt;10,0.45,IF(Dataset!K926&lt;18,0.7,0.9)))</f>
        <v>0.45</v>
      </c>
      <c r="R926" s="29">
        <f>IF(Dataset!K926&lt;5,1,IF(Dataset!K926&lt;10,2,IF(Dataset!K926&lt;18,3,4)))</f>
        <v>2</v>
      </c>
      <c r="S926" s="29">
        <f t="shared" si="117"/>
        <v>0.9</v>
      </c>
      <c r="T926" s="29">
        <f t="shared" si="118"/>
        <v>0.93199999999999994</v>
      </c>
      <c r="U926" s="29" t="str">
        <f t="shared" si="119"/>
        <v>Low</v>
      </c>
    </row>
    <row r="927" spans="1:21" ht="15" customHeight="1" x14ac:dyDescent="0.25">
      <c r="A927" s="29">
        <f>Dataset!A927</f>
        <v>923</v>
      </c>
      <c r="B927" s="29">
        <f>IF(Dataset!B927&lt;25,0.3,IF(Dataset!B927&lt;75,0.5,IF(Dataset!B927&lt;120,0.65,0.8)))</f>
        <v>0.65</v>
      </c>
      <c r="C927" s="29">
        <f>IF(Dataset!B927&lt;25,1,IF(Dataset!B927&lt;75,2,IF(Dataset!B927&lt;120,3,4)))</f>
        <v>3</v>
      </c>
      <c r="D927" s="29">
        <f t="shared" si="112"/>
        <v>1.9500000000000002</v>
      </c>
      <c r="E927" s="29">
        <f>IF(Dataset!C927&lt;=1,0.3,IF(Dataset!C927=2,0.4,IF(Dataset!C927=3,0.5,IF(Dataset!C927=4,0.65,0.8))))</f>
        <v>0.65</v>
      </c>
      <c r="F927" s="29">
        <f>IF(Dataset!C927&lt;=2,1,IF(Dataset!C927=3,2,IF(Dataset!C927=4,3,4)))</f>
        <v>3</v>
      </c>
      <c r="G927" s="29">
        <f t="shared" si="113"/>
        <v>1.9500000000000002</v>
      </c>
      <c r="H927" s="29">
        <f>IF(Dataset!G927&lt;=3,0.25,IF(Dataset!G927&lt;=6,0.45,IF(Dataset!G927&lt;=9,0.65,0.85)))</f>
        <v>0.25</v>
      </c>
      <c r="I927" s="29">
        <f>IF(Dataset!G927&lt;=3,1,IF(Dataset!G927&lt;=6,2,IF(Dataset!G927&lt;=9,3,4)))</f>
        <v>1</v>
      </c>
      <c r="J927" s="29">
        <f t="shared" si="114"/>
        <v>0.25</v>
      </c>
      <c r="K927" s="29">
        <f>IF(Dataset!H927&lt;1,0.2,IF(Dataset!H927&lt;1.3,0.45,IF(Dataset!H927&lt;1.8,0.7,0.9)))</f>
        <v>0.7</v>
      </c>
      <c r="L927" s="29">
        <f>IF(Dataset!H927&lt;1,1,IF(Dataset!H927&lt;1.3,2,IF(Dataset!H927&lt;1.8,3,4)))</f>
        <v>3</v>
      </c>
      <c r="M927" s="29">
        <f t="shared" si="115"/>
        <v>2.0999999999999996</v>
      </c>
      <c r="N927" s="29">
        <f>IF(Dataset!F927=1,0.75,IF(Dataset!F927=2,0.45,0.2))</f>
        <v>0.2</v>
      </c>
      <c r="O927" s="29">
        <f>IF(Dataset!F927=1,3,IF(Dataset!F927=2,2,1))</f>
        <v>1</v>
      </c>
      <c r="P927" s="29">
        <f t="shared" si="116"/>
        <v>0.2</v>
      </c>
      <c r="Q927" s="29">
        <f>IF(Dataset!K927&lt;5,0.2,IF(Dataset!K927&lt;10,0.45,IF(Dataset!K927&lt;18,0.7,0.9)))</f>
        <v>0.7</v>
      </c>
      <c r="R927" s="29">
        <f>IF(Dataset!K927&lt;5,1,IF(Dataset!K927&lt;10,2,IF(Dataset!K927&lt;18,3,4)))</f>
        <v>3</v>
      </c>
      <c r="S927" s="29">
        <f t="shared" si="117"/>
        <v>2.0999999999999996</v>
      </c>
      <c r="T927" s="29">
        <f t="shared" si="118"/>
        <v>1.492</v>
      </c>
      <c r="U927" s="29" t="str">
        <f t="shared" si="119"/>
        <v>Medium</v>
      </c>
    </row>
    <row r="928" spans="1:21" ht="15" customHeight="1" x14ac:dyDescent="0.25">
      <c r="A928" s="29">
        <f>Dataset!A928</f>
        <v>924</v>
      </c>
      <c r="B928" s="29">
        <f>IF(Dataset!B928&lt;25,0.3,IF(Dataset!B928&lt;75,0.5,IF(Dataset!B928&lt;120,0.65,0.8)))</f>
        <v>0.5</v>
      </c>
      <c r="C928" s="29">
        <f>IF(Dataset!B928&lt;25,1,IF(Dataset!B928&lt;75,2,IF(Dataset!B928&lt;120,3,4)))</f>
        <v>2</v>
      </c>
      <c r="D928" s="29">
        <f t="shared" si="112"/>
        <v>1</v>
      </c>
      <c r="E928" s="29">
        <f>IF(Dataset!C928&lt;=1,0.3,IF(Dataset!C928=2,0.4,IF(Dataset!C928=3,0.5,IF(Dataset!C928=4,0.65,0.8))))</f>
        <v>0.5</v>
      </c>
      <c r="F928" s="29">
        <f>IF(Dataset!C928&lt;=2,1,IF(Dataset!C928=3,2,IF(Dataset!C928=4,3,4)))</f>
        <v>2</v>
      </c>
      <c r="G928" s="29">
        <f t="shared" si="113"/>
        <v>1</v>
      </c>
      <c r="H928" s="29">
        <f>IF(Dataset!G928&lt;=3,0.25,IF(Dataset!G928&lt;=6,0.45,IF(Dataset!G928&lt;=9,0.65,0.85)))</f>
        <v>0.85</v>
      </c>
      <c r="I928" s="29">
        <f>IF(Dataset!G928&lt;=3,1,IF(Dataset!G928&lt;=6,2,IF(Dataset!G928&lt;=9,3,4)))</f>
        <v>4</v>
      </c>
      <c r="J928" s="29">
        <f t="shared" si="114"/>
        <v>3.4</v>
      </c>
      <c r="K928" s="29">
        <f>IF(Dataset!H928&lt;1,0.2,IF(Dataset!H928&lt;1.3,0.45,IF(Dataset!H928&lt;1.8,0.7,0.9)))</f>
        <v>0.2</v>
      </c>
      <c r="L928" s="29">
        <f>IF(Dataset!H928&lt;1,1,IF(Dataset!H928&lt;1.3,2,IF(Dataset!H928&lt;1.8,3,4)))</f>
        <v>1</v>
      </c>
      <c r="M928" s="29">
        <f t="shared" si="115"/>
        <v>0.2</v>
      </c>
      <c r="N928" s="29">
        <f>IF(Dataset!F928=1,0.75,IF(Dataset!F928=2,0.45,0.2))</f>
        <v>0.45</v>
      </c>
      <c r="O928" s="29">
        <f>IF(Dataset!F928=1,3,IF(Dataset!F928=2,2,1))</f>
        <v>2</v>
      </c>
      <c r="P928" s="29">
        <f t="shared" si="116"/>
        <v>0.9</v>
      </c>
      <c r="Q928" s="29">
        <f>IF(Dataset!K928&lt;5,0.2,IF(Dataset!K928&lt;10,0.45,IF(Dataset!K928&lt;18,0.7,0.9)))</f>
        <v>0.45</v>
      </c>
      <c r="R928" s="29">
        <f>IF(Dataset!K928&lt;5,1,IF(Dataset!K928&lt;10,2,IF(Dataset!K928&lt;18,3,4)))</f>
        <v>2</v>
      </c>
      <c r="S928" s="29">
        <f t="shared" si="117"/>
        <v>0.9</v>
      </c>
      <c r="T928" s="29">
        <f t="shared" si="118"/>
        <v>1.2640000000000002</v>
      </c>
      <c r="U928" s="29" t="str">
        <f t="shared" si="119"/>
        <v>Low</v>
      </c>
    </row>
    <row r="929" spans="1:21" ht="15" customHeight="1" x14ac:dyDescent="0.25">
      <c r="A929" s="29">
        <f>Dataset!A929</f>
        <v>925</v>
      </c>
      <c r="B929" s="29">
        <f>IF(Dataset!B929&lt;25,0.3,IF(Dataset!B929&lt;75,0.5,IF(Dataset!B929&lt;120,0.65,0.8)))</f>
        <v>0.5</v>
      </c>
      <c r="C929" s="29">
        <f>IF(Dataset!B929&lt;25,1,IF(Dataset!B929&lt;75,2,IF(Dataset!B929&lt;120,3,4)))</f>
        <v>2</v>
      </c>
      <c r="D929" s="29">
        <f t="shared" si="112"/>
        <v>1</v>
      </c>
      <c r="E929" s="29">
        <f>IF(Dataset!C929&lt;=1,0.3,IF(Dataset!C929=2,0.4,IF(Dataset!C929=3,0.5,IF(Dataset!C929=4,0.65,0.8))))</f>
        <v>0.65</v>
      </c>
      <c r="F929" s="29">
        <f>IF(Dataset!C929&lt;=2,1,IF(Dataset!C929=3,2,IF(Dataset!C929=4,3,4)))</f>
        <v>3</v>
      </c>
      <c r="G929" s="29">
        <f t="shared" si="113"/>
        <v>1.9500000000000002</v>
      </c>
      <c r="H929" s="29">
        <f>IF(Dataset!G929&lt;=3,0.25,IF(Dataset!G929&lt;=6,0.45,IF(Dataset!G929&lt;=9,0.65,0.85)))</f>
        <v>0.25</v>
      </c>
      <c r="I929" s="29">
        <f>IF(Dataset!G929&lt;=3,1,IF(Dataset!G929&lt;=6,2,IF(Dataset!G929&lt;=9,3,4)))</f>
        <v>1</v>
      </c>
      <c r="J929" s="29">
        <f t="shared" si="114"/>
        <v>0.25</v>
      </c>
      <c r="K929" s="29">
        <f>IF(Dataset!H929&lt;1,0.2,IF(Dataset!H929&lt;1.3,0.45,IF(Dataset!H929&lt;1.8,0.7,0.9)))</f>
        <v>0.45</v>
      </c>
      <c r="L929" s="29">
        <f>IF(Dataset!H929&lt;1,1,IF(Dataset!H929&lt;1.3,2,IF(Dataset!H929&lt;1.8,3,4)))</f>
        <v>2</v>
      </c>
      <c r="M929" s="29">
        <f t="shared" si="115"/>
        <v>0.9</v>
      </c>
      <c r="N929" s="29">
        <f>IF(Dataset!F929=1,0.75,IF(Dataset!F929=2,0.45,0.2))</f>
        <v>0.2</v>
      </c>
      <c r="O929" s="29">
        <f>IF(Dataset!F929=1,3,IF(Dataset!F929=2,2,1))</f>
        <v>1</v>
      </c>
      <c r="P929" s="29">
        <f t="shared" si="116"/>
        <v>0.2</v>
      </c>
      <c r="Q929" s="29">
        <f>IF(Dataset!K929&lt;5,0.2,IF(Dataset!K929&lt;10,0.45,IF(Dataset!K929&lt;18,0.7,0.9)))</f>
        <v>0.45</v>
      </c>
      <c r="R929" s="29">
        <f>IF(Dataset!K929&lt;5,1,IF(Dataset!K929&lt;10,2,IF(Dataset!K929&lt;18,3,4)))</f>
        <v>2</v>
      </c>
      <c r="S929" s="29">
        <f t="shared" si="117"/>
        <v>0.9</v>
      </c>
      <c r="T929" s="29">
        <f t="shared" si="118"/>
        <v>0.8650000000000001</v>
      </c>
      <c r="U929" s="29" t="str">
        <f t="shared" si="119"/>
        <v>Low</v>
      </c>
    </row>
    <row r="930" spans="1:21" ht="15" customHeight="1" x14ac:dyDescent="0.25">
      <c r="A930" s="29">
        <f>Dataset!A930</f>
        <v>926</v>
      </c>
      <c r="B930" s="29">
        <f>IF(Dataset!B930&lt;25,0.3,IF(Dataset!B930&lt;75,0.5,IF(Dataset!B930&lt;120,0.65,0.8)))</f>
        <v>0.3</v>
      </c>
      <c r="C930" s="29">
        <f>IF(Dataset!B930&lt;25,1,IF(Dataset!B930&lt;75,2,IF(Dataset!B930&lt;120,3,4)))</f>
        <v>1</v>
      </c>
      <c r="D930" s="29">
        <f t="shared" si="112"/>
        <v>0.3</v>
      </c>
      <c r="E930" s="29">
        <f>IF(Dataset!C930&lt;=1,0.3,IF(Dataset!C930=2,0.4,IF(Dataset!C930=3,0.5,IF(Dataset!C930=4,0.65,0.8))))</f>
        <v>0.5</v>
      </c>
      <c r="F930" s="29">
        <f>IF(Dataset!C930&lt;=2,1,IF(Dataset!C930=3,2,IF(Dataset!C930=4,3,4)))</f>
        <v>2</v>
      </c>
      <c r="G930" s="29">
        <f t="shared" si="113"/>
        <v>1</v>
      </c>
      <c r="H930" s="29">
        <f>IF(Dataset!G930&lt;=3,0.25,IF(Dataset!G930&lt;=6,0.45,IF(Dataset!G930&lt;=9,0.65,0.85)))</f>
        <v>0.45</v>
      </c>
      <c r="I930" s="29">
        <f>IF(Dataset!G930&lt;=3,1,IF(Dataset!G930&lt;=6,2,IF(Dataset!G930&lt;=9,3,4)))</f>
        <v>2</v>
      </c>
      <c r="J930" s="29">
        <f t="shared" si="114"/>
        <v>0.9</v>
      </c>
      <c r="K930" s="29">
        <f>IF(Dataset!H930&lt;1,0.2,IF(Dataset!H930&lt;1.3,0.45,IF(Dataset!H930&lt;1.8,0.7,0.9)))</f>
        <v>0.9</v>
      </c>
      <c r="L930" s="29">
        <f>IF(Dataset!H930&lt;1,1,IF(Dataset!H930&lt;1.3,2,IF(Dataset!H930&lt;1.8,3,4)))</f>
        <v>4</v>
      </c>
      <c r="M930" s="29">
        <f t="shared" si="115"/>
        <v>3.6</v>
      </c>
      <c r="N930" s="29">
        <f>IF(Dataset!F930=1,0.75,IF(Dataset!F930=2,0.45,0.2))</f>
        <v>0.45</v>
      </c>
      <c r="O930" s="29">
        <f>IF(Dataset!F930=1,3,IF(Dataset!F930=2,2,1))</f>
        <v>2</v>
      </c>
      <c r="P930" s="29">
        <f t="shared" si="116"/>
        <v>0.9</v>
      </c>
      <c r="Q930" s="29">
        <f>IF(Dataset!K930&lt;5,0.2,IF(Dataset!K930&lt;10,0.45,IF(Dataset!K930&lt;18,0.7,0.9)))</f>
        <v>0.45</v>
      </c>
      <c r="R930" s="29">
        <f>IF(Dataset!K930&lt;5,1,IF(Dataset!K930&lt;10,2,IF(Dataset!K930&lt;18,3,4)))</f>
        <v>2</v>
      </c>
      <c r="S930" s="29">
        <f t="shared" si="117"/>
        <v>0.9</v>
      </c>
      <c r="T930" s="29">
        <f t="shared" si="118"/>
        <v>1.4540000000000002</v>
      </c>
      <c r="U930" s="29" t="str">
        <f t="shared" si="119"/>
        <v>Medium</v>
      </c>
    </row>
    <row r="931" spans="1:21" ht="15" customHeight="1" x14ac:dyDescent="0.25">
      <c r="A931" s="29">
        <f>Dataset!A931</f>
        <v>927</v>
      </c>
      <c r="B931" s="29">
        <f>IF(Dataset!B931&lt;25,0.3,IF(Dataset!B931&lt;75,0.5,IF(Dataset!B931&lt;120,0.65,0.8)))</f>
        <v>0.3</v>
      </c>
      <c r="C931" s="29">
        <f>IF(Dataset!B931&lt;25,1,IF(Dataset!B931&lt;75,2,IF(Dataset!B931&lt;120,3,4)))</f>
        <v>1</v>
      </c>
      <c r="D931" s="29">
        <f t="shared" si="112"/>
        <v>0.3</v>
      </c>
      <c r="E931" s="29">
        <f>IF(Dataset!C931&lt;=1,0.3,IF(Dataset!C931=2,0.4,IF(Dataset!C931=3,0.5,IF(Dataset!C931=4,0.65,0.8))))</f>
        <v>0.65</v>
      </c>
      <c r="F931" s="29">
        <f>IF(Dataset!C931&lt;=2,1,IF(Dataset!C931=3,2,IF(Dataset!C931=4,3,4)))</f>
        <v>3</v>
      </c>
      <c r="G931" s="29">
        <f t="shared" si="113"/>
        <v>1.9500000000000002</v>
      </c>
      <c r="H931" s="29">
        <f>IF(Dataset!G931&lt;=3,0.25,IF(Dataset!G931&lt;=6,0.45,IF(Dataset!G931&lt;=9,0.65,0.85)))</f>
        <v>0.25</v>
      </c>
      <c r="I931" s="29">
        <f>IF(Dataset!G931&lt;=3,1,IF(Dataset!G931&lt;=6,2,IF(Dataset!G931&lt;=9,3,4)))</f>
        <v>1</v>
      </c>
      <c r="J931" s="29">
        <f t="shared" si="114"/>
        <v>0.25</v>
      </c>
      <c r="K931" s="29">
        <f>IF(Dataset!H931&lt;1,0.2,IF(Dataset!H931&lt;1.3,0.45,IF(Dataset!H931&lt;1.8,0.7,0.9)))</f>
        <v>0.7</v>
      </c>
      <c r="L931" s="29">
        <f>IF(Dataset!H931&lt;1,1,IF(Dataset!H931&lt;1.3,2,IF(Dataset!H931&lt;1.8,3,4)))</f>
        <v>3</v>
      </c>
      <c r="M931" s="29">
        <f t="shared" si="115"/>
        <v>2.0999999999999996</v>
      </c>
      <c r="N931" s="29">
        <f>IF(Dataset!F931=1,0.75,IF(Dataset!F931=2,0.45,0.2))</f>
        <v>0.2</v>
      </c>
      <c r="O931" s="29">
        <f>IF(Dataset!F931=1,3,IF(Dataset!F931=2,2,1))</f>
        <v>1</v>
      </c>
      <c r="P931" s="29">
        <f t="shared" si="116"/>
        <v>0.2</v>
      </c>
      <c r="Q931" s="29">
        <f>IF(Dataset!K931&lt;5,0.2,IF(Dataset!K931&lt;10,0.45,IF(Dataset!K931&lt;18,0.7,0.9)))</f>
        <v>0.45</v>
      </c>
      <c r="R931" s="29">
        <f>IF(Dataset!K931&lt;5,1,IF(Dataset!K931&lt;10,2,IF(Dataset!K931&lt;18,3,4)))</f>
        <v>2</v>
      </c>
      <c r="S931" s="29">
        <f t="shared" si="117"/>
        <v>0.9</v>
      </c>
      <c r="T931" s="29">
        <f t="shared" si="118"/>
        <v>1.0270000000000001</v>
      </c>
      <c r="U931" s="29" t="str">
        <f t="shared" si="119"/>
        <v>Low</v>
      </c>
    </row>
    <row r="932" spans="1:21" ht="15" customHeight="1" x14ac:dyDescent="0.25">
      <c r="A932" s="29">
        <f>Dataset!A932</f>
        <v>928</v>
      </c>
      <c r="B932" s="29">
        <f>IF(Dataset!B932&lt;25,0.3,IF(Dataset!B932&lt;75,0.5,IF(Dataset!B932&lt;120,0.65,0.8)))</f>
        <v>0.8</v>
      </c>
      <c r="C932" s="29">
        <f>IF(Dataset!B932&lt;25,1,IF(Dataset!B932&lt;75,2,IF(Dataset!B932&lt;120,3,4)))</f>
        <v>4</v>
      </c>
      <c r="D932" s="29">
        <f t="shared" si="112"/>
        <v>3.2</v>
      </c>
      <c r="E932" s="29">
        <f>IF(Dataset!C932&lt;=1,0.3,IF(Dataset!C932=2,0.4,IF(Dataset!C932=3,0.5,IF(Dataset!C932=4,0.65,0.8))))</f>
        <v>0.4</v>
      </c>
      <c r="F932" s="29">
        <f>IF(Dataset!C932&lt;=2,1,IF(Dataset!C932=3,2,IF(Dataset!C932=4,3,4)))</f>
        <v>1</v>
      </c>
      <c r="G932" s="29">
        <f t="shared" si="113"/>
        <v>0.4</v>
      </c>
      <c r="H932" s="29">
        <f>IF(Dataset!G932&lt;=3,0.25,IF(Dataset!G932&lt;=6,0.45,IF(Dataset!G932&lt;=9,0.65,0.85)))</f>
        <v>0.65</v>
      </c>
      <c r="I932" s="29">
        <f>IF(Dataset!G932&lt;=3,1,IF(Dataset!G932&lt;=6,2,IF(Dataset!G932&lt;=9,3,4)))</f>
        <v>3</v>
      </c>
      <c r="J932" s="29">
        <f t="shared" si="114"/>
        <v>1.9500000000000002</v>
      </c>
      <c r="K932" s="29">
        <f>IF(Dataset!H932&lt;1,0.2,IF(Dataset!H932&lt;1.3,0.45,IF(Dataset!H932&lt;1.8,0.7,0.9)))</f>
        <v>0.2</v>
      </c>
      <c r="L932" s="29">
        <f>IF(Dataset!H932&lt;1,1,IF(Dataset!H932&lt;1.3,2,IF(Dataset!H932&lt;1.8,3,4)))</f>
        <v>1</v>
      </c>
      <c r="M932" s="29">
        <f t="shared" si="115"/>
        <v>0.2</v>
      </c>
      <c r="N932" s="29">
        <f>IF(Dataset!F932=1,0.75,IF(Dataset!F932=2,0.45,0.2))</f>
        <v>0.2</v>
      </c>
      <c r="O932" s="29">
        <f>IF(Dataset!F932=1,3,IF(Dataset!F932=2,2,1))</f>
        <v>1</v>
      </c>
      <c r="P932" s="29">
        <f t="shared" si="116"/>
        <v>0.2</v>
      </c>
      <c r="Q932" s="29">
        <f>IF(Dataset!K932&lt;5,0.2,IF(Dataset!K932&lt;10,0.45,IF(Dataset!K932&lt;18,0.7,0.9)))</f>
        <v>0.2</v>
      </c>
      <c r="R932" s="29">
        <f>IF(Dataset!K932&lt;5,1,IF(Dataset!K932&lt;10,2,IF(Dataset!K932&lt;18,3,4)))</f>
        <v>1</v>
      </c>
      <c r="S932" s="29">
        <f t="shared" si="117"/>
        <v>0.2</v>
      </c>
      <c r="T932" s="29">
        <f t="shared" si="118"/>
        <v>1.1180000000000001</v>
      </c>
      <c r="U932" s="29" t="str">
        <f t="shared" si="119"/>
        <v>Low</v>
      </c>
    </row>
    <row r="933" spans="1:21" ht="15" customHeight="1" x14ac:dyDescent="0.25">
      <c r="A933" s="29">
        <f>Dataset!A933</f>
        <v>929</v>
      </c>
      <c r="B933" s="29">
        <f>IF(Dataset!B933&lt;25,0.3,IF(Dataset!B933&lt;75,0.5,IF(Dataset!B933&lt;120,0.65,0.8)))</f>
        <v>0.3</v>
      </c>
      <c r="C933" s="29">
        <f>IF(Dataset!B933&lt;25,1,IF(Dataset!B933&lt;75,2,IF(Dataset!B933&lt;120,3,4)))</f>
        <v>1</v>
      </c>
      <c r="D933" s="29">
        <f t="shared" si="112"/>
        <v>0.3</v>
      </c>
      <c r="E933" s="29">
        <f>IF(Dataset!C933&lt;=1,0.3,IF(Dataset!C933=2,0.4,IF(Dataset!C933=3,0.5,IF(Dataset!C933=4,0.65,0.8))))</f>
        <v>0.8</v>
      </c>
      <c r="F933" s="29">
        <f>IF(Dataset!C933&lt;=2,1,IF(Dataset!C933=3,2,IF(Dataset!C933=4,3,4)))</f>
        <v>4</v>
      </c>
      <c r="G933" s="29">
        <f t="shared" si="113"/>
        <v>3.2</v>
      </c>
      <c r="H933" s="29">
        <f>IF(Dataset!G933&lt;=3,0.25,IF(Dataset!G933&lt;=6,0.45,IF(Dataset!G933&lt;=9,0.65,0.85)))</f>
        <v>0.25</v>
      </c>
      <c r="I933" s="29">
        <f>IF(Dataset!G933&lt;=3,1,IF(Dataset!G933&lt;=6,2,IF(Dataset!G933&lt;=9,3,4)))</f>
        <v>1</v>
      </c>
      <c r="J933" s="29">
        <f t="shared" si="114"/>
        <v>0.25</v>
      </c>
      <c r="K933" s="29">
        <f>IF(Dataset!H933&lt;1,0.2,IF(Dataset!H933&lt;1.3,0.45,IF(Dataset!H933&lt;1.8,0.7,0.9)))</f>
        <v>0.7</v>
      </c>
      <c r="L933" s="29">
        <f>IF(Dataset!H933&lt;1,1,IF(Dataset!H933&lt;1.3,2,IF(Dataset!H933&lt;1.8,3,4)))</f>
        <v>3</v>
      </c>
      <c r="M933" s="29">
        <f t="shared" si="115"/>
        <v>2.0999999999999996</v>
      </c>
      <c r="N933" s="29">
        <f>IF(Dataset!F933=1,0.75,IF(Dataset!F933=2,0.45,0.2))</f>
        <v>0.2</v>
      </c>
      <c r="O933" s="29">
        <f>IF(Dataset!F933=1,3,IF(Dataset!F933=2,2,1))</f>
        <v>1</v>
      </c>
      <c r="P933" s="29">
        <f t="shared" si="116"/>
        <v>0.2</v>
      </c>
      <c r="Q933" s="29">
        <f>IF(Dataset!K933&lt;5,0.2,IF(Dataset!K933&lt;10,0.45,IF(Dataset!K933&lt;18,0.7,0.9)))</f>
        <v>0.7</v>
      </c>
      <c r="R933" s="29">
        <f>IF(Dataset!K933&lt;5,1,IF(Dataset!K933&lt;10,2,IF(Dataset!K933&lt;18,3,4)))</f>
        <v>3</v>
      </c>
      <c r="S933" s="29">
        <f t="shared" si="117"/>
        <v>2.0999999999999996</v>
      </c>
      <c r="T933" s="29">
        <f t="shared" si="118"/>
        <v>1.37</v>
      </c>
      <c r="U933" s="29" t="str">
        <f t="shared" si="119"/>
        <v>Medium</v>
      </c>
    </row>
    <row r="934" spans="1:21" ht="15" customHeight="1" x14ac:dyDescent="0.25">
      <c r="A934" s="29">
        <f>Dataset!A934</f>
        <v>930</v>
      </c>
      <c r="B934" s="29">
        <f>IF(Dataset!B934&lt;25,0.3,IF(Dataset!B934&lt;75,0.5,IF(Dataset!B934&lt;120,0.65,0.8)))</f>
        <v>0.8</v>
      </c>
      <c r="C934" s="29">
        <f>IF(Dataset!B934&lt;25,1,IF(Dataset!B934&lt;75,2,IF(Dataset!B934&lt;120,3,4)))</f>
        <v>4</v>
      </c>
      <c r="D934" s="29">
        <f t="shared" si="112"/>
        <v>3.2</v>
      </c>
      <c r="E934" s="29">
        <f>IF(Dataset!C934&lt;=1,0.3,IF(Dataset!C934=2,0.4,IF(Dataset!C934=3,0.5,IF(Dataset!C934=4,0.65,0.8))))</f>
        <v>0.5</v>
      </c>
      <c r="F934" s="29">
        <f>IF(Dataset!C934&lt;=2,1,IF(Dataset!C934=3,2,IF(Dataset!C934=4,3,4)))</f>
        <v>2</v>
      </c>
      <c r="G934" s="29">
        <f t="shared" si="113"/>
        <v>1</v>
      </c>
      <c r="H934" s="29">
        <f>IF(Dataset!G934&lt;=3,0.25,IF(Dataset!G934&lt;=6,0.45,IF(Dataset!G934&lt;=9,0.65,0.85)))</f>
        <v>0.65</v>
      </c>
      <c r="I934" s="29">
        <f>IF(Dataset!G934&lt;=3,1,IF(Dataset!G934&lt;=6,2,IF(Dataset!G934&lt;=9,3,4)))</f>
        <v>3</v>
      </c>
      <c r="J934" s="29">
        <f t="shared" si="114"/>
        <v>1.9500000000000002</v>
      </c>
      <c r="K934" s="29">
        <f>IF(Dataset!H934&lt;1,0.2,IF(Dataset!H934&lt;1.3,0.45,IF(Dataset!H934&lt;1.8,0.7,0.9)))</f>
        <v>0.7</v>
      </c>
      <c r="L934" s="29">
        <f>IF(Dataset!H934&lt;1,1,IF(Dataset!H934&lt;1.3,2,IF(Dataset!H934&lt;1.8,3,4)))</f>
        <v>3</v>
      </c>
      <c r="M934" s="29">
        <f t="shared" si="115"/>
        <v>2.0999999999999996</v>
      </c>
      <c r="N934" s="29">
        <f>IF(Dataset!F934=1,0.75,IF(Dataset!F934=2,0.45,0.2))</f>
        <v>0.75</v>
      </c>
      <c r="O934" s="29">
        <f>IF(Dataset!F934=1,3,IF(Dataset!F934=2,2,1))</f>
        <v>3</v>
      </c>
      <c r="P934" s="29">
        <f t="shared" si="116"/>
        <v>2.25</v>
      </c>
      <c r="Q934" s="29">
        <f>IF(Dataset!K934&lt;5,0.2,IF(Dataset!K934&lt;10,0.45,IF(Dataset!K934&lt;18,0.7,0.9)))</f>
        <v>0.2</v>
      </c>
      <c r="R934" s="29">
        <f>IF(Dataset!K934&lt;5,1,IF(Dataset!K934&lt;10,2,IF(Dataset!K934&lt;18,3,4)))</f>
        <v>1</v>
      </c>
      <c r="S934" s="29">
        <f t="shared" si="117"/>
        <v>0.2</v>
      </c>
      <c r="T934" s="29">
        <f t="shared" si="118"/>
        <v>1.863</v>
      </c>
      <c r="U934" s="29" t="str">
        <f t="shared" si="119"/>
        <v>High</v>
      </c>
    </row>
    <row r="935" spans="1:21" ht="15" customHeight="1" x14ac:dyDescent="0.25">
      <c r="A935" s="29">
        <f>Dataset!A935</f>
        <v>931</v>
      </c>
      <c r="B935" s="29">
        <f>IF(Dataset!B935&lt;25,0.3,IF(Dataset!B935&lt;75,0.5,IF(Dataset!B935&lt;120,0.65,0.8)))</f>
        <v>0.5</v>
      </c>
      <c r="C935" s="29">
        <f>IF(Dataset!B935&lt;25,1,IF(Dataset!B935&lt;75,2,IF(Dataset!B935&lt;120,3,4)))</f>
        <v>2</v>
      </c>
      <c r="D935" s="29">
        <f t="shared" si="112"/>
        <v>1</v>
      </c>
      <c r="E935" s="29">
        <f>IF(Dataset!C935&lt;=1,0.3,IF(Dataset!C935=2,0.4,IF(Dataset!C935=3,0.5,IF(Dataset!C935=4,0.65,0.8))))</f>
        <v>0.5</v>
      </c>
      <c r="F935" s="29">
        <f>IF(Dataset!C935&lt;=2,1,IF(Dataset!C935=3,2,IF(Dataset!C935=4,3,4)))</f>
        <v>2</v>
      </c>
      <c r="G935" s="29">
        <f t="shared" si="113"/>
        <v>1</v>
      </c>
      <c r="H935" s="29">
        <f>IF(Dataset!G935&lt;=3,0.25,IF(Dataset!G935&lt;=6,0.45,IF(Dataset!G935&lt;=9,0.65,0.85)))</f>
        <v>0.45</v>
      </c>
      <c r="I935" s="29">
        <f>IF(Dataset!G935&lt;=3,1,IF(Dataset!G935&lt;=6,2,IF(Dataset!G935&lt;=9,3,4)))</f>
        <v>2</v>
      </c>
      <c r="J935" s="29">
        <f t="shared" si="114"/>
        <v>0.9</v>
      </c>
      <c r="K935" s="29">
        <f>IF(Dataset!H935&lt;1,0.2,IF(Dataset!H935&lt;1.3,0.45,IF(Dataset!H935&lt;1.8,0.7,0.9)))</f>
        <v>0.7</v>
      </c>
      <c r="L935" s="29">
        <f>IF(Dataset!H935&lt;1,1,IF(Dataset!H935&lt;1.3,2,IF(Dataset!H935&lt;1.8,3,4)))</f>
        <v>3</v>
      </c>
      <c r="M935" s="29">
        <f t="shared" si="115"/>
        <v>2.0999999999999996</v>
      </c>
      <c r="N935" s="29">
        <f>IF(Dataset!F935=1,0.75,IF(Dataset!F935=2,0.45,0.2))</f>
        <v>0.2</v>
      </c>
      <c r="O935" s="29">
        <f>IF(Dataset!F935=1,3,IF(Dataset!F935=2,2,1))</f>
        <v>1</v>
      </c>
      <c r="P935" s="29">
        <f t="shared" si="116"/>
        <v>0.2</v>
      </c>
      <c r="Q935" s="29">
        <f>IF(Dataset!K935&lt;5,0.2,IF(Dataset!K935&lt;10,0.45,IF(Dataset!K935&lt;18,0.7,0.9)))</f>
        <v>0.45</v>
      </c>
      <c r="R935" s="29">
        <f>IF(Dataset!K935&lt;5,1,IF(Dataset!K935&lt;10,2,IF(Dataset!K935&lt;18,3,4)))</f>
        <v>2</v>
      </c>
      <c r="S935" s="29">
        <f t="shared" si="117"/>
        <v>0.9</v>
      </c>
      <c r="T935" s="29">
        <f t="shared" si="118"/>
        <v>1.1500000000000001</v>
      </c>
      <c r="U935" s="29" t="str">
        <f t="shared" si="119"/>
        <v>Low</v>
      </c>
    </row>
    <row r="936" spans="1:21" ht="15" customHeight="1" x14ac:dyDescent="0.25">
      <c r="A936" s="29">
        <f>Dataset!A936</f>
        <v>932</v>
      </c>
      <c r="B936" s="29">
        <f>IF(Dataset!B936&lt;25,0.3,IF(Dataset!B936&lt;75,0.5,IF(Dataset!B936&lt;120,0.65,0.8)))</f>
        <v>0.65</v>
      </c>
      <c r="C936" s="29">
        <f>IF(Dataset!B936&lt;25,1,IF(Dataset!B936&lt;75,2,IF(Dataset!B936&lt;120,3,4)))</f>
        <v>3</v>
      </c>
      <c r="D936" s="29">
        <f t="shared" si="112"/>
        <v>1.9500000000000002</v>
      </c>
      <c r="E936" s="29">
        <f>IF(Dataset!C936&lt;=1,0.3,IF(Dataset!C936=2,0.4,IF(Dataset!C936=3,0.5,IF(Dataset!C936=4,0.65,0.8))))</f>
        <v>0.5</v>
      </c>
      <c r="F936" s="29">
        <f>IF(Dataset!C936&lt;=2,1,IF(Dataset!C936=3,2,IF(Dataset!C936=4,3,4)))</f>
        <v>2</v>
      </c>
      <c r="G936" s="29">
        <f t="shared" si="113"/>
        <v>1</v>
      </c>
      <c r="H936" s="29">
        <f>IF(Dataset!G936&lt;=3,0.25,IF(Dataset!G936&lt;=6,0.45,IF(Dataset!G936&lt;=9,0.65,0.85)))</f>
        <v>0.45</v>
      </c>
      <c r="I936" s="29">
        <f>IF(Dataset!G936&lt;=3,1,IF(Dataset!G936&lt;=6,2,IF(Dataset!G936&lt;=9,3,4)))</f>
        <v>2</v>
      </c>
      <c r="J936" s="29">
        <f t="shared" si="114"/>
        <v>0.9</v>
      </c>
      <c r="K936" s="29">
        <f>IF(Dataset!H936&lt;1,0.2,IF(Dataset!H936&lt;1.3,0.45,IF(Dataset!H936&lt;1.8,0.7,0.9)))</f>
        <v>0.2</v>
      </c>
      <c r="L936" s="29">
        <f>IF(Dataset!H936&lt;1,1,IF(Dataset!H936&lt;1.3,2,IF(Dataset!H936&lt;1.8,3,4)))</f>
        <v>1</v>
      </c>
      <c r="M936" s="29">
        <f t="shared" si="115"/>
        <v>0.2</v>
      </c>
      <c r="N936" s="29">
        <f>IF(Dataset!F936=1,0.75,IF(Dataset!F936=2,0.45,0.2))</f>
        <v>0.2</v>
      </c>
      <c r="O936" s="29">
        <f>IF(Dataset!F936=1,3,IF(Dataset!F936=2,2,1))</f>
        <v>1</v>
      </c>
      <c r="P936" s="29">
        <f t="shared" si="116"/>
        <v>0.2</v>
      </c>
      <c r="Q936" s="29">
        <f>IF(Dataset!K936&lt;5,0.2,IF(Dataset!K936&lt;10,0.45,IF(Dataset!K936&lt;18,0.7,0.9)))</f>
        <v>0.45</v>
      </c>
      <c r="R936" s="29">
        <f>IF(Dataset!K936&lt;5,1,IF(Dataset!K936&lt;10,2,IF(Dataset!K936&lt;18,3,4)))</f>
        <v>2</v>
      </c>
      <c r="S936" s="29">
        <f t="shared" si="117"/>
        <v>0.9</v>
      </c>
      <c r="T936" s="29">
        <f t="shared" si="118"/>
        <v>0.8650000000000001</v>
      </c>
      <c r="U936" s="29" t="str">
        <f t="shared" si="119"/>
        <v>Low</v>
      </c>
    </row>
    <row r="937" spans="1:21" ht="15" customHeight="1" x14ac:dyDescent="0.25">
      <c r="A937" s="29">
        <f>Dataset!A937</f>
        <v>933</v>
      </c>
      <c r="B937" s="29">
        <f>IF(Dataset!B937&lt;25,0.3,IF(Dataset!B937&lt;75,0.5,IF(Dataset!B937&lt;120,0.65,0.8)))</f>
        <v>0.5</v>
      </c>
      <c r="C937" s="29">
        <f>IF(Dataset!B937&lt;25,1,IF(Dataset!B937&lt;75,2,IF(Dataset!B937&lt;120,3,4)))</f>
        <v>2</v>
      </c>
      <c r="D937" s="29">
        <f t="shared" si="112"/>
        <v>1</v>
      </c>
      <c r="E937" s="29">
        <f>IF(Dataset!C937&lt;=1,0.3,IF(Dataset!C937=2,0.4,IF(Dataset!C937=3,0.5,IF(Dataset!C937=4,0.65,0.8))))</f>
        <v>0.5</v>
      </c>
      <c r="F937" s="29">
        <f>IF(Dataset!C937&lt;=2,1,IF(Dataset!C937=3,2,IF(Dataset!C937=4,3,4)))</f>
        <v>2</v>
      </c>
      <c r="G937" s="29">
        <f t="shared" si="113"/>
        <v>1</v>
      </c>
      <c r="H937" s="29">
        <f>IF(Dataset!G937&lt;=3,0.25,IF(Dataset!G937&lt;=6,0.45,IF(Dataset!G937&lt;=9,0.65,0.85)))</f>
        <v>0.45</v>
      </c>
      <c r="I937" s="29">
        <f>IF(Dataset!G937&lt;=3,1,IF(Dataset!G937&lt;=6,2,IF(Dataset!G937&lt;=9,3,4)))</f>
        <v>2</v>
      </c>
      <c r="J937" s="29">
        <f t="shared" si="114"/>
        <v>0.9</v>
      </c>
      <c r="K937" s="29">
        <f>IF(Dataset!H937&lt;1,0.2,IF(Dataset!H937&lt;1.3,0.45,IF(Dataset!H937&lt;1.8,0.7,0.9)))</f>
        <v>0.9</v>
      </c>
      <c r="L937" s="29">
        <f>IF(Dataset!H937&lt;1,1,IF(Dataset!H937&lt;1.3,2,IF(Dataset!H937&lt;1.8,3,4)))</f>
        <v>4</v>
      </c>
      <c r="M937" s="29">
        <f t="shared" si="115"/>
        <v>3.6</v>
      </c>
      <c r="N937" s="29">
        <f>IF(Dataset!F937=1,0.75,IF(Dataset!F937=2,0.45,0.2))</f>
        <v>0.45</v>
      </c>
      <c r="O937" s="29">
        <f>IF(Dataset!F937=1,3,IF(Dataset!F937=2,2,1))</f>
        <v>2</v>
      </c>
      <c r="P937" s="29">
        <f t="shared" si="116"/>
        <v>0.9</v>
      </c>
      <c r="Q937" s="29">
        <f>IF(Dataset!K937&lt;5,0.2,IF(Dataset!K937&lt;10,0.45,IF(Dataset!K937&lt;18,0.7,0.9)))</f>
        <v>0.45</v>
      </c>
      <c r="R937" s="29">
        <f>IF(Dataset!K937&lt;5,1,IF(Dataset!K937&lt;10,2,IF(Dataset!K937&lt;18,3,4)))</f>
        <v>2</v>
      </c>
      <c r="S937" s="29">
        <f t="shared" si="117"/>
        <v>0.9</v>
      </c>
      <c r="T937" s="29">
        <f t="shared" si="118"/>
        <v>1.58</v>
      </c>
      <c r="U937" s="29" t="str">
        <f t="shared" si="119"/>
        <v>Medium</v>
      </c>
    </row>
    <row r="938" spans="1:21" ht="15" customHeight="1" x14ac:dyDescent="0.25">
      <c r="A938" s="29">
        <f>Dataset!A938</f>
        <v>934</v>
      </c>
      <c r="B938" s="29">
        <f>IF(Dataset!B938&lt;25,0.3,IF(Dataset!B938&lt;75,0.5,IF(Dataset!B938&lt;120,0.65,0.8)))</f>
        <v>0.65</v>
      </c>
      <c r="C938" s="29">
        <f>IF(Dataset!B938&lt;25,1,IF(Dataset!B938&lt;75,2,IF(Dataset!B938&lt;120,3,4)))</f>
        <v>3</v>
      </c>
      <c r="D938" s="29">
        <f t="shared" si="112"/>
        <v>1.9500000000000002</v>
      </c>
      <c r="E938" s="29">
        <f>IF(Dataset!C938&lt;=1,0.3,IF(Dataset!C938=2,0.4,IF(Dataset!C938=3,0.5,IF(Dataset!C938=4,0.65,0.8))))</f>
        <v>0.5</v>
      </c>
      <c r="F938" s="29">
        <f>IF(Dataset!C938&lt;=2,1,IF(Dataset!C938=3,2,IF(Dataset!C938=4,3,4)))</f>
        <v>2</v>
      </c>
      <c r="G938" s="29">
        <f t="shared" si="113"/>
        <v>1</v>
      </c>
      <c r="H938" s="29">
        <f>IF(Dataset!G938&lt;=3,0.25,IF(Dataset!G938&lt;=6,0.45,IF(Dataset!G938&lt;=9,0.65,0.85)))</f>
        <v>0.45</v>
      </c>
      <c r="I938" s="29">
        <f>IF(Dataset!G938&lt;=3,1,IF(Dataset!G938&lt;=6,2,IF(Dataset!G938&lt;=9,3,4)))</f>
        <v>2</v>
      </c>
      <c r="J938" s="29">
        <f t="shared" si="114"/>
        <v>0.9</v>
      </c>
      <c r="K938" s="29">
        <f>IF(Dataset!H938&lt;1,0.2,IF(Dataset!H938&lt;1.3,0.45,IF(Dataset!H938&lt;1.8,0.7,0.9)))</f>
        <v>0.9</v>
      </c>
      <c r="L938" s="29">
        <f>IF(Dataset!H938&lt;1,1,IF(Dataset!H938&lt;1.3,2,IF(Dataset!H938&lt;1.8,3,4)))</f>
        <v>4</v>
      </c>
      <c r="M938" s="29">
        <f t="shared" si="115"/>
        <v>3.6</v>
      </c>
      <c r="N938" s="29">
        <f>IF(Dataset!F938=1,0.75,IF(Dataset!F938=2,0.45,0.2))</f>
        <v>0.75</v>
      </c>
      <c r="O938" s="29">
        <f>IF(Dataset!F938=1,3,IF(Dataset!F938=2,2,1))</f>
        <v>3</v>
      </c>
      <c r="P938" s="29">
        <f t="shared" si="116"/>
        <v>2.25</v>
      </c>
      <c r="Q938" s="29">
        <f>IF(Dataset!K938&lt;5,0.2,IF(Dataset!K938&lt;10,0.45,IF(Dataset!K938&lt;18,0.7,0.9)))</f>
        <v>0.45</v>
      </c>
      <c r="R938" s="29">
        <f>IF(Dataset!K938&lt;5,1,IF(Dataset!K938&lt;10,2,IF(Dataset!K938&lt;18,3,4)))</f>
        <v>2</v>
      </c>
      <c r="S938" s="29">
        <f t="shared" si="117"/>
        <v>0.9</v>
      </c>
      <c r="T938" s="29">
        <f t="shared" si="118"/>
        <v>1.8860000000000003</v>
      </c>
      <c r="U938" s="29" t="str">
        <f t="shared" si="119"/>
        <v>High</v>
      </c>
    </row>
    <row r="939" spans="1:21" ht="15" customHeight="1" x14ac:dyDescent="0.25">
      <c r="A939" s="29">
        <f>Dataset!A939</f>
        <v>935</v>
      </c>
      <c r="B939" s="29">
        <f>IF(Dataset!B939&lt;25,0.3,IF(Dataset!B939&lt;75,0.5,IF(Dataset!B939&lt;120,0.65,0.8)))</f>
        <v>0.5</v>
      </c>
      <c r="C939" s="29">
        <f>IF(Dataset!B939&lt;25,1,IF(Dataset!B939&lt;75,2,IF(Dataset!B939&lt;120,3,4)))</f>
        <v>2</v>
      </c>
      <c r="D939" s="29">
        <f t="shared" si="112"/>
        <v>1</v>
      </c>
      <c r="E939" s="29">
        <f>IF(Dataset!C939&lt;=1,0.3,IF(Dataset!C939=2,0.4,IF(Dataset!C939=3,0.5,IF(Dataset!C939=4,0.65,0.8))))</f>
        <v>0.65</v>
      </c>
      <c r="F939" s="29">
        <f>IF(Dataset!C939&lt;=2,1,IF(Dataset!C939=3,2,IF(Dataset!C939=4,3,4)))</f>
        <v>3</v>
      </c>
      <c r="G939" s="29">
        <f t="shared" si="113"/>
        <v>1.9500000000000002</v>
      </c>
      <c r="H939" s="29">
        <f>IF(Dataset!G939&lt;=3,0.25,IF(Dataset!G939&lt;=6,0.45,IF(Dataset!G939&lt;=9,0.65,0.85)))</f>
        <v>0.65</v>
      </c>
      <c r="I939" s="29">
        <f>IF(Dataset!G939&lt;=3,1,IF(Dataset!G939&lt;=6,2,IF(Dataset!G939&lt;=9,3,4)))</f>
        <v>3</v>
      </c>
      <c r="J939" s="29">
        <f t="shared" si="114"/>
        <v>1.9500000000000002</v>
      </c>
      <c r="K939" s="29">
        <f>IF(Dataset!H939&lt;1,0.2,IF(Dataset!H939&lt;1.3,0.45,IF(Dataset!H939&lt;1.8,0.7,0.9)))</f>
        <v>0.9</v>
      </c>
      <c r="L939" s="29">
        <f>IF(Dataset!H939&lt;1,1,IF(Dataset!H939&lt;1.3,2,IF(Dataset!H939&lt;1.8,3,4)))</f>
        <v>4</v>
      </c>
      <c r="M939" s="29">
        <f t="shared" si="115"/>
        <v>3.6</v>
      </c>
      <c r="N939" s="29">
        <f>IF(Dataset!F939=1,0.75,IF(Dataset!F939=2,0.45,0.2))</f>
        <v>0.2</v>
      </c>
      <c r="O939" s="29">
        <f>IF(Dataset!F939=1,3,IF(Dataset!F939=2,2,1))</f>
        <v>1</v>
      </c>
      <c r="P939" s="29">
        <f t="shared" si="116"/>
        <v>0.2</v>
      </c>
      <c r="Q939" s="29">
        <f>IF(Dataset!K939&lt;5,0.2,IF(Dataset!K939&lt;10,0.45,IF(Dataset!K939&lt;18,0.7,0.9)))</f>
        <v>0.7</v>
      </c>
      <c r="R939" s="29">
        <f>IF(Dataset!K939&lt;5,1,IF(Dataset!K939&lt;10,2,IF(Dataset!K939&lt;18,3,4)))</f>
        <v>3</v>
      </c>
      <c r="S939" s="29">
        <f t="shared" si="117"/>
        <v>2.0999999999999996</v>
      </c>
      <c r="T939" s="29">
        <f t="shared" si="118"/>
        <v>2.0210000000000004</v>
      </c>
      <c r="U939" s="29" t="str">
        <f t="shared" si="119"/>
        <v>High</v>
      </c>
    </row>
    <row r="940" spans="1:21" ht="15" customHeight="1" x14ac:dyDescent="0.25">
      <c r="A940" s="29">
        <f>Dataset!A940</f>
        <v>936</v>
      </c>
      <c r="B940" s="29">
        <f>IF(Dataset!B940&lt;25,0.3,IF(Dataset!B940&lt;75,0.5,IF(Dataset!B940&lt;120,0.65,0.8)))</f>
        <v>0.3</v>
      </c>
      <c r="C940" s="29">
        <f>IF(Dataset!B940&lt;25,1,IF(Dataset!B940&lt;75,2,IF(Dataset!B940&lt;120,3,4)))</f>
        <v>1</v>
      </c>
      <c r="D940" s="29">
        <f t="shared" si="112"/>
        <v>0.3</v>
      </c>
      <c r="E940" s="29">
        <f>IF(Dataset!C940&lt;=1,0.3,IF(Dataset!C940=2,0.4,IF(Dataset!C940=3,0.5,IF(Dataset!C940=4,0.65,0.8))))</f>
        <v>0.8</v>
      </c>
      <c r="F940" s="29">
        <f>IF(Dataset!C940&lt;=2,1,IF(Dataset!C940=3,2,IF(Dataset!C940=4,3,4)))</f>
        <v>4</v>
      </c>
      <c r="G940" s="29">
        <f t="shared" si="113"/>
        <v>3.2</v>
      </c>
      <c r="H940" s="29">
        <f>IF(Dataset!G940&lt;=3,0.25,IF(Dataset!G940&lt;=6,0.45,IF(Dataset!G940&lt;=9,0.65,0.85)))</f>
        <v>0.65</v>
      </c>
      <c r="I940" s="29">
        <f>IF(Dataset!G940&lt;=3,1,IF(Dataset!G940&lt;=6,2,IF(Dataset!G940&lt;=9,3,4)))</f>
        <v>3</v>
      </c>
      <c r="J940" s="29">
        <f t="shared" si="114"/>
        <v>1.9500000000000002</v>
      </c>
      <c r="K940" s="29">
        <f>IF(Dataset!H940&lt;1,0.2,IF(Dataset!H940&lt;1.3,0.45,IF(Dataset!H940&lt;1.8,0.7,0.9)))</f>
        <v>0.7</v>
      </c>
      <c r="L940" s="29">
        <f>IF(Dataset!H940&lt;1,1,IF(Dataset!H940&lt;1.3,2,IF(Dataset!H940&lt;1.8,3,4)))</f>
        <v>3</v>
      </c>
      <c r="M940" s="29">
        <f t="shared" si="115"/>
        <v>2.0999999999999996</v>
      </c>
      <c r="N940" s="29">
        <f>IF(Dataset!F940=1,0.75,IF(Dataset!F940=2,0.45,0.2))</f>
        <v>0.75</v>
      </c>
      <c r="O940" s="29">
        <f>IF(Dataset!F940=1,3,IF(Dataset!F940=2,2,1))</f>
        <v>3</v>
      </c>
      <c r="P940" s="29">
        <f t="shared" si="116"/>
        <v>2.25</v>
      </c>
      <c r="Q940" s="29">
        <f>IF(Dataset!K940&lt;5,0.2,IF(Dataset!K940&lt;10,0.45,IF(Dataset!K940&lt;18,0.7,0.9)))</f>
        <v>0.7</v>
      </c>
      <c r="R940" s="29">
        <f>IF(Dataset!K940&lt;5,1,IF(Dataset!K940&lt;10,2,IF(Dataset!K940&lt;18,3,4)))</f>
        <v>3</v>
      </c>
      <c r="S940" s="29">
        <f t="shared" si="117"/>
        <v>2.0999999999999996</v>
      </c>
      <c r="T940" s="29">
        <f t="shared" si="118"/>
        <v>1.915</v>
      </c>
      <c r="U940" s="29" t="str">
        <f t="shared" si="119"/>
        <v>High</v>
      </c>
    </row>
    <row r="941" spans="1:21" ht="15" customHeight="1" x14ac:dyDescent="0.25">
      <c r="A941" s="29">
        <f>Dataset!A941</f>
        <v>937</v>
      </c>
      <c r="B941" s="29">
        <f>IF(Dataset!B941&lt;25,0.3,IF(Dataset!B941&lt;75,0.5,IF(Dataset!B941&lt;120,0.65,0.8)))</f>
        <v>0.5</v>
      </c>
      <c r="C941" s="29">
        <f>IF(Dataset!B941&lt;25,1,IF(Dataset!B941&lt;75,2,IF(Dataset!B941&lt;120,3,4)))</f>
        <v>2</v>
      </c>
      <c r="D941" s="29">
        <f t="shared" si="112"/>
        <v>1</v>
      </c>
      <c r="E941" s="29">
        <f>IF(Dataset!C941&lt;=1,0.3,IF(Dataset!C941=2,0.4,IF(Dataset!C941=3,0.5,IF(Dataset!C941=4,0.65,0.8))))</f>
        <v>0.65</v>
      </c>
      <c r="F941" s="29">
        <f>IF(Dataset!C941&lt;=2,1,IF(Dataset!C941=3,2,IF(Dataset!C941=4,3,4)))</f>
        <v>3</v>
      </c>
      <c r="G941" s="29">
        <f t="shared" si="113"/>
        <v>1.9500000000000002</v>
      </c>
      <c r="H941" s="29">
        <f>IF(Dataset!G941&lt;=3,0.25,IF(Dataset!G941&lt;=6,0.45,IF(Dataset!G941&lt;=9,0.65,0.85)))</f>
        <v>0.45</v>
      </c>
      <c r="I941" s="29">
        <f>IF(Dataset!G941&lt;=3,1,IF(Dataset!G941&lt;=6,2,IF(Dataset!G941&lt;=9,3,4)))</f>
        <v>2</v>
      </c>
      <c r="J941" s="29">
        <f t="shared" si="114"/>
        <v>0.9</v>
      </c>
      <c r="K941" s="29">
        <f>IF(Dataset!H941&lt;1,0.2,IF(Dataset!H941&lt;1.3,0.45,IF(Dataset!H941&lt;1.8,0.7,0.9)))</f>
        <v>0.9</v>
      </c>
      <c r="L941" s="29">
        <f>IF(Dataset!H941&lt;1,1,IF(Dataset!H941&lt;1.3,2,IF(Dataset!H941&lt;1.8,3,4)))</f>
        <v>4</v>
      </c>
      <c r="M941" s="29">
        <f t="shared" si="115"/>
        <v>3.6</v>
      </c>
      <c r="N941" s="29">
        <f>IF(Dataset!F941=1,0.75,IF(Dataset!F941=2,0.45,0.2))</f>
        <v>0.45</v>
      </c>
      <c r="O941" s="29">
        <f>IF(Dataset!F941=1,3,IF(Dataset!F941=2,2,1))</f>
        <v>2</v>
      </c>
      <c r="P941" s="29">
        <f t="shared" si="116"/>
        <v>0.9</v>
      </c>
      <c r="Q941" s="29">
        <f>IF(Dataset!K941&lt;5,0.2,IF(Dataset!K941&lt;10,0.45,IF(Dataset!K941&lt;18,0.7,0.9)))</f>
        <v>0.7</v>
      </c>
      <c r="R941" s="29">
        <f>IF(Dataset!K941&lt;5,1,IF(Dataset!K941&lt;10,2,IF(Dataset!K941&lt;18,3,4)))</f>
        <v>3</v>
      </c>
      <c r="S941" s="29">
        <f t="shared" si="117"/>
        <v>2.0999999999999996</v>
      </c>
      <c r="T941" s="29">
        <f t="shared" si="118"/>
        <v>1.8810000000000002</v>
      </c>
      <c r="U941" s="29" t="str">
        <f t="shared" si="119"/>
        <v>High</v>
      </c>
    </row>
    <row r="942" spans="1:21" ht="15" customHeight="1" x14ac:dyDescent="0.25">
      <c r="A942" s="29">
        <f>Dataset!A942</f>
        <v>938</v>
      </c>
      <c r="B942" s="29">
        <f>IF(Dataset!B942&lt;25,0.3,IF(Dataset!B942&lt;75,0.5,IF(Dataset!B942&lt;120,0.65,0.8)))</f>
        <v>0.65</v>
      </c>
      <c r="C942" s="29">
        <f>IF(Dataset!B942&lt;25,1,IF(Dataset!B942&lt;75,2,IF(Dataset!B942&lt;120,3,4)))</f>
        <v>3</v>
      </c>
      <c r="D942" s="29">
        <f t="shared" si="112"/>
        <v>1.9500000000000002</v>
      </c>
      <c r="E942" s="29">
        <f>IF(Dataset!C942&lt;=1,0.3,IF(Dataset!C942=2,0.4,IF(Dataset!C942=3,0.5,IF(Dataset!C942=4,0.65,0.8))))</f>
        <v>0.5</v>
      </c>
      <c r="F942" s="29">
        <f>IF(Dataset!C942&lt;=2,1,IF(Dataset!C942=3,2,IF(Dataset!C942=4,3,4)))</f>
        <v>2</v>
      </c>
      <c r="G942" s="29">
        <f t="shared" si="113"/>
        <v>1</v>
      </c>
      <c r="H942" s="29">
        <f>IF(Dataset!G942&lt;=3,0.25,IF(Dataset!G942&lt;=6,0.45,IF(Dataset!G942&lt;=9,0.65,0.85)))</f>
        <v>0.45</v>
      </c>
      <c r="I942" s="29">
        <f>IF(Dataset!G942&lt;=3,1,IF(Dataset!G942&lt;=6,2,IF(Dataset!G942&lt;=9,3,4)))</f>
        <v>2</v>
      </c>
      <c r="J942" s="29">
        <f t="shared" si="114"/>
        <v>0.9</v>
      </c>
      <c r="K942" s="29">
        <f>IF(Dataset!H942&lt;1,0.2,IF(Dataset!H942&lt;1.3,0.45,IF(Dataset!H942&lt;1.8,0.7,0.9)))</f>
        <v>0.45</v>
      </c>
      <c r="L942" s="29">
        <f>IF(Dataset!H942&lt;1,1,IF(Dataset!H942&lt;1.3,2,IF(Dataset!H942&lt;1.8,3,4)))</f>
        <v>2</v>
      </c>
      <c r="M942" s="29">
        <f t="shared" si="115"/>
        <v>0.9</v>
      </c>
      <c r="N942" s="29">
        <f>IF(Dataset!F942=1,0.75,IF(Dataset!F942=2,0.45,0.2))</f>
        <v>0.45</v>
      </c>
      <c r="O942" s="29">
        <f>IF(Dataset!F942=1,3,IF(Dataset!F942=2,2,1))</f>
        <v>2</v>
      </c>
      <c r="P942" s="29">
        <f t="shared" si="116"/>
        <v>0.9</v>
      </c>
      <c r="Q942" s="29">
        <f>IF(Dataset!K942&lt;5,0.2,IF(Dataset!K942&lt;10,0.45,IF(Dataset!K942&lt;18,0.7,0.9)))</f>
        <v>0.45</v>
      </c>
      <c r="R942" s="29">
        <f>IF(Dataset!K942&lt;5,1,IF(Dataset!K942&lt;10,2,IF(Dataset!K942&lt;18,3,4)))</f>
        <v>2</v>
      </c>
      <c r="S942" s="29">
        <f t="shared" si="117"/>
        <v>0.9</v>
      </c>
      <c r="T942" s="29">
        <f t="shared" si="118"/>
        <v>1.103</v>
      </c>
      <c r="U942" s="29" t="str">
        <f t="shared" si="119"/>
        <v>Low</v>
      </c>
    </row>
    <row r="943" spans="1:21" ht="15" customHeight="1" x14ac:dyDescent="0.25">
      <c r="A943" s="29">
        <f>Dataset!A943</f>
        <v>939</v>
      </c>
      <c r="B943" s="29">
        <f>IF(Dataset!B943&lt;25,0.3,IF(Dataset!B943&lt;75,0.5,IF(Dataset!B943&lt;120,0.65,0.8)))</f>
        <v>0.3</v>
      </c>
      <c r="C943" s="29">
        <f>IF(Dataset!B943&lt;25,1,IF(Dataset!B943&lt;75,2,IF(Dataset!B943&lt;120,3,4)))</f>
        <v>1</v>
      </c>
      <c r="D943" s="29">
        <f t="shared" si="112"/>
        <v>0.3</v>
      </c>
      <c r="E943" s="29">
        <f>IF(Dataset!C943&lt;=1,0.3,IF(Dataset!C943=2,0.4,IF(Dataset!C943=3,0.5,IF(Dataset!C943=4,0.65,0.8))))</f>
        <v>0.5</v>
      </c>
      <c r="F943" s="29">
        <f>IF(Dataset!C943&lt;=2,1,IF(Dataset!C943=3,2,IF(Dataset!C943=4,3,4)))</f>
        <v>2</v>
      </c>
      <c r="G943" s="29">
        <f t="shared" si="113"/>
        <v>1</v>
      </c>
      <c r="H943" s="29">
        <f>IF(Dataset!G943&lt;=3,0.25,IF(Dataset!G943&lt;=6,0.45,IF(Dataset!G943&lt;=9,0.65,0.85)))</f>
        <v>0.45</v>
      </c>
      <c r="I943" s="29">
        <f>IF(Dataset!G943&lt;=3,1,IF(Dataset!G943&lt;=6,2,IF(Dataset!G943&lt;=9,3,4)))</f>
        <v>2</v>
      </c>
      <c r="J943" s="29">
        <f t="shared" si="114"/>
        <v>0.9</v>
      </c>
      <c r="K943" s="29">
        <f>IF(Dataset!H943&lt;1,0.2,IF(Dataset!H943&lt;1.3,0.45,IF(Dataset!H943&lt;1.8,0.7,0.9)))</f>
        <v>0.9</v>
      </c>
      <c r="L943" s="29">
        <f>IF(Dataset!H943&lt;1,1,IF(Dataset!H943&lt;1.3,2,IF(Dataset!H943&lt;1.8,3,4)))</f>
        <v>4</v>
      </c>
      <c r="M943" s="29">
        <f t="shared" si="115"/>
        <v>3.6</v>
      </c>
      <c r="N943" s="29">
        <f>IF(Dataset!F943=1,0.75,IF(Dataset!F943=2,0.45,0.2))</f>
        <v>0.75</v>
      </c>
      <c r="O943" s="29">
        <f>IF(Dataset!F943=1,3,IF(Dataset!F943=2,2,1))</f>
        <v>3</v>
      </c>
      <c r="P943" s="29">
        <f t="shared" si="116"/>
        <v>2.25</v>
      </c>
      <c r="Q943" s="29">
        <f>IF(Dataset!K943&lt;5,0.2,IF(Dataset!K943&lt;10,0.45,IF(Dataset!K943&lt;18,0.7,0.9)))</f>
        <v>0.2</v>
      </c>
      <c r="R943" s="29">
        <f>IF(Dataset!K943&lt;5,1,IF(Dataset!K943&lt;10,2,IF(Dataset!K943&lt;18,3,4)))</f>
        <v>1</v>
      </c>
      <c r="S943" s="29">
        <f t="shared" si="117"/>
        <v>0.2</v>
      </c>
      <c r="T943" s="29">
        <f t="shared" si="118"/>
        <v>1.4910000000000001</v>
      </c>
      <c r="U943" s="29" t="str">
        <f t="shared" si="119"/>
        <v>Medium</v>
      </c>
    </row>
    <row r="944" spans="1:21" ht="15" customHeight="1" x14ac:dyDescent="0.25">
      <c r="A944" s="29">
        <f>Dataset!A944</f>
        <v>940</v>
      </c>
      <c r="B944" s="29">
        <f>IF(Dataset!B944&lt;25,0.3,IF(Dataset!B944&lt;75,0.5,IF(Dataset!B944&lt;120,0.65,0.8)))</f>
        <v>0.8</v>
      </c>
      <c r="C944" s="29">
        <f>IF(Dataset!B944&lt;25,1,IF(Dataset!B944&lt;75,2,IF(Dataset!B944&lt;120,3,4)))</f>
        <v>4</v>
      </c>
      <c r="D944" s="29">
        <f t="shared" si="112"/>
        <v>3.2</v>
      </c>
      <c r="E944" s="29">
        <f>IF(Dataset!C944&lt;=1,0.3,IF(Dataset!C944=2,0.4,IF(Dataset!C944=3,0.5,IF(Dataset!C944=4,0.65,0.8))))</f>
        <v>0.65</v>
      </c>
      <c r="F944" s="29">
        <f>IF(Dataset!C944&lt;=2,1,IF(Dataset!C944=3,2,IF(Dataset!C944=4,3,4)))</f>
        <v>3</v>
      </c>
      <c r="G944" s="29">
        <f t="shared" si="113"/>
        <v>1.9500000000000002</v>
      </c>
      <c r="H944" s="29">
        <f>IF(Dataset!G944&lt;=3,0.25,IF(Dataset!G944&lt;=6,0.45,IF(Dataset!G944&lt;=9,0.65,0.85)))</f>
        <v>0.45</v>
      </c>
      <c r="I944" s="29">
        <f>IF(Dataset!G944&lt;=3,1,IF(Dataset!G944&lt;=6,2,IF(Dataset!G944&lt;=9,3,4)))</f>
        <v>2</v>
      </c>
      <c r="J944" s="29">
        <f t="shared" si="114"/>
        <v>0.9</v>
      </c>
      <c r="K944" s="29">
        <f>IF(Dataset!H944&lt;1,0.2,IF(Dataset!H944&lt;1.3,0.45,IF(Dataset!H944&lt;1.8,0.7,0.9)))</f>
        <v>0.7</v>
      </c>
      <c r="L944" s="29">
        <f>IF(Dataset!H944&lt;1,1,IF(Dataset!H944&lt;1.3,2,IF(Dataset!H944&lt;1.8,3,4)))</f>
        <v>3</v>
      </c>
      <c r="M944" s="29">
        <f t="shared" si="115"/>
        <v>2.0999999999999996</v>
      </c>
      <c r="N944" s="29">
        <f>IF(Dataset!F944=1,0.75,IF(Dataset!F944=2,0.45,0.2))</f>
        <v>0.45</v>
      </c>
      <c r="O944" s="29">
        <f>IF(Dataset!F944=1,3,IF(Dataset!F944=2,2,1))</f>
        <v>2</v>
      </c>
      <c r="P944" s="29">
        <f t="shared" si="116"/>
        <v>0.9</v>
      </c>
      <c r="Q944" s="29">
        <f>IF(Dataset!K944&lt;5,0.2,IF(Dataset!K944&lt;10,0.45,IF(Dataset!K944&lt;18,0.7,0.9)))</f>
        <v>0.7</v>
      </c>
      <c r="R944" s="29">
        <f>IF(Dataset!K944&lt;5,1,IF(Dataset!K944&lt;10,2,IF(Dataset!K944&lt;18,3,4)))</f>
        <v>3</v>
      </c>
      <c r="S944" s="29">
        <f t="shared" si="117"/>
        <v>2.0999999999999996</v>
      </c>
      <c r="T944" s="29">
        <f t="shared" si="118"/>
        <v>1.917</v>
      </c>
      <c r="U944" s="29" t="str">
        <f t="shared" si="119"/>
        <v>High</v>
      </c>
    </row>
    <row r="945" spans="1:21" ht="15" customHeight="1" x14ac:dyDescent="0.25">
      <c r="A945" s="29">
        <f>Dataset!A945</f>
        <v>941</v>
      </c>
      <c r="B945" s="29">
        <f>IF(Dataset!B945&lt;25,0.3,IF(Dataset!B945&lt;75,0.5,IF(Dataset!B945&lt;120,0.65,0.8)))</f>
        <v>0.5</v>
      </c>
      <c r="C945" s="29">
        <f>IF(Dataset!B945&lt;25,1,IF(Dataset!B945&lt;75,2,IF(Dataset!B945&lt;120,3,4)))</f>
        <v>2</v>
      </c>
      <c r="D945" s="29">
        <f t="shared" si="112"/>
        <v>1</v>
      </c>
      <c r="E945" s="29">
        <f>IF(Dataset!C945&lt;=1,0.3,IF(Dataset!C945=2,0.4,IF(Dataset!C945=3,0.5,IF(Dataset!C945=4,0.65,0.8))))</f>
        <v>0.65</v>
      </c>
      <c r="F945" s="29">
        <f>IF(Dataset!C945&lt;=2,1,IF(Dataset!C945=3,2,IF(Dataset!C945=4,3,4)))</f>
        <v>3</v>
      </c>
      <c r="G945" s="29">
        <f t="shared" si="113"/>
        <v>1.9500000000000002</v>
      </c>
      <c r="H945" s="29">
        <f>IF(Dataset!G945&lt;=3,0.25,IF(Dataset!G945&lt;=6,0.45,IF(Dataset!G945&lt;=9,0.65,0.85)))</f>
        <v>0.45</v>
      </c>
      <c r="I945" s="29">
        <f>IF(Dataset!G945&lt;=3,1,IF(Dataset!G945&lt;=6,2,IF(Dataset!G945&lt;=9,3,4)))</f>
        <v>2</v>
      </c>
      <c r="J945" s="29">
        <f t="shared" si="114"/>
        <v>0.9</v>
      </c>
      <c r="K945" s="29">
        <f>IF(Dataset!H945&lt;1,0.2,IF(Dataset!H945&lt;1.3,0.45,IF(Dataset!H945&lt;1.8,0.7,0.9)))</f>
        <v>0.9</v>
      </c>
      <c r="L945" s="29">
        <f>IF(Dataset!H945&lt;1,1,IF(Dataset!H945&lt;1.3,2,IF(Dataset!H945&lt;1.8,3,4)))</f>
        <v>4</v>
      </c>
      <c r="M945" s="29">
        <f t="shared" si="115"/>
        <v>3.6</v>
      </c>
      <c r="N945" s="29">
        <f>IF(Dataset!F945=1,0.75,IF(Dataset!F945=2,0.45,0.2))</f>
        <v>0.75</v>
      </c>
      <c r="O945" s="29">
        <f>IF(Dataset!F945=1,3,IF(Dataset!F945=2,2,1))</f>
        <v>3</v>
      </c>
      <c r="P945" s="29">
        <f t="shared" si="116"/>
        <v>2.25</v>
      </c>
      <c r="Q945" s="29">
        <f>IF(Dataset!K945&lt;5,0.2,IF(Dataset!K945&lt;10,0.45,IF(Dataset!K945&lt;18,0.7,0.9)))</f>
        <v>0.7</v>
      </c>
      <c r="R945" s="29">
        <f>IF(Dataset!K945&lt;5,1,IF(Dataset!K945&lt;10,2,IF(Dataset!K945&lt;18,3,4)))</f>
        <v>3</v>
      </c>
      <c r="S945" s="29">
        <f t="shared" si="117"/>
        <v>2.0999999999999996</v>
      </c>
      <c r="T945" s="29">
        <f t="shared" si="118"/>
        <v>2.016</v>
      </c>
      <c r="U945" s="29" t="str">
        <f t="shared" si="119"/>
        <v>High</v>
      </c>
    </row>
    <row r="946" spans="1:21" ht="15" customHeight="1" x14ac:dyDescent="0.25">
      <c r="A946" s="29">
        <f>Dataset!A946</f>
        <v>942</v>
      </c>
      <c r="B946" s="29">
        <f>IF(Dataset!B946&lt;25,0.3,IF(Dataset!B946&lt;75,0.5,IF(Dataset!B946&lt;120,0.65,0.8)))</f>
        <v>0.3</v>
      </c>
      <c r="C946" s="29">
        <f>IF(Dataset!B946&lt;25,1,IF(Dataset!B946&lt;75,2,IF(Dataset!B946&lt;120,3,4)))</f>
        <v>1</v>
      </c>
      <c r="D946" s="29">
        <f t="shared" si="112"/>
        <v>0.3</v>
      </c>
      <c r="E946" s="29">
        <f>IF(Dataset!C946&lt;=1,0.3,IF(Dataset!C946=2,0.4,IF(Dataset!C946=3,0.5,IF(Dataset!C946=4,0.65,0.8))))</f>
        <v>0.5</v>
      </c>
      <c r="F946" s="29">
        <f>IF(Dataset!C946&lt;=2,1,IF(Dataset!C946=3,2,IF(Dataset!C946=4,3,4)))</f>
        <v>2</v>
      </c>
      <c r="G946" s="29">
        <f t="shared" si="113"/>
        <v>1</v>
      </c>
      <c r="H946" s="29">
        <f>IF(Dataset!G946&lt;=3,0.25,IF(Dataset!G946&lt;=6,0.45,IF(Dataset!G946&lt;=9,0.65,0.85)))</f>
        <v>0.45</v>
      </c>
      <c r="I946" s="29">
        <f>IF(Dataset!G946&lt;=3,1,IF(Dataset!G946&lt;=6,2,IF(Dataset!G946&lt;=9,3,4)))</f>
        <v>2</v>
      </c>
      <c r="J946" s="29">
        <f t="shared" si="114"/>
        <v>0.9</v>
      </c>
      <c r="K946" s="29">
        <f>IF(Dataset!H946&lt;1,0.2,IF(Dataset!H946&lt;1.3,0.45,IF(Dataset!H946&lt;1.8,0.7,0.9)))</f>
        <v>0.45</v>
      </c>
      <c r="L946" s="29">
        <f>IF(Dataset!H946&lt;1,1,IF(Dataset!H946&lt;1.3,2,IF(Dataset!H946&lt;1.8,3,4)))</f>
        <v>2</v>
      </c>
      <c r="M946" s="29">
        <f t="shared" si="115"/>
        <v>0.9</v>
      </c>
      <c r="N946" s="29">
        <f>IF(Dataset!F946=1,0.75,IF(Dataset!F946=2,0.45,0.2))</f>
        <v>0.45</v>
      </c>
      <c r="O946" s="29">
        <f>IF(Dataset!F946=1,3,IF(Dataset!F946=2,2,1))</f>
        <v>2</v>
      </c>
      <c r="P946" s="29">
        <f t="shared" si="116"/>
        <v>0.9</v>
      </c>
      <c r="Q946" s="29">
        <f>IF(Dataset!K946&lt;5,0.2,IF(Dataset!K946&lt;10,0.45,IF(Dataset!K946&lt;18,0.7,0.9)))</f>
        <v>0.2</v>
      </c>
      <c r="R946" s="29">
        <f>IF(Dataset!K946&lt;5,1,IF(Dataset!K946&lt;10,2,IF(Dataset!K946&lt;18,3,4)))</f>
        <v>1</v>
      </c>
      <c r="S946" s="29">
        <f t="shared" si="117"/>
        <v>0.2</v>
      </c>
      <c r="T946" s="29">
        <f t="shared" si="118"/>
        <v>0.70799999999999996</v>
      </c>
      <c r="U946" s="29" t="str">
        <f t="shared" si="119"/>
        <v>Low</v>
      </c>
    </row>
    <row r="947" spans="1:21" ht="15" customHeight="1" x14ac:dyDescent="0.25">
      <c r="A947" s="29">
        <f>Dataset!A947</f>
        <v>943</v>
      </c>
      <c r="B947" s="29">
        <f>IF(Dataset!B947&lt;25,0.3,IF(Dataset!B947&lt;75,0.5,IF(Dataset!B947&lt;120,0.65,0.8)))</f>
        <v>0.5</v>
      </c>
      <c r="C947" s="29">
        <f>IF(Dataset!B947&lt;25,1,IF(Dataset!B947&lt;75,2,IF(Dataset!B947&lt;120,3,4)))</f>
        <v>2</v>
      </c>
      <c r="D947" s="29">
        <f t="shared" si="112"/>
        <v>1</v>
      </c>
      <c r="E947" s="29">
        <f>IF(Dataset!C947&lt;=1,0.3,IF(Dataset!C947=2,0.4,IF(Dataset!C947=3,0.5,IF(Dataset!C947=4,0.65,0.8))))</f>
        <v>0.8</v>
      </c>
      <c r="F947" s="29">
        <f>IF(Dataset!C947&lt;=2,1,IF(Dataset!C947=3,2,IF(Dataset!C947=4,3,4)))</f>
        <v>4</v>
      </c>
      <c r="G947" s="29">
        <f t="shared" si="113"/>
        <v>3.2</v>
      </c>
      <c r="H947" s="29">
        <f>IF(Dataset!G947&lt;=3,0.25,IF(Dataset!G947&lt;=6,0.45,IF(Dataset!G947&lt;=9,0.65,0.85)))</f>
        <v>0.65</v>
      </c>
      <c r="I947" s="29">
        <f>IF(Dataset!G947&lt;=3,1,IF(Dataset!G947&lt;=6,2,IF(Dataset!G947&lt;=9,3,4)))</f>
        <v>3</v>
      </c>
      <c r="J947" s="29">
        <f t="shared" si="114"/>
        <v>1.9500000000000002</v>
      </c>
      <c r="K947" s="29">
        <f>IF(Dataset!H947&lt;1,0.2,IF(Dataset!H947&lt;1.3,0.45,IF(Dataset!H947&lt;1.8,0.7,0.9)))</f>
        <v>0.45</v>
      </c>
      <c r="L947" s="29">
        <f>IF(Dataset!H947&lt;1,1,IF(Dataset!H947&lt;1.3,2,IF(Dataset!H947&lt;1.8,3,4)))</f>
        <v>2</v>
      </c>
      <c r="M947" s="29">
        <f t="shared" si="115"/>
        <v>0.9</v>
      </c>
      <c r="N947" s="29">
        <f>IF(Dataset!F947=1,0.75,IF(Dataset!F947=2,0.45,0.2))</f>
        <v>0.2</v>
      </c>
      <c r="O947" s="29">
        <f>IF(Dataset!F947=1,3,IF(Dataset!F947=2,2,1))</f>
        <v>1</v>
      </c>
      <c r="P947" s="29">
        <f t="shared" si="116"/>
        <v>0.2</v>
      </c>
      <c r="Q947" s="29">
        <f>IF(Dataset!K947&lt;5,0.2,IF(Dataset!K947&lt;10,0.45,IF(Dataset!K947&lt;18,0.7,0.9)))</f>
        <v>0.7</v>
      </c>
      <c r="R947" s="29">
        <f>IF(Dataset!K947&lt;5,1,IF(Dataset!K947&lt;10,2,IF(Dataset!K947&lt;18,3,4)))</f>
        <v>3</v>
      </c>
      <c r="S947" s="29">
        <f t="shared" si="117"/>
        <v>2.0999999999999996</v>
      </c>
      <c r="T947" s="29">
        <f t="shared" si="118"/>
        <v>1.5480000000000003</v>
      </c>
      <c r="U947" s="29" t="str">
        <f t="shared" si="119"/>
        <v>Medium</v>
      </c>
    </row>
    <row r="948" spans="1:21" ht="15" customHeight="1" x14ac:dyDescent="0.25">
      <c r="A948" s="29">
        <f>Dataset!A948</f>
        <v>944</v>
      </c>
      <c r="B948" s="29">
        <f>IF(Dataset!B948&lt;25,0.3,IF(Dataset!B948&lt;75,0.5,IF(Dataset!B948&lt;120,0.65,0.8)))</f>
        <v>0.65</v>
      </c>
      <c r="C948" s="29">
        <f>IF(Dataset!B948&lt;25,1,IF(Dataset!B948&lt;75,2,IF(Dataset!B948&lt;120,3,4)))</f>
        <v>3</v>
      </c>
      <c r="D948" s="29">
        <f t="shared" si="112"/>
        <v>1.9500000000000002</v>
      </c>
      <c r="E948" s="29">
        <f>IF(Dataset!C948&lt;=1,0.3,IF(Dataset!C948=2,0.4,IF(Dataset!C948=3,0.5,IF(Dataset!C948=4,0.65,0.8))))</f>
        <v>0.5</v>
      </c>
      <c r="F948" s="29">
        <f>IF(Dataset!C948&lt;=2,1,IF(Dataset!C948=3,2,IF(Dataset!C948=4,3,4)))</f>
        <v>2</v>
      </c>
      <c r="G948" s="29">
        <f t="shared" si="113"/>
        <v>1</v>
      </c>
      <c r="H948" s="29">
        <f>IF(Dataset!G948&lt;=3,0.25,IF(Dataset!G948&lt;=6,0.45,IF(Dataset!G948&lt;=9,0.65,0.85)))</f>
        <v>0.45</v>
      </c>
      <c r="I948" s="29">
        <f>IF(Dataset!G948&lt;=3,1,IF(Dataset!G948&lt;=6,2,IF(Dataset!G948&lt;=9,3,4)))</f>
        <v>2</v>
      </c>
      <c r="J948" s="29">
        <f t="shared" si="114"/>
        <v>0.9</v>
      </c>
      <c r="K948" s="29">
        <f>IF(Dataset!H948&lt;1,0.2,IF(Dataset!H948&lt;1.3,0.45,IF(Dataset!H948&lt;1.8,0.7,0.9)))</f>
        <v>0.9</v>
      </c>
      <c r="L948" s="29">
        <f>IF(Dataset!H948&lt;1,1,IF(Dataset!H948&lt;1.3,2,IF(Dataset!H948&lt;1.8,3,4)))</f>
        <v>4</v>
      </c>
      <c r="M948" s="29">
        <f t="shared" si="115"/>
        <v>3.6</v>
      </c>
      <c r="N948" s="29">
        <f>IF(Dataset!F948=1,0.75,IF(Dataset!F948=2,0.45,0.2))</f>
        <v>0.45</v>
      </c>
      <c r="O948" s="29">
        <f>IF(Dataset!F948=1,3,IF(Dataset!F948=2,2,1))</f>
        <v>2</v>
      </c>
      <c r="P948" s="29">
        <f t="shared" si="116"/>
        <v>0.9</v>
      </c>
      <c r="Q948" s="29">
        <f>IF(Dataset!K948&lt;5,0.2,IF(Dataset!K948&lt;10,0.45,IF(Dataset!K948&lt;18,0.7,0.9)))</f>
        <v>0.45</v>
      </c>
      <c r="R948" s="29">
        <f>IF(Dataset!K948&lt;5,1,IF(Dataset!K948&lt;10,2,IF(Dataset!K948&lt;18,3,4)))</f>
        <v>2</v>
      </c>
      <c r="S948" s="29">
        <f t="shared" si="117"/>
        <v>0.9</v>
      </c>
      <c r="T948" s="29">
        <f t="shared" si="118"/>
        <v>1.7510000000000003</v>
      </c>
      <c r="U948" s="29" t="str">
        <f t="shared" si="119"/>
        <v>Medium</v>
      </c>
    </row>
    <row r="949" spans="1:21" ht="15" customHeight="1" x14ac:dyDescent="0.25">
      <c r="A949" s="29">
        <f>Dataset!A949</f>
        <v>945</v>
      </c>
      <c r="B949" s="29">
        <f>IF(Dataset!B949&lt;25,0.3,IF(Dataset!B949&lt;75,0.5,IF(Dataset!B949&lt;120,0.65,0.8)))</f>
        <v>0.65</v>
      </c>
      <c r="C949" s="29">
        <f>IF(Dataset!B949&lt;25,1,IF(Dataset!B949&lt;75,2,IF(Dataset!B949&lt;120,3,4)))</f>
        <v>3</v>
      </c>
      <c r="D949" s="29">
        <f t="shared" si="112"/>
        <v>1.9500000000000002</v>
      </c>
      <c r="E949" s="29">
        <f>IF(Dataset!C949&lt;=1,0.3,IF(Dataset!C949=2,0.4,IF(Dataset!C949=3,0.5,IF(Dataset!C949=4,0.65,0.8))))</f>
        <v>0.65</v>
      </c>
      <c r="F949" s="29">
        <f>IF(Dataset!C949&lt;=2,1,IF(Dataset!C949=3,2,IF(Dataset!C949=4,3,4)))</f>
        <v>3</v>
      </c>
      <c r="G949" s="29">
        <f t="shared" si="113"/>
        <v>1.9500000000000002</v>
      </c>
      <c r="H949" s="29">
        <f>IF(Dataset!G949&lt;=3,0.25,IF(Dataset!G949&lt;=6,0.45,IF(Dataset!G949&lt;=9,0.65,0.85)))</f>
        <v>0.65</v>
      </c>
      <c r="I949" s="29">
        <f>IF(Dataset!G949&lt;=3,1,IF(Dataset!G949&lt;=6,2,IF(Dataset!G949&lt;=9,3,4)))</f>
        <v>3</v>
      </c>
      <c r="J949" s="29">
        <f t="shared" si="114"/>
        <v>1.9500000000000002</v>
      </c>
      <c r="K949" s="29">
        <f>IF(Dataset!H949&lt;1,0.2,IF(Dataset!H949&lt;1.3,0.45,IF(Dataset!H949&lt;1.8,0.7,0.9)))</f>
        <v>0.9</v>
      </c>
      <c r="L949" s="29">
        <f>IF(Dataset!H949&lt;1,1,IF(Dataset!H949&lt;1.3,2,IF(Dataset!H949&lt;1.8,3,4)))</f>
        <v>4</v>
      </c>
      <c r="M949" s="29">
        <f t="shared" si="115"/>
        <v>3.6</v>
      </c>
      <c r="N949" s="29">
        <f>IF(Dataset!F949=1,0.75,IF(Dataset!F949=2,0.45,0.2))</f>
        <v>0.45</v>
      </c>
      <c r="O949" s="29">
        <f>IF(Dataset!F949=1,3,IF(Dataset!F949=2,2,1))</f>
        <v>2</v>
      </c>
      <c r="P949" s="29">
        <f t="shared" si="116"/>
        <v>0.9</v>
      </c>
      <c r="Q949" s="29">
        <f>IF(Dataset!K949&lt;5,0.2,IF(Dataset!K949&lt;10,0.45,IF(Dataset!K949&lt;18,0.7,0.9)))</f>
        <v>0.45</v>
      </c>
      <c r="R949" s="29">
        <f>IF(Dataset!K949&lt;5,1,IF(Dataset!K949&lt;10,2,IF(Dataset!K949&lt;18,3,4)))</f>
        <v>2</v>
      </c>
      <c r="S949" s="29">
        <f t="shared" si="117"/>
        <v>0.9</v>
      </c>
      <c r="T949" s="29">
        <f t="shared" si="118"/>
        <v>2.0940000000000003</v>
      </c>
      <c r="U949" s="29" t="str">
        <f t="shared" si="119"/>
        <v>High</v>
      </c>
    </row>
    <row r="950" spans="1:21" ht="15" customHeight="1" x14ac:dyDescent="0.25">
      <c r="A950" s="29">
        <f>Dataset!A950</f>
        <v>946</v>
      </c>
      <c r="B950" s="29">
        <f>IF(Dataset!B950&lt;25,0.3,IF(Dataset!B950&lt;75,0.5,IF(Dataset!B950&lt;120,0.65,0.8)))</f>
        <v>0.8</v>
      </c>
      <c r="C950" s="29">
        <f>IF(Dataset!B950&lt;25,1,IF(Dataset!B950&lt;75,2,IF(Dataset!B950&lt;120,3,4)))</f>
        <v>4</v>
      </c>
      <c r="D950" s="29">
        <f t="shared" si="112"/>
        <v>3.2</v>
      </c>
      <c r="E950" s="29">
        <f>IF(Dataset!C950&lt;=1,0.3,IF(Dataset!C950=2,0.4,IF(Dataset!C950=3,0.5,IF(Dataset!C950=4,0.65,0.8))))</f>
        <v>0.8</v>
      </c>
      <c r="F950" s="29">
        <f>IF(Dataset!C950&lt;=2,1,IF(Dataset!C950=3,2,IF(Dataset!C950=4,3,4)))</f>
        <v>4</v>
      </c>
      <c r="G950" s="29">
        <f t="shared" si="113"/>
        <v>3.2</v>
      </c>
      <c r="H950" s="29">
        <f>IF(Dataset!G950&lt;=3,0.25,IF(Dataset!G950&lt;=6,0.45,IF(Dataset!G950&lt;=9,0.65,0.85)))</f>
        <v>0.45</v>
      </c>
      <c r="I950" s="29">
        <f>IF(Dataset!G950&lt;=3,1,IF(Dataset!G950&lt;=6,2,IF(Dataset!G950&lt;=9,3,4)))</f>
        <v>2</v>
      </c>
      <c r="J950" s="29">
        <f t="shared" si="114"/>
        <v>0.9</v>
      </c>
      <c r="K950" s="29">
        <f>IF(Dataset!H950&lt;1,0.2,IF(Dataset!H950&lt;1.3,0.45,IF(Dataset!H950&lt;1.8,0.7,0.9)))</f>
        <v>0.9</v>
      </c>
      <c r="L950" s="29">
        <f>IF(Dataset!H950&lt;1,1,IF(Dataset!H950&lt;1.3,2,IF(Dataset!H950&lt;1.8,3,4)))</f>
        <v>4</v>
      </c>
      <c r="M950" s="29">
        <f t="shared" si="115"/>
        <v>3.6</v>
      </c>
      <c r="N950" s="29">
        <f>IF(Dataset!F950=1,0.75,IF(Dataset!F950=2,0.45,0.2))</f>
        <v>0.75</v>
      </c>
      <c r="O950" s="29">
        <f>IF(Dataset!F950=1,3,IF(Dataset!F950=2,2,1))</f>
        <v>3</v>
      </c>
      <c r="P950" s="29">
        <f t="shared" si="116"/>
        <v>2.25</v>
      </c>
      <c r="Q950" s="29">
        <f>IF(Dataset!K950&lt;5,0.2,IF(Dataset!K950&lt;10,0.45,IF(Dataset!K950&lt;18,0.7,0.9)))</f>
        <v>0.9</v>
      </c>
      <c r="R950" s="29">
        <f>IF(Dataset!K950&lt;5,1,IF(Dataset!K950&lt;10,2,IF(Dataset!K950&lt;18,3,4)))</f>
        <v>4</v>
      </c>
      <c r="S950" s="29">
        <f t="shared" si="117"/>
        <v>3.6</v>
      </c>
      <c r="T950" s="29">
        <f t="shared" si="118"/>
        <v>2.7970000000000002</v>
      </c>
      <c r="U950" s="29" t="str">
        <f t="shared" si="119"/>
        <v>High</v>
      </c>
    </row>
    <row r="951" spans="1:21" ht="15" customHeight="1" x14ac:dyDescent="0.25">
      <c r="A951" s="29">
        <f>Dataset!A951</f>
        <v>947</v>
      </c>
      <c r="B951" s="29">
        <f>IF(Dataset!B951&lt;25,0.3,IF(Dataset!B951&lt;75,0.5,IF(Dataset!B951&lt;120,0.65,0.8)))</f>
        <v>0.3</v>
      </c>
      <c r="C951" s="29">
        <f>IF(Dataset!B951&lt;25,1,IF(Dataset!B951&lt;75,2,IF(Dataset!B951&lt;120,3,4)))</f>
        <v>1</v>
      </c>
      <c r="D951" s="29">
        <f t="shared" si="112"/>
        <v>0.3</v>
      </c>
      <c r="E951" s="29">
        <f>IF(Dataset!C951&lt;=1,0.3,IF(Dataset!C951=2,0.4,IF(Dataset!C951=3,0.5,IF(Dataset!C951=4,0.65,0.8))))</f>
        <v>0.65</v>
      </c>
      <c r="F951" s="29">
        <f>IF(Dataset!C951&lt;=2,1,IF(Dataset!C951=3,2,IF(Dataset!C951=4,3,4)))</f>
        <v>3</v>
      </c>
      <c r="G951" s="29">
        <f t="shared" si="113"/>
        <v>1.9500000000000002</v>
      </c>
      <c r="H951" s="29">
        <f>IF(Dataset!G951&lt;=3,0.25,IF(Dataset!G951&lt;=6,0.45,IF(Dataset!G951&lt;=9,0.65,0.85)))</f>
        <v>0.45</v>
      </c>
      <c r="I951" s="29">
        <f>IF(Dataset!G951&lt;=3,1,IF(Dataset!G951&lt;=6,2,IF(Dataset!G951&lt;=9,3,4)))</f>
        <v>2</v>
      </c>
      <c r="J951" s="29">
        <f t="shared" si="114"/>
        <v>0.9</v>
      </c>
      <c r="K951" s="29">
        <f>IF(Dataset!H951&lt;1,0.2,IF(Dataset!H951&lt;1.3,0.45,IF(Dataset!H951&lt;1.8,0.7,0.9)))</f>
        <v>0.45</v>
      </c>
      <c r="L951" s="29">
        <f>IF(Dataset!H951&lt;1,1,IF(Dataset!H951&lt;1.3,2,IF(Dataset!H951&lt;1.8,3,4)))</f>
        <v>2</v>
      </c>
      <c r="M951" s="29">
        <f t="shared" si="115"/>
        <v>0.9</v>
      </c>
      <c r="N951" s="29">
        <f>IF(Dataset!F951=1,0.75,IF(Dataset!F951=2,0.45,0.2))</f>
        <v>0.2</v>
      </c>
      <c r="O951" s="29">
        <f>IF(Dataset!F951=1,3,IF(Dataset!F951=2,2,1))</f>
        <v>1</v>
      </c>
      <c r="P951" s="29">
        <f t="shared" si="116"/>
        <v>0.2</v>
      </c>
      <c r="Q951" s="29">
        <f>IF(Dataset!K951&lt;5,0.2,IF(Dataset!K951&lt;10,0.45,IF(Dataset!K951&lt;18,0.7,0.9)))</f>
        <v>0.45</v>
      </c>
      <c r="R951" s="29">
        <f>IF(Dataset!K951&lt;5,1,IF(Dataset!K951&lt;10,2,IF(Dataset!K951&lt;18,3,4)))</f>
        <v>2</v>
      </c>
      <c r="S951" s="29">
        <f t="shared" si="117"/>
        <v>0.9</v>
      </c>
      <c r="T951" s="29">
        <f t="shared" si="118"/>
        <v>0.86900000000000011</v>
      </c>
      <c r="U951" s="29" t="str">
        <f t="shared" si="119"/>
        <v>Low</v>
      </c>
    </row>
    <row r="952" spans="1:21" ht="15" customHeight="1" x14ac:dyDescent="0.25">
      <c r="A952" s="29">
        <f>Dataset!A952</f>
        <v>948</v>
      </c>
      <c r="B952" s="29">
        <f>IF(Dataset!B952&lt;25,0.3,IF(Dataset!B952&lt;75,0.5,IF(Dataset!B952&lt;120,0.65,0.8)))</f>
        <v>0.8</v>
      </c>
      <c r="C952" s="29">
        <f>IF(Dataset!B952&lt;25,1,IF(Dataset!B952&lt;75,2,IF(Dataset!B952&lt;120,3,4)))</f>
        <v>4</v>
      </c>
      <c r="D952" s="29">
        <f t="shared" si="112"/>
        <v>3.2</v>
      </c>
      <c r="E952" s="29">
        <f>IF(Dataset!C952&lt;=1,0.3,IF(Dataset!C952=2,0.4,IF(Dataset!C952=3,0.5,IF(Dataset!C952=4,0.65,0.8))))</f>
        <v>0.4</v>
      </c>
      <c r="F952" s="29">
        <f>IF(Dataset!C952&lt;=2,1,IF(Dataset!C952=3,2,IF(Dataset!C952=4,3,4)))</f>
        <v>1</v>
      </c>
      <c r="G952" s="29">
        <f t="shared" si="113"/>
        <v>0.4</v>
      </c>
      <c r="H952" s="29">
        <f>IF(Dataset!G952&lt;=3,0.25,IF(Dataset!G952&lt;=6,0.45,IF(Dataset!G952&lt;=9,0.65,0.85)))</f>
        <v>0.65</v>
      </c>
      <c r="I952" s="29">
        <f>IF(Dataset!G952&lt;=3,1,IF(Dataset!G952&lt;=6,2,IF(Dataset!G952&lt;=9,3,4)))</f>
        <v>3</v>
      </c>
      <c r="J952" s="29">
        <f t="shared" si="114"/>
        <v>1.9500000000000002</v>
      </c>
      <c r="K952" s="29">
        <f>IF(Dataset!H952&lt;1,0.2,IF(Dataset!H952&lt;1.3,0.45,IF(Dataset!H952&lt;1.8,0.7,0.9)))</f>
        <v>0.45</v>
      </c>
      <c r="L952" s="29">
        <f>IF(Dataset!H952&lt;1,1,IF(Dataset!H952&lt;1.3,2,IF(Dataset!H952&lt;1.8,3,4)))</f>
        <v>2</v>
      </c>
      <c r="M952" s="29">
        <f t="shared" si="115"/>
        <v>0.9</v>
      </c>
      <c r="N952" s="29">
        <f>IF(Dataset!F952=1,0.75,IF(Dataset!F952=2,0.45,0.2))</f>
        <v>0.2</v>
      </c>
      <c r="O952" s="29">
        <f>IF(Dataset!F952=1,3,IF(Dataset!F952=2,2,1))</f>
        <v>1</v>
      </c>
      <c r="P952" s="29">
        <f t="shared" si="116"/>
        <v>0.2</v>
      </c>
      <c r="Q952" s="29">
        <f>IF(Dataset!K952&lt;5,0.2,IF(Dataset!K952&lt;10,0.45,IF(Dataset!K952&lt;18,0.7,0.9)))</f>
        <v>0.2</v>
      </c>
      <c r="R952" s="29">
        <f>IF(Dataset!K952&lt;5,1,IF(Dataset!K952&lt;10,2,IF(Dataset!K952&lt;18,3,4)))</f>
        <v>1</v>
      </c>
      <c r="S952" s="29">
        <f t="shared" si="117"/>
        <v>0.2</v>
      </c>
      <c r="T952" s="29">
        <f t="shared" si="118"/>
        <v>1.286</v>
      </c>
      <c r="U952" s="29" t="str">
        <f t="shared" si="119"/>
        <v>Low</v>
      </c>
    </row>
    <row r="953" spans="1:21" ht="15" customHeight="1" x14ac:dyDescent="0.25">
      <c r="A953" s="29">
        <f>Dataset!A953</f>
        <v>949</v>
      </c>
      <c r="B953" s="29">
        <f>IF(Dataset!B953&lt;25,0.3,IF(Dataset!B953&lt;75,0.5,IF(Dataset!B953&lt;120,0.65,0.8)))</f>
        <v>0.8</v>
      </c>
      <c r="C953" s="29">
        <f>IF(Dataset!B953&lt;25,1,IF(Dataset!B953&lt;75,2,IF(Dataset!B953&lt;120,3,4)))</f>
        <v>4</v>
      </c>
      <c r="D953" s="29">
        <f t="shared" si="112"/>
        <v>3.2</v>
      </c>
      <c r="E953" s="29">
        <f>IF(Dataset!C953&lt;=1,0.3,IF(Dataset!C953=2,0.4,IF(Dataset!C953=3,0.5,IF(Dataset!C953=4,0.65,0.8))))</f>
        <v>0.65</v>
      </c>
      <c r="F953" s="29">
        <f>IF(Dataset!C953&lt;=2,1,IF(Dataset!C953=3,2,IF(Dataset!C953=4,3,4)))</f>
        <v>3</v>
      </c>
      <c r="G953" s="29">
        <f t="shared" si="113"/>
        <v>1.9500000000000002</v>
      </c>
      <c r="H953" s="29">
        <f>IF(Dataset!G953&lt;=3,0.25,IF(Dataset!G953&lt;=6,0.45,IF(Dataset!G953&lt;=9,0.65,0.85)))</f>
        <v>0.45</v>
      </c>
      <c r="I953" s="29">
        <f>IF(Dataset!G953&lt;=3,1,IF(Dataset!G953&lt;=6,2,IF(Dataset!G953&lt;=9,3,4)))</f>
        <v>2</v>
      </c>
      <c r="J953" s="29">
        <f t="shared" si="114"/>
        <v>0.9</v>
      </c>
      <c r="K953" s="29">
        <f>IF(Dataset!H953&lt;1,0.2,IF(Dataset!H953&lt;1.3,0.45,IF(Dataset!H953&lt;1.8,0.7,0.9)))</f>
        <v>0.9</v>
      </c>
      <c r="L953" s="29">
        <f>IF(Dataset!H953&lt;1,1,IF(Dataset!H953&lt;1.3,2,IF(Dataset!H953&lt;1.8,3,4)))</f>
        <v>4</v>
      </c>
      <c r="M953" s="29">
        <f t="shared" si="115"/>
        <v>3.6</v>
      </c>
      <c r="N953" s="29">
        <f>IF(Dataset!F953=1,0.75,IF(Dataset!F953=2,0.45,0.2))</f>
        <v>0.75</v>
      </c>
      <c r="O953" s="29">
        <f>IF(Dataset!F953=1,3,IF(Dataset!F953=2,2,1))</f>
        <v>3</v>
      </c>
      <c r="P953" s="29">
        <f t="shared" si="116"/>
        <v>2.25</v>
      </c>
      <c r="Q953" s="29">
        <f>IF(Dataset!K953&lt;5,0.2,IF(Dataset!K953&lt;10,0.45,IF(Dataset!K953&lt;18,0.7,0.9)))</f>
        <v>0.45</v>
      </c>
      <c r="R953" s="29">
        <f>IF(Dataset!K953&lt;5,1,IF(Dataset!K953&lt;10,2,IF(Dataset!K953&lt;18,3,4)))</f>
        <v>2</v>
      </c>
      <c r="S953" s="29">
        <f t="shared" si="117"/>
        <v>0.9</v>
      </c>
      <c r="T953" s="29">
        <f t="shared" si="118"/>
        <v>2.2439999999999998</v>
      </c>
      <c r="U953" s="29" t="str">
        <f t="shared" si="119"/>
        <v>High</v>
      </c>
    </row>
    <row r="954" spans="1:21" ht="15" customHeight="1" x14ac:dyDescent="0.25">
      <c r="A954" s="29">
        <f>Dataset!A954</f>
        <v>950</v>
      </c>
      <c r="B954" s="29">
        <f>IF(Dataset!B954&lt;25,0.3,IF(Dataset!B954&lt;75,0.5,IF(Dataset!B954&lt;120,0.65,0.8)))</f>
        <v>0.3</v>
      </c>
      <c r="C954" s="29">
        <f>IF(Dataset!B954&lt;25,1,IF(Dataset!B954&lt;75,2,IF(Dataset!B954&lt;120,3,4)))</f>
        <v>1</v>
      </c>
      <c r="D954" s="29">
        <f t="shared" si="112"/>
        <v>0.3</v>
      </c>
      <c r="E954" s="29">
        <f>IF(Dataset!C954&lt;=1,0.3,IF(Dataset!C954=2,0.4,IF(Dataset!C954=3,0.5,IF(Dataset!C954=4,0.65,0.8))))</f>
        <v>0.4</v>
      </c>
      <c r="F954" s="29">
        <f>IF(Dataset!C954&lt;=2,1,IF(Dataset!C954=3,2,IF(Dataset!C954=4,3,4)))</f>
        <v>1</v>
      </c>
      <c r="G954" s="29">
        <f t="shared" si="113"/>
        <v>0.4</v>
      </c>
      <c r="H954" s="29">
        <f>IF(Dataset!G954&lt;=3,0.25,IF(Dataset!G954&lt;=6,0.45,IF(Dataset!G954&lt;=9,0.65,0.85)))</f>
        <v>0.25</v>
      </c>
      <c r="I954" s="29">
        <f>IF(Dataset!G954&lt;=3,1,IF(Dataset!G954&lt;=6,2,IF(Dataset!G954&lt;=9,3,4)))</f>
        <v>1</v>
      </c>
      <c r="J954" s="29">
        <f t="shared" si="114"/>
        <v>0.25</v>
      </c>
      <c r="K954" s="29">
        <f>IF(Dataset!H954&lt;1,0.2,IF(Dataset!H954&lt;1.3,0.45,IF(Dataset!H954&lt;1.8,0.7,0.9)))</f>
        <v>0.2</v>
      </c>
      <c r="L954" s="29">
        <f>IF(Dataset!H954&lt;1,1,IF(Dataset!H954&lt;1.3,2,IF(Dataset!H954&lt;1.8,3,4)))</f>
        <v>1</v>
      </c>
      <c r="M954" s="29">
        <f t="shared" si="115"/>
        <v>0.2</v>
      </c>
      <c r="N954" s="29">
        <f>IF(Dataset!F954=1,0.75,IF(Dataset!F954=2,0.45,0.2))</f>
        <v>0.45</v>
      </c>
      <c r="O954" s="29">
        <f>IF(Dataset!F954=1,3,IF(Dataset!F954=2,2,1))</f>
        <v>2</v>
      </c>
      <c r="P954" s="29">
        <f t="shared" si="116"/>
        <v>0.9</v>
      </c>
      <c r="Q954" s="29">
        <f>IF(Dataset!K954&lt;5,0.2,IF(Dataset!K954&lt;10,0.45,IF(Dataset!K954&lt;18,0.7,0.9)))</f>
        <v>0.2</v>
      </c>
      <c r="R954" s="29">
        <f>IF(Dataset!K954&lt;5,1,IF(Dataset!K954&lt;10,2,IF(Dataset!K954&lt;18,3,4)))</f>
        <v>1</v>
      </c>
      <c r="S954" s="29">
        <f t="shared" si="117"/>
        <v>0.2</v>
      </c>
      <c r="T954" s="29">
        <f t="shared" si="118"/>
        <v>0.32600000000000007</v>
      </c>
      <c r="U954" s="29" t="str">
        <f t="shared" si="119"/>
        <v>Low</v>
      </c>
    </row>
    <row r="955" spans="1:21" ht="15" customHeight="1" x14ac:dyDescent="0.25">
      <c r="A955" s="29">
        <f>Dataset!A955</f>
        <v>951</v>
      </c>
      <c r="B955" s="29">
        <f>IF(Dataset!B955&lt;25,0.3,IF(Dataset!B955&lt;75,0.5,IF(Dataset!B955&lt;120,0.65,0.8)))</f>
        <v>0.3</v>
      </c>
      <c r="C955" s="29">
        <f>IF(Dataset!B955&lt;25,1,IF(Dataset!B955&lt;75,2,IF(Dataset!B955&lt;120,3,4)))</f>
        <v>1</v>
      </c>
      <c r="D955" s="29">
        <f t="shared" si="112"/>
        <v>0.3</v>
      </c>
      <c r="E955" s="29">
        <f>IF(Dataset!C955&lt;=1,0.3,IF(Dataset!C955=2,0.4,IF(Dataset!C955=3,0.5,IF(Dataset!C955=4,0.65,0.8))))</f>
        <v>0.65</v>
      </c>
      <c r="F955" s="29">
        <f>IF(Dataset!C955&lt;=2,1,IF(Dataset!C955=3,2,IF(Dataset!C955=4,3,4)))</f>
        <v>3</v>
      </c>
      <c r="G955" s="29">
        <f t="shared" si="113"/>
        <v>1.9500000000000002</v>
      </c>
      <c r="H955" s="29">
        <f>IF(Dataset!G955&lt;=3,0.25,IF(Dataset!G955&lt;=6,0.45,IF(Dataset!G955&lt;=9,0.65,0.85)))</f>
        <v>0.45</v>
      </c>
      <c r="I955" s="29">
        <f>IF(Dataset!G955&lt;=3,1,IF(Dataset!G955&lt;=6,2,IF(Dataset!G955&lt;=9,3,4)))</f>
        <v>2</v>
      </c>
      <c r="J955" s="29">
        <f t="shared" si="114"/>
        <v>0.9</v>
      </c>
      <c r="K955" s="29">
        <f>IF(Dataset!H955&lt;1,0.2,IF(Dataset!H955&lt;1.3,0.45,IF(Dataset!H955&lt;1.8,0.7,0.9)))</f>
        <v>0.7</v>
      </c>
      <c r="L955" s="29">
        <f>IF(Dataset!H955&lt;1,1,IF(Dataset!H955&lt;1.3,2,IF(Dataset!H955&lt;1.8,3,4)))</f>
        <v>3</v>
      </c>
      <c r="M955" s="29">
        <f t="shared" si="115"/>
        <v>2.0999999999999996</v>
      </c>
      <c r="N955" s="29">
        <f>IF(Dataset!F955=1,0.75,IF(Dataset!F955=2,0.45,0.2))</f>
        <v>0.45</v>
      </c>
      <c r="O955" s="29">
        <f>IF(Dataset!F955=1,3,IF(Dataset!F955=2,2,1))</f>
        <v>2</v>
      </c>
      <c r="P955" s="29">
        <f t="shared" si="116"/>
        <v>0.9</v>
      </c>
      <c r="Q955" s="29">
        <f>IF(Dataset!K955&lt;5,0.2,IF(Dataset!K955&lt;10,0.45,IF(Dataset!K955&lt;18,0.7,0.9)))</f>
        <v>0.7</v>
      </c>
      <c r="R955" s="29">
        <f>IF(Dataset!K955&lt;5,1,IF(Dataset!K955&lt;10,2,IF(Dataset!K955&lt;18,3,4)))</f>
        <v>3</v>
      </c>
      <c r="S955" s="29">
        <f t="shared" si="117"/>
        <v>2.0999999999999996</v>
      </c>
      <c r="T955" s="29">
        <f t="shared" si="118"/>
        <v>1.3950000000000002</v>
      </c>
      <c r="U955" s="29" t="str">
        <f t="shared" si="119"/>
        <v>Medium</v>
      </c>
    </row>
    <row r="956" spans="1:21" ht="15" customHeight="1" x14ac:dyDescent="0.25">
      <c r="A956" s="29">
        <f>Dataset!A956</f>
        <v>952</v>
      </c>
      <c r="B956" s="29">
        <f>IF(Dataset!B956&lt;25,0.3,IF(Dataset!B956&lt;75,0.5,IF(Dataset!B956&lt;120,0.65,0.8)))</f>
        <v>0.65</v>
      </c>
      <c r="C956" s="29">
        <f>IF(Dataset!B956&lt;25,1,IF(Dataset!B956&lt;75,2,IF(Dataset!B956&lt;120,3,4)))</f>
        <v>3</v>
      </c>
      <c r="D956" s="29">
        <f t="shared" si="112"/>
        <v>1.9500000000000002</v>
      </c>
      <c r="E956" s="29">
        <f>IF(Dataset!C956&lt;=1,0.3,IF(Dataset!C956=2,0.4,IF(Dataset!C956=3,0.5,IF(Dataset!C956=4,0.65,0.8))))</f>
        <v>0.5</v>
      </c>
      <c r="F956" s="29">
        <f>IF(Dataset!C956&lt;=2,1,IF(Dataset!C956=3,2,IF(Dataset!C956=4,3,4)))</f>
        <v>2</v>
      </c>
      <c r="G956" s="29">
        <f t="shared" si="113"/>
        <v>1</v>
      </c>
      <c r="H956" s="29">
        <f>IF(Dataset!G956&lt;=3,0.25,IF(Dataset!G956&lt;=6,0.45,IF(Dataset!G956&lt;=9,0.65,0.85)))</f>
        <v>0.65</v>
      </c>
      <c r="I956" s="29">
        <f>IF(Dataset!G956&lt;=3,1,IF(Dataset!G956&lt;=6,2,IF(Dataset!G956&lt;=9,3,4)))</f>
        <v>3</v>
      </c>
      <c r="J956" s="29">
        <f t="shared" si="114"/>
        <v>1.9500000000000002</v>
      </c>
      <c r="K956" s="29">
        <f>IF(Dataset!H956&lt;1,0.2,IF(Dataset!H956&lt;1.3,0.45,IF(Dataset!H956&lt;1.8,0.7,0.9)))</f>
        <v>0.7</v>
      </c>
      <c r="L956" s="29">
        <f>IF(Dataset!H956&lt;1,1,IF(Dataset!H956&lt;1.3,2,IF(Dataset!H956&lt;1.8,3,4)))</f>
        <v>3</v>
      </c>
      <c r="M956" s="29">
        <f t="shared" si="115"/>
        <v>2.0999999999999996</v>
      </c>
      <c r="N956" s="29">
        <f>IF(Dataset!F956=1,0.75,IF(Dataset!F956=2,0.45,0.2))</f>
        <v>0.45</v>
      </c>
      <c r="O956" s="29">
        <f>IF(Dataset!F956=1,3,IF(Dataset!F956=2,2,1))</f>
        <v>2</v>
      </c>
      <c r="P956" s="29">
        <f t="shared" si="116"/>
        <v>0.9</v>
      </c>
      <c r="Q956" s="29">
        <f>IF(Dataset!K956&lt;5,0.2,IF(Dataset!K956&lt;10,0.45,IF(Dataset!K956&lt;18,0.7,0.9)))</f>
        <v>0.45</v>
      </c>
      <c r="R956" s="29">
        <f>IF(Dataset!K956&lt;5,1,IF(Dataset!K956&lt;10,2,IF(Dataset!K956&lt;18,3,4)))</f>
        <v>2</v>
      </c>
      <c r="S956" s="29">
        <f t="shared" si="117"/>
        <v>0.9</v>
      </c>
      <c r="T956" s="29">
        <f t="shared" si="118"/>
        <v>1.6010000000000002</v>
      </c>
      <c r="U956" s="29" t="str">
        <f t="shared" si="119"/>
        <v>Medium</v>
      </c>
    </row>
    <row r="957" spans="1:21" ht="15" customHeight="1" x14ac:dyDescent="0.25">
      <c r="A957" s="29">
        <f>Dataset!A957</f>
        <v>953</v>
      </c>
      <c r="B957" s="29">
        <f>IF(Dataset!B957&lt;25,0.3,IF(Dataset!B957&lt;75,0.5,IF(Dataset!B957&lt;120,0.65,0.8)))</f>
        <v>0.5</v>
      </c>
      <c r="C957" s="29">
        <f>IF(Dataset!B957&lt;25,1,IF(Dataset!B957&lt;75,2,IF(Dataset!B957&lt;120,3,4)))</f>
        <v>2</v>
      </c>
      <c r="D957" s="29">
        <f t="shared" si="112"/>
        <v>1</v>
      </c>
      <c r="E957" s="29">
        <f>IF(Dataset!C957&lt;=1,0.3,IF(Dataset!C957=2,0.4,IF(Dataset!C957=3,0.5,IF(Dataset!C957=4,0.65,0.8))))</f>
        <v>0.65</v>
      </c>
      <c r="F957" s="29">
        <f>IF(Dataset!C957&lt;=2,1,IF(Dataset!C957=3,2,IF(Dataset!C957=4,3,4)))</f>
        <v>3</v>
      </c>
      <c r="G957" s="29">
        <f t="shared" si="113"/>
        <v>1.9500000000000002</v>
      </c>
      <c r="H957" s="29">
        <f>IF(Dataset!G957&lt;=3,0.25,IF(Dataset!G957&lt;=6,0.45,IF(Dataset!G957&lt;=9,0.65,0.85)))</f>
        <v>0.45</v>
      </c>
      <c r="I957" s="29">
        <f>IF(Dataset!G957&lt;=3,1,IF(Dataset!G957&lt;=6,2,IF(Dataset!G957&lt;=9,3,4)))</f>
        <v>2</v>
      </c>
      <c r="J957" s="29">
        <f t="shared" si="114"/>
        <v>0.9</v>
      </c>
      <c r="K957" s="29">
        <f>IF(Dataset!H957&lt;1,0.2,IF(Dataset!H957&lt;1.3,0.45,IF(Dataset!H957&lt;1.8,0.7,0.9)))</f>
        <v>0.7</v>
      </c>
      <c r="L957" s="29">
        <f>IF(Dataset!H957&lt;1,1,IF(Dataset!H957&lt;1.3,2,IF(Dataset!H957&lt;1.8,3,4)))</f>
        <v>3</v>
      </c>
      <c r="M957" s="29">
        <f t="shared" si="115"/>
        <v>2.0999999999999996</v>
      </c>
      <c r="N957" s="29">
        <f>IF(Dataset!F957=1,0.75,IF(Dataset!F957=2,0.45,0.2))</f>
        <v>0.45</v>
      </c>
      <c r="O957" s="29">
        <f>IF(Dataset!F957=1,3,IF(Dataset!F957=2,2,1))</f>
        <v>2</v>
      </c>
      <c r="P957" s="29">
        <f t="shared" si="116"/>
        <v>0.9</v>
      </c>
      <c r="Q957" s="29">
        <f>IF(Dataset!K957&lt;5,0.2,IF(Dataset!K957&lt;10,0.45,IF(Dataset!K957&lt;18,0.7,0.9)))</f>
        <v>0.7</v>
      </c>
      <c r="R957" s="29">
        <f>IF(Dataset!K957&lt;5,1,IF(Dataset!K957&lt;10,2,IF(Dataset!K957&lt;18,3,4)))</f>
        <v>3</v>
      </c>
      <c r="S957" s="29">
        <f t="shared" si="117"/>
        <v>2.0999999999999996</v>
      </c>
      <c r="T957" s="29">
        <f t="shared" si="118"/>
        <v>1.5210000000000001</v>
      </c>
      <c r="U957" s="29" t="str">
        <f t="shared" si="119"/>
        <v>Medium</v>
      </c>
    </row>
    <row r="958" spans="1:21" ht="15" customHeight="1" x14ac:dyDescent="0.25">
      <c r="A958" s="29">
        <f>Dataset!A958</f>
        <v>954</v>
      </c>
      <c r="B958" s="29">
        <f>IF(Dataset!B958&lt;25,0.3,IF(Dataset!B958&lt;75,0.5,IF(Dataset!B958&lt;120,0.65,0.8)))</f>
        <v>0.8</v>
      </c>
      <c r="C958" s="29">
        <f>IF(Dataset!B958&lt;25,1,IF(Dataset!B958&lt;75,2,IF(Dataset!B958&lt;120,3,4)))</f>
        <v>4</v>
      </c>
      <c r="D958" s="29">
        <f t="shared" si="112"/>
        <v>3.2</v>
      </c>
      <c r="E958" s="29">
        <f>IF(Dataset!C958&lt;=1,0.3,IF(Dataset!C958=2,0.4,IF(Dataset!C958=3,0.5,IF(Dataset!C958=4,0.65,0.8))))</f>
        <v>0.8</v>
      </c>
      <c r="F958" s="29">
        <f>IF(Dataset!C958&lt;=2,1,IF(Dataset!C958=3,2,IF(Dataset!C958=4,3,4)))</f>
        <v>4</v>
      </c>
      <c r="G958" s="29">
        <f t="shared" si="113"/>
        <v>3.2</v>
      </c>
      <c r="H958" s="29">
        <f>IF(Dataset!G958&lt;=3,0.25,IF(Dataset!G958&lt;=6,0.45,IF(Dataset!G958&lt;=9,0.65,0.85)))</f>
        <v>0.25</v>
      </c>
      <c r="I958" s="29">
        <f>IF(Dataset!G958&lt;=3,1,IF(Dataset!G958&lt;=6,2,IF(Dataset!G958&lt;=9,3,4)))</f>
        <v>1</v>
      </c>
      <c r="J958" s="29">
        <f t="shared" si="114"/>
        <v>0.25</v>
      </c>
      <c r="K958" s="29">
        <f>IF(Dataset!H958&lt;1,0.2,IF(Dataset!H958&lt;1.3,0.45,IF(Dataset!H958&lt;1.8,0.7,0.9)))</f>
        <v>0.9</v>
      </c>
      <c r="L958" s="29">
        <f>IF(Dataset!H958&lt;1,1,IF(Dataset!H958&lt;1.3,2,IF(Dataset!H958&lt;1.8,3,4)))</f>
        <v>4</v>
      </c>
      <c r="M958" s="29">
        <f t="shared" si="115"/>
        <v>3.6</v>
      </c>
      <c r="N958" s="29">
        <f>IF(Dataset!F958=1,0.75,IF(Dataset!F958=2,0.45,0.2))</f>
        <v>0.45</v>
      </c>
      <c r="O958" s="29">
        <f>IF(Dataset!F958=1,3,IF(Dataset!F958=2,2,1))</f>
        <v>2</v>
      </c>
      <c r="P958" s="29">
        <f t="shared" si="116"/>
        <v>0.9</v>
      </c>
      <c r="Q958" s="29">
        <f>IF(Dataset!K958&lt;5,0.2,IF(Dataset!K958&lt;10,0.45,IF(Dataset!K958&lt;18,0.7,0.9)))</f>
        <v>0.7</v>
      </c>
      <c r="R958" s="29">
        <f>IF(Dataset!K958&lt;5,1,IF(Dataset!K958&lt;10,2,IF(Dataset!K958&lt;18,3,4)))</f>
        <v>3</v>
      </c>
      <c r="S958" s="29">
        <f t="shared" si="117"/>
        <v>2.0999999999999996</v>
      </c>
      <c r="T958" s="29">
        <f t="shared" si="118"/>
        <v>2.3220000000000001</v>
      </c>
      <c r="U958" s="29" t="str">
        <f t="shared" si="119"/>
        <v>High</v>
      </c>
    </row>
    <row r="959" spans="1:21" ht="15" customHeight="1" x14ac:dyDescent="0.25">
      <c r="A959" s="29">
        <f>Dataset!A959</f>
        <v>955</v>
      </c>
      <c r="B959" s="29">
        <f>IF(Dataset!B959&lt;25,0.3,IF(Dataset!B959&lt;75,0.5,IF(Dataset!B959&lt;120,0.65,0.8)))</f>
        <v>0.8</v>
      </c>
      <c r="C959" s="29">
        <f>IF(Dataset!B959&lt;25,1,IF(Dataset!B959&lt;75,2,IF(Dataset!B959&lt;120,3,4)))</f>
        <v>4</v>
      </c>
      <c r="D959" s="29">
        <f t="shared" si="112"/>
        <v>3.2</v>
      </c>
      <c r="E959" s="29">
        <f>IF(Dataset!C959&lt;=1,0.3,IF(Dataset!C959=2,0.4,IF(Dataset!C959=3,0.5,IF(Dataset!C959=4,0.65,0.8))))</f>
        <v>0.4</v>
      </c>
      <c r="F959" s="29">
        <f>IF(Dataset!C959&lt;=2,1,IF(Dataset!C959=3,2,IF(Dataset!C959=4,3,4)))</f>
        <v>1</v>
      </c>
      <c r="G959" s="29">
        <f t="shared" si="113"/>
        <v>0.4</v>
      </c>
      <c r="H959" s="29">
        <f>IF(Dataset!G959&lt;=3,0.25,IF(Dataset!G959&lt;=6,0.45,IF(Dataset!G959&lt;=9,0.65,0.85)))</f>
        <v>0.65</v>
      </c>
      <c r="I959" s="29">
        <f>IF(Dataset!G959&lt;=3,1,IF(Dataset!G959&lt;=6,2,IF(Dataset!G959&lt;=9,3,4)))</f>
        <v>3</v>
      </c>
      <c r="J959" s="29">
        <f t="shared" si="114"/>
        <v>1.9500000000000002</v>
      </c>
      <c r="K959" s="29">
        <f>IF(Dataset!H959&lt;1,0.2,IF(Dataset!H959&lt;1.3,0.45,IF(Dataset!H959&lt;1.8,0.7,0.9)))</f>
        <v>0.9</v>
      </c>
      <c r="L959" s="29">
        <f>IF(Dataset!H959&lt;1,1,IF(Dataset!H959&lt;1.3,2,IF(Dataset!H959&lt;1.8,3,4)))</f>
        <v>4</v>
      </c>
      <c r="M959" s="29">
        <f t="shared" si="115"/>
        <v>3.6</v>
      </c>
      <c r="N959" s="29">
        <f>IF(Dataset!F959=1,0.75,IF(Dataset!F959=2,0.45,0.2))</f>
        <v>0.45</v>
      </c>
      <c r="O959" s="29">
        <f>IF(Dataset!F959=1,3,IF(Dataset!F959=2,2,1))</f>
        <v>2</v>
      </c>
      <c r="P959" s="29">
        <f t="shared" si="116"/>
        <v>0.9</v>
      </c>
      <c r="Q959" s="29">
        <f>IF(Dataset!K959&lt;5,0.2,IF(Dataset!K959&lt;10,0.45,IF(Dataset!K959&lt;18,0.7,0.9)))</f>
        <v>0.45</v>
      </c>
      <c r="R959" s="29">
        <f>IF(Dataset!K959&lt;5,1,IF(Dataset!K959&lt;10,2,IF(Dataset!K959&lt;18,3,4)))</f>
        <v>2</v>
      </c>
      <c r="S959" s="29">
        <f t="shared" si="117"/>
        <v>0.9</v>
      </c>
      <c r="T959" s="29">
        <f t="shared" si="118"/>
        <v>2.1020000000000003</v>
      </c>
      <c r="U959" s="29" t="str">
        <f t="shared" si="119"/>
        <v>High</v>
      </c>
    </row>
    <row r="960" spans="1:21" ht="15" customHeight="1" x14ac:dyDescent="0.25">
      <c r="A960" s="29">
        <f>Dataset!A960</f>
        <v>956</v>
      </c>
      <c r="B960" s="29">
        <f>IF(Dataset!B960&lt;25,0.3,IF(Dataset!B960&lt;75,0.5,IF(Dataset!B960&lt;120,0.65,0.8)))</f>
        <v>0.3</v>
      </c>
      <c r="C960" s="29">
        <f>IF(Dataset!B960&lt;25,1,IF(Dataset!B960&lt;75,2,IF(Dataset!B960&lt;120,3,4)))</f>
        <v>1</v>
      </c>
      <c r="D960" s="29">
        <f t="shared" si="112"/>
        <v>0.3</v>
      </c>
      <c r="E960" s="29">
        <f>IF(Dataset!C960&lt;=1,0.3,IF(Dataset!C960=2,0.4,IF(Dataset!C960=3,0.5,IF(Dataset!C960=4,0.65,0.8))))</f>
        <v>0.5</v>
      </c>
      <c r="F960" s="29">
        <f>IF(Dataset!C960&lt;=2,1,IF(Dataset!C960=3,2,IF(Dataset!C960=4,3,4)))</f>
        <v>2</v>
      </c>
      <c r="G960" s="29">
        <f t="shared" si="113"/>
        <v>1</v>
      </c>
      <c r="H960" s="29">
        <f>IF(Dataset!G960&lt;=3,0.25,IF(Dataset!G960&lt;=6,0.45,IF(Dataset!G960&lt;=9,0.65,0.85)))</f>
        <v>0.45</v>
      </c>
      <c r="I960" s="29">
        <f>IF(Dataset!G960&lt;=3,1,IF(Dataset!G960&lt;=6,2,IF(Dataset!G960&lt;=9,3,4)))</f>
        <v>2</v>
      </c>
      <c r="J960" s="29">
        <f t="shared" si="114"/>
        <v>0.9</v>
      </c>
      <c r="K960" s="29">
        <f>IF(Dataset!H960&lt;1,0.2,IF(Dataset!H960&lt;1.3,0.45,IF(Dataset!H960&lt;1.8,0.7,0.9)))</f>
        <v>0.9</v>
      </c>
      <c r="L960" s="29">
        <f>IF(Dataset!H960&lt;1,1,IF(Dataset!H960&lt;1.3,2,IF(Dataset!H960&lt;1.8,3,4)))</f>
        <v>4</v>
      </c>
      <c r="M960" s="29">
        <f t="shared" si="115"/>
        <v>3.6</v>
      </c>
      <c r="N960" s="29">
        <f>IF(Dataset!F960=1,0.75,IF(Dataset!F960=2,0.45,0.2))</f>
        <v>0.75</v>
      </c>
      <c r="O960" s="29">
        <f>IF(Dataset!F960=1,3,IF(Dataset!F960=2,2,1))</f>
        <v>3</v>
      </c>
      <c r="P960" s="29">
        <f t="shared" si="116"/>
        <v>2.25</v>
      </c>
      <c r="Q960" s="29">
        <f>IF(Dataset!K960&lt;5,0.2,IF(Dataset!K960&lt;10,0.45,IF(Dataset!K960&lt;18,0.7,0.9)))</f>
        <v>0.45</v>
      </c>
      <c r="R960" s="29">
        <f>IF(Dataset!K960&lt;5,1,IF(Dataset!K960&lt;10,2,IF(Dataset!K960&lt;18,3,4)))</f>
        <v>2</v>
      </c>
      <c r="S960" s="29">
        <f t="shared" si="117"/>
        <v>0.9</v>
      </c>
      <c r="T960" s="29">
        <f t="shared" si="118"/>
        <v>1.5890000000000002</v>
      </c>
      <c r="U960" s="29" t="str">
        <f t="shared" si="119"/>
        <v>Medium</v>
      </c>
    </row>
    <row r="961" spans="1:21" ht="15" customHeight="1" x14ac:dyDescent="0.25">
      <c r="A961" s="29">
        <f>Dataset!A961</f>
        <v>957</v>
      </c>
      <c r="B961" s="29">
        <f>IF(Dataset!B961&lt;25,0.3,IF(Dataset!B961&lt;75,0.5,IF(Dataset!B961&lt;120,0.65,0.8)))</f>
        <v>0.5</v>
      </c>
      <c r="C961" s="29">
        <f>IF(Dataset!B961&lt;25,1,IF(Dataset!B961&lt;75,2,IF(Dataset!B961&lt;120,3,4)))</f>
        <v>2</v>
      </c>
      <c r="D961" s="29">
        <f t="shared" si="112"/>
        <v>1</v>
      </c>
      <c r="E961" s="29">
        <f>IF(Dataset!C961&lt;=1,0.3,IF(Dataset!C961=2,0.4,IF(Dataset!C961=3,0.5,IF(Dataset!C961=4,0.65,0.8))))</f>
        <v>0.65</v>
      </c>
      <c r="F961" s="29">
        <f>IF(Dataset!C961&lt;=2,1,IF(Dataset!C961=3,2,IF(Dataset!C961=4,3,4)))</f>
        <v>3</v>
      </c>
      <c r="G961" s="29">
        <f t="shared" si="113"/>
        <v>1.9500000000000002</v>
      </c>
      <c r="H961" s="29">
        <f>IF(Dataset!G961&lt;=3,0.25,IF(Dataset!G961&lt;=6,0.45,IF(Dataset!G961&lt;=9,0.65,0.85)))</f>
        <v>0.45</v>
      </c>
      <c r="I961" s="29">
        <f>IF(Dataset!G961&lt;=3,1,IF(Dataset!G961&lt;=6,2,IF(Dataset!G961&lt;=9,3,4)))</f>
        <v>2</v>
      </c>
      <c r="J961" s="29">
        <f t="shared" si="114"/>
        <v>0.9</v>
      </c>
      <c r="K961" s="29">
        <f>IF(Dataset!H961&lt;1,0.2,IF(Dataset!H961&lt;1.3,0.45,IF(Dataset!H961&lt;1.8,0.7,0.9)))</f>
        <v>0.9</v>
      </c>
      <c r="L961" s="29">
        <f>IF(Dataset!H961&lt;1,1,IF(Dataset!H961&lt;1.3,2,IF(Dataset!H961&lt;1.8,3,4)))</f>
        <v>4</v>
      </c>
      <c r="M961" s="29">
        <f t="shared" si="115"/>
        <v>3.6</v>
      </c>
      <c r="N961" s="29">
        <f>IF(Dataset!F961=1,0.75,IF(Dataset!F961=2,0.45,0.2))</f>
        <v>0.45</v>
      </c>
      <c r="O961" s="29">
        <f>IF(Dataset!F961=1,3,IF(Dataset!F961=2,2,1))</f>
        <v>2</v>
      </c>
      <c r="P961" s="29">
        <f t="shared" si="116"/>
        <v>0.9</v>
      </c>
      <c r="Q961" s="29">
        <f>IF(Dataset!K961&lt;5,0.2,IF(Dataset!K961&lt;10,0.45,IF(Dataset!K961&lt;18,0.7,0.9)))</f>
        <v>0.45</v>
      </c>
      <c r="R961" s="29">
        <f>IF(Dataset!K961&lt;5,1,IF(Dataset!K961&lt;10,2,IF(Dataset!K961&lt;18,3,4)))</f>
        <v>2</v>
      </c>
      <c r="S961" s="29">
        <f t="shared" si="117"/>
        <v>0.9</v>
      </c>
      <c r="T961" s="29">
        <f t="shared" si="118"/>
        <v>1.7130000000000003</v>
      </c>
      <c r="U961" s="29" t="str">
        <f t="shared" si="119"/>
        <v>Medium</v>
      </c>
    </row>
    <row r="962" spans="1:21" ht="15" customHeight="1" x14ac:dyDescent="0.25">
      <c r="A962" s="29">
        <f>Dataset!A962</f>
        <v>958</v>
      </c>
      <c r="B962" s="29">
        <f>IF(Dataset!B962&lt;25,0.3,IF(Dataset!B962&lt;75,0.5,IF(Dataset!B962&lt;120,0.65,0.8)))</f>
        <v>0.5</v>
      </c>
      <c r="C962" s="29">
        <f>IF(Dataset!B962&lt;25,1,IF(Dataset!B962&lt;75,2,IF(Dataset!B962&lt;120,3,4)))</f>
        <v>2</v>
      </c>
      <c r="D962" s="29">
        <f t="shared" si="112"/>
        <v>1</v>
      </c>
      <c r="E962" s="29">
        <f>IF(Dataset!C962&lt;=1,0.3,IF(Dataset!C962=2,0.4,IF(Dataset!C962=3,0.5,IF(Dataset!C962=4,0.65,0.8))))</f>
        <v>0.5</v>
      </c>
      <c r="F962" s="29">
        <f>IF(Dataset!C962&lt;=2,1,IF(Dataset!C962=3,2,IF(Dataset!C962=4,3,4)))</f>
        <v>2</v>
      </c>
      <c r="G962" s="29">
        <f t="shared" si="113"/>
        <v>1</v>
      </c>
      <c r="H962" s="29">
        <f>IF(Dataset!G962&lt;=3,0.25,IF(Dataset!G962&lt;=6,0.45,IF(Dataset!G962&lt;=9,0.65,0.85)))</f>
        <v>0.65</v>
      </c>
      <c r="I962" s="29">
        <f>IF(Dataset!G962&lt;=3,1,IF(Dataset!G962&lt;=6,2,IF(Dataset!G962&lt;=9,3,4)))</f>
        <v>3</v>
      </c>
      <c r="J962" s="29">
        <f t="shared" si="114"/>
        <v>1.9500000000000002</v>
      </c>
      <c r="K962" s="29">
        <f>IF(Dataset!H962&lt;1,0.2,IF(Dataset!H962&lt;1.3,0.45,IF(Dataset!H962&lt;1.8,0.7,0.9)))</f>
        <v>0.2</v>
      </c>
      <c r="L962" s="29">
        <f>IF(Dataset!H962&lt;1,1,IF(Dataset!H962&lt;1.3,2,IF(Dataset!H962&lt;1.8,3,4)))</f>
        <v>1</v>
      </c>
      <c r="M962" s="29">
        <f t="shared" si="115"/>
        <v>0.2</v>
      </c>
      <c r="N962" s="29">
        <f>IF(Dataset!F962=1,0.75,IF(Dataset!F962=2,0.45,0.2))</f>
        <v>0.2</v>
      </c>
      <c r="O962" s="29">
        <f>IF(Dataset!F962=1,3,IF(Dataset!F962=2,2,1))</f>
        <v>1</v>
      </c>
      <c r="P962" s="29">
        <f t="shared" si="116"/>
        <v>0.2</v>
      </c>
      <c r="Q962" s="29">
        <f>IF(Dataset!K962&lt;5,0.2,IF(Dataset!K962&lt;10,0.45,IF(Dataset!K962&lt;18,0.7,0.9)))</f>
        <v>0.45</v>
      </c>
      <c r="R962" s="29">
        <f>IF(Dataset!K962&lt;5,1,IF(Dataset!K962&lt;10,2,IF(Dataset!K962&lt;18,3,4)))</f>
        <v>2</v>
      </c>
      <c r="S962" s="29">
        <f t="shared" si="117"/>
        <v>0.9</v>
      </c>
      <c r="T962" s="29">
        <f t="shared" si="118"/>
        <v>0.90400000000000014</v>
      </c>
      <c r="U962" s="29" t="str">
        <f t="shared" si="119"/>
        <v>Low</v>
      </c>
    </row>
    <row r="963" spans="1:21" ht="15" customHeight="1" x14ac:dyDescent="0.25">
      <c r="A963" s="29">
        <f>Dataset!A963</f>
        <v>959</v>
      </c>
      <c r="B963" s="29">
        <f>IF(Dataset!B963&lt;25,0.3,IF(Dataset!B963&lt;75,0.5,IF(Dataset!B963&lt;120,0.65,0.8)))</f>
        <v>0.3</v>
      </c>
      <c r="C963" s="29">
        <f>IF(Dataset!B963&lt;25,1,IF(Dataset!B963&lt;75,2,IF(Dataset!B963&lt;120,3,4)))</f>
        <v>1</v>
      </c>
      <c r="D963" s="29">
        <f t="shared" si="112"/>
        <v>0.3</v>
      </c>
      <c r="E963" s="29">
        <f>IF(Dataset!C963&lt;=1,0.3,IF(Dataset!C963=2,0.4,IF(Dataset!C963=3,0.5,IF(Dataset!C963=4,0.65,0.8))))</f>
        <v>0.4</v>
      </c>
      <c r="F963" s="29">
        <f>IF(Dataset!C963&lt;=2,1,IF(Dataset!C963=3,2,IF(Dataset!C963=4,3,4)))</f>
        <v>1</v>
      </c>
      <c r="G963" s="29">
        <f t="shared" si="113"/>
        <v>0.4</v>
      </c>
      <c r="H963" s="29">
        <f>IF(Dataset!G963&lt;=3,0.25,IF(Dataset!G963&lt;=6,0.45,IF(Dataset!G963&lt;=9,0.65,0.85)))</f>
        <v>0.65</v>
      </c>
      <c r="I963" s="29">
        <f>IF(Dataset!G963&lt;=3,1,IF(Dataset!G963&lt;=6,2,IF(Dataset!G963&lt;=9,3,4)))</f>
        <v>3</v>
      </c>
      <c r="J963" s="29">
        <f t="shared" si="114"/>
        <v>1.9500000000000002</v>
      </c>
      <c r="K963" s="29">
        <f>IF(Dataset!H963&lt;1,0.2,IF(Dataset!H963&lt;1.3,0.45,IF(Dataset!H963&lt;1.8,0.7,0.9)))</f>
        <v>0.45</v>
      </c>
      <c r="L963" s="29">
        <f>IF(Dataset!H963&lt;1,1,IF(Dataset!H963&lt;1.3,2,IF(Dataset!H963&lt;1.8,3,4)))</f>
        <v>2</v>
      </c>
      <c r="M963" s="29">
        <f t="shared" si="115"/>
        <v>0.9</v>
      </c>
      <c r="N963" s="29">
        <f>IF(Dataset!F963=1,0.75,IF(Dataset!F963=2,0.45,0.2))</f>
        <v>0.75</v>
      </c>
      <c r="O963" s="29">
        <f>IF(Dataset!F963=1,3,IF(Dataset!F963=2,2,1))</f>
        <v>3</v>
      </c>
      <c r="P963" s="29">
        <f t="shared" si="116"/>
        <v>2.25</v>
      </c>
      <c r="Q963" s="29">
        <f>IF(Dataset!K963&lt;5,0.2,IF(Dataset!K963&lt;10,0.45,IF(Dataset!K963&lt;18,0.7,0.9)))</f>
        <v>0.2</v>
      </c>
      <c r="R963" s="29">
        <f>IF(Dataset!K963&lt;5,1,IF(Dataset!K963&lt;10,2,IF(Dataset!K963&lt;18,3,4)))</f>
        <v>1</v>
      </c>
      <c r="S963" s="29">
        <f t="shared" si="117"/>
        <v>0.2</v>
      </c>
      <c r="T963" s="29">
        <f t="shared" si="118"/>
        <v>0.96900000000000008</v>
      </c>
      <c r="U963" s="29" t="str">
        <f t="shared" si="119"/>
        <v>Low</v>
      </c>
    </row>
    <row r="964" spans="1:21" ht="15" customHeight="1" x14ac:dyDescent="0.25">
      <c r="A964" s="29">
        <f>Dataset!A964</f>
        <v>960</v>
      </c>
      <c r="B964" s="29">
        <f>IF(Dataset!B964&lt;25,0.3,IF(Dataset!B964&lt;75,0.5,IF(Dataset!B964&lt;120,0.65,0.8)))</f>
        <v>0.3</v>
      </c>
      <c r="C964" s="29">
        <f>IF(Dataset!B964&lt;25,1,IF(Dataset!B964&lt;75,2,IF(Dataset!B964&lt;120,3,4)))</f>
        <v>1</v>
      </c>
      <c r="D964" s="29">
        <f t="shared" si="112"/>
        <v>0.3</v>
      </c>
      <c r="E964" s="29">
        <f>IF(Dataset!C964&lt;=1,0.3,IF(Dataset!C964=2,0.4,IF(Dataset!C964=3,0.5,IF(Dataset!C964=4,0.65,0.8))))</f>
        <v>0.3</v>
      </c>
      <c r="F964" s="29">
        <f>IF(Dataset!C964&lt;=2,1,IF(Dataset!C964=3,2,IF(Dataset!C964=4,3,4)))</f>
        <v>1</v>
      </c>
      <c r="G964" s="29">
        <f t="shared" si="113"/>
        <v>0.3</v>
      </c>
      <c r="H964" s="29">
        <f>IF(Dataset!G964&lt;=3,0.25,IF(Dataset!G964&lt;=6,0.45,IF(Dataset!G964&lt;=9,0.65,0.85)))</f>
        <v>0.65</v>
      </c>
      <c r="I964" s="29">
        <f>IF(Dataset!G964&lt;=3,1,IF(Dataset!G964&lt;=6,2,IF(Dataset!G964&lt;=9,3,4)))</f>
        <v>3</v>
      </c>
      <c r="J964" s="29">
        <f t="shared" si="114"/>
        <v>1.9500000000000002</v>
      </c>
      <c r="K964" s="29">
        <f>IF(Dataset!H964&lt;1,0.2,IF(Dataset!H964&lt;1.3,0.45,IF(Dataset!H964&lt;1.8,0.7,0.9)))</f>
        <v>0.45</v>
      </c>
      <c r="L964" s="29">
        <f>IF(Dataset!H964&lt;1,1,IF(Dataset!H964&lt;1.3,2,IF(Dataset!H964&lt;1.8,3,4)))</f>
        <v>2</v>
      </c>
      <c r="M964" s="29">
        <f t="shared" si="115"/>
        <v>0.9</v>
      </c>
      <c r="N964" s="29">
        <f>IF(Dataset!F964=1,0.75,IF(Dataset!F964=2,0.45,0.2))</f>
        <v>0.45</v>
      </c>
      <c r="O964" s="29">
        <f>IF(Dataset!F964=1,3,IF(Dataset!F964=2,2,1))</f>
        <v>2</v>
      </c>
      <c r="P964" s="29">
        <f t="shared" si="116"/>
        <v>0.9</v>
      </c>
      <c r="Q964" s="29">
        <f>IF(Dataset!K964&lt;5,0.2,IF(Dataset!K964&lt;10,0.45,IF(Dataset!K964&lt;18,0.7,0.9)))</f>
        <v>0.2</v>
      </c>
      <c r="R964" s="29">
        <f>IF(Dataset!K964&lt;5,1,IF(Dataset!K964&lt;10,2,IF(Dataset!K964&lt;18,3,4)))</f>
        <v>1</v>
      </c>
      <c r="S964" s="29">
        <f t="shared" si="117"/>
        <v>0.2</v>
      </c>
      <c r="T964" s="29">
        <f t="shared" si="118"/>
        <v>0.82000000000000006</v>
      </c>
      <c r="U964" s="29" t="str">
        <f t="shared" si="119"/>
        <v>Low</v>
      </c>
    </row>
    <row r="965" spans="1:21" ht="15" customHeight="1" x14ac:dyDescent="0.25">
      <c r="A965" s="29">
        <f>Dataset!A965</f>
        <v>961</v>
      </c>
      <c r="B965" s="29">
        <f>IF(Dataset!B965&lt;25,0.3,IF(Dataset!B965&lt;75,0.5,IF(Dataset!B965&lt;120,0.65,0.8)))</f>
        <v>0.5</v>
      </c>
      <c r="C965" s="29">
        <f>IF(Dataset!B965&lt;25,1,IF(Dataset!B965&lt;75,2,IF(Dataset!B965&lt;120,3,4)))</f>
        <v>2</v>
      </c>
      <c r="D965" s="29">
        <f t="shared" ref="D965:D1028" si="120">B965*C965</f>
        <v>1</v>
      </c>
      <c r="E965" s="29">
        <f>IF(Dataset!C965&lt;=1,0.3,IF(Dataset!C965=2,0.4,IF(Dataset!C965=3,0.5,IF(Dataset!C965=4,0.65,0.8))))</f>
        <v>0.5</v>
      </c>
      <c r="F965" s="29">
        <f>IF(Dataset!C965&lt;=2,1,IF(Dataset!C965=3,2,IF(Dataset!C965=4,3,4)))</f>
        <v>2</v>
      </c>
      <c r="G965" s="29">
        <f t="shared" ref="G965:G1028" si="121">E965*F965</f>
        <v>1</v>
      </c>
      <c r="H965" s="29">
        <f>IF(Dataset!G965&lt;=3,0.25,IF(Dataset!G965&lt;=6,0.45,IF(Dataset!G965&lt;=9,0.65,0.85)))</f>
        <v>0.25</v>
      </c>
      <c r="I965" s="29">
        <f>IF(Dataset!G965&lt;=3,1,IF(Dataset!G965&lt;=6,2,IF(Dataset!G965&lt;=9,3,4)))</f>
        <v>1</v>
      </c>
      <c r="J965" s="29">
        <f t="shared" ref="J965:J1028" si="122">H965*I965</f>
        <v>0.25</v>
      </c>
      <c r="K965" s="29">
        <f>IF(Dataset!H965&lt;1,0.2,IF(Dataset!H965&lt;1.3,0.45,IF(Dataset!H965&lt;1.8,0.7,0.9)))</f>
        <v>0.9</v>
      </c>
      <c r="L965" s="29">
        <f>IF(Dataset!H965&lt;1,1,IF(Dataset!H965&lt;1.3,2,IF(Dataset!H965&lt;1.8,3,4)))</f>
        <v>4</v>
      </c>
      <c r="M965" s="29">
        <f t="shared" ref="M965:M1028" si="123">K965*L965</f>
        <v>3.6</v>
      </c>
      <c r="N965" s="29">
        <f>IF(Dataset!F965=1,0.75,IF(Dataset!F965=2,0.45,0.2))</f>
        <v>0.75</v>
      </c>
      <c r="O965" s="29">
        <f>IF(Dataset!F965=1,3,IF(Dataset!F965=2,2,1))</f>
        <v>3</v>
      </c>
      <c r="P965" s="29">
        <f t="shared" ref="P965:P1028" si="124">N965*O965</f>
        <v>2.25</v>
      </c>
      <c r="Q965" s="29">
        <f>IF(Dataset!K965&lt;5,0.2,IF(Dataset!K965&lt;10,0.45,IF(Dataset!K965&lt;18,0.7,0.9)))</f>
        <v>0.45</v>
      </c>
      <c r="R965" s="29">
        <f>IF(Dataset!K965&lt;5,1,IF(Dataset!K965&lt;10,2,IF(Dataset!K965&lt;18,3,4)))</f>
        <v>2</v>
      </c>
      <c r="S965" s="29">
        <f t="shared" ref="S965:S1028" si="125">Q965*R965</f>
        <v>0.9</v>
      </c>
      <c r="T965" s="29">
        <f t="shared" ref="T965:T1028" si="126">$Y$6*D965+$Y$7*G965+$Y$8*J965+$Y$9*M965+$Y$10*P965+$Y$11*S965</f>
        <v>1.5850000000000002</v>
      </c>
      <c r="U965" s="29" t="str">
        <f t="shared" ref="U965:U1028" si="127">IF(T965&lt;=$Y$15,"Low",IF(T965&lt;=$Y$16,"Medium","High"))</f>
        <v>Medium</v>
      </c>
    </row>
    <row r="966" spans="1:21" ht="15" customHeight="1" x14ac:dyDescent="0.25">
      <c r="A966" s="29">
        <f>Dataset!A966</f>
        <v>962</v>
      </c>
      <c r="B966" s="29">
        <f>IF(Dataset!B966&lt;25,0.3,IF(Dataset!B966&lt;75,0.5,IF(Dataset!B966&lt;120,0.65,0.8)))</f>
        <v>0.8</v>
      </c>
      <c r="C966" s="29">
        <f>IF(Dataset!B966&lt;25,1,IF(Dataset!B966&lt;75,2,IF(Dataset!B966&lt;120,3,4)))</f>
        <v>4</v>
      </c>
      <c r="D966" s="29">
        <f t="shared" si="120"/>
        <v>3.2</v>
      </c>
      <c r="E966" s="29">
        <f>IF(Dataset!C966&lt;=1,0.3,IF(Dataset!C966=2,0.4,IF(Dataset!C966=3,0.5,IF(Dataset!C966=4,0.65,0.8))))</f>
        <v>0.65</v>
      </c>
      <c r="F966" s="29">
        <f>IF(Dataset!C966&lt;=2,1,IF(Dataset!C966=3,2,IF(Dataset!C966=4,3,4)))</f>
        <v>3</v>
      </c>
      <c r="G966" s="29">
        <f t="shared" si="121"/>
        <v>1.9500000000000002</v>
      </c>
      <c r="H966" s="29">
        <f>IF(Dataset!G966&lt;=3,0.25,IF(Dataset!G966&lt;=6,0.45,IF(Dataset!G966&lt;=9,0.65,0.85)))</f>
        <v>0.45</v>
      </c>
      <c r="I966" s="29">
        <f>IF(Dataset!G966&lt;=3,1,IF(Dataset!G966&lt;=6,2,IF(Dataset!G966&lt;=9,3,4)))</f>
        <v>2</v>
      </c>
      <c r="J966" s="29">
        <f t="shared" si="122"/>
        <v>0.9</v>
      </c>
      <c r="K966" s="29">
        <f>IF(Dataset!H966&lt;1,0.2,IF(Dataset!H966&lt;1.3,0.45,IF(Dataset!H966&lt;1.8,0.7,0.9)))</f>
        <v>0.9</v>
      </c>
      <c r="L966" s="29">
        <f>IF(Dataset!H966&lt;1,1,IF(Dataset!H966&lt;1.3,2,IF(Dataset!H966&lt;1.8,3,4)))</f>
        <v>4</v>
      </c>
      <c r="M966" s="29">
        <f t="shared" si="123"/>
        <v>3.6</v>
      </c>
      <c r="N966" s="29">
        <f>IF(Dataset!F966=1,0.75,IF(Dataset!F966=2,0.45,0.2))</f>
        <v>0.2</v>
      </c>
      <c r="O966" s="29">
        <f>IF(Dataset!F966=1,3,IF(Dataset!F966=2,2,1))</f>
        <v>1</v>
      </c>
      <c r="P966" s="29">
        <f t="shared" si="124"/>
        <v>0.2</v>
      </c>
      <c r="Q966" s="29">
        <f>IF(Dataset!K966&lt;5,0.2,IF(Dataset!K966&lt;10,0.45,IF(Dataset!K966&lt;18,0.7,0.9)))</f>
        <v>0.7</v>
      </c>
      <c r="R966" s="29">
        <f>IF(Dataset!K966&lt;5,1,IF(Dataset!K966&lt;10,2,IF(Dataset!K966&lt;18,3,4)))</f>
        <v>3</v>
      </c>
      <c r="S966" s="29">
        <f t="shared" si="125"/>
        <v>2.0999999999999996</v>
      </c>
      <c r="T966" s="29">
        <f t="shared" si="126"/>
        <v>2.2069999999999999</v>
      </c>
      <c r="U966" s="29" t="str">
        <f t="shared" si="127"/>
        <v>High</v>
      </c>
    </row>
    <row r="967" spans="1:21" ht="15" customHeight="1" x14ac:dyDescent="0.25">
      <c r="A967" s="29">
        <f>Dataset!A967</f>
        <v>963</v>
      </c>
      <c r="B967" s="29">
        <f>IF(Dataset!B967&lt;25,0.3,IF(Dataset!B967&lt;75,0.5,IF(Dataset!B967&lt;120,0.65,0.8)))</f>
        <v>0.5</v>
      </c>
      <c r="C967" s="29">
        <f>IF(Dataset!B967&lt;25,1,IF(Dataset!B967&lt;75,2,IF(Dataset!B967&lt;120,3,4)))</f>
        <v>2</v>
      </c>
      <c r="D967" s="29">
        <f t="shared" si="120"/>
        <v>1</v>
      </c>
      <c r="E967" s="29">
        <f>IF(Dataset!C967&lt;=1,0.3,IF(Dataset!C967=2,0.4,IF(Dataset!C967=3,0.5,IF(Dataset!C967=4,0.65,0.8))))</f>
        <v>0.65</v>
      </c>
      <c r="F967" s="29">
        <f>IF(Dataset!C967&lt;=2,1,IF(Dataset!C967=3,2,IF(Dataset!C967=4,3,4)))</f>
        <v>3</v>
      </c>
      <c r="G967" s="29">
        <f t="shared" si="121"/>
        <v>1.9500000000000002</v>
      </c>
      <c r="H967" s="29">
        <f>IF(Dataset!G967&lt;=3,0.25,IF(Dataset!G967&lt;=6,0.45,IF(Dataset!G967&lt;=9,0.65,0.85)))</f>
        <v>0.45</v>
      </c>
      <c r="I967" s="29">
        <f>IF(Dataset!G967&lt;=3,1,IF(Dataset!G967&lt;=6,2,IF(Dataset!G967&lt;=9,3,4)))</f>
        <v>2</v>
      </c>
      <c r="J967" s="29">
        <f t="shared" si="122"/>
        <v>0.9</v>
      </c>
      <c r="K967" s="29">
        <f>IF(Dataset!H967&lt;1,0.2,IF(Dataset!H967&lt;1.3,0.45,IF(Dataset!H967&lt;1.8,0.7,0.9)))</f>
        <v>0.2</v>
      </c>
      <c r="L967" s="29">
        <f>IF(Dataset!H967&lt;1,1,IF(Dataset!H967&lt;1.3,2,IF(Dataset!H967&lt;1.8,3,4)))</f>
        <v>1</v>
      </c>
      <c r="M967" s="29">
        <f t="shared" si="123"/>
        <v>0.2</v>
      </c>
      <c r="N967" s="29">
        <f>IF(Dataset!F967=1,0.75,IF(Dataset!F967=2,0.45,0.2))</f>
        <v>0.45</v>
      </c>
      <c r="O967" s="29">
        <f>IF(Dataset!F967=1,3,IF(Dataset!F967=2,2,1))</f>
        <v>2</v>
      </c>
      <c r="P967" s="29">
        <f t="shared" si="124"/>
        <v>0.9</v>
      </c>
      <c r="Q967" s="29">
        <f>IF(Dataset!K967&lt;5,0.2,IF(Dataset!K967&lt;10,0.45,IF(Dataset!K967&lt;18,0.7,0.9)))</f>
        <v>0.45</v>
      </c>
      <c r="R967" s="29">
        <f>IF(Dataset!K967&lt;5,1,IF(Dataset!K967&lt;10,2,IF(Dataset!K967&lt;18,3,4)))</f>
        <v>2</v>
      </c>
      <c r="S967" s="29">
        <f t="shared" si="125"/>
        <v>0.9</v>
      </c>
      <c r="T967" s="29">
        <f t="shared" si="126"/>
        <v>0.89700000000000013</v>
      </c>
      <c r="U967" s="29" t="str">
        <f t="shared" si="127"/>
        <v>Low</v>
      </c>
    </row>
    <row r="968" spans="1:21" ht="15" customHeight="1" x14ac:dyDescent="0.25">
      <c r="A968" s="29">
        <f>Dataset!A968</f>
        <v>964</v>
      </c>
      <c r="B968" s="29">
        <f>IF(Dataset!B968&lt;25,0.3,IF(Dataset!B968&lt;75,0.5,IF(Dataset!B968&lt;120,0.65,0.8)))</f>
        <v>0.5</v>
      </c>
      <c r="C968" s="29">
        <f>IF(Dataset!B968&lt;25,1,IF(Dataset!B968&lt;75,2,IF(Dataset!B968&lt;120,3,4)))</f>
        <v>2</v>
      </c>
      <c r="D968" s="29">
        <f t="shared" si="120"/>
        <v>1</v>
      </c>
      <c r="E968" s="29">
        <f>IF(Dataset!C968&lt;=1,0.3,IF(Dataset!C968=2,0.4,IF(Dataset!C968=3,0.5,IF(Dataset!C968=4,0.65,0.8))))</f>
        <v>0.4</v>
      </c>
      <c r="F968" s="29">
        <f>IF(Dataset!C968&lt;=2,1,IF(Dataset!C968=3,2,IF(Dataset!C968=4,3,4)))</f>
        <v>1</v>
      </c>
      <c r="G968" s="29">
        <f t="shared" si="121"/>
        <v>0.4</v>
      </c>
      <c r="H968" s="29">
        <f>IF(Dataset!G968&lt;=3,0.25,IF(Dataset!G968&lt;=6,0.45,IF(Dataset!G968&lt;=9,0.65,0.85)))</f>
        <v>0.45</v>
      </c>
      <c r="I968" s="29">
        <f>IF(Dataset!G968&lt;=3,1,IF(Dataset!G968&lt;=6,2,IF(Dataset!G968&lt;=9,3,4)))</f>
        <v>2</v>
      </c>
      <c r="J968" s="29">
        <f t="shared" si="122"/>
        <v>0.9</v>
      </c>
      <c r="K968" s="29">
        <f>IF(Dataset!H968&lt;1,0.2,IF(Dataset!H968&lt;1.3,0.45,IF(Dataset!H968&lt;1.8,0.7,0.9)))</f>
        <v>0.9</v>
      </c>
      <c r="L968" s="29">
        <f>IF(Dataset!H968&lt;1,1,IF(Dataset!H968&lt;1.3,2,IF(Dataset!H968&lt;1.8,3,4)))</f>
        <v>4</v>
      </c>
      <c r="M968" s="29">
        <f t="shared" si="123"/>
        <v>3.6</v>
      </c>
      <c r="N968" s="29">
        <f>IF(Dataset!F968=1,0.75,IF(Dataset!F968=2,0.45,0.2))</f>
        <v>0.45</v>
      </c>
      <c r="O968" s="29">
        <f>IF(Dataset!F968=1,3,IF(Dataset!F968=2,2,1))</f>
        <v>2</v>
      </c>
      <c r="P968" s="29">
        <f t="shared" si="124"/>
        <v>0.9</v>
      </c>
      <c r="Q968" s="29">
        <f>IF(Dataset!K968&lt;5,0.2,IF(Dataset!K968&lt;10,0.45,IF(Dataset!K968&lt;18,0.7,0.9)))</f>
        <v>0.2</v>
      </c>
      <c r="R968" s="29">
        <f>IF(Dataset!K968&lt;5,1,IF(Dataset!K968&lt;10,2,IF(Dataset!K968&lt;18,3,4)))</f>
        <v>1</v>
      </c>
      <c r="S968" s="29">
        <f t="shared" si="125"/>
        <v>0.2</v>
      </c>
      <c r="T968" s="29">
        <f t="shared" si="126"/>
        <v>1.3980000000000001</v>
      </c>
      <c r="U968" s="29" t="str">
        <f t="shared" si="127"/>
        <v>Medium</v>
      </c>
    </row>
    <row r="969" spans="1:21" ht="15" customHeight="1" x14ac:dyDescent="0.25">
      <c r="A969" s="29">
        <f>Dataset!A969</f>
        <v>965</v>
      </c>
      <c r="B969" s="29">
        <f>IF(Dataset!B969&lt;25,0.3,IF(Dataset!B969&lt;75,0.5,IF(Dataset!B969&lt;120,0.65,0.8)))</f>
        <v>0.3</v>
      </c>
      <c r="C969" s="29">
        <f>IF(Dataset!B969&lt;25,1,IF(Dataset!B969&lt;75,2,IF(Dataset!B969&lt;120,3,4)))</f>
        <v>1</v>
      </c>
      <c r="D969" s="29">
        <f t="shared" si="120"/>
        <v>0.3</v>
      </c>
      <c r="E969" s="29">
        <f>IF(Dataset!C969&lt;=1,0.3,IF(Dataset!C969=2,0.4,IF(Dataset!C969=3,0.5,IF(Dataset!C969=4,0.65,0.8))))</f>
        <v>0.5</v>
      </c>
      <c r="F969" s="29">
        <f>IF(Dataset!C969&lt;=2,1,IF(Dataset!C969=3,2,IF(Dataset!C969=4,3,4)))</f>
        <v>2</v>
      </c>
      <c r="G969" s="29">
        <f t="shared" si="121"/>
        <v>1</v>
      </c>
      <c r="H969" s="29">
        <f>IF(Dataset!G969&lt;=3,0.25,IF(Dataset!G969&lt;=6,0.45,IF(Dataset!G969&lt;=9,0.65,0.85)))</f>
        <v>0.65</v>
      </c>
      <c r="I969" s="29">
        <f>IF(Dataset!G969&lt;=3,1,IF(Dataset!G969&lt;=6,2,IF(Dataset!G969&lt;=9,3,4)))</f>
        <v>3</v>
      </c>
      <c r="J969" s="29">
        <f t="shared" si="122"/>
        <v>1.9500000000000002</v>
      </c>
      <c r="K969" s="29">
        <f>IF(Dataset!H969&lt;1,0.2,IF(Dataset!H969&lt;1.3,0.45,IF(Dataset!H969&lt;1.8,0.7,0.9)))</f>
        <v>0.7</v>
      </c>
      <c r="L969" s="29">
        <f>IF(Dataset!H969&lt;1,1,IF(Dataset!H969&lt;1.3,2,IF(Dataset!H969&lt;1.8,3,4)))</f>
        <v>3</v>
      </c>
      <c r="M969" s="29">
        <f t="shared" si="123"/>
        <v>2.0999999999999996</v>
      </c>
      <c r="N969" s="29">
        <f>IF(Dataset!F969=1,0.75,IF(Dataset!F969=2,0.45,0.2))</f>
        <v>0.75</v>
      </c>
      <c r="O969" s="29">
        <f>IF(Dataset!F969=1,3,IF(Dataset!F969=2,2,1))</f>
        <v>3</v>
      </c>
      <c r="P969" s="29">
        <f t="shared" si="124"/>
        <v>2.25</v>
      </c>
      <c r="Q969" s="29">
        <f>IF(Dataset!K969&lt;5,0.2,IF(Dataset!K969&lt;10,0.45,IF(Dataset!K969&lt;18,0.7,0.9)))</f>
        <v>0.2</v>
      </c>
      <c r="R969" s="29">
        <f>IF(Dataset!K969&lt;5,1,IF(Dataset!K969&lt;10,2,IF(Dataset!K969&lt;18,3,4)))</f>
        <v>1</v>
      </c>
      <c r="S969" s="29">
        <f t="shared" si="125"/>
        <v>0.2</v>
      </c>
      <c r="T969" s="29">
        <f t="shared" si="126"/>
        <v>1.3410000000000002</v>
      </c>
      <c r="U969" s="29" t="str">
        <f t="shared" si="127"/>
        <v>Low</v>
      </c>
    </row>
    <row r="970" spans="1:21" ht="15" customHeight="1" x14ac:dyDescent="0.25">
      <c r="A970" s="29">
        <f>Dataset!A970</f>
        <v>966</v>
      </c>
      <c r="B970" s="29">
        <f>IF(Dataset!B970&lt;25,0.3,IF(Dataset!B970&lt;75,0.5,IF(Dataset!B970&lt;120,0.65,0.8)))</f>
        <v>0.3</v>
      </c>
      <c r="C970" s="29">
        <f>IF(Dataset!B970&lt;25,1,IF(Dataset!B970&lt;75,2,IF(Dataset!B970&lt;120,3,4)))</f>
        <v>1</v>
      </c>
      <c r="D970" s="29">
        <f t="shared" si="120"/>
        <v>0.3</v>
      </c>
      <c r="E970" s="29">
        <f>IF(Dataset!C970&lt;=1,0.3,IF(Dataset!C970=2,0.4,IF(Dataset!C970=3,0.5,IF(Dataset!C970=4,0.65,0.8))))</f>
        <v>0.5</v>
      </c>
      <c r="F970" s="29">
        <f>IF(Dataset!C970&lt;=2,1,IF(Dataset!C970=3,2,IF(Dataset!C970=4,3,4)))</f>
        <v>2</v>
      </c>
      <c r="G970" s="29">
        <f t="shared" si="121"/>
        <v>1</v>
      </c>
      <c r="H970" s="29">
        <f>IF(Dataset!G970&lt;=3,0.25,IF(Dataset!G970&lt;=6,0.45,IF(Dataset!G970&lt;=9,0.65,0.85)))</f>
        <v>0.45</v>
      </c>
      <c r="I970" s="29">
        <f>IF(Dataset!G970&lt;=3,1,IF(Dataset!G970&lt;=6,2,IF(Dataset!G970&lt;=9,3,4)))</f>
        <v>2</v>
      </c>
      <c r="J970" s="29">
        <f t="shared" si="122"/>
        <v>0.9</v>
      </c>
      <c r="K970" s="29">
        <f>IF(Dataset!H970&lt;1,0.2,IF(Dataset!H970&lt;1.3,0.45,IF(Dataset!H970&lt;1.8,0.7,0.9)))</f>
        <v>0.7</v>
      </c>
      <c r="L970" s="29">
        <f>IF(Dataset!H970&lt;1,1,IF(Dataset!H970&lt;1.3,2,IF(Dataset!H970&lt;1.8,3,4)))</f>
        <v>3</v>
      </c>
      <c r="M970" s="29">
        <f t="shared" si="123"/>
        <v>2.0999999999999996</v>
      </c>
      <c r="N970" s="29">
        <f>IF(Dataset!F970=1,0.75,IF(Dataset!F970=2,0.45,0.2))</f>
        <v>0.45</v>
      </c>
      <c r="O970" s="29">
        <f>IF(Dataset!F970=1,3,IF(Dataset!F970=2,2,1))</f>
        <v>2</v>
      </c>
      <c r="P970" s="29">
        <f t="shared" si="124"/>
        <v>0.9</v>
      </c>
      <c r="Q970" s="29">
        <f>IF(Dataset!K970&lt;5,0.2,IF(Dataset!K970&lt;10,0.45,IF(Dataset!K970&lt;18,0.7,0.9)))</f>
        <v>0.45</v>
      </c>
      <c r="R970" s="29">
        <f>IF(Dataset!K970&lt;5,1,IF(Dataset!K970&lt;10,2,IF(Dataset!K970&lt;18,3,4)))</f>
        <v>2</v>
      </c>
      <c r="S970" s="29">
        <f t="shared" si="125"/>
        <v>0.9</v>
      </c>
      <c r="T970" s="29">
        <f t="shared" si="126"/>
        <v>1.0939999999999999</v>
      </c>
      <c r="U970" s="29" t="str">
        <f t="shared" si="127"/>
        <v>Low</v>
      </c>
    </row>
    <row r="971" spans="1:21" ht="15" customHeight="1" x14ac:dyDescent="0.25">
      <c r="A971" s="29">
        <f>Dataset!A971</f>
        <v>967</v>
      </c>
      <c r="B971" s="29">
        <f>IF(Dataset!B971&lt;25,0.3,IF(Dataset!B971&lt;75,0.5,IF(Dataset!B971&lt;120,0.65,0.8)))</f>
        <v>0.5</v>
      </c>
      <c r="C971" s="29">
        <f>IF(Dataset!B971&lt;25,1,IF(Dataset!B971&lt;75,2,IF(Dataset!B971&lt;120,3,4)))</f>
        <v>2</v>
      </c>
      <c r="D971" s="29">
        <f t="shared" si="120"/>
        <v>1</v>
      </c>
      <c r="E971" s="29">
        <f>IF(Dataset!C971&lt;=1,0.3,IF(Dataset!C971=2,0.4,IF(Dataset!C971=3,0.5,IF(Dataset!C971=4,0.65,0.8))))</f>
        <v>0.5</v>
      </c>
      <c r="F971" s="29">
        <f>IF(Dataset!C971&lt;=2,1,IF(Dataset!C971=3,2,IF(Dataset!C971=4,3,4)))</f>
        <v>2</v>
      </c>
      <c r="G971" s="29">
        <f t="shared" si="121"/>
        <v>1</v>
      </c>
      <c r="H971" s="29">
        <f>IF(Dataset!G971&lt;=3,0.25,IF(Dataset!G971&lt;=6,0.45,IF(Dataset!G971&lt;=9,0.65,0.85)))</f>
        <v>0.25</v>
      </c>
      <c r="I971" s="29">
        <f>IF(Dataset!G971&lt;=3,1,IF(Dataset!G971&lt;=6,2,IF(Dataset!G971&lt;=9,3,4)))</f>
        <v>1</v>
      </c>
      <c r="J971" s="29">
        <f t="shared" si="122"/>
        <v>0.25</v>
      </c>
      <c r="K971" s="29">
        <f>IF(Dataset!H971&lt;1,0.2,IF(Dataset!H971&lt;1.3,0.45,IF(Dataset!H971&lt;1.8,0.7,0.9)))</f>
        <v>0.45</v>
      </c>
      <c r="L971" s="29">
        <f>IF(Dataset!H971&lt;1,1,IF(Dataset!H971&lt;1.3,2,IF(Dataset!H971&lt;1.8,3,4)))</f>
        <v>2</v>
      </c>
      <c r="M971" s="29">
        <f t="shared" si="123"/>
        <v>0.9</v>
      </c>
      <c r="N971" s="29">
        <f>IF(Dataset!F971=1,0.75,IF(Dataset!F971=2,0.45,0.2))</f>
        <v>0.2</v>
      </c>
      <c r="O971" s="29">
        <f>IF(Dataset!F971=1,3,IF(Dataset!F971=2,2,1))</f>
        <v>1</v>
      </c>
      <c r="P971" s="29">
        <f t="shared" si="124"/>
        <v>0.2</v>
      </c>
      <c r="Q971" s="29">
        <f>IF(Dataset!K971&lt;5,0.2,IF(Dataset!K971&lt;10,0.45,IF(Dataset!K971&lt;18,0.7,0.9)))</f>
        <v>0.45</v>
      </c>
      <c r="R971" s="29">
        <f>IF(Dataset!K971&lt;5,1,IF(Dataset!K971&lt;10,2,IF(Dataset!K971&lt;18,3,4)))</f>
        <v>2</v>
      </c>
      <c r="S971" s="29">
        <f t="shared" si="125"/>
        <v>0.9</v>
      </c>
      <c r="T971" s="29">
        <f t="shared" si="126"/>
        <v>0.73199999999999998</v>
      </c>
      <c r="U971" s="29" t="str">
        <f t="shared" si="127"/>
        <v>Low</v>
      </c>
    </row>
    <row r="972" spans="1:21" ht="15" customHeight="1" x14ac:dyDescent="0.25">
      <c r="A972" s="29">
        <f>Dataset!A972</f>
        <v>968</v>
      </c>
      <c r="B972" s="29">
        <f>IF(Dataset!B972&lt;25,0.3,IF(Dataset!B972&lt;75,0.5,IF(Dataset!B972&lt;120,0.65,0.8)))</f>
        <v>0.5</v>
      </c>
      <c r="C972" s="29">
        <f>IF(Dataset!B972&lt;25,1,IF(Dataset!B972&lt;75,2,IF(Dataset!B972&lt;120,3,4)))</f>
        <v>2</v>
      </c>
      <c r="D972" s="29">
        <f t="shared" si="120"/>
        <v>1</v>
      </c>
      <c r="E972" s="29">
        <f>IF(Dataset!C972&lt;=1,0.3,IF(Dataset!C972=2,0.4,IF(Dataset!C972=3,0.5,IF(Dataset!C972=4,0.65,0.8))))</f>
        <v>0.65</v>
      </c>
      <c r="F972" s="29">
        <f>IF(Dataset!C972&lt;=2,1,IF(Dataset!C972=3,2,IF(Dataset!C972=4,3,4)))</f>
        <v>3</v>
      </c>
      <c r="G972" s="29">
        <f t="shared" si="121"/>
        <v>1.9500000000000002</v>
      </c>
      <c r="H972" s="29">
        <f>IF(Dataset!G972&lt;=3,0.25,IF(Dataset!G972&lt;=6,0.45,IF(Dataset!G972&lt;=9,0.65,0.85)))</f>
        <v>0.45</v>
      </c>
      <c r="I972" s="29">
        <f>IF(Dataset!G972&lt;=3,1,IF(Dataset!G972&lt;=6,2,IF(Dataset!G972&lt;=9,3,4)))</f>
        <v>2</v>
      </c>
      <c r="J972" s="29">
        <f t="shared" si="122"/>
        <v>0.9</v>
      </c>
      <c r="K972" s="29">
        <f>IF(Dataset!H972&lt;1,0.2,IF(Dataset!H972&lt;1.3,0.45,IF(Dataset!H972&lt;1.8,0.7,0.9)))</f>
        <v>0.7</v>
      </c>
      <c r="L972" s="29">
        <f>IF(Dataset!H972&lt;1,1,IF(Dataset!H972&lt;1.3,2,IF(Dataset!H972&lt;1.8,3,4)))</f>
        <v>3</v>
      </c>
      <c r="M972" s="29">
        <f t="shared" si="123"/>
        <v>2.0999999999999996</v>
      </c>
      <c r="N972" s="29">
        <f>IF(Dataset!F972=1,0.75,IF(Dataset!F972=2,0.45,0.2))</f>
        <v>0.45</v>
      </c>
      <c r="O972" s="29">
        <f>IF(Dataset!F972=1,3,IF(Dataset!F972=2,2,1))</f>
        <v>2</v>
      </c>
      <c r="P972" s="29">
        <f t="shared" si="124"/>
        <v>0.9</v>
      </c>
      <c r="Q972" s="29">
        <f>IF(Dataset!K972&lt;5,0.2,IF(Dataset!K972&lt;10,0.45,IF(Dataset!K972&lt;18,0.7,0.9)))</f>
        <v>0.7</v>
      </c>
      <c r="R972" s="29">
        <f>IF(Dataset!K972&lt;5,1,IF(Dataset!K972&lt;10,2,IF(Dataset!K972&lt;18,3,4)))</f>
        <v>3</v>
      </c>
      <c r="S972" s="29">
        <f t="shared" si="125"/>
        <v>2.0999999999999996</v>
      </c>
      <c r="T972" s="29">
        <f t="shared" si="126"/>
        <v>1.5210000000000001</v>
      </c>
      <c r="U972" s="29" t="str">
        <f t="shared" si="127"/>
        <v>Medium</v>
      </c>
    </row>
    <row r="973" spans="1:21" ht="15" customHeight="1" x14ac:dyDescent="0.25">
      <c r="A973" s="29">
        <f>Dataset!A973</f>
        <v>969</v>
      </c>
      <c r="B973" s="29">
        <f>IF(Dataset!B973&lt;25,0.3,IF(Dataset!B973&lt;75,0.5,IF(Dataset!B973&lt;120,0.65,0.8)))</f>
        <v>0.5</v>
      </c>
      <c r="C973" s="29">
        <f>IF(Dataset!B973&lt;25,1,IF(Dataset!B973&lt;75,2,IF(Dataset!B973&lt;120,3,4)))</f>
        <v>2</v>
      </c>
      <c r="D973" s="29">
        <f t="shared" si="120"/>
        <v>1</v>
      </c>
      <c r="E973" s="29">
        <f>IF(Dataset!C973&lt;=1,0.3,IF(Dataset!C973=2,0.4,IF(Dataset!C973=3,0.5,IF(Dataset!C973=4,0.65,0.8))))</f>
        <v>0.5</v>
      </c>
      <c r="F973" s="29">
        <f>IF(Dataset!C973&lt;=2,1,IF(Dataset!C973=3,2,IF(Dataset!C973=4,3,4)))</f>
        <v>2</v>
      </c>
      <c r="G973" s="29">
        <f t="shared" si="121"/>
        <v>1</v>
      </c>
      <c r="H973" s="29">
        <f>IF(Dataset!G973&lt;=3,0.25,IF(Dataset!G973&lt;=6,0.45,IF(Dataset!G973&lt;=9,0.65,0.85)))</f>
        <v>0.65</v>
      </c>
      <c r="I973" s="29">
        <f>IF(Dataset!G973&lt;=3,1,IF(Dataset!G973&lt;=6,2,IF(Dataset!G973&lt;=9,3,4)))</f>
        <v>3</v>
      </c>
      <c r="J973" s="29">
        <f t="shared" si="122"/>
        <v>1.9500000000000002</v>
      </c>
      <c r="K973" s="29">
        <f>IF(Dataset!H973&lt;1,0.2,IF(Dataset!H973&lt;1.3,0.45,IF(Dataset!H973&lt;1.8,0.7,0.9)))</f>
        <v>0.7</v>
      </c>
      <c r="L973" s="29">
        <f>IF(Dataset!H973&lt;1,1,IF(Dataset!H973&lt;1.3,2,IF(Dataset!H973&lt;1.8,3,4)))</f>
        <v>3</v>
      </c>
      <c r="M973" s="29">
        <f t="shared" si="123"/>
        <v>2.0999999999999996</v>
      </c>
      <c r="N973" s="29">
        <f>IF(Dataset!F973=1,0.75,IF(Dataset!F973=2,0.45,0.2))</f>
        <v>0.45</v>
      </c>
      <c r="O973" s="29">
        <f>IF(Dataset!F973=1,3,IF(Dataset!F973=2,2,1))</f>
        <v>2</v>
      </c>
      <c r="P973" s="29">
        <f t="shared" si="124"/>
        <v>0.9</v>
      </c>
      <c r="Q973" s="29">
        <f>IF(Dataset!K973&lt;5,0.2,IF(Dataset!K973&lt;10,0.45,IF(Dataset!K973&lt;18,0.7,0.9)))</f>
        <v>0.45</v>
      </c>
      <c r="R973" s="29">
        <f>IF(Dataset!K973&lt;5,1,IF(Dataset!K973&lt;10,2,IF(Dataset!K973&lt;18,3,4)))</f>
        <v>2</v>
      </c>
      <c r="S973" s="29">
        <f t="shared" si="125"/>
        <v>0.9</v>
      </c>
      <c r="T973" s="29">
        <f t="shared" si="126"/>
        <v>1.4300000000000002</v>
      </c>
      <c r="U973" s="29" t="str">
        <f t="shared" si="127"/>
        <v>Medium</v>
      </c>
    </row>
    <row r="974" spans="1:21" ht="15" customHeight="1" x14ac:dyDescent="0.25">
      <c r="A974" s="29">
        <f>Dataset!A974</f>
        <v>970</v>
      </c>
      <c r="B974" s="29">
        <f>IF(Dataset!B974&lt;25,0.3,IF(Dataset!B974&lt;75,0.5,IF(Dataset!B974&lt;120,0.65,0.8)))</f>
        <v>0.65</v>
      </c>
      <c r="C974" s="29">
        <f>IF(Dataset!B974&lt;25,1,IF(Dataset!B974&lt;75,2,IF(Dataset!B974&lt;120,3,4)))</f>
        <v>3</v>
      </c>
      <c r="D974" s="29">
        <f t="shared" si="120"/>
        <v>1.9500000000000002</v>
      </c>
      <c r="E974" s="29">
        <f>IF(Dataset!C974&lt;=1,0.3,IF(Dataset!C974=2,0.4,IF(Dataset!C974=3,0.5,IF(Dataset!C974=4,0.65,0.8))))</f>
        <v>0.5</v>
      </c>
      <c r="F974" s="29">
        <f>IF(Dataset!C974&lt;=2,1,IF(Dataset!C974=3,2,IF(Dataset!C974=4,3,4)))</f>
        <v>2</v>
      </c>
      <c r="G974" s="29">
        <f t="shared" si="121"/>
        <v>1</v>
      </c>
      <c r="H974" s="29">
        <f>IF(Dataset!G974&lt;=3,0.25,IF(Dataset!G974&lt;=6,0.45,IF(Dataset!G974&lt;=9,0.65,0.85)))</f>
        <v>0.45</v>
      </c>
      <c r="I974" s="29">
        <f>IF(Dataset!G974&lt;=3,1,IF(Dataset!G974&lt;=6,2,IF(Dataset!G974&lt;=9,3,4)))</f>
        <v>2</v>
      </c>
      <c r="J974" s="29">
        <f t="shared" si="122"/>
        <v>0.9</v>
      </c>
      <c r="K974" s="29">
        <f>IF(Dataset!H974&lt;1,0.2,IF(Dataset!H974&lt;1.3,0.45,IF(Dataset!H974&lt;1.8,0.7,0.9)))</f>
        <v>0.45</v>
      </c>
      <c r="L974" s="29">
        <f>IF(Dataset!H974&lt;1,1,IF(Dataset!H974&lt;1.3,2,IF(Dataset!H974&lt;1.8,3,4)))</f>
        <v>2</v>
      </c>
      <c r="M974" s="29">
        <f t="shared" si="123"/>
        <v>0.9</v>
      </c>
      <c r="N974" s="29">
        <f>IF(Dataset!F974=1,0.75,IF(Dataset!F974=2,0.45,0.2))</f>
        <v>0.45</v>
      </c>
      <c r="O974" s="29">
        <f>IF(Dataset!F974=1,3,IF(Dataset!F974=2,2,1))</f>
        <v>2</v>
      </c>
      <c r="P974" s="29">
        <f t="shared" si="124"/>
        <v>0.9</v>
      </c>
      <c r="Q974" s="29">
        <f>IF(Dataset!K974&lt;5,0.2,IF(Dataset!K974&lt;10,0.45,IF(Dataset!K974&lt;18,0.7,0.9)))</f>
        <v>0.45</v>
      </c>
      <c r="R974" s="29">
        <f>IF(Dataset!K974&lt;5,1,IF(Dataset!K974&lt;10,2,IF(Dataset!K974&lt;18,3,4)))</f>
        <v>2</v>
      </c>
      <c r="S974" s="29">
        <f t="shared" si="125"/>
        <v>0.9</v>
      </c>
      <c r="T974" s="29">
        <f t="shared" si="126"/>
        <v>1.103</v>
      </c>
      <c r="U974" s="29" t="str">
        <f t="shared" si="127"/>
        <v>Low</v>
      </c>
    </row>
    <row r="975" spans="1:21" ht="15" customHeight="1" x14ac:dyDescent="0.25">
      <c r="A975" s="29">
        <f>Dataset!A975</f>
        <v>971</v>
      </c>
      <c r="B975" s="29">
        <f>IF(Dataset!B975&lt;25,0.3,IF(Dataset!B975&lt;75,0.5,IF(Dataset!B975&lt;120,0.65,0.8)))</f>
        <v>0.5</v>
      </c>
      <c r="C975" s="29">
        <f>IF(Dataset!B975&lt;25,1,IF(Dataset!B975&lt;75,2,IF(Dataset!B975&lt;120,3,4)))</f>
        <v>2</v>
      </c>
      <c r="D975" s="29">
        <f t="shared" si="120"/>
        <v>1</v>
      </c>
      <c r="E975" s="29">
        <f>IF(Dataset!C975&lt;=1,0.3,IF(Dataset!C975=2,0.4,IF(Dataset!C975=3,0.5,IF(Dataset!C975=4,0.65,0.8))))</f>
        <v>0.8</v>
      </c>
      <c r="F975" s="29">
        <f>IF(Dataset!C975&lt;=2,1,IF(Dataset!C975=3,2,IF(Dataset!C975=4,3,4)))</f>
        <v>4</v>
      </c>
      <c r="G975" s="29">
        <f t="shared" si="121"/>
        <v>3.2</v>
      </c>
      <c r="H975" s="29">
        <f>IF(Dataset!G975&lt;=3,0.25,IF(Dataset!G975&lt;=6,0.45,IF(Dataset!G975&lt;=9,0.65,0.85)))</f>
        <v>0.65</v>
      </c>
      <c r="I975" s="29">
        <f>IF(Dataset!G975&lt;=3,1,IF(Dataset!G975&lt;=6,2,IF(Dataset!G975&lt;=9,3,4)))</f>
        <v>3</v>
      </c>
      <c r="J975" s="29">
        <f t="shared" si="122"/>
        <v>1.9500000000000002</v>
      </c>
      <c r="K975" s="29">
        <f>IF(Dataset!H975&lt;1,0.2,IF(Dataset!H975&lt;1.3,0.45,IF(Dataset!H975&lt;1.8,0.7,0.9)))</f>
        <v>0.9</v>
      </c>
      <c r="L975" s="29">
        <f>IF(Dataset!H975&lt;1,1,IF(Dataset!H975&lt;1.3,2,IF(Dataset!H975&lt;1.8,3,4)))</f>
        <v>4</v>
      </c>
      <c r="M975" s="29">
        <f t="shared" si="123"/>
        <v>3.6</v>
      </c>
      <c r="N975" s="29">
        <f>IF(Dataset!F975=1,0.75,IF(Dataset!F975=2,0.45,0.2))</f>
        <v>0.45</v>
      </c>
      <c r="O975" s="29">
        <f>IF(Dataset!F975=1,3,IF(Dataset!F975=2,2,1))</f>
        <v>2</v>
      </c>
      <c r="P975" s="29">
        <f t="shared" si="124"/>
        <v>0.9</v>
      </c>
      <c r="Q975" s="29">
        <f>IF(Dataset!K975&lt;5,0.2,IF(Dataset!K975&lt;10,0.45,IF(Dataset!K975&lt;18,0.7,0.9)))</f>
        <v>0.7</v>
      </c>
      <c r="R975" s="29">
        <f>IF(Dataset!K975&lt;5,1,IF(Dataset!K975&lt;10,2,IF(Dataset!K975&lt;18,3,4)))</f>
        <v>3</v>
      </c>
      <c r="S975" s="29">
        <f t="shared" si="125"/>
        <v>2.0999999999999996</v>
      </c>
      <c r="T975" s="29">
        <f t="shared" si="126"/>
        <v>2.266</v>
      </c>
      <c r="U975" s="29" t="str">
        <f t="shared" si="127"/>
        <v>High</v>
      </c>
    </row>
    <row r="976" spans="1:21" ht="15" customHeight="1" x14ac:dyDescent="0.25">
      <c r="A976" s="29">
        <f>Dataset!A976</f>
        <v>972</v>
      </c>
      <c r="B976" s="29">
        <f>IF(Dataset!B976&lt;25,0.3,IF(Dataset!B976&lt;75,0.5,IF(Dataset!B976&lt;120,0.65,0.8)))</f>
        <v>0.65</v>
      </c>
      <c r="C976" s="29">
        <f>IF(Dataset!B976&lt;25,1,IF(Dataset!B976&lt;75,2,IF(Dataset!B976&lt;120,3,4)))</f>
        <v>3</v>
      </c>
      <c r="D976" s="29">
        <f t="shared" si="120"/>
        <v>1.9500000000000002</v>
      </c>
      <c r="E976" s="29">
        <f>IF(Dataset!C976&lt;=1,0.3,IF(Dataset!C976=2,0.4,IF(Dataset!C976=3,0.5,IF(Dataset!C976=4,0.65,0.8))))</f>
        <v>0.5</v>
      </c>
      <c r="F976" s="29">
        <f>IF(Dataset!C976&lt;=2,1,IF(Dataset!C976=3,2,IF(Dataset!C976=4,3,4)))</f>
        <v>2</v>
      </c>
      <c r="G976" s="29">
        <f t="shared" si="121"/>
        <v>1</v>
      </c>
      <c r="H976" s="29">
        <f>IF(Dataset!G976&lt;=3,0.25,IF(Dataset!G976&lt;=6,0.45,IF(Dataset!G976&lt;=9,0.65,0.85)))</f>
        <v>0.85</v>
      </c>
      <c r="I976" s="29">
        <f>IF(Dataset!G976&lt;=3,1,IF(Dataset!G976&lt;=6,2,IF(Dataset!G976&lt;=9,3,4)))</f>
        <v>4</v>
      </c>
      <c r="J976" s="29">
        <f t="shared" si="122"/>
        <v>3.4</v>
      </c>
      <c r="K976" s="29">
        <f>IF(Dataset!H976&lt;1,0.2,IF(Dataset!H976&lt;1.3,0.45,IF(Dataset!H976&lt;1.8,0.7,0.9)))</f>
        <v>0.7</v>
      </c>
      <c r="L976" s="29">
        <f>IF(Dataset!H976&lt;1,1,IF(Dataset!H976&lt;1.3,2,IF(Dataset!H976&lt;1.8,3,4)))</f>
        <v>3</v>
      </c>
      <c r="M976" s="29">
        <f t="shared" si="123"/>
        <v>2.0999999999999996</v>
      </c>
      <c r="N976" s="29">
        <f>IF(Dataset!F976=1,0.75,IF(Dataset!F976=2,0.45,0.2))</f>
        <v>0.45</v>
      </c>
      <c r="O976" s="29">
        <f>IF(Dataset!F976=1,3,IF(Dataset!F976=2,2,1))</f>
        <v>2</v>
      </c>
      <c r="P976" s="29">
        <f t="shared" si="124"/>
        <v>0.9</v>
      </c>
      <c r="Q976" s="29">
        <f>IF(Dataset!K976&lt;5,0.2,IF(Dataset!K976&lt;10,0.45,IF(Dataset!K976&lt;18,0.7,0.9)))</f>
        <v>0.2</v>
      </c>
      <c r="R976" s="29">
        <f>IF(Dataset!K976&lt;5,1,IF(Dataset!K976&lt;10,2,IF(Dataset!K976&lt;18,3,4)))</f>
        <v>1</v>
      </c>
      <c r="S976" s="29">
        <f t="shared" si="125"/>
        <v>0.2</v>
      </c>
      <c r="T976" s="29">
        <f t="shared" si="126"/>
        <v>1.7929999999999999</v>
      </c>
      <c r="U976" s="29" t="str">
        <f t="shared" si="127"/>
        <v>High</v>
      </c>
    </row>
    <row r="977" spans="1:21" ht="15" customHeight="1" x14ac:dyDescent="0.25">
      <c r="A977" s="29">
        <f>Dataset!A977</f>
        <v>973</v>
      </c>
      <c r="B977" s="29">
        <f>IF(Dataset!B977&lt;25,0.3,IF(Dataset!B977&lt;75,0.5,IF(Dataset!B977&lt;120,0.65,0.8)))</f>
        <v>0.5</v>
      </c>
      <c r="C977" s="29">
        <f>IF(Dataset!B977&lt;25,1,IF(Dataset!B977&lt;75,2,IF(Dataset!B977&lt;120,3,4)))</f>
        <v>2</v>
      </c>
      <c r="D977" s="29">
        <f t="shared" si="120"/>
        <v>1</v>
      </c>
      <c r="E977" s="29">
        <f>IF(Dataset!C977&lt;=1,0.3,IF(Dataset!C977=2,0.4,IF(Dataset!C977=3,0.5,IF(Dataset!C977=4,0.65,0.8))))</f>
        <v>0.65</v>
      </c>
      <c r="F977" s="29">
        <f>IF(Dataset!C977&lt;=2,1,IF(Dataset!C977=3,2,IF(Dataset!C977=4,3,4)))</f>
        <v>3</v>
      </c>
      <c r="G977" s="29">
        <f t="shared" si="121"/>
        <v>1.9500000000000002</v>
      </c>
      <c r="H977" s="29">
        <f>IF(Dataset!G977&lt;=3,0.25,IF(Dataset!G977&lt;=6,0.45,IF(Dataset!G977&lt;=9,0.65,0.85)))</f>
        <v>0.25</v>
      </c>
      <c r="I977" s="29">
        <f>IF(Dataset!G977&lt;=3,1,IF(Dataset!G977&lt;=6,2,IF(Dataset!G977&lt;=9,3,4)))</f>
        <v>1</v>
      </c>
      <c r="J977" s="29">
        <f t="shared" si="122"/>
        <v>0.25</v>
      </c>
      <c r="K977" s="29">
        <f>IF(Dataset!H977&lt;1,0.2,IF(Dataset!H977&lt;1.3,0.45,IF(Dataset!H977&lt;1.8,0.7,0.9)))</f>
        <v>0.7</v>
      </c>
      <c r="L977" s="29">
        <f>IF(Dataset!H977&lt;1,1,IF(Dataset!H977&lt;1.3,2,IF(Dataset!H977&lt;1.8,3,4)))</f>
        <v>3</v>
      </c>
      <c r="M977" s="29">
        <f t="shared" si="123"/>
        <v>2.0999999999999996</v>
      </c>
      <c r="N977" s="29">
        <f>IF(Dataset!F977=1,0.75,IF(Dataset!F977=2,0.45,0.2))</f>
        <v>0.45</v>
      </c>
      <c r="O977" s="29">
        <f>IF(Dataset!F977=1,3,IF(Dataset!F977=2,2,1))</f>
        <v>2</v>
      </c>
      <c r="P977" s="29">
        <f t="shared" si="124"/>
        <v>0.9</v>
      </c>
      <c r="Q977" s="29">
        <f>IF(Dataset!K977&lt;5,0.2,IF(Dataset!K977&lt;10,0.45,IF(Dataset!K977&lt;18,0.7,0.9)))</f>
        <v>0.7</v>
      </c>
      <c r="R977" s="29">
        <f>IF(Dataset!K977&lt;5,1,IF(Dataset!K977&lt;10,2,IF(Dataset!K977&lt;18,3,4)))</f>
        <v>3</v>
      </c>
      <c r="S977" s="29">
        <f t="shared" si="125"/>
        <v>2.0999999999999996</v>
      </c>
      <c r="T977" s="29">
        <f t="shared" si="126"/>
        <v>1.3910000000000002</v>
      </c>
      <c r="U977" s="29" t="str">
        <f t="shared" si="127"/>
        <v>Medium</v>
      </c>
    </row>
    <row r="978" spans="1:21" ht="15" customHeight="1" x14ac:dyDescent="0.25">
      <c r="A978" s="29">
        <f>Dataset!A978</f>
        <v>974</v>
      </c>
      <c r="B978" s="29">
        <f>IF(Dataset!B978&lt;25,0.3,IF(Dataset!B978&lt;75,0.5,IF(Dataset!B978&lt;120,0.65,0.8)))</f>
        <v>0.8</v>
      </c>
      <c r="C978" s="29">
        <f>IF(Dataset!B978&lt;25,1,IF(Dataset!B978&lt;75,2,IF(Dataset!B978&lt;120,3,4)))</f>
        <v>4</v>
      </c>
      <c r="D978" s="29">
        <f t="shared" si="120"/>
        <v>3.2</v>
      </c>
      <c r="E978" s="29">
        <f>IF(Dataset!C978&lt;=1,0.3,IF(Dataset!C978=2,0.4,IF(Dataset!C978=3,0.5,IF(Dataset!C978=4,0.65,0.8))))</f>
        <v>0.3</v>
      </c>
      <c r="F978" s="29">
        <f>IF(Dataset!C978&lt;=2,1,IF(Dataset!C978=3,2,IF(Dataset!C978=4,3,4)))</f>
        <v>1</v>
      </c>
      <c r="G978" s="29">
        <f t="shared" si="121"/>
        <v>0.3</v>
      </c>
      <c r="H978" s="29">
        <f>IF(Dataset!G978&lt;=3,0.25,IF(Dataset!G978&lt;=6,0.45,IF(Dataset!G978&lt;=9,0.65,0.85)))</f>
        <v>0.25</v>
      </c>
      <c r="I978" s="29">
        <f>IF(Dataset!G978&lt;=3,1,IF(Dataset!G978&lt;=6,2,IF(Dataset!G978&lt;=9,3,4)))</f>
        <v>1</v>
      </c>
      <c r="J978" s="29">
        <f t="shared" si="122"/>
        <v>0.25</v>
      </c>
      <c r="K978" s="29">
        <f>IF(Dataset!H978&lt;1,0.2,IF(Dataset!H978&lt;1.3,0.45,IF(Dataset!H978&lt;1.8,0.7,0.9)))</f>
        <v>0.9</v>
      </c>
      <c r="L978" s="29">
        <f>IF(Dataset!H978&lt;1,1,IF(Dataset!H978&lt;1.3,2,IF(Dataset!H978&lt;1.8,3,4)))</f>
        <v>4</v>
      </c>
      <c r="M978" s="29">
        <f t="shared" si="123"/>
        <v>3.6</v>
      </c>
      <c r="N978" s="29">
        <f>IF(Dataset!F978=1,0.75,IF(Dataset!F978=2,0.45,0.2))</f>
        <v>0.75</v>
      </c>
      <c r="O978" s="29">
        <f>IF(Dataset!F978=1,3,IF(Dataset!F978=2,2,1))</f>
        <v>3</v>
      </c>
      <c r="P978" s="29">
        <f t="shared" si="124"/>
        <v>2.25</v>
      </c>
      <c r="Q978" s="29">
        <f>IF(Dataset!K978&lt;5,0.2,IF(Dataset!K978&lt;10,0.45,IF(Dataset!K978&lt;18,0.7,0.9)))</f>
        <v>0.2</v>
      </c>
      <c r="R978" s="29">
        <f>IF(Dataset!K978&lt;5,1,IF(Dataset!K978&lt;10,2,IF(Dataset!K978&lt;18,3,4)))</f>
        <v>1</v>
      </c>
      <c r="S978" s="29">
        <f t="shared" si="125"/>
        <v>0.2</v>
      </c>
      <c r="T978" s="29">
        <f t="shared" si="126"/>
        <v>1.7850000000000001</v>
      </c>
      <c r="U978" s="29" t="str">
        <f t="shared" si="127"/>
        <v>High</v>
      </c>
    </row>
    <row r="979" spans="1:21" ht="15" customHeight="1" x14ac:dyDescent="0.25">
      <c r="A979" s="29">
        <f>Dataset!A979</f>
        <v>975</v>
      </c>
      <c r="B979" s="29">
        <f>IF(Dataset!B979&lt;25,0.3,IF(Dataset!B979&lt;75,0.5,IF(Dataset!B979&lt;120,0.65,0.8)))</f>
        <v>0.65</v>
      </c>
      <c r="C979" s="29">
        <f>IF(Dataset!B979&lt;25,1,IF(Dataset!B979&lt;75,2,IF(Dataset!B979&lt;120,3,4)))</f>
        <v>3</v>
      </c>
      <c r="D979" s="29">
        <f t="shared" si="120"/>
        <v>1.9500000000000002</v>
      </c>
      <c r="E979" s="29">
        <f>IF(Dataset!C979&lt;=1,0.3,IF(Dataset!C979=2,0.4,IF(Dataset!C979=3,0.5,IF(Dataset!C979=4,0.65,0.8))))</f>
        <v>0.4</v>
      </c>
      <c r="F979" s="29">
        <f>IF(Dataset!C979&lt;=2,1,IF(Dataset!C979=3,2,IF(Dataset!C979=4,3,4)))</f>
        <v>1</v>
      </c>
      <c r="G979" s="29">
        <f t="shared" si="121"/>
        <v>0.4</v>
      </c>
      <c r="H979" s="29">
        <f>IF(Dataset!G979&lt;=3,0.25,IF(Dataset!G979&lt;=6,0.45,IF(Dataset!G979&lt;=9,0.65,0.85)))</f>
        <v>0.45</v>
      </c>
      <c r="I979" s="29">
        <f>IF(Dataset!G979&lt;=3,1,IF(Dataset!G979&lt;=6,2,IF(Dataset!G979&lt;=9,3,4)))</f>
        <v>2</v>
      </c>
      <c r="J979" s="29">
        <f t="shared" si="122"/>
        <v>0.9</v>
      </c>
      <c r="K979" s="29">
        <f>IF(Dataset!H979&lt;1,0.2,IF(Dataset!H979&lt;1.3,0.45,IF(Dataset!H979&lt;1.8,0.7,0.9)))</f>
        <v>0.9</v>
      </c>
      <c r="L979" s="29">
        <f>IF(Dataset!H979&lt;1,1,IF(Dataset!H979&lt;1.3,2,IF(Dataset!H979&lt;1.8,3,4)))</f>
        <v>4</v>
      </c>
      <c r="M979" s="29">
        <f t="shared" si="123"/>
        <v>3.6</v>
      </c>
      <c r="N979" s="29">
        <f>IF(Dataset!F979=1,0.75,IF(Dataset!F979=2,0.45,0.2))</f>
        <v>0.45</v>
      </c>
      <c r="O979" s="29">
        <f>IF(Dataset!F979=1,3,IF(Dataset!F979=2,2,1))</f>
        <v>2</v>
      </c>
      <c r="P979" s="29">
        <f t="shared" si="124"/>
        <v>0.9</v>
      </c>
      <c r="Q979" s="29">
        <f>IF(Dataset!K979&lt;5,0.2,IF(Dataset!K979&lt;10,0.45,IF(Dataset!K979&lt;18,0.7,0.9)))</f>
        <v>0.2</v>
      </c>
      <c r="R979" s="29">
        <f>IF(Dataset!K979&lt;5,1,IF(Dataset!K979&lt;10,2,IF(Dataset!K979&lt;18,3,4)))</f>
        <v>1</v>
      </c>
      <c r="S979" s="29">
        <f t="shared" si="125"/>
        <v>0.2</v>
      </c>
      <c r="T979" s="29">
        <f t="shared" si="126"/>
        <v>1.5690000000000002</v>
      </c>
      <c r="U979" s="29" t="str">
        <f t="shared" si="127"/>
        <v>Medium</v>
      </c>
    </row>
    <row r="980" spans="1:21" ht="15" customHeight="1" x14ac:dyDescent="0.25">
      <c r="A980" s="29">
        <f>Dataset!A980</f>
        <v>976</v>
      </c>
      <c r="B980" s="29">
        <f>IF(Dataset!B980&lt;25,0.3,IF(Dataset!B980&lt;75,0.5,IF(Dataset!B980&lt;120,0.65,0.8)))</f>
        <v>0.5</v>
      </c>
      <c r="C980" s="29">
        <f>IF(Dataset!B980&lt;25,1,IF(Dataset!B980&lt;75,2,IF(Dataset!B980&lt;120,3,4)))</f>
        <v>2</v>
      </c>
      <c r="D980" s="29">
        <f t="shared" si="120"/>
        <v>1</v>
      </c>
      <c r="E980" s="29">
        <f>IF(Dataset!C980&lt;=1,0.3,IF(Dataset!C980=2,0.4,IF(Dataset!C980=3,0.5,IF(Dataset!C980=4,0.65,0.8))))</f>
        <v>0.4</v>
      </c>
      <c r="F980" s="29">
        <f>IF(Dataset!C980&lt;=2,1,IF(Dataset!C980=3,2,IF(Dataset!C980=4,3,4)))</f>
        <v>1</v>
      </c>
      <c r="G980" s="29">
        <f t="shared" si="121"/>
        <v>0.4</v>
      </c>
      <c r="H980" s="29">
        <f>IF(Dataset!G980&lt;=3,0.25,IF(Dataset!G980&lt;=6,0.45,IF(Dataset!G980&lt;=9,0.65,0.85)))</f>
        <v>0.45</v>
      </c>
      <c r="I980" s="29">
        <f>IF(Dataset!G980&lt;=3,1,IF(Dataset!G980&lt;=6,2,IF(Dataset!G980&lt;=9,3,4)))</f>
        <v>2</v>
      </c>
      <c r="J980" s="29">
        <f t="shared" si="122"/>
        <v>0.9</v>
      </c>
      <c r="K980" s="29">
        <f>IF(Dataset!H980&lt;1,0.2,IF(Dataset!H980&lt;1.3,0.45,IF(Dataset!H980&lt;1.8,0.7,0.9)))</f>
        <v>0.2</v>
      </c>
      <c r="L980" s="29">
        <f>IF(Dataset!H980&lt;1,1,IF(Dataset!H980&lt;1.3,2,IF(Dataset!H980&lt;1.8,3,4)))</f>
        <v>1</v>
      </c>
      <c r="M980" s="29">
        <f t="shared" si="123"/>
        <v>0.2</v>
      </c>
      <c r="N980" s="29">
        <f>IF(Dataset!F980=1,0.75,IF(Dataset!F980=2,0.45,0.2))</f>
        <v>0.2</v>
      </c>
      <c r="O980" s="29">
        <f>IF(Dataset!F980=1,3,IF(Dataset!F980=2,2,1))</f>
        <v>1</v>
      </c>
      <c r="P980" s="29">
        <f t="shared" si="124"/>
        <v>0.2</v>
      </c>
      <c r="Q980" s="29">
        <f>IF(Dataset!K980&lt;5,0.2,IF(Dataset!K980&lt;10,0.45,IF(Dataset!K980&lt;18,0.7,0.9)))</f>
        <v>0.45</v>
      </c>
      <c r="R980" s="29">
        <f>IF(Dataset!K980&lt;5,1,IF(Dataset!K980&lt;10,2,IF(Dataset!K980&lt;18,3,4)))</f>
        <v>2</v>
      </c>
      <c r="S980" s="29">
        <f t="shared" si="125"/>
        <v>0.9</v>
      </c>
      <c r="T980" s="29">
        <f t="shared" si="126"/>
        <v>0.6100000000000001</v>
      </c>
      <c r="U980" s="29" t="str">
        <f t="shared" si="127"/>
        <v>Low</v>
      </c>
    </row>
    <row r="981" spans="1:21" ht="15" customHeight="1" x14ac:dyDescent="0.25">
      <c r="A981" s="29">
        <f>Dataset!A981</f>
        <v>977</v>
      </c>
      <c r="B981" s="29">
        <f>IF(Dataset!B981&lt;25,0.3,IF(Dataset!B981&lt;75,0.5,IF(Dataset!B981&lt;120,0.65,0.8)))</f>
        <v>0.65</v>
      </c>
      <c r="C981" s="29">
        <f>IF(Dataset!B981&lt;25,1,IF(Dataset!B981&lt;75,2,IF(Dataset!B981&lt;120,3,4)))</f>
        <v>3</v>
      </c>
      <c r="D981" s="29">
        <f t="shared" si="120"/>
        <v>1.9500000000000002</v>
      </c>
      <c r="E981" s="29">
        <f>IF(Dataset!C981&lt;=1,0.3,IF(Dataset!C981=2,0.4,IF(Dataset!C981=3,0.5,IF(Dataset!C981=4,0.65,0.8))))</f>
        <v>0.65</v>
      </c>
      <c r="F981" s="29">
        <f>IF(Dataset!C981&lt;=2,1,IF(Dataset!C981=3,2,IF(Dataset!C981=4,3,4)))</f>
        <v>3</v>
      </c>
      <c r="G981" s="29">
        <f t="shared" si="121"/>
        <v>1.9500000000000002</v>
      </c>
      <c r="H981" s="29">
        <f>IF(Dataset!G981&lt;=3,0.25,IF(Dataset!G981&lt;=6,0.45,IF(Dataset!G981&lt;=9,0.65,0.85)))</f>
        <v>0.25</v>
      </c>
      <c r="I981" s="29">
        <f>IF(Dataset!G981&lt;=3,1,IF(Dataset!G981&lt;=6,2,IF(Dataset!G981&lt;=9,3,4)))</f>
        <v>1</v>
      </c>
      <c r="J981" s="29">
        <f t="shared" si="122"/>
        <v>0.25</v>
      </c>
      <c r="K981" s="29">
        <f>IF(Dataset!H981&lt;1,0.2,IF(Dataset!H981&lt;1.3,0.45,IF(Dataset!H981&lt;1.8,0.7,0.9)))</f>
        <v>0.9</v>
      </c>
      <c r="L981" s="29">
        <f>IF(Dataset!H981&lt;1,1,IF(Dataset!H981&lt;1.3,2,IF(Dataset!H981&lt;1.8,3,4)))</f>
        <v>4</v>
      </c>
      <c r="M981" s="29">
        <f t="shared" si="123"/>
        <v>3.6</v>
      </c>
      <c r="N981" s="29">
        <f>IF(Dataset!F981=1,0.75,IF(Dataset!F981=2,0.45,0.2))</f>
        <v>0.2</v>
      </c>
      <c r="O981" s="29">
        <f>IF(Dataset!F981=1,3,IF(Dataset!F981=2,2,1))</f>
        <v>1</v>
      </c>
      <c r="P981" s="29">
        <f t="shared" si="124"/>
        <v>0.2</v>
      </c>
      <c r="Q981" s="29">
        <f>IF(Dataset!K981&lt;5,0.2,IF(Dataset!K981&lt;10,0.45,IF(Dataset!K981&lt;18,0.7,0.9)))</f>
        <v>0.7</v>
      </c>
      <c r="R981" s="29">
        <f>IF(Dataset!K981&lt;5,1,IF(Dataset!K981&lt;10,2,IF(Dataset!K981&lt;18,3,4)))</f>
        <v>3</v>
      </c>
      <c r="S981" s="29">
        <f t="shared" si="125"/>
        <v>2.0999999999999996</v>
      </c>
      <c r="T981" s="29">
        <f t="shared" si="126"/>
        <v>1.8520000000000003</v>
      </c>
      <c r="U981" s="29" t="str">
        <f t="shared" si="127"/>
        <v>High</v>
      </c>
    </row>
    <row r="982" spans="1:21" ht="15" customHeight="1" x14ac:dyDescent="0.25">
      <c r="A982" s="29">
        <f>Dataset!A982</f>
        <v>978</v>
      </c>
      <c r="B982" s="29">
        <f>IF(Dataset!B982&lt;25,0.3,IF(Dataset!B982&lt;75,0.5,IF(Dataset!B982&lt;120,0.65,0.8)))</f>
        <v>0.5</v>
      </c>
      <c r="C982" s="29">
        <f>IF(Dataset!B982&lt;25,1,IF(Dataset!B982&lt;75,2,IF(Dataset!B982&lt;120,3,4)))</f>
        <v>2</v>
      </c>
      <c r="D982" s="29">
        <f t="shared" si="120"/>
        <v>1</v>
      </c>
      <c r="E982" s="29">
        <f>IF(Dataset!C982&lt;=1,0.3,IF(Dataset!C982=2,0.4,IF(Dataset!C982=3,0.5,IF(Dataset!C982=4,0.65,0.8))))</f>
        <v>0.65</v>
      </c>
      <c r="F982" s="29">
        <f>IF(Dataset!C982&lt;=2,1,IF(Dataset!C982=3,2,IF(Dataset!C982=4,3,4)))</f>
        <v>3</v>
      </c>
      <c r="G982" s="29">
        <f t="shared" si="121"/>
        <v>1.9500000000000002</v>
      </c>
      <c r="H982" s="29">
        <f>IF(Dataset!G982&lt;=3,0.25,IF(Dataset!G982&lt;=6,0.45,IF(Dataset!G982&lt;=9,0.65,0.85)))</f>
        <v>0.45</v>
      </c>
      <c r="I982" s="29">
        <f>IF(Dataset!G982&lt;=3,1,IF(Dataset!G982&lt;=6,2,IF(Dataset!G982&lt;=9,3,4)))</f>
        <v>2</v>
      </c>
      <c r="J982" s="29">
        <f t="shared" si="122"/>
        <v>0.9</v>
      </c>
      <c r="K982" s="29">
        <f>IF(Dataset!H982&lt;1,0.2,IF(Dataset!H982&lt;1.3,0.45,IF(Dataset!H982&lt;1.8,0.7,0.9)))</f>
        <v>0.7</v>
      </c>
      <c r="L982" s="29">
        <f>IF(Dataset!H982&lt;1,1,IF(Dataset!H982&lt;1.3,2,IF(Dataset!H982&lt;1.8,3,4)))</f>
        <v>3</v>
      </c>
      <c r="M982" s="29">
        <f t="shared" si="123"/>
        <v>2.0999999999999996</v>
      </c>
      <c r="N982" s="29">
        <f>IF(Dataset!F982=1,0.75,IF(Dataset!F982=2,0.45,0.2))</f>
        <v>0.2</v>
      </c>
      <c r="O982" s="29">
        <f>IF(Dataset!F982=1,3,IF(Dataset!F982=2,2,1))</f>
        <v>1</v>
      </c>
      <c r="P982" s="29">
        <f t="shared" si="124"/>
        <v>0.2</v>
      </c>
      <c r="Q982" s="29">
        <f>IF(Dataset!K982&lt;5,0.2,IF(Dataset!K982&lt;10,0.45,IF(Dataset!K982&lt;18,0.7,0.9)))</f>
        <v>0.45</v>
      </c>
      <c r="R982" s="29">
        <f>IF(Dataset!K982&lt;5,1,IF(Dataset!K982&lt;10,2,IF(Dataset!K982&lt;18,3,4)))</f>
        <v>2</v>
      </c>
      <c r="S982" s="29">
        <f t="shared" si="125"/>
        <v>0.9</v>
      </c>
      <c r="T982" s="29">
        <f t="shared" si="126"/>
        <v>1.2830000000000001</v>
      </c>
      <c r="U982" s="29" t="str">
        <f t="shared" si="127"/>
        <v>Low</v>
      </c>
    </row>
    <row r="983" spans="1:21" ht="15" customHeight="1" x14ac:dyDescent="0.25">
      <c r="A983" s="29">
        <f>Dataset!A983</f>
        <v>979</v>
      </c>
      <c r="B983" s="29">
        <f>IF(Dataset!B983&lt;25,0.3,IF(Dataset!B983&lt;75,0.5,IF(Dataset!B983&lt;120,0.65,0.8)))</f>
        <v>0.5</v>
      </c>
      <c r="C983" s="29">
        <f>IF(Dataset!B983&lt;25,1,IF(Dataset!B983&lt;75,2,IF(Dataset!B983&lt;120,3,4)))</f>
        <v>2</v>
      </c>
      <c r="D983" s="29">
        <f t="shared" si="120"/>
        <v>1</v>
      </c>
      <c r="E983" s="29">
        <f>IF(Dataset!C983&lt;=1,0.3,IF(Dataset!C983=2,0.4,IF(Dataset!C983=3,0.5,IF(Dataset!C983=4,0.65,0.8))))</f>
        <v>0.4</v>
      </c>
      <c r="F983" s="29">
        <f>IF(Dataset!C983&lt;=2,1,IF(Dataset!C983=3,2,IF(Dataset!C983=4,3,4)))</f>
        <v>1</v>
      </c>
      <c r="G983" s="29">
        <f t="shared" si="121"/>
        <v>0.4</v>
      </c>
      <c r="H983" s="29">
        <f>IF(Dataset!G983&lt;=3,0.25,IF(Dataset!G983&lt;=6,0.45,IF(Dataset!G983&lt;=9,0.65,0.85)))</f>
        <v>0.45</v>
      </c>
      <c r="I983" s="29">
        <f>IF(Dataset!G983&lt;=3,1,IF(Dataset!G983&lt;=6,2,IF(Dataset!G983&lt;=9,3,4)))</f>
        <v>2</v>
      </c>
      <c r="J983" s="29">
        <f t="shared" si="122"/>
        <v>0.9</v>
      </c>
      <c r="K983" s="29">
        <f>IF(Dataset!H983&lt;1,0.2,IF(Dataset!H983&lt;1.3,0.45,IF(Dataset!H983&lt;1.8,0.7,0.9)))</f>
        <v>0.9</v>
      </c>
      <c r="L983" s="29">
        <f>IF(Dataset!H983&lt;1,1,IF(Dataset!H983&lt;1.3,2,IF(Dataset!H983&lt;1.8,3,4)))</f>
        <v>4</v>
      </c>
      <c r="M983" s="29">
        <f t="shared" si="123"/>
        <v>3.6</v>
      </c>
      <c r="N983" s="29">
        <f>IF(Dataset!F983=1,0.75,IF(Dataset!F983=2,0.45,0.2))</f>
        <v>0.45</v>
      </c>
      <c r="O983" s="29">
        <f>IF(Dataset!F983=1,3,IF(Dataset!F983=2,2,1))</f>
        <v>2</v>
      </c>
      <c r="P983" s="29">
        <f t="shared" si="124"/>
        <v>0.9</v>
      </c>
      <c r="Q983" s="29">
        <f>IF(Dataset!K983&lt;5,0.2,IF(Dataset!K983&lt;10,0.45,IF(Dataset!K983&lt;18,0.7,0.9)))</f>
        <v>0.2</v>
      </c>
      <c r="R983" s="29">
        <f>IF(Dataset!K983&lt;5,1,IF(Dataset!K983&lt;10,2,IF(Dataset!K983&lt;18,3,4)))</f>
        <v>1</v>
      </c>
      <c r="S983" s="29">
        <f t="shared" si="125"/>
        <v>0.2</v>
      </c>
      <c r="T983" s="29">
        <f t="shared" si="126"/>
        <v>1.3980000000000001</v>
      </c>
      <c r="U983" s="29" t="str">
        <f t="shared" si="127"/>
        <v>Medium</v>
      </c>
    </row>
    <row r="984" spans="1:21" ht="15" customHeight="1" x14ac:dyDescent="0.25">
      <c r="A984" s="29">
        <f>Dataset!A984</f>
        <v>980</v>
      </c>
      <c r="B984" s="29">
        <f>IF(Dataset!B984&lt;25,0.3,IF(Dataset!B984&lt;75,0.5,IF(Dataset!B984&lt;120,0.65,0.8)))</f>
        <v>0.5</v>
      </c>
      <c r="C984" s="29">
        <f>IF(Dataset!B984&lt;25,1,IF(Dataset!B984&lt;75,2,IF(Dataset!B984&lt;120,3,4)))</f>
        <v>2</v>
      </c>
      <c r="D984" s="29">
        <f t="shared" si="120"/>
        <v>1</v>
      </c>
      <c r="E984" s="29">
        <f>IF(Dataset!C984&lt;=1,0.3,IF(Dataset!C984=2,0.4,IF(Dataset!C984=3,0.5,IF(Dataset!C984=4,0.65,0.8))))</f>
        <v>0.4</v>
      </c>
      <c r="F984" s="29">
        <f>IF(Dataset!C984&lt;=2,1,IF(Dataset!C984=3,2,IF(Dataset!C984=4,3,4)))</f>
        <v>1</v>
      </c>
      <c r="G984" s="29">
        <f t="shared" si="121"/>
        <v>0.4</v>
      </c>
      <c r="H984" s="29">
        <f>IF(Dataset!G984&lt;=3,0.25,IF(Dataset!G984&lt;=6,0.45,IF(Dataset!G984&lt;=9,0.65,0.85)))</f>
        <v>0.65</v>
      </c>
      <c r="I984" s="29">
        <f>IF(Dataset!G984&lt;=3,1,IF(Dataset!G984&lt;=6,2,IF(Dataset!G984&lt;=9,3,4)))</f>
        <v>3</v>
      </c>
      <c r="J984" s="29">
        <f t="shared" si="122"/>
        <v>1.9500000000000002</v>
      </c>
      <c r="K984" s="29">
        <f>IF(Dataset!H984&lt;1,0.2,IF(Dataset!H984&lt;1.3,0.45,IF(Dataset!H984&lt;1.8,0.7,0.9)))</f>
        <v>0.9</v>
      </c>
      <c r="L984" s="29">
        <f>IF(Dataset!H984&lt;1,1,IF(Dataset!H984&lt;1.3,2,IF(Dataset!H984&lt;1.8,3,4)))</f>
        <v>4</v>
      </c>
      <c r="M984" s="29">
        <f t="shared" si="123"/>
        <v>3.6</v>
      </c>
      <c r="N984" s="29">
        <f>IF(Dataset!F984=1,0.75,IF(Dataset!F984=2,0.45,0.2))</f>
        <v>0.75</v>
      </c>
      <c r="O984" s="29">
        <f>IF(Dataset!F984=1,3,IF(Dataset!F984=2,2,1))</f>
        <v>3</v>
      </c>
      <c r="P984" s="29">
        <f t="shared" si="124"/>
        <v>2.25</v>
      </c>
      <c r="Q984" s="29">
        <f>IF(Dataset!K984&lt;5,0.2,IF(Dataset!K984&lt;10,0.45,IF(Dataset!K984&lt;18,0.7,0.9)))</f>
        <v>0.45</v>
      </c>
      <c r="R984" s="29">
        <f>IF(Dataset!K984&lt;5,1,IF(Dataset!K984&lt;10,2,IF(Dataset!K984&lt;18,3,4)))</f>
        <v>2</v>
      </c>
      <c r="S984" s="29">
        <f t="shared" si="125"/>
        <v>0.9</v>
      </c>
      <c r="T984" s="29">
        <f t="shared" si="126"/>
        <v>1.8410000000000004</v>
      </c>
      <c r="U984" s="29" t="str">
        <f t="shared" si="127"/>
        <v>High</v>
      </c>
    </row>
    <row r="985" spans="1:21" ht="15" customHeight="1" x14ac:dyDescent="0.25">
      <c r="A985" s="29">
        <f>Dataset!A985</f>
        <v>981</v>
      </c>
      <c r="B985" s="29">
        <f>IF(Dataset!B985&lt;25,0.3,IF(Dataset!B985&lt;75,0.5,IF(Dataset!B985&lt;120,0.65,0.8)))</f>
        <v>0.5</v>
      </c>
      <c r="C985" s="29">
        <f>IF(Dataset!B985&lt;25,1,IF(Dataset!B985&lt;75,2,IF(Dataset!B985&lt;120,3,4)))</f>
        <v>2</v>
      </c>
      <c r="D985" s="29">
        <f t="shared" si="120"/>
        <v>1</v>
      </c>
      <c r="E985" s="29">
        <f>IF(Dataset!C985&lt;=1,0.3,IF(Dataset!C985=2,0.4,IF(Dataset!C985=3,0.5,IF(Dataset!C985=4,0.65,0.8))))</f>
        <v>0.5</v>
      </c>
      <c r="F985" s="29">
        <f>IF(Dataset!C985&lt;=2,1,IF(Dataset!C985=3,2,IF(Dataset!C985=4,3,4)))</f>
        <v>2</v>
      </c>
      <c r="G985" s="29">
        <f t="shared" si="121"/>
        <v>1</v>
      </c>
      <c r="H985" s="29">
        <f>IF(Dataset!G985&lt;=3,0.25,IF(Dataset!G985&lt;=6,0.45,IF(Dataset!G985&lt;=9,0.65,0.85)))</f>
        <v>0.65</v>
      </c>
      <c r="I985" s="29">
        <f>IF(Dataset!G985&lt;=3,1,IF(Dataset!G985&lt;=6,2,IF(Dataset!G985&lt;=9,3,4)))</f>
        <v>3</v>
      </c>
      <c r="J985" s="29">
        <f t="shared" si="122"/>
        <v>1.9500000000000002</v>
      </c>
      <c r="K985" s="29">
        <f>IF(Dataset!H985&lt;1,0.2,IF(Dataset!H985&lt;1.3,0.45,IF(Dataset!H985&lt;1.8,0.7,0.9)))</f>
        <v>0.7</v>
      </c>
      <c r="L985" s="29">
        <f>IF(Dataset!H985&lt;1,1,IF(Dataset!H985&lt;1.3,2,IF(Dataset!H985&lt;1.8,3,4)))</f>
        <v>3</v>
      </c>
      <c r="M985" s="29">
        <f t="shared" si="123"/>
        <v>2.0999999999999996</v>
      </c>
      <c r="N985" s="29">
        <f>IF(Dataset!F985=1,0.75,IF(Dataset!F985=2,0.45,0.2))</f>
        <v>0.45</v>
      </c>
      <c r="O985" s="29">
        <f>IF(Dataset!F985=1,3,IF(Dataset!F985=2,2,1))</f>
        <v>2</v>
      </c>
      <c r="P985" s="29">
        <f t="shared" si="124"/>
        <v>0.9</v>
      </c>
      <c r="Q985" s="29">
        <f>IF(Dataset!K985&lt;5,0.2,IF(Dataset!K985&lt;10,0.45,IF(Dataset!K985&lt;18,0.7,0.9)))</f>
        <v>0.2</v>
      </c>
      <c r="R985" s="29">
        <f>IF(Dataset!K985&lt;5,1,IF(Dataset!K985&lt;10,2,IF(Dataset!K985&lt;18,3,4)))</f>
        <v>1</v>
      </c>
      <c r="S985" s="29">
        <f t="shared" si="125"/>
        <v>0.2</v>
      </c>
      <c r="T985" s="29">
        <f t="shared" si="126"/>
        <v>1.3320000000000001</v>
      </c>
      <c r="U985" s="29" t="str">
        <f t="shared" si="127"/>
        <v>Low</v>
      </c>
    </row>
    <row r="986" spans="1:21" ht="15" customHeight="1" x14ac:dyDescent="0.25">
      <c r="A986" s="29">
        <f>Dataset!A986</f>
        <v>982</v>
      </c>
      <c r="B986" s="29">
        <f>IF(Dataset!B986&lt;25,0.3,IF(Dataset!B986&lt;75,0.5,IF(Dataset!B986&lt;120,0.65,0.8)))</f>
        <v>0.3</v>
      </c>
      <c r="C986" s="29">
        <f>IF(Dataset!B986&lt;25,1,IF(Dataset!B986&lt;75,2,IF(Dataset!B986&lt;120,3,4)))</f>
        <v>1</v>
      </c>
      <c r="D986" s="29">
        <f t="shared" si="120"/>
        <v>0.3</v>
      </c>
      <c r="E986" s="29">
        <f>IF(Dataset!C986&lt;=1,0.3,IF(Dataset!C986=2,0.4,IF(Dataset!C986=3,0.5,IF(Dataset!C986=4,0.65,0.8))))</f>
        <v>0.65</v>
      </c>
      <c r="F986" s="29">
        <f>IF(Dataset!C986&lt;=2,1,IF(Dataset!C986=3,2,IF(Dataset!C986=4,3,4)))</f>
        <v>3</v>
      </c>
      <c r="G986" s="29">
        <f t="shared" si="121"/>
        <v>1.9500000000000002</v>
      </c>
      <c r="H986" s="29">
        <f>IF(Dataset!G986&lt;=3,0.25,IF(Dataset!G986&lt;=6,0.45,IF(Dataset!G986&lt;=9,0.65,0.85)))</f>
        <v>0.45</v>
      </c>
      <c r="I986" s="29">
        <f>IF(Dataset!G986&lt;=3,1,IF(Dataset!G986&lt;=6,2,IF(Dataset!G986&lt;=9,3,4)))</f>
        <v>2</v>
      </c>
      <c r="J986" s="29">
        <f t="shared" si="122"/>
        <v>0.9</v>
      </c>
      <c r="K986" s="29">
        <f>IF(Dataset!H986&lt;1,0.2,IF(Dataset!H986&lt;1.3,0.45,IF(Dataset!H986&lt;1.8,0.7,0.9)))</f>
        <v>0.45</v>
      </c>
      <c r="L986" s="29">
        <f>IF(Dataset!H986&lt;1,1,IF(Dataset!H986&lt;1.3,2,IF(Dataset!H986&lt;1.8,3,4)))</f>
        <v>2</v>
      </c>
      <c r="M986" s="29">
        <f t="shared" si="123"/>
        <v>0.9</v>
      </c>
      <c r="N986" s="29">
        <f>IF(Dataset!F986=1,0.75,IF(Dataset!F986=2,0.45,0.2))</f>
        <v>0.2</v>
      </c>
      <c r="O986" s="29">
        <f>IF(Dataset!F986=1,3,IF(Dataset!F986=2,2,1))</f>
        <v>1</v>
      </c>
      <c r="P986" s="29">
        <f t="shared" si="124"/>
        <v>0.2</v>
      </c>
      <c r="Q986" s="29">
        <f>IF(Dataset!K986&lt;5,0.2,IF(Dataset!K986&lt;10,0.45,IF(Dataset!K986&lt;18,0.7,0.9)))</f>
        <v>0.7</v>
      </c>
      <c r="R986" s="29">
        <f>IF(Dataset!K986&lt;5,1,IF(Dataset!K986&lt;10,2,IF(Dataset!K986&lt;18,3,4)))</f>
        <v>3</v>
      </c>
      <c r="S986" s="29">
        <f t="shared" si="125"/>
        <v>2.0999999999999996</v>
      </c>
      <c r="T986" s="29">
        <f t="shared" si="126"/>
        <v>1.0370000000000001</v>
      </c>
      <c r="U986" s="29" t="str">
        <f t="shared" si="127"/>
        <v>Low</v>
      </c>
    </row>
    <row r="987" spans="1:21" ht="15" customHeight="1" x14ac:dyDescent="0.25">
      <c r="A987" s="29">
        <f>Dataset!A987</f>
        <v>983</v>
      </c>
      <c r="B987" s="29">
        <f>IF(Dataset!B987&lt;25,0.3,IF(Dataset!B987&lt;75,0.5,IF(Dataset!B987&lt;120,0.65,0.8)))</f>
        <v>0.65</v>
      </c>
      <c r="C987" s="29">
        <f>IF(Dataset!B987&lt;25,1,IF(Dataset!B987&lt;75,2,IF(Dataset!B987&lt;120,3,4)))</f>
        <v>3</v>
      </c>
      <c r="D987" s="29">
        <f t="shared" si="120"/>
        <v>1.9500000000000002</v>
      </c>
      <c r="E987" s="29">
        <f>IF(Dataset!C987&lt;=1,0.3,IF(Dataset!C987=2,0.4,IF(Dataset!C987=3,0.5,IF(Dataset!C987=4,0.65,0.8))))</f>
        <v>0.65</v>
      </c>
      <c r="F987" s="29">
        <f>IF(Dataset!C987&lt;=2,1,IF(Dataset!C987=3,2,IF(Dataset!C987=4,3,4)))</f>
        <v>3</v>
      </c>
      <c r="G987" s="29">
        <f t="shared" si="121"/>
        <v>1.9500000000000002</v>
      </c>
      <c r="H987" s="29">
        <f>IF(Dataset!G987&lt;=3,0.25,IF(Dataset!G987&lt;=6,0.45,IF(Dataset!G987&lt;=9,0.65,0.85)))</f>
        <v>0.85</v>
      </c>
      <c r="I987" s="29">
        <f>IF(Dataset!G987&lt;=3,1,IF(Dataset!G987&lt;=6,2,IF(Dataset!G987&lt;=9,3,4)))</f>
        <v>4</v>
      </c>
      <c r="J987" s="29">
        <f t="shared" si="122"/>
        <v>3.4</v>
      </c>
      <c r="K987" s="29">
        <f>IF(Dataset!H987&lt;1,0.2,IF(Dataset!H987&lt;1.3,0.45,IF(Dataset!H987&lt;1.8,0.7,0.9)))</f>
        <v>0.2</v>
      </c>
      <c r="L987" s="29">
        <f>IF(Dataset!H987&lt;1,1,IF(Dataset!H987&lt;1.3,2,IF(Dataset!H987&lt;1.8,3,4)))</f>
        <v>1</v>
      </c>
      <c r="M987" s="29">
        <f t="shared" si="123"/>
        <v>0.2</v>
      </c>
      <c r="N987" s="29">
        <f>IF(Dataset!F987=1,0.75,IF(Dataset!F987=2,0.45,0.2))</f>
        <v>0.45</v>
      </c>
      <c r="O987" s="29">
        <f>IF(Dataset!F987=1,3,IF(Dataset!F987=2,2,1))</f>
        <v>2</v>
      </c>
      <c r="P987" s="29">
        <f t="shared" si="124"/>
        <v>0.9</v>
      </c>
      <c r="Q987" s="29">
        <f>IF(Dataset!K987&lt;5,0.2,IF(Dataset!K987&lt;10,0.45,IF(Dataset!K987&lt;18,0.7,0.9)))</f>
        <v>0.45</v>
      </c>
      <c r="R987" s="29">
        <f>IF(Dataset!K987&lt;5,1,IF(Dataset!K987&lt;10,2,IF(Dataset!K987&lt;18,3,4)))</f>
        <v>2</v>
      </c>
      <c r="S987" s="29">
        <f t="shared" si="125"/>
        <v>0.9</v>
      </c>
      <c r="T987" s="29">
        <f t="shared" si="126"/>
        <v>1.5680000000000005</v>
      </c>
      <c r="U987" s="29" t="str">
        <f t="shared" si="127"/>
        <v>Medium</v>
      </c>
    </row>
    <row r="988" spans="1:21" ht="15" customHeight="1" x14ac:dyDescent="0.25">
      <c r="A988" s="29">
        <f>Dataset!A988</f>
        <v>984</v>
      </c>
      <c r="B988" s="29">
        <f>IF(Dataset!B988&lt;25,0.3,IF(Dataset!B988&lt;75,0.5,IF(Dataset!B988&lt;120,0.65,0.8)))</f>
        <v>0.8</v>
      </c>
      <c r="C988" s="29">
        <f>IF(Dataset!B988&lt;25,1,IF(Dataset!B988&lt;75,2,IF(Dataset!B988&lt;120,3,4)))</f>
        <v>4</v>
      </c>
      <c r="D988" s="29">
        <f t="shared" si="120"/>
        <v>3.2</v>
      </c>
      <c r="E988" s="29">
        <f>IF(Dataset!C988&lt;=1,0.3,IF(Dataset!C988=2,0.4,IF(Dataset!C988=3,0.5,IF(Dataset!C988=4,0.65,0.8))))</f>
        <v>0.65</v>
      </c>
      <c r="F988" s="29">
        <f>IF(Dataset!C988&lt;=2,1,IF(Dataset!C988=3,2,IF(Dataset!C988=4,3,4)))</f>
        <v>3</v>
      </c>
      <c r="G988" s="29">
        <f t="shared" si="121"/>
        <v>1.9500000000000002</v>
      </c>
      <c r="H988" s="29">
        <f>IF(Dataset!G988&lt;=3,0.25,IF(Dataset!G988&lt;=6,0.45,IF(Dataset!G988&lt;=9,0.65,0.85)))</f>
        <v>0.45</v>
      </c>
      <c r="I988" s="29">
        <f>IF(Dataset!G988&lt;=3,1,IF(Dataset!G988&lt;=6,2,IF(Dataset!G988&lt;=9,3,4)))</f>
        <v>2</v>
      </c>
      <c r="J988" s="29">
        <f t="shared" si="122"/>
        <v>0.9</v>
      </c>
      <c r="K988" s="29">
        <f>IF(Dataset!H988&lt;1,0.2,IF(Dataset!H988&lt;1.3,0.45,IF(Dataset!H988&lt;1.8,0.7,0.9)))</f>
        <v>0.7</v>
      </c>
      <c r="L988" s="29">
        <f>IF(Dataset!H988&lt;1,1,IF(Dataset!H988&lt;1.3,2,IF(Dataset!H988&lt;1.8,3,4)))</f>
        <v>3</v>
      </c>
      <c r="M988" s="29">
        <f t="shared" si="123"/>
        <v>2.0999999999999996</v>
      </c>
      <c r="N988" s="29">
        <f>IF(Dataset!F988=1,0.75,IF(Dataset!F988=2,0.45,0.2))</f>
        <v>0.45</v>
      </c>
      <c r="O988" s="29">
        <f>IF(Dataset!F988=1,3,IF(Dataset!F988=2,2,1))</f>
        <v>2</v>
      </c>
      <c r="P988" s="29">
        <f t="shared" si="124"/>
        <v>0.9</v>
      </c>
      <c r="Q988" s="29">
        <f>IF(Dataset!K988&lt;5,0.2,IF(Dataset!K988&lt;10,0.45,IF(Dataset!K988&lt;18,0.7,0.9)))</f>
        <v>0.7</v>
      </c>
      <c r="R988" s="29">
        <f>IF(Dataset!K988&lt;5,1,IF(Dataset!K988&lt;10,2,IF(Dataset!K988&lt;18,3,4)))</f>
        <v>3</v>
      </c>
      <c r="S988" s="29">
        <f t="shared" si="125"/>
        <v>2.0999999999999996</v>
      </c>
      <c r="T988" s="29">
        <f t="shared" si="126"/>
        <v>1.917</v>
      </c>
      <c r="U988" s="29" t="str">
        <f t="shared" si="127"/>
        <v>High</v>
      </c>
    </row>
    <row r="989" spans="1:21" ht="15" customHeight="1" x14ac:dyDescent="0.25">
      <c r="A989" s="29">
        <f>Dataset!A989</f>
        <v>985</v>
      </c>
      <c r="B989" s="29">
        <f>IF(Dataset!B989&lt;25,0.3,IF(Dataset!B989&lt;75,0.5,IF(Dataset!B989&lt;120,0.65,0.8)))</f>
        <v>0.65</v>
      </c>
      <c r="C989" s="29">
        <f>IF(Dataset!B989&lt;25,1,IF(Dataset!B989&lt;75,2,IF(Dataset!B989&lt;120,3,4)))</f>
        <v>3</v>
      </c>
      <c r="D989" s="29">
        <f t="shared" si="120"/>
        <v>1.9500000000000002</v>
      </c>
      <c r="E989" s="29">
        <f>IF(Dataset!C989&lt;=1,0.3,IF(Dataset!C989=2,0.4,IF(Dataset!C989=3,0.5,IF(Dataset!C989=4,0.65,0.8))))</f>
        <v>0.8</v>
      </c>
      <c r="F989" s="29">
        <f>IF(Dataset!C989&lt;=2,1,IF(Dataset!C989=3,2,IF(Dataset!C989=4,3,4)))</f>
        <v>4</v>
      </c>
      <c r="G989" s="29">
        <f t="shared" si="121"/>
        <v>3.2</v>
      </c>
      <c r="H989" s="29">
        <f>IF(Dataset!G989&lt;=3,0.25,IF(Dataset!G989&lt;=6,0.45,IF(Dataset!G989&lt;=9,0.65,0.85)))</f>
        <v>0.65</v>
      </c>
      <c r="I989" s="29">
        <f>IF(Dataset!G989&lt;=3,1,IF(Dataset!G989&lt;=6,2,IF(Dataset!G989&lt;=9,3,4)))</f>
        <v>3</v>
      </c>
      <c r="J989" s="29">
        <f t="shared" si="122"/>
        <v>1.9500000000000002</v>
      </c>
      <c r="K989" s="29">
        <f>IF(Dataset!H989&lt;1,0.2,IF(Dataset!H989&lt;1.3,0.45,IF(Dataset!H989&lt;1.8,0.7,0.9)))</f>
        <v>0.45</v>
      </c>
      <c r="L989" s="29">
        <f>IF(Dataset!H989&lt;1,1,IF(Dataset!H989&lt;1.3,2,IF(Dataset!H989&lt;1.8,3,4)))</f>
        <v>2</v>
      </c>
      <c r="M989" s="29">
        <f t="shared" si="123"/>
        <v>0.9</v>
      </c>
      <c r="N989" s="29">
        <f>IF(Dataset!F989=1,0.75,IF(Dataset!F989=2,0.45,0.2))</f>
        <v>0.45</v>
      </c>
      <c r="O989" s="29">
        <f>IF(Dataset!F989=1,3,IF(Dataset!F989=2,2,1))</f>
        <v>2</v>
      </c>
      <c r="P989" s="29">
        <f t="shared" si="124"/>
        <v>0.9</v>
      </c>
      <c r="Q989" s="29">
        <f>IF(Dataset!K989&lt;5,0.2,IF(Dataset!K989&lt;10,0.45,IF(Dataset!K989&lt;18,0.7,0.9)))</f>
        <v>0.7</v>
      </c>
      <c r="R989" s="29">
        <f>IF(Dataset!K989&lt;5,1,IF(Dataset!K989&lt;10,2,IF(Dataset!K989&lt;18,3,4)))</f>
        <v>3</v>
      </c>
      <c r="S989" s="29">
        <f t="shared" si="125"/>
        <v>2.0999999999999996</v>
      </c>
      <c r="T989" s="29">
        <f t="shared" si="126"/>
        <v>1.7890000000000004</v>
      </c>
      <c r="U989" s="29" t="str">
        <f t="shared" si="127"/>
        <v>High</v>
      </c>
    </row>
    <row r="990" spans="1:21" ht="15" customHeight="1" x14ac:dyDescent="0.25">
      <c r="A990" s="29">
        <f>Dataset!A990</f>
        <v>986</v>
      </c>
      <c r="B990" s="29">
        <f>IF(Dataset!B990&lt;25,0.3,IF(Dataset!B990&lt;75,0.5,IF(Dataset!B990&lt;120,0.65,0.8)))</f>
        <v>0.5</v>
      </c>
      <c r="C990" s="29">
        <f>IF(Dataset!B990&lt;25,1,IF(Dataset!B990&lt;75,2,IF(Dataset!B990&lt;120,3,4)))</f>
        <v>2</v>
      </c>
      <c r="D990" s="29">
        <f t="shared" si="120"/>
        <v>1</v>
      </c>
      <c r="E990" s="29">
        <f>IF(Dataset!C990&lt;=1,0.3,IF(Dataset!C990=2,0.4,IF(Dataset!C990=3,0.5,IF(Dataset!C990=4,0.65,0.8))))</f>
        <v>0.5</v>
      </c>
      <c r="F990" s="29">
        <f>IF(Dataset!C990&lt;=2,1,IF(Dataset!C990=3,2,IF(Dataset!C990=4,3,4)))</f>
        <v>2</v>
      </c>
      <c r="G990" s="29">
        <f t="shared" si="121"/>
        <v>1</v>
      </c>
      <c r="H990" s="29">
        <f>IF(Dataset!G990&lt;=3,0.25,IF(Dataset!G990&lt;=6,0.45,IF(Dataset!G990&lt;=9,0.65,0.85)))</f>
        <v>0.65</v>
      </c>
      <c r="I990" s="29">
        <f>IF(Dataset!G990&lt;=3,1,IF(Dataset!G990&lt;=6,2,IF(Dataset!G990&lt;=9,3,4)))</f>
        <v>3</v>
      </c>
      <c r="J990" s="29">
        <f t="shared" si="122"/>
        <v>1.9500000000000002</v>
      </c>
      <c r="K990" s="29">
        <f>IF(Dataset!H990&lt;1,0.2,IF(Dataset!H990&lt;1.3,0.45,IF(Dataset!H990&lt;1.8,0.7,0.9)))</f>
        <v>0.9</v>
      </c>
      <c r="L990" s="29">
        <f>IF(Dataset!H990&lt;1,1,IF(Dataset!H990&lt;1.3,2,IF(Dataset!H990&lt;1.8,3,4)))</f>
        <v>4</v>
      </c>
      <c r="M990" s="29">
        <f t="shared" si="123"/>
        <v>3.6</v>
      </c>
      <c r="N990" s="29">
        <f>IF(Dataset!F990=1,0.75,IF(Dataset!F990=2,0.45,0.2))</f>
        <v>0.2</v>
      </c>
      <c r="O990" s="29">
        <f>IF(Dataset!F990=1,3,IF(Dataset!F990=2,2,1))</f>
        <v>1</v>
      </c>
      <c r="P990" s="29">
        <f t="shared" si="124"/>
        <v>0.2</v>
      </c>
      <c r="Q990" s="29">
        <f>IF(Dataset!K990&lt;5,0.2,IF(Dataset!K990&lt;10,0.45,IF(Dataset!K990&lt;18,0.7,0.9)))</f>
        <v>0.45</v>
      </c>
      <c r="R990" s="29">
        <f>IF(Dataset!K990&lt;5,1,IF(Dataset!K990&lt;10,2,IF(Dataset!K990&lt;18,3,4)))</f>
        <v>2</v>
      </c>
      <c r="S990" s="29">
        <f t="shared" si="125"/>
        <v>0.9</v>
      </c>
      <c r="T990" s="29">
        <f t="shared" si="126"/>
        <v>1.7200000000000002</v>
      </c>
      <c r="U990" s="29" t="str">
        <f t="shared" si="127"/>
        <v>Medium</v>
      </c>
    </row>
    <row r="991" spans="1:21" ht="15" customHeight="1" x14ac:dyDescent="0.25">
      <c r="A991" s="29">
        <f>Dataset!A991</f>
        <v>987</v>
      </c>
      <c r="B991" s="29">
        <f>IF(Dataset!B991&lt;25,0.3,IF(Dataset!B991&lt;75,0.5,IF(Dataset!B991&lt;120,0.65,0.8)))</f>
        <v>0.8</v>
      </c>
      <c r="C991" s="29">
        <f>IF(Dataset!B991&lt;25,1,IF(Dataset!B991&lt;75,2,IF(Dataset!B991&lt;120,3,4)))</f>
        <v>4</v>
      </c>
      <c r="D991" s="29">
        <f t="shared" si="120"/>
        <v>3.2</v>
      </c>
      <c r="E991" s="29">
        <f>IF(Dataset!C991&lt;=1,0.3,IF(Dataset!C991=2,0.4,IF(Dataset!C991=3,0.5,IF(Dataset!C991=4,0.65,0.8))))</f>
        <v>0.65</v>
      </c>
      <c r="F991" s="29">
        <f>IF(Dataset!C991&lt;=2,1,IF(Dataset!C991=3,2,IF(Dataset!C991=4,3,4)))</f>
        <v>3</v>
      </c>
      <c r="G991" s="29">
        <f t="shared" si="121"/>
        <v>1.9500000000000002</v>
      </c>
      <c r="H991" s="29">
        <f>IF(Dataset!G991&lt;=3,0.25,IF(Dataset!G991&lt;=6,0.45,IF(Dataset!G991&lt;=9,0.65,0.85)))</f>
        <v>0.65</v>
      </c>
      <c r="I991" s="29">
        <f>IF(Dataset!G991&lt;=3,1,IF(Dataset!G991&lt;=6,2,IF(Dataset!G991&lt;=9,3,4)))</f>
        <v>3</v>
      </c>
      <c r="J991" s="29">
        <f t="shared" si="122"/>
        <v>1.9500000000000002</v>
      </c>
      <c r="K991" s="29">
        <f>IF(Dataset!H991&lt;1,0.2,IF(Dataset!H991&lt;1.3,0.45,IF(Dataset!H991&lt;1.8,0.7,0.9)))</f>
        <v>0.7</v>
      </c>
      <c r="L991" s="29">
        <f>IF(Dataset!H991&lt;1,1,IF(Dataset!H991&lt;1.3,2,IF(Dataset!H991&lt;1.8,3,4)))</f>
        <v>3</v>
      </c>
      <c r="M991" s="29">
        <f t="shared" si="123"/>
        <v>2.0999999999999996</v>
      </c>
      <c r="N991" s="29">
        <f>IF(Dataset!F991=1,0.75,IF(Dataset!F991=2,0.45,0.2))</f>
        <v>0.2</v>
      </c>
      <c r="O991" s="29">
        <f>IF(Dataset!F991=1,3,IF(Dataset!F991=2,2,1))</f>
        <v>1</v>
      </c>
      <c r="P991" s="29">
        <f t="shared" si="124"/>
        <v>0.2</v>
      </c>
      <c r="Q991" s="29">
        <f>IF(Dataset!K991&lt;5,0.2,IF(Dataset!K991&lt;10,0.45,IF(Dataset!K991&lt;18,0.7,0.9)))</f>
        <v>0.7</v>
      </c>
      <c r="R991" s="29">
        <f>IF(Dataset!K991&lt;5,1,IF(Dataset!K991&lt;10,2,IF(Dataset!K991&lt;18,3,4)))</f>
        <v>3</v>
      </c>
      <c r="S991" s="29">
        <f t="shared" si="125"/>
        <v>2.0999999999999996</v>
      </c>
      <c r="T991" s="29">
        <f t="shared" si="126"/>
        <v>2.0569999999999999</v>
      </c>
      <c r="U991" s="29" t="str">
        <f t="shared" si="127"/>
        <v>High</v>
      </c>
    </row>
    <row r="992" spans="1:21" ht="15" customHeight="1" x14ac:dyDescent="0.25">
      <c r="A992" s="29">
        <f>Dataset!A992</f>
        <v>988</v>
      </c>
      <c r="B992" s="29">
        <f>IF(Dataset!B992&lt;25,0.3,IF(Dataset!B992&lt;75,0.5,IF(Dataset!B992&lt;120,0.65,0.8)))</f>
        <v>0.5</v>
      </c>
      <c r="C992" s="29">
        <f>IF(Dataset!B992&lt;25,1,IF(Dataset!B992&lt;75,2,IF(Dataset!B992&lt;120,3,4)))</f>
        <v>2</v>
      </c>
      <c r="D992" s="29">
        <f t="shared" si="120"/>
        <v>1</v>
      </c>
      <c r="E992" s="29">
        <f>IF(Dataset!C992&lt;=1,0.3,IF(Dataset!C992=2,0.4,IF(Dataset!C992=3,0.5,IF(Dataset!C992=4,0.65,0.8))))</f>
        <v>0.65</v>
      </c>
      <c r="F992" s="29">
        <f>IF(Dataset!C992&lt;=2,1,IF(Dataset!C992=3,2,IF(Dataset!C992=4,3,4)))</f>
        <v>3</v>
      </c>
      <c r="G992" s="29">
        <f t="shared" si="121"/>
        <v>1.9500000000000002</v>
      </c>
      <c r="H992" s="29">
        <f>IF(Dataset!G992&lt;=3,0.25,IF(Dataset!G992&lt;=6,0.45,IF(Dataset!G992&lt;=9,0.65,0.85)))</f>
        <v>0.45</v>
      </c>
      <c r="I992" s="29">
        <f>IF(Dataset!G992&lt;=3,1,IF(Dataset!G992&lt;=6,2,IF(Dataset!G992&lt;=9,3,4)))</f>
        <v>2</v>
      </c>
      <c r="J992" s="29">
        <f t="shared" si="122"/>
        <v>0.9</v>
      </c>
      <c r="K992" s="29">
        <f>IF(Dataset!H992&lt;1,0.2,IF(Dataset!H992&lt;1.3,0.45,IF(Dataset!H992&lt;1.8,0.7,0.9)))</f>
        <v>0.45</v>
      </c>
      <c r="L992" s="29">
        <f>IF(Dataset!H992&lt;1,1,IF(Dataset!H992&lt;1.3,2,IF(Dataset!H992&lt;1.8,3,4)))</f>
        <v>2</v>
      </c>
      <c r="M992" s="29">
        <f t="shared" si="123"/>
        <v>0.9</v>
      </c>
      <c r="N992" s="29">
        <f>IF(Dataset!F992=1,0.75,IF(Dataset!F992=2,0.45,0.2))</f>
        <v>0.2</v>
      </c>
      <c r="O992" s="29">
        <f>IF(Dataset!F992=1,3,IF(Dataset!F992=2,2,1))</f>
        <v>1</v>
      </c>
      <c r="P992" s="29">
        <f t="shared" si="124"/>
        <v>0.2</v>
      </c>
      <c r="Q992" s="29">
        <f>IF(Dataset!K992&lt;5,0.2,IF(Dataset!K992&lt;10,0.45,IF(Dataset!K992&lt;18,0.7,0.9)))</f>
        <v>0.7</v>
      </c>
      <c r="R992" s="29">
        <f>IF(Dataset!K992&lt;5,1,IF(Dataset!K992&lt;10,2,IF(Dataset!K992&lt;18,3,4)))</f>
        <v>3</v>
      </c>
      <c r="S992" s="29">
        <f t="shared" si="125"/>
        <v>2.0999999999999996</v>
      </c>
      <c r="T992" s="29">
        <f t="shared" si="126"/>
        <v>1.163</v>
      </c>
      <c r="U992" s="29" t="str">
        <f t="shared" si="127"/>
        <v>Low</v>
      </c>
    </row>
    <row r="993" spans="1:21" ht="15" customHeight="1" x14ac:dyDescent="0.25">
      <c r="A993" s="29">
        <f>Dataset!A993</f>
        <v>989</v>
      </c>
      <c r="B993" s="29">
        <f>IF(Dataset!B993&lt;25,0.3,IF(Dataset!B993&lt;75,0.5,IF(Dataset!B993&lt;120,0.65,0.8)))</f>
        <v>0.65</v>
      </c>
      <c r="C993" s="29">
        <f>IF(Dataset!B993&lt;25,1,IF(Dataset!B993&lt;75,2,IF(Dataset!B993&lt;120,3,4)))</f>
        <v>3</v>
      </c>
      <c r="D993" s="29">
        <f t="shared" si="120"/>
        <v>1.9500000000000002</v>
      </c>
      <c r="E993" s="29">
        <f>IF(Dataset!C993&lt;=1,0.3,IF(Dataset!C993=2,0.4,IF(Dataset!C993=3,0.5,IF(Dataset!C993=4,0.65,0.8))))</f>
        <v>0.5</v>
      </c>
      <c r="F993" s="29">
        <f>IF(Dataset!C993&lt;=2,1,IF(Dataset!C993=3,2,IF(Dataset!C993=4,3,4)))</f>
        <v>2</v>
      </c>
      <c r="G993" s="29">
        <f t="shared" si="121"/>
        <v>1</v>
      </c>
      <c r="H993" s="29">
        <f>IF(Dataset!G993&lt;=3,0.25,IF(Dataset!G993&lt;=6,0.45,IF(Dataset!G993&lt;=9,0.65,0.85)))</f>
        <v>0.45</v>
      </c>
      <c r="I993" s="29">
        <f>IF(Dataset!G993&lt;=3,1,IF(Dataset!G993&lt;=6,2,IF(Dataset!G993&lt;=9,3,4)))</f>
        <v>2</v>
      </c>
      <c r="J993" s="29">
        <f t="shared" si="122"/>
        <v>0.9</v>
      </c>
      <c r="K993" s="29">
        <f>IF(Dataset!H993&lt;1,0.2,IF(Dataset!H993&lt;1.3,0.45,IF(Dataset!H993&lt;1.8,0.7,0.9)))</f>
        <v>0.2</v>
      </c>
      <c r="L993" s="29">
        <f>IF(Dataset!H993&lt;1,1,IF(Dataset!H993&lt;1.3,2,IF(Dataset!H993&lt;1.8,3,4)))</f>
        <v>1</v>
      </c>
      <c r="M993" s="29">
        <f t="shared" si="123"/>
        <v>0.2</v>
      </c>
      <c r="N993" s="29">
        <f>IF(Dataset!F993=1,0.75,IF(Dataset!F993=2,0.45,0.2))</f>
        <v>0.45</v>
      </c>
      <c r="O993" s="29">
        <f>IF(Dataset!F993=1,3,IF(Dataset!F993=2,2,1))</f>
        <v>2</v>
      </c>
      <c r="P993" s="29">
        <f t="shared" si="124"/>
        <v>0.9</v>
      </c>
      <c r="Q993" s="29">
        <f>IF(Dataset!K993&lt;5,0.2,IF(Dataset!K993&lt;10,0.45,IF(Dataset!K993&lt;18,0.7,0.9)))</f>
        <v>0.2</v>
      </c>
      <c r="R993" s="29">
        <f>IF(Dataset!K993&lt;5,1,IF(Dataset!K993&lt;10,2,IF(Dataset!K993&lt;18,3,4)))</f>
        <v>1</v>
      </c>
      <c r="S993" s="29">
        <f t="shared" si="125"/>
        <v>0.2</v>
      </c>
      <c r="T993" s="29">
        <f t="shared" si="126"/>
        <v>0.83700000000000008</v>
      </c>
      <c r="U993" s="29" t="str">
        <f t="shared" si="127"/>
        <v>Low</v>
      </c>
    </row>
    <row r="994" spans="1:21" ht="15" customHeight="1" x14ac:dyDescent="0.25">
      <c r="A994" s="29">
        <f>Dataset!A994</f>
        <v>990</v>
      </c>
      <c r="B994" s="29">
        <f>IF(Dataset!B994&lt;25,0.3,IF(Dataset!B994&lt;75,0.5,IF(Dataset!B994&lt;120,0.65,0.8)))</f>
        <v>0.8</v>
      </c>
      <c r="C994" s="29">
        <f>IF(Dataset!B994&lt;25,1,IF(Dataset!B994&lt;75,2,IF(Dataset!B994&lt;120,3,4)))</f>
        <v>4</v>
      </c>
      <c r="D994" s="29">
        <f t="shared" si="120"/>
        <v>3.2</v>
      </c>
      <c r="E994" s="29">
        <f>IF(Dataset!C994&lt;=1,0.3,IF(Dataset!C994=2,0.4,IF(Dataset!C994=3,0.5,IF(Dataset!C994=4,0.65,0.8))))</f>
        <v>0.8</v>
      </c>
      <c r="F994" s="29">
        <f>IF(Dataset!C994&lt;=2,1,IF(Dataset!C994=3,2,IF(Dataset!C994=4,3,4)))</f>
        <v>4</v>
      </c>
      <c r="G994" s="29">
        <f t="shared" si="121"/>
        <v>3.2</v>
      </c>
      <c r="H994" s="29">
        <f>IF(Dataset!G994&lt;=3,0.25,IF(Dataset!G994&lt;=6,0.45,IF(Dataset!G994&lt;=9,0.65,0.85)))</f>
        <v>0.25</v>
      </c>
      <c r="I994" s="29">
        <f>IF(Dataset!G994&lt;=3,1,IF(Dataset!G994&lt;=6,2,IF(Dataset!G994&lt;=9,3,4)))</f>
        <v>1</v>
      </c>
      <c r="J994" s="29">
        <f t="shared" si="122"/>
        <v>0.25</v>
      </c>
      <c r="K994" s="29">
        <f>IF(Dataset!H994&lt;1,0.2,IF(Dataset!H994&lt;1.3,0.45,IF(Dataset!H994&lt;1.8,0.7,0.9)))</f>
        <v>0.2</v>
      </c>
      <c r="L994" s="29">
        <f>IF(Dataset!H994&lt;1,1,IF(Dataset!H994&lt;1.3,2,IF(Dataset!H994&lt;1.8,3,4)))</f>
        <v>1</v>
      </c>
      <c r="M994" s="29">
        <f t="shared" si="123"/>
        <v>0.2</v>
      </c>
      <c r="N994" s="29">
        <f>IF(Dataset!F994=1,0.75,IF(Dataset!F994=2,0.45,0.2))</f>
        <v>0.75</v>
      </c>
      <c r="O994" s="29">
        <f>IF(Dataset!F994=1,3,IF(Dataset!F994=2,2,1))</f>
        <v>3</v>
      </c>
      <c r="P994" s="29">
        <f t="shared" si="124"/>
        <v>2.25</v>
      </c>
      <c r="Q994" s="29">
        <f>IF(Dataset!K994&lt;5,0.2,IF(Dataset!K994&lt;10,0.45,IF(Dataset!K994&lt;18,0.7,0.9)))</f>
        <v>0.7</v>
      </c>
      <c r="R994" s="29">
        <f>IF(Dataset!K994&lt;5,1,IF(Dataset!K994&lt;10,2,IF(Dataset!K994&lt;18,3,4)))</f>
        <v>3</v>
      </c>
      <c r="S994" s="29">
        <f t="shared" si="125"/>
        <v>2.0999999999999996</v>
      </c>
      <c r="T994" s="29">
        <f t="shared" si="126"/>
        <v>1.6410000000000002</v>
      </c>
      <c r="U994" s="29" t="str">
        <f t="shared" si="127"/>
        <v>Medium</v>
      </c>
    </row>
    <row r="995" spans="1:21" ht="15" customHeight="1" x14ac:dyDescent="0.25">
      <c r="A995" s="29">
        <f>Dataset!A995</f>
        <v>991</v>
      </c>
      <c r="B995" s="29">
        <f>IF(Dataset!B995&lt;25,0.3,IF(Dataset!B995&lt;75,0.5,IF(Dataset!B995&lt;120,0.65,0.8)))</f>
        <v>0.3</v>
      </c>
      <c r="C995" s="29">
        <f>IF(Dataset!B995&lt;25,1,IF(Dataset!B995&lt;75,2,IF(Dataset!B995&lt;120,3,4)))</f>
        <v>1</v>
      </c>
      <c r="D995" s="29">
        <f t="shared" si="120"/>
        <v>0.3</v>
      </c>
      <c r="E995" s="29">
        <f>IF(Dataset!C995&lt;=1,0.3,IF(Dataset!C995=2,0.4,IF(Dataset!C995=3,0.5,IF(Dataset!C995=4,0.65,0.8))))</f>
        <v>0.4</v>
      </c>
      <c r="F995" s="29">
        <f>IF(Dataset!C995&lt;=2,1,IF(Dataset!C995=3,2,IF(Dataset!C995=4,3,4)))</f>
        <v>1</v>
      </c>
      <c r="G995" s="29">
        <f t="shared" si="121"/>
        <v>0.4</v>
      </c>
      <c r="H995" s="29">
        <f>IF(Dataset!G995&lt;=3,0.25,IF(Dataset!G995&lt;=6,0.45,IF(Dataset!G995&lt;=9,0.65,0.85)))</f>
        <v>0.45</v>
      </c>
      <c r="I995" s="29">
        <f>IF(Dataset!G995&lt;=3,1,IF(Dataset!G995&lt;=6,2,IF(Dataset!G995&lt;=9,3,4)))</f>
        <v>2</v>
      </c>
      <c r="J995" s="29">
        <f t="shared" si="122"/>
        <v>0.9</v>
      </c>
      <c r="K995" s="29">
        <f>IF(Dataset!H995&lt;1,0.2,IF(Dataset!H995&lt;1.3,0.45,IF(Dataset!H995&lt;1.8,0.7,0.9)))</f>
        <v>0.9</v>
      </c>
      <c r="L995" s="29">
        <f>IF(Dataset!H995&lt;1,1,IF(Dataset!H995&lt;1.3,2,IF(Dataset!H995&lt;1.8,3,4)))</f>
        <v>4</v>
      </c>
      <c r="M995" s="29">
        <f t="shared" si="123"/>
        <v>3.6</v>
      </c>
      <c r="N995" s="29">
        <f>IF(Dataset!F995=1,0.75,IF(Dataset!F995=2,0.45,0.2))</f>
        <v>0.45</v>
      </c>
      <c r="O995" s="29">
        <f>IF(Dataset!F995=1,3,IF(Dataset!F995=2,2,1))</f>
        <v>2</v>
      </c>
      <c r="P995" s="29">
        <f t="shared" si="124"/>
        <v>0.9</v>
      </c>
      <c r="Q995" s="29">
        <f>IF(Dataset!K995&lt;5,0.2,IF(Dataset!K995&lt;10,0.45,IF(Dataset!K995&lt;18,0.7,0.9)))</f>
        <v>0.45</v>
      </c>
      <c r="R995" s="29">
        <f>IF(Dataset!K995&lt;5,1,IF(Dataset!K995&lt;10,2,IF(Dataset!K995&lt;18,3,4)))</f>
        <v>2</v>
      </c>
      <c r="S995" s="29">
        <f t="shared" si="125"/>
        <v>0.9</v>
      </c>
      <c r="T995" s="29">
        <f t="shared" si="126"/>
        <v>1.37</v>
      </c>
      <c r="U995" s="29" t="str">
        <f t="shared" si="127"/>
        <v>Medium</v>
      </c>
    </row>
    <row r="996" spans="1:21" ht="15" customHeight="1" x14ac:dyDescent="0.25">
      <c r="A996" s="29">
        <f>Dataset!A996</f>
        <v>992</v>
      </c>
      <c r="B996" s="29">
        <f>IF(Dataset!B996&lt;25,0.3,IF(Dataset!B996&lt;75,0.5,IF(Dataset!B996&lt;120,0.65,0.8)))</f>
        <v>0.65</v>
      </c>
      <c r="C996" s="29">
        <f>IF(Dataset!B996&lt;25,1,IF(Dataset!B996&lt;75,2,IF(Dataset!B996&lt;120,3,4)))</f>
        <v>3</v>
      </c>
      <c r="D996" s="29">
        <f t="shared" si="120"/>
        <v>1.9500000000000002</v>
      </c>
      <c r="E996" s="29">
        <f>IF(Dataset!C996&lt;=1,0.3,IF(Dataset!C996=2,0.4,IF(Dataset!C996=3,0.5,IF(Dataset!C996=4,0.65,0.8))))</f>
        <v>0.65</v>
      </c>
      <c r="F996" s="29">
        <f>IF(Dataset!C996&lt;=2,1,IF(Dataset!C996=3,2,IF(Dataset!C996=4,3,4)))</f>
        <v>3</v>
      </c>
      <c r="G996" s="29">
        <f t="shared" si="121"/>
        <v>1.9500000000000002</v>
      </c>
      <c r="H996" s="29">
        <f>IF(Dataset!G996&lt;=3,0.25,IF(Dataset!G996&lt;=6,0.45,IF(Dataset!G996&lt;=9,0.65,0.85)))</f>
        <v>0.45</v>
      </c>
      <c r="I996" s="29">
        <f>IF(Dataset!G996&lt;=3,1,IF(Dataset!G996&lt;=6,2,IF(Dataset!G996&lt;=9,3,4)))</f>
        <v>2</v>
      </c>
      <c r="J996" s="29">
        <f t="shared" si="122"/>
        <v>0.9</v>
      </c>
      <c r="K996" s="29">
        <f>IF(Dataset!H996&lt;1,0.2,IF(Dataset!H996&lt;1.3,0.45,IF(Dataset!H996&lt;1.8,0.7,0.9)))</f>
        <v>0.9</v>
      </c>
      <c r="L996" s="29">
        <f>IF(Dataset!H996&lt;1,1,IF(Dataset!H996&lt;1.3,2,IF(Dataset!H996&lt;1.8,3,4)))</f>
        <v>4</v>
      </c>
      <c r="M996" s="29">
        <f t="shared" si="123"/>
        <v>3.6</v>
      </c>
      <c r="N996" s="29">
        <f>IF(Dataset!F996=1,0.75,IF(Dataset!F996=2,0.45,0.2))</f>
        <v>0.45</v>
      </c>
      <c r="O996" s="29">
        <f>IF(Dataset!F996=1,3,IF(Dataset!F996=2,2,1))</f>
        <v>2</v>
      </c>
      <c r="P996" s="29">
        <f t="shared" si="124"/>
        <v>0.9</v>
      </c>
      <c r="Q996" s="29">
        <f>IF(Dataset!K996&lt;5,0.2,IF(Dataset!K996&lt;10,0.45,IF(Dataset!K996&lt;18,0.7,0.9)))</f>
        <v>0.7</v>
      </c>
      <c r="R996" s="29">
        <f>IF(Dataset!K996&lt;5,1,IF(Dataset!K996&lt;10,2,IF(Dataset!K996&lt;18,3,4)))</f>
        <v>3</v>
      </c>
      <c r="S996" s="29">
        <f t="shared" si="125"/>
        <v>2.0999999999999996</v>
      </c>
      <c r="T996" s="29">
        <f t="shared" si="126"/>
        <v>2.052</v>
      </c>
      <c r="U996" s="29" t="str">
        <f t="shared" si="127"/>
        <v>High</v>
      </c>
    </row>
    <row r="997" spans="1:21" ht="15" customHeight="1" x14ac:dyDescent="0.25">
      <c r="A997" s="29">
        <f>Dataset!A997</f>
        <v>993</v>
      </c>
      <c r="B997" s="29">
        <f>IF(Dataset!B997&lt;25,0.3,IF(Dataset!B997&lt;75,0.5,IF(Dataset!B997&lt;120,0.65,0.8)))</f>
        <v>0.8</v>
      </c>
      <c r="C997" s="29">
        <f>IF(Dataset!B997&lt;25,1,IF(Dataset!B997&lt;75,2,IF(Dataset!B997&lt;120,3,4)))</f>
        <v>4</v>
      </c>
      <c r="D997" s="29">
        <f t="shared" si="120"/>
        <v>3.2</v>
      </c>
      <c r="E997" s="29">
        <f>IF(Dataset!C997&lt;=1,0.3,IF(Dataset!C997=2,0.4,IF(Dataset!C997=3,0.5,IF(Dataset!C997=4,0.65,0.8))))</f>
        <v>0.65</v>
      </c>
      <c r="F997" s="29">
        <f>IF(Dataset!C997&lt;=2,1,IF(Dataset!C997=3,2,IF(Dataset!C997=4,3,4)))</f>
        <v>3</v>
      </c>
      <c r="G997" s="29">
        <f t="shared" si="121"/>
        <v>1.9500000000000002</v>
      </c>
      <c r="H997" s="29">
        <f>IF(Dataset!G997&lt;=3,0.25,IF(Dataset!G997&lt;=6,0.45,IF(Dataset!G997&lt;=9,0.65,0.85)))</f>
        <v>0.85</v>
      </c>
      <c r="I997" s="29">
        <f>IF(Dataset!G997&lt;=3,1,IF(Dataset!G997&lt;=6,2,IF(Dataset!G997&lt;=9,3,4)))</f>
        <v>4</v>
      </c>
      <c r="J997" s="29">
        <f t="shared" si="122"/>
        <v>3.4</v>
      </c>
      <c r="K997" s="29">
        <f>IF(Dataset!H997&lt;1,0.2,IF(Dataset!H997&lt;1.3,0.45,IF(Dataset!H997&lt;1.8,0.7,0.9)))</f>
        <v>0.9</v>
      </c>
      <c r="L997" s="29">
        <f>IF(Dataset!H997&lt;1,1,IF(Dataset!H997&lt;1.3,2,IF(Dataset!H997&lt;1.8,3,4)))</f>
        <v>4</v>
      </c>
      <c r="M997" s="29">
        <f t="shared" si="123"/>
        <v>3.6</v>
      </c>
      <c r="N997" s="29">
        <f>IF(Dataset!F997=1,0.75,IF(Dataset!F997=2,0.45,0.2))</f>
        <v>0.2</v>
      </c>
      <c r="O997" s="29">
        <f>IF(Dataset!F997=1,3,IF(Dataset!F997=2,2,1))</f>
        <v>1</v>
      </c>
      <c r="P997" s="29">
        <f t="shared" si="124"/>
        <v>0.2</v>
      </c>
      <c r="Q997" s="29">
        <f>IF(Dataset!K997&lt;5,0.2,IF(Dataset!K997&lt;10,0.45,IF(Dataset!K997&lt;18,0.7,0.9)))</f>
        <v>0.7</v>
      </c>
      <c r="R997" s="29">
        <f>IF(Dataset!K997&lt;5,1,IF(Dataset!K997&lt;10,2,IF(Dataset!K997&lt;18,3,4)))</f>
        <v>3</v>
      </c>
      <c r="S997" s="29">
        <f t="shared" si="125"/>
        <v>2.0999999999999996</v>
      </c>
      <c r="T997" s="29">
        <f t="shared" si="126"/>
        <v>2.7069999999999999</v>
      </c>
      <c r="U997" s="29" t="str">
        <f t="shared" si="127"/>
        <v>High</v>
      </c>
    </row>
    <row r="998" spans="1:21" ht="15" customHeight="1" x14ac:dyDescent="0.25">
      <c r="A998" s="29">
        <f>Dataset!A998</f>
        <v>994</v>
      </c>
      <c r="B998" s="29">
        <f>IF(Dataset!B998&lt;25,0.3,IF(Dataset!B998&lt;75,0.5,IF(Dataset!B998&lt;120,0.65,0.8)))</f>
        <v>0.5</v>
      </c>
      <c r="C998" s="29">
        <f>IF(Dataset!B998&lt;25,1,IF(Dataset!B998&lt;75,2,IF(Dataset!B998&lt;120,3,4)))</f>
        <v>2</v>
      </c>
      <c r="D998" s="29">
        <f t="shared" si="120"/>
        <v>1</v>
      </c>
      <c r="E998" s="29">
        <f>IF(Dataset!C998&lt;=1,0.3,IF(Dataset!C998=2,0.4,IF(Dataset!C998=3,0.5,IF(Dataset!C998=4,0.65,0.8))))</f>
        <v>0.8</v>
      </c>
      <c r="F998" s="29">
        <f>IF(Dataset!C998&lt;=2,1,IF(Dataset!C998=3,2,IF(Dataset!C998=4,3,4)))</f>
        <v>4</v>
      </c>
      <c r="G998" s="29">
        <f t="shared" si="121"/>
        <v>3.2</v>
      </c>
      <c r="H998" s="29">
        <f>IF(Dataset!G998&lt;=3,0.25,IF(Dataset!G998&lt;=6,0.45,IF(Dataset!G998&lt;=9,0.65,0.85)))</f>
        <v>0.45</v>
      </c>
      <c r="I998" s="29">
        <f>IF(Dataset!G998&lt;=3,1,IF(Dataset!G998&lt;=6,2,IF(Dataset!G998&lt;=9,3,4)))</f>
        <v>2</v>
      </c>
      <c r="J998" s="29">
        <f t="shared" si="122"/>
        <v>0.9</v>
      </c>
      <c r="K998" s="29">
        <f>IF(Dataset!H998&lt;1,0.2,IF(Dataset!H998&lt;1.3,0.45,IF(Dataset!H998&lt;1.8,0.7,0.9)))</f>
        <v>0.7</v>
      </c>
      <c r="L998" s="29">
        <f>IF(Dataset!H998&lt;1,1,IF(Dataset!H998&lt;1.3,2,IF(Dataset!H998&lt;1.8,3,4)))</f>
        <v>3</v>
      </c>
      <c r="M998" s="29">
        <f t="shared" si="123"/>
        <v>2.0999999999999996</v>
      </c>
      <c r="N998" s="29">
        <f>IF(Dataset!F998=1,0.75,IF(Dataset!F998=2,0.45,0.2))</f>
        <v>0.45</v>
      </c>
      <c r="O998" s="29">
        <f>IF(Dataset!F998=1,3,IF(Dataset!F998=2,2,1))</f>
        <v>2</v>
      </c>
      <c r="P998" s="29">
        <f t="shared" si="124"/>
        <v>0.9</v>
      </c>
      <c r="Q998" s="29">
        <f>IF(Dataset!K998&lt;5,0.2,IF(Dataset!K998&lt;10,0.45,IF(Dataset!K998&lt;18,0.7,0.9)))</f>
        <v>0.45</v>
      </c>
      <c r="R998" s="29">
        <f>IF(Dataset!K998&lt;5,1,IF(Dataset!K998&lt;10,2,IF(Dataset!K998&lt;18,3,4)))</f>
        <v>2</v>
      </c>
      <c r="S998" s="29">
        <f t="shared" si="125"/>
        <v>0.9</v>
      </c>
      <c r="T998" s="29">
        <f t="shared" si="126"/>
        <v>1.5280000000000002</v>
      </c>
      <c r="U998" s="29" t="str">
        <f t="shared" si="127"/>
        <v>Medium</v>
      </c>
    </row>
    <row r="999" spans="1:21" ht="15" customHeight="1" x14ac:dyDescent="0.25">
      <c r="A999" s="29">
        <f>Dataset!A999</f>
        <v>995</v>
      </c>
      <c r="B999" s="29">
        <f>IF(Dataset!B999&lt;25,0.3,IF(Dataset!B999&lt;75,0.5,IF(Dataset!B999&lt;120,0.65,0.8)))</f>
        <v>0.5</v>
      </c>
      <c r="C999" s="29">
        <f>IF(Dataset!B999&lt;25,1,IF(Dataset!B999&lt;75,2,IF(Dataset!B999&lt;120,3,4)))</f>
        <v>2</v>
      </c>
      <c r="D999" s="29">
        <f t="shared" si="120"/>
        <v>1</v>
      </c>
      <c r="E999" s="29">
        <f>IF(Dataset!C999&lt;=1,0.3,IF(Dataset!C999=2,0.4,IF(Dataset!C999=3,0.5,IF(Dataset!C999=4,0.65,0.8))))</f>
        <v>0.5</v>
      </c>
      <c r="F999" s="29">
        <f>IF(Dataset!C999&lt;=2,1,IF(Dataset!C999=3,2,IF(Dataset!C999=4,3,4)))</f>
        <v>2</v>
      </c>
      <c r="G999" s="29">
        <f t="shared" si="121"/>
        <v>1</v>
      </c>
      <c r="H999" s="29">
        <f>IF(Dataset!G999&lt;=3,0.25,IF(Dataset!G999&lt;=6,0.45,IF(Dataset!G999&lt;=9,0.65,0.85)))</f>
        <v>0.45</v>
      </c>
      <c r="I999" s="29">
        <f>IF(Dataset!G999&lt;=3,1,IF(Dataset!G999&lt;=6,2,IF(Dataset!G999&lt;=9,3,4)))</f>
        <v>2</v>
      </c>
      <c r="J999" s="29">
        <f t="shared" si="122"/>
        <v>0.9</v>
      </c>
      <c r="K999" s="29">
        <f>IF(Dataset!H999&lt;1,0.2,IF(Dataset!H999&lt;1.3,0.45,IF(Dataset!H999&lt;1.8,0.7,0.9)))</f>
        <v>0.9</v>
      </c>
      <c r="L999" s="29">
        <f>IF(Dataset!H999&lt;1,1,IF(Dataset!H999&lt;1.3,2,IF(Dataset!H999&lt;1.8,3,4)))</f>
        <v>4</v>
      </c>
      <c r="M999" s="29">
        <f t="shared" si="123"/>
        <v>3.6</v>
      </c>
      <c r="N999" s="29">
        <f>IF(Dataset!F999=1,0.75,IF(Dataset!F999=2,0.45,0.2))</f>
        <v>0.45</v>
      </c>
      <c r="O999" s="29">
        <f>IF(Dataset!F999=1,3,IF(Dataset!F999=2,2,1))</f>
        <v>2</v>
      </c>
      <c r="P999" s="29">
        <f t="shared" si="124"/>
        <v>0.9</v>
      </c>
      <c r="Q999" s="29">
        <f>IF(Dataset!K999&lt;5,0.2,IF(Dataset!K999&lt;10,0.45,IF(Dataset!K999&lt;18,0.7,0.9)))</f>
        <v>0.45</v>
      </c>
      <c r="R999" s="29">
        <f>IF(Dataset!K999&lt;5,1,IF(Dataset!K999&lt;10,2,IF(Dataset!K999&lt;18,3,4)))</f>
        <v>2</v>
      </c>
      <c r="S999" s="29">
        <f t="shared" si="125"/>
        <v>0.9</v>
      </c>
      <c r="T999" s="29">
        <f t="shared" si="126"/>
        <v>1.58</v>
      </c>
      <c r="U999" s="29" t="str">
        <f t="shared" si="127"/>
        <v>Medium</v>
      </c>
    </row>
    <row r="1000" spans="1:21" ht="15" customHeight="1" x14ac:dyDescent="0.25">
      <c r="A1000" s="29">
        <f>Dataset!A1000</f>
        <v>996</v>
      </c>
      <c r="B1000" s="29">
        <f>IF(Dataset!B1000&lt;25,0.3,IF(Dataset!B1000&lt;75,0.5,IF(Dataset!B1000&lt;120,0.65,0.8)))</f>
        <v>0.5</v>
      </c>
      <c r="C1000" s="29">
        <f>IF(Dataset!B1000&lt;25,1,IF(Dataset!B1000&lt;75,2,IF(Dataset!B1000&lt;120,3,4)))</f>
        <v>2</v>
      </c>
      <c r="D1000" s="29">
        <f t="shared" si="120"/>
        <v>1</v>
      </c>
      <c r="E1000" s="29">
        <f>IF(Dataset!C1000&lt;=1,0.3,IF(Dataset!C1000=2,0.4,IF(Dataset!C1000=3,0.5,IF(Dataset!C1000=4,0.65,0.8))))</f>
        <v>0.5</v>
      </c>
      <c r="F1000" s="29">
        <f>IF(Dataset!C1000&lt;=2,1,IF(Dataset!C1000=3,2,IF(Dataset!C1000=4,3,4)))</f>
        <v>2</v>
      </c>
      <c r="G1000" s="29">
        <f t="shared" si="121"/>
        <v>1</v>
      </c>
      <c r="H1000" s="29">
        <f>IF(Dataset!G1000&lt;=3,0.25,IF(Dataset!G1000&lt;=6,0.45,IF(Dataset!G1000&lt;=9,0.65,0.85)))</f>
        <v>0.65</v>
      </c>
      <c r="I1000" s="29">
        <f>IF(Dataset!G1000&lt;=3,1,IF(Dataset!G1000&lt;=6,2,IF(Dataset!G1000&lt;=9,3,4)))</f>
        <v>3</v>
      </c>
      <c r="J1000" s="29">
        <f t="shared" si="122"/>
        <v>1.9500000000000002</v>
      </c>
      <c r="K1000" s="29">
        <f>IF(Dataset!H1000&lt;1,0.2,IF(Dataset!H1000&lt;1.3,0.45,IF(Dataset!H1000&lt;1.8,0.7,0.9)))</f>
        <v>0.9</v>
      </c>
      <c r="L1000" s="29">
        <f>IF(Dataset!H1000&lt;1,1,IF(Dataset!H1000&lt;1.3,2,IF(Dataset!H1000&lt;1.8,3,4)))</f>
        <v>4</v>
      </c>
      <c r="M1000" s="29">
        <f t="shared" si="123"/>
        <v>3.6</v>
      </c>
      <c r="N1000" s="29">
        <f>IF(Dataset!F1000=1,0.75,IF(Dataset!F1000=2,0.45,0.2))</f>
        <v>0.45</v>
      </c>
      <c r="O1000" s="29">
        <f>IF(Dataset!F1000=1,3,IF(Dataset!F1000=2,2,1))</f>
        <v>2</v>
      </c>
      <c r="P1000" s="29">
        <f t="shared" si="124"/>
        <v>0.9</v>
      </c>
      <c r="Q1000" s="29">
        <f>IF(Dataset!K1000&lt;5,0.2,IF(Dataset!K1000&lt;10,0.45,IF(Dataset!K1000&lt;18,0.7,0.9)))</f>
        <v>0.45</v>
      </c>
      <c r="R1000" s="29">
        <f>IF(Dataset!K1000&lt;5,1,IF(Dataset!K1000&lt;10,2,IF(Dataset!K1000&lt;18,3,4)))</f>
        <v>2</v>
      </c>
      <c r="S1000" s="29">
        <f t="shared" si="125"/>
        <v>0.9</v>
      </c>
      <c r="T1000" s="29">
        <f t="shared" si="126"/>
        <v>1.7900000000000003</v>
      </c>
      <c r="U1000" s="29" t="str">
        <f t="shared" si="127"/>
        <v>High</v>
      </c>
    </row>
    <row r="1001" spans="1:21" ht="15" customHeight="1" x14ac:dyDescent="0.25">
      <c r="A1001" s="29">
        <f>Dataset!A1001</f>
        <v>997</v>
      </c>
      <c r="B1001" s="29">
        <f>IF(Dataset!B1001&lt;25,0.3,IF(Dataset!B1001&lt;75,0.5,IF(Dataset!B1001&lt;120,0.65,0.8)))</f>
        <v>0.65</v>
      </c>
      <c r="C1001" s="29">
        <f>IF(Dataset!B1001&lt;25,1,IF(Dataset!B1001&lt;75,2,IF(Dataset!B1001&lt;120,3,4)))</f>
        <v>3</v>
      </c>
      <c r="D1001" s="29">
        <f t="shared" si="120"/>
        <v>1.9500000000000002</v>
      </c>
      <c r="E1001" s="29">
        <f>IF(Dataset!C1001&lt;=1,0.3,IF(Dataset!C1001=2,0.4,IF(Dataset!C1001=3,0.5,IF(Dataset!C1001=4,0.65,0.8))))</f>
        <v>0.65</v>
      </c>
      <c r="F1001" s="29">
        <f>IF(Dataset!C1001&lt;=2,1,IF(Dataset!C1001=3,2,IF(Dataset!C1001=4,3,4)))</f>
        <v>3</v>
      </c>
      <c r="G1001" s="29">
        <f t="shared" si="121"/>
        <v>1.9500000000000002</v>
      </c>
      <c r="H1001" s="29">
        <f>IF(Dataset!G1001&lt;=3,0.25,IF(Dataset!G1001&lt;=6,0.45,IF(Dataset!G1001&lt;=9,0.65,0.85)))</f>
        <v>0.45</v>
      </c>
      <c r="I1001" s="29">
        <f>IF(Dataset!G1001&lt;=3,1,IF(Dataset!G1001&lt;=6,2,IF(Dataset!G1001&lt;=9,3,4)))</f>
        <v>2</v>
      </c>
      <c r="J1001" s="29">
        <f t="shared" si="122"/>
        <v>0.9</v>
      </c>
      <c r="K1001" s="29">
        <f>IF(Dataset!H1001&lt;1,0.2,IF(Dataset!H1001&lt;1.3,0.45,IF(Dataset!H1001&lt;1.8,0.7,0.9)))</f>
        <v>0.9</v>
      </c>
      <c r="L1001" s="29">
        <f>IF(Dataset!H1001&lt;1,1,IF(Dataset!H1001&lt;1.3,2,IF(Dataset!H1001&lt;1.8,3,4)))</f>
        <v>4</v>
      </c>
      <c r="M1001" s="29">
        <f t="shared" si="123"/>
        <v>3.6</v>
      </c>
      <c r="N1001" s="29">
        <f>IF(Dataset!F1001=1,0.75,IF(Dataset!F1001=2,0.45,0.2))</f>
        <v>0.45</v>
      </c>
      <c r="O1001" s="29">
        <f>IF(Dataset!F1001=1,3,IF(Dataset!F1001=2,2,1))</f>
        <v>2</v>
      </c>
      <c r="P1001" s="29">
        <f t="shared" si="124"/>
        <v>0.9</v>
      </c>
      <c r="Q1001" s="29">
        <f>IF(Dataset!K1001&lt;5,0.2,IF(Dataset!K1001&lt;10,0.45,IF(Dataset!K1001&lt;18,0.7,0.9)))</f>
        <v>0.45</v>
      </c>
      <c r="R1001" s="29">
        <f>IF(Dataset!K1001&lt;5,1,IF(Dataset!K1001&lt;10,2,IF(Dataset!K1001&lt;18,3,4)))</f>
        <v>2</v>
      </c>
      <c r="S1001" s="29">
        <f t="shared" si="125"/>
        <v>0.9</v>
      </c>
      <c r="T1001" s="29">
        <f t="shared" si="126"/>
        <v>1.8840000000000003</v>
      </c>
      <c r="U1001" s="29" t="str">
        <f t="shared" si="127"/>
        <v>High</v>
      </c>
    </row>
    <row r="1002" spans="1:21" ht="15" customHeight="1" x14ac:dyDescent="0.25">
      <c r="A1002" s="29">
        <f>Dataset!A1002</f>
        <v>998</v>
      </c>
      <c r="B1002" s="29">
        <f>IF(Dataset!B1002&lt;25,0.3,IF(Dataset!B1002&lt;75,0.5,IF(Dataset!B1002&lt;120,0.65,0.8)))</f>
        <v>0.5</v>
      </c>
      <c r="C1002" s="29">
        <f>IF(Dataset!B1002&lt;25,1,IF(Dataset!B1002&lt;75,2,IF(Dataset!B1002&lt;120,3,4)))</f>
        <v>2</v>
      </c>
      <c r="D1002" s="29">
        <f t="shared" si="120"/>
        <v>1</v>
      </c>
      <c r="E1002" s="29">
        <f>IF(Dataset!C1002&lt;=1,0.3,IF(Dataset!C1002=2,0.4,IF(Dataset!C1002=3,0.5,IF(Dataset!C1002=4,0.65,0.8))))</f>
        <v>0.65</v>
      </c>
      <c r="F1002" s="29">
        <f>IF(Dataset!C1002&lt;=2,1,IF(Dataset!C1002=3,2,IF(Dataset!C1002=4,3,4)))</f>
        <v>3</v>
      </c>
      <c r="G1002" s="29">
        <f t="shared" si="121"/>
        <v>1.9500000000000002</v>
      </c>
      <c r="H1002" s="29">
        <f>IF(Dataset!G1002&lt;=3,0.25,IF(Dataset!G1002&lt;=6,0.45,IF(Dataset!G1002&lt;=9,0.65,0.85)))</f>
        <v>0.45</v>
      </c>
      <c r="I1002" s="29">
        <f>IF(Dataset!G1002&lt;=3,1,IF(Dataset!G1002&lt;=6,2,IF(Dataset!G1002&lt;=9,3,4)))</f>
        <v>2</v>
      </c>
      <c r="J1002" s="29">
        <f t="shared" si="122"/>
        <v>0.9</v>
      </c>
      <c r="K1002" s="29">
        <f>IF(Dataset!H1002&lt;1,0.2,IF(Dataset!H1002&lt;1.3,0.45,IF(Dataset!H1002&lt;1.8,0.7,0.9)))</f>
        <v>0.7</v>
      </c>
      <c r="L1002" s="29">
        <f>IF(Dataset!H1002&lt;1,1,IF(Dataset!H1002&lt;1.3,2,IF(Dataset!H1002&lt;1.8,3,4)))</f>
        <v>3</v>
      </c>
      <c r="M1002" s="29">
        <f t="shared" si="123"/>
        <v>2.0999999999999996</v>
      </c>
      <c r="N1002" s="29">
        <f>IF(Dataset!F1002=1,0.75,IF(Dataset!F1002=2,0.45,0.2))</f>
        <v>0.45</v>
      </c>
      <c r="O1002" s="29">
        <f>IF(Dataset!F1002=1,3,IF(Dataset!F1002=2,2,1))</f>
        <v>2</v>
      </c>
      <c r="P1002" s="29">
        <f t="shared" si="124"/>
        <v>0.9</v>
      </c>
      <c r="Q1002" s="29">
        <f>IF(Dataset!K1002&lt;5,0.2,IF(Dataset!K1002&lt;10,0.45,IF(Dataset!K1002&lt;18,0.7,0.9)))</f>
        <v>0.45</v>
      </c>
      <c r="R1002" s="29">
        <f>IF(Dataset!K1002&lt;5,1,IF(Dataset!K1002&lt;10,2,IF(Dataset!K1002&lt;18,3,4)))</f>
        <v>2</v>
      </c>
      <c r="S1002" s="29">
        <f t="shared" si="125"/>
        <v>0.9</v>
      </c>
      <c r="T1002" s="29">
        <f t="shared" si="126"/>
        <v>1.3530000000000002</v>
      </c>
      <c r="U1002" s="29" t="str">
        <f t="shared" si="127"/>
        <v>Low</v>
      </c>
    </row>
    <row r="1003" spans="1:21" ht="15" customHeight="1" x14ac:dyDescent="0.25">
      <c r="A1003" s="29">
        <f>Dataset!A1003</f>
        <v>999</v>
      </c>
      <c r="B1003" s="29">
        <f>IF(Dataset!B1003&lt;25,0.3,IF(Dataset!B1003&lt;75,0.5,IF(Dataset!B1003&lt;120,0.65,0.8)))</f>
        <v>0.5</v>
      </c>
      <c r="C1003" s="29">
        <f>IF(Dataset!B1003&lt;25,1,IF(Dataset!B1003&lt;75,2,IF(Dataset!B1003&lt;120,3,4)))</f>
        <v>2</v>
      </c>
      <c r="D1003" s="29">
        <f t="shared" si="120"/>
        <v>1</v>
      </c>
      <c r="E1003" s="29">
        <f>IF(Dataset!C1003&lt;=1,0.3,IF(Dataset!C1003=2,0.4,IF(Dataset!C1003=3,0.5,IF(Dataset!C1003=4,0.65,0.8))))</f>
        <v>0.5</v>
      </c>
      <c r="F1003" s="29">
        <f>IF(Dataset!C1003&lt;=2,1,IF(Dataset!C1003=3,2,IF(Dataset!C1003=4,3,4)))</f>
        <v>2</v>
      </c>
      <c r="G1003" s="29">
        <f t="shared" si="121"/>
        <v>1</v>
      </c>
      <c r="H1003" s="29">
        <f>IF(Dataset!G1003&lt;=3,0.25,IF(Dataset!G1003&lt;=6,0.45,IF(Dataset!G1003&lt;=9,0.65,0.85)))</f>
        <v>0.65</v>
      </c>
      <c r="I1003" s="29">
        <f>IF(Dataset!G1003&lt;=3,1,IF(Dataset!G1003&lt;=6,2,IF(Dataset!G1003&lt;=9,3,4)))</f>
        <v>3</v>
      </c>
      <c r="J1003" s="29">
        <f t="shared" si="122"/>
        <v>1.9500000000000002</v>
      </c>
      <c r="K1003" s="29">
        <f>IF(Dataset!H1003&lt;1,0.2,IF(Dataset!H1003&lt;1.3,0.45,IF(Dataset!H1003&lt;1.8,0.7,0.9)))</f>
        <v>0.9</v>
      </c>
      <c r="L1003" s="29">
        <f>IF(Dataset!H1003&lt;1,1,IF(Dataset!H1003&lt;1.3,2,IF(Dataset!H1003&lt;1.8,3,4)))</f>
        <v>4</v>
      </c>
      <c r="M1003" s="29">
        <f t="shared" si="123"/>
        <v>3.6</v>
      </c>
      <c r="N1003" s="29">
        <f>IF(Dataset!F1003=1,0.75,IF(Dataset!F1003=2,0.45,0.2))</f>
        <v>0.75</v>
      </c>
      <c r="O1003" s="29">
        <f>IF(Dataset!F1003=1,3,IF(Dataset!F1003=2,2,1))</f>
        <v>3</v>
      </c>
      <c r="P1003" s="29">
        <f t="shared" si="124"/>
        <v>2.25</v>
      </c>
      <c r="Q1003" s="29">
        <f>IF(Dataset!K1003&lt;5,0.2,IF(Dataset!K1003&lt;10,0.45,IF(Dataset!K1003&lt;18,0.7,0.9)))</f>
        <v>0.2</v>
      </c>
      <c r="R1003" s="29">
        <f>IF(Dataset!K1003&lt;5,1,IF(Dataset!K1003&lt;10,2,IF(Dataset!K1003&lt;18,3,4)))</f>
        <v>1</v>
      </c>
      <c r="S1003" s="29">
        <f t="shared" si="125"/>
        <v>0.2</v>
      </c>
      <c r="T1003" s="29">
        <f t="shared" si="126"/>
        <v>1.8270000000000002</v>
      </c>
      <c r="U1003" s="29" t="str">
        <f t="shared" si="127"/>
        <v>High</v>
      </c>
    </row>
    <row r="1004" spans="1:21" ht="15" customHeight="1" x14ac:dyDescent="0.25">
      <c r="A1004" s="29">
        <f>Dataset!A1004</f>
        <v>1000</v>
      </c>
      <c r="B1004" s="29">
        <f>IF(Dataset!B1004&lt;25,0.3,IF(Dataset!B1004&lt;75,0.5,IF(Dataset!B1004&lt;120,0.65,0.8)))</f>
        <v>0.3</v>
      </c>
      <c r="C1004" s="29">
        <f>IF(Dataset!B1004&lt;25,1,IF(Dataset!B1004&lt;75,2,IF(Dataset!B1004&lt;120,3,4)))</f>
        <v>1</v>
      </c>
      <c r="D1004" s="29">
        <f t="shared" si="120"/>
        <v>0.3</v>
      </c>
      <c r="E1004" s="29">
        <f>IF(Dataset!C1004&lt;=1,0.3,IF(Dataset!C1004=2,0.4,IF(Dataset!C1004=3,0.5,IF(Dataset!C1004=4,0.65,0.8))))</f>
        <v>0.65</v>
      </c>
      <c r="F1004" s="29">
        <f>IF(Dataset!C1004&lt;=2,1,IF(Dataset!C1004=3,2,IF(Dataset!C1004=4,3,4)))</f>
        <v>3</v>
      </c>
      <c r="G1004" s="29">
        <f t="shared" si="121"/>
        <v>1.9500000000000002</v>
      </c>
      <c r="H1004" s="29">
        <f>IF(Dataset!G1004&lt;=3,0.25,IF(Dataset!G1004&lt;=6,0.45,IF(Dataset!G1004&lt;=9,0.65,0.85)))</f>
        <v>0.65</v>
      </c>
      <c r="I1004" s="29">
        <f>IF(Dataset!G1004&lt;=3,1,IF(Dataset!G1004&lt;=6,2,IF(Dataset!G1004&lt;=9,3,4)))</f>
        <v>3</v>
      </c>
      <c r="J1004" s="29">
        <f t="shared" si="122"/>
        <v>1.9500000000000002</v>
      </c>
      <c r="K1004" s="29">
        <f>IF(Dataset!H1004&lt;1,0.2,IF(Dataset!H1004&lt;1.3,0.45,IF(Dataset!H1004&lt;1.8,0.7,0.9)))</f>
        <v>0.7</v>
      </c>
      <c r="L1004" s="29">
        <f>IF(Dataset!H1004&lt;1,1,IF(Dataset!H1004&lt;1.3,2,IF(Dataset!H1004&lt;1.8,3,4)))</f>
        <v>3</v>
      </c>
      <c r="M1004" s="29">
        <f t="shared" si="123"/>
        <v>2.0999999999999996</v>
      </c>
      <c r="N1004" s="29">
        <f>IF(Dataset!F1004=1,0.75,IF(Dataset!F1004=2,0.45,0.2))</f>
        <v>0.2</v>
      </c>
      <c r="O1004" s="29">
        <f>IF(Dataset!F1004=1,3,IF(Dataset!F1004=2,2,1))</f>
        <v>1</v>
      </c>
      <c r="P1004" s="29">
        <f t="shared" si="124"/>
        <v>0.2</v>
      </c>
      <c r="Q1004" s="29">
        <f>IF(Dataset!K1004&lt;5,0.2,IF(Dataset!K1004&lt;10,0.45,IF(Dataset!K1004&lt;18,0.7,0.9)))</f>
        <v>0.45</v>
      </c>
      <c r="R1004" s="29">
        <f>IF(Dataset!K1004&lt;5,1,IF(Dataset!K1004&lt;10,2,IF(Dataset!K1004&lt;18,3,4)))</f>
        <v>2</v>
      </c>
      <c r="S1004" s="29">
        <f t="shared" si="125"/>
        <v>0.9</v>
      </c>
      <c r="T1004" s="29">
        <f t="shared" si="126"/>
        <v>1.3670000000000002</v>
      </c>
      <c r="U1004" s="29" t="str">
        <f t="shared" si="127"/>
        <v>Medium</v>
      </c>
    </row>
    <row r="1005" spans="1:21" ht="15" customHeight="1" x14ac:dyDescent="0.25">
      <c r="A1005" s="29">
        <f>Dataset!A1005</f>
        <v>1001</v>
      </c>
      <c r="B1005" s="29">
        <f>IF(Dataset!B1005&lt;25,0.3,IF(Dataset!B1005&lt;75,0.5,IF(Dataset!B1005&lt;120,0.65,0.8)))</f>
        <v>0.3</v>
      </c>
      <c r="C1005" s="29">
        <f>IF(Dataset!B1005&lt;25,1,IF(Dataset!B1005&lt;75,2,IF(Dataset!B1005&lt;120,3,4)))</f>
        <v>1</v>
      </c>
      <c r="D1005" s="29">
        <f t="shared" si="120"/>
        <v>0.3</v>
      </c>
      <c r="E1005" s="29">
        <f>IF(Dataset!C1005&lt;=1,0.3,IF(Dataset!C1005=2,0.4,IF(Dataset!C1005=3,0.5,IF(Dataset!C1005=4,0.65,0.8))))</f>
        <v>0.5</v>
      </c>
      <c r="F1005" s="29">
        <f>IF(Dataset!C1005&lt;=2,1,IF(Dataset!C1005=3,2,IF(Dataset!C1005=4,3,4)))</f>
        <v>2</v>
      </c>
      <c r="G1005" s="29">
        <f t="shared" si="121"/>
        <v>1</v>
      </c>
      <c r="H1005" s="29">
        <f>IF(Dataset!G1005&lt;=3,0.25,IF(Dataset!G1005&lt;=6,0.45,IF(Dataset!G1005&lt;=9,0.65,0.85)))</f>
        <v>0.45</v>
      </c>
      <c r="I1005" s="29">
        <f>IF(Dataset!G1005&lt;=3,1,IF(Dataset!G1005&lt;=6,2,IF(Dataset!G1005&lt;=9,3,4)))</f>
        <v>2</v>
      </c>
      <c r="J1005" s="29">
        <f t="shared" si="122"/>
        <v>0.9</v>
      </c>
      <c r="K1005" s="29">
        <f>IF(Dataset!H1005&lt;1,0.2,IF(Dataset!H1005&lt;1.3,0.45,IF(Dataset!H1005&lt;1.8,0.7,0.9)))</f>
        <v>0.45</v>
      </c>
      <c r="L1005" s="29">
        <f>IF(Dataset!H1005&lt;1,1,IF(Dataset!H1005&lt;1.3,2,IF(Dataset!H1005&lt;1.8,3,4)))</f>
        <v>2</v>
      </c>
      <c r="M1005" s="29">
        <f t="shared" si="123"/>
        <v>0.9</v>
      </c>
      <c r="N1005" s="29">
        <f>IF(Dataset!F1005=1,0.75,IF(Dataset!F1005=2,0.45,0.2))</f>
        <v>0.45</v>
      </c>
      <c r="O1005" s="29">
        <f>IF(Dataset!F1005=1,3,IF(Dataset!F1005=2,2,1))</f>
        <v>2</v>
      </c>
      <c r="P1005" s="29">
        <f t="shared" si="124"/>
        <v>0.9</v>
      </c>
      <c r="Q1005" s="29">
        <f>IF(Dataset!K1005&lt;5,0.2,IF(Dataset!K1005&lt;10,0.45,IF(Dataset!K1005&lt;18,0.7,0.9)))</f>
        <v>0.45</v>
      </c>
      <c r="R1005" s="29">
        <f>IF(Dataset!K1005&lt;5,1,IF(Dataset!K1005&lt;10,2,IF(Dataset!K1005&lt;18,3,4)))</f>
        <v>2</v>
      </c>
      <c r="S1005" s="29">
        <f t="shared" si="125"/>
        <v>0.9</v>
      </c>
      <c r="T1005" s="29">
        <f t="shared" si="126"/>
        <v>0.80599999999999994</v>
      </c>
      <c r="U1005" s="29" t="str">
        <f t="shared" si="127"/>
        <v>Low</v>
      </c>
    </row>
    <row r="1006" spans="1:21" ht="15" customHeight="1" x14ac:dyDescent="0.25">
      <c r="A1006" s="29">
        <f>Dataset!A1006</f>
        <v>1002</v>
      </c>
      <c r="B1006" s="29">
        <f>IF(Dataset!B1006&lt;25,0.3,IF(Dataset!B1006&lt;75,0.5,IF(Dataset!B1006&lt;120,0.65,0.8)))</f>
        <v>0.5</v>
      </c>
      <c r="C1006" s="29">
        <f>IF(Dataset!B1006&lt;25,1,IF(Dataset!B1006&lt;75,2,IF(Dataset!B1006&lt;120,3,4)))</f>
        <v>2</v>
      </c>
      <c r="D1006" s="29">
        <f t="shared" si="120"/>
        <v>1</v>
      </c>
      <c r="E1006" s="29">
        <f>IF(Dataset!C1006&lt;=1,0.3,IF(Dataset!C1006=2,0.4,IF(Dataset!C1006=3,0.5,IF(Dataset!C1006=4,0.65,0.8))))</f>
        <v>0.65</v>
      </c>
      <c r="F1006" s="29">
        <f>IF(Dataset!C1006&lt;=2,1,IF(Dataset!C1006=3,2,IF(Dataset!C1006=4,3,4)))</f>
        <v>3</v>
      </c>
      <c r="G1006" s="29">
        <f t="shared" si="121"/>
        <v>1.9500000000000002</v>
      </c>
      <c r="H1006" s="29">
        <f>IF(Dataset!G1006&lt;=3,0.25,IF(Dataset!G1006&lt;=6,0.45,IF(Dataset!G1006&lt;=9,0.65,0.85)))</f>
        <v>0.85</v>
      </c>
      <c r="I1006" s="29">
        <f>IF(Dataset!G1006&lt;=3,1,IF(Dataset!G1006&lt;=6,2,IF(Dataset!G1006&lt;=9,3,4)))</f>
        <v>4</v>
      </c>
      <c r="J1006" s="29">
        <f t="shared" si="122"/>
        <v>3.4</v>
      </c>
      <c r="K1006" s="29">
        <f>IF(Dataset!H1006&lt;1,0.2,IF(Dataset!H1006&lt;1.3,0.45,IF(Dataset!H1006&lt;1.8,0.7,0.9)))</f>
        <v>0.7</v>
      </c>
      <c r="L1006" s="29">
        <f>IF(Dataset!H1006&lt;1,1,IF(Dataset!H1006&lt;1.3,2,IF(Dataset!H1006&lt;1.8,3,4)))</f>
        <v>3</v>
      </c>
      <c r="M1006" s="29">
        <f t="shared" si="123"/>
        <v>2.0999999999999996</v>
      </c>
      <c r="N1006" s="29">
        <f>IF(Dataset!F1006=1,0.75,IF(Dataset!F1006=2,0.45,0.2))</f>
        <v>0.45</v>
      </c>
      <c r="O1006" s="29">
        <f>IF(Dataset!F1006=1,3,IF(Dataset!F1006=2,2,1))</f>
        <v>2</v>
      </c>
      <c r="P1006" s="29">
        <f t="shared" si="124"/>
        <v>0.9</v>
      </c>
      <c r="Q1006" s="29">
        <f>IF(Dataset!K1006&lt;5,0.2,IF(Dataset!K1006&lt;10,0.45,IF(Dataset!K1006&lt;18,0.7,0.9)))</f>
        <v>0.45</v>
      </c>
      <c r="R1006" s="29">
        <f>IF(Dataset!K1006&lt;5,1,IF(Dataset!K1006&lt;10,2,IF(Dataset!K1006&lt;18,3,4)))</f>
        <v>2</v>
      </c>
      <c r="S1006" s="29">
        <f t="shared" si="125"/>
        <v>0.9</v>
      </c>
      <c r="T1006" s="29">
        <f t="shared" si="126"/>
        <v>1.8530000000000002</v>
      </c>
      <c r="U1006" s="29" t="str">
        <f t="shared" si="127"/>
        <v>High</v>
      </c>
    </row>
    <row r="1007" spans="1:21" ht="15" customHeight="1" x14ac:dyDescent="0.25">
      <c r="A1007" s="29">
        <f>Dataset!A1007</f>
        <v>1003</v>
      </c>
      <c r="B1007" s="29">
        <f>IF(Dataset!B1007&lt;25,0.3,IF(Dataset!B1007&lt;75,0.5,IF(Dataset!B1007&lt;120,0.65,0.8)))</f>
        <v>0.5</v>
      </c>
      <c r="C1007" s="29">
        <f>IF(Dataset!B1007&lt;25,1,IF(Dataset!B1007&lt;75,2,IF(Dataset!B1007&lt;120,3,4)))</f>
        <v>2</v>
      </c>
      <c r="D1007" s="29">
        <f t="shared" si="120"/>
        <v>1</v>
      </c>
      <c r="E1007" s="29">
        <f>IF(Dataset!C1007&lt;=1,0.3,IF(Dataset!C1007=2,0.4,IF(Dataset!C1007=3,0.5,IF(Dataset!C1007=4,0.65,0.8))))</f>
        <v>0.8</v>
      </c>
      <c r="F1007" s="29">
        <f>IF(Dataset!C1007&lt;=2,1,IF(Dataset!C1007=3,2,IF(Dataset!C1007=4,3,4)))</f>
        <v>4</v>
      </c>
      <c r="G1007" s="29">
        <f t="shared" si="121"/>
        <v>3.2</v>
      </c>
      <c r="H1007" s="29">
        <f>IF(Dataset!G1007&lt;=3,0.25,IF(Dataset!G1007&lt;=6,0.45,IF(Dataset!G1007&lt;=9,0.65,0.85)))</f>
        <v>0.45</v>
      </c>
      <c r="I1007" s="29">
        <f>IF(Dataset!G1007&lt;=3,1,IF(Dataset!G1007&lt;=6,2,IF(Dataset!G1007&lt;=9,3,4)))</f>
        <v>2</v>
      </c>
      <c r="J1007" s="29">
        <f t="shared" si="122"/>
        <v>0.9</v>
      </c>
      <c r="K1007" s="29">
        <f>IF(Dataset!H1007&lt;1,0.2,IF(Dataset!H1007&lt;1.3,0.45,IF(Dataset!H1007&lt;1.8,0.7,0.9)))</f>
        <v>0.7</v>
      </c>
      <c r="L1007" s="29">
        <f>IF(Dataset!H1007&lt;1,1,IF(Dataset!H1007&lt;1.3,2,IF(Dataset!H1007&lt;1.8,3,4)))</f>
        <v>3</v>
      </c>
      <c r="M1007" s="29">
        <f t="shared" si="123"/>
        <v>2.0999999999999996</v>
      </c>
      <c r="N1007" s="29">
        <f>IF(Dataset!F1007=1,0.75,IF(Dataset!F1007=2,0.45,0.2))</f>
        <v>0.75</v>
      </c>
      <c r="O1007" s="29">
        <f>IF(Dataset!F1007=1,3,IF(Dataset!F1007=2,2,1))</f>
        <v>3</v>
      </c>
      <c r="P1007" s="29">
        <f t="shared" si="124"/>
        <v>2.25</v>
      </c>
      <c r="Q1007" s="29">
        <f>IF(Dataset!K1007&lt;5,0.2,IF(Dataset!K1007&lt;10,0.45,IF(Dataset!K1007&lt;18,0.7,0.9)))</f>
        <v>0.9</v>
      </c>
      <c r="R1007" s="29">
        <f>IF(Dataset!K1007&lt;5,1,IF(Dataset!K1007&lt;10,2,IF(Dataset!K1007&lt;18,3,4)))</f>
        <v>4</v>
      </c>
      <c r="S1007" s="29">
        <f t="shared" si="125"/>
        <v>3.6</v>
      </c>
      <c r="T1007" s="29">
        <f t="shared" si="126"/>
        <v>2.0410000000000004</v>
      </c>
      <c r="U1007" s="29" t="str">
        <f t="shared" si="127"/>
        <v>High</v>
      </c>
    </row>
    <row r="1008" spans="1:21" ht="15" customHeight="1" x14ac:dyDescent="0.25">
      <c r="A1008" s="29">
        <f>Dataset!A1008</f>
        <v>1004</v>
      </c>
      <c r="B1008" s="29">
        <f>IF(Dataset!B1008&lt;25,0.3,IF(Dataset!B1008&lt;75,0.5,IF(Dataset!B1008&lt;120,0.65,0.8)))</f>
        <v>0.5</v>
      </c>
      <c r="C1008" s="29">
        <f>IF(Dataset!B1008&lt;25,1,IF(Dataset!B1008&lt;75,2,IF(Dataset!B1008&lt;120,3,4)))</f>
        <v>2</v>
      </c>
      <c r="D1008" s="29">
        <f t="shared" si="120"/>
        <v>1</v>
      </c>
      <c r="E1008" s="29">
        <f>IF(Dataset!C1008&lt;=1,0.3,IF(Dataset!C1008=2,0.4,IF(Dataset!C1008=3,0.5,IF(Dataset!C1008=4,0.65,0.8))))</f>
        <v>0.5</v>
      </c>
      <c r="F1008" s="29">
        <f>IF(Dataset!C1008&lt;=2,1,IF(Dataset!C1008=3,2,IF(Dataset!C1008=4,3,4)))</f>
        <v>2</v>
      </c>
      <c r="G1008" s="29">
        <f t="shared" si="121"/>
        <v>1</v>
      </c>
      <c r="H1008" s="29">
        <f>IF(Dataset!G1008&lt;=3,0.25,IF(Dataset!G1008&lt;=6,0.45,IF(Dataset!G1008&lt;=9,0.65,0.85)))</f>
        <v>0.45</v>
      </c>
      <c r="I1008" s="29">
        <f>IF(Dataset!G1008&lt;=3,1,IF(Dataset!G1008&lt;=6,2,IF(Dataset!G1008&lt;=9,3,4)))</f>
        <v>2</v>
      </c>
      <c r="J1008" s="29">
        <f t="shared" si="122"/>
        <v>0.9</v>
      </c>
      <c r="K1008" s="29">
        <f>IF(Dataset!H1008&lt;1,0.2,IF(Dataset!H1008&lt;1.3,0.45,IF(Dataset!H1008&lt;1.8,0.7,0.9)))</f>
        <v>0.9</v>
      </c>
      <c r="L1008" s="29">
        <f>IF(Dataset!H1008&lt;1,1,IF(Dataset!H1008&lt;1.3,2,IF(Dataset!H1008&lt;1.8,3,4)))</f>
        <v>4</v>
      </c>
      <c r="M1008" s="29">
        <f t="shared" si="123"/>
        <v>3.6</v>
      </c>
      <c r="N1008" s="29">
        <f>IF(Dataset!F1008=1,0.75,IF(Dataset!F1008=2,0.45,0.2))</f>
        <v>0.45</v>
      </c>
      <c r="O1008" s="29">
        <f>IF(Dataset!F1008=1,3,IF(Dataset!F1008=2,2,1))</f>
        <v>2</v>
      </c>
      <c r="P1008" s="29">
        <f t="shared" si="124"/>
        <v>0.9</v>
      </c>
      <c r="Q1008" s="29">
        <f>IF(Dataset!K1008&lt;5,0.2,IF(Dataset!K1008&lt;10,0.45,IF(Dataset!K1008&lt;18,0.7,0.9)))</f>
        <v>0.45</v>
      </c>
      <c r="R1008" s="29">
        <f>IF(Dataset!K1008&lt;5,1,IF(Dataset!K1008&lt;10,2,IF(Dataset!K1008&lt;18,3,4)))</f>
        <v>2</v>
      </c>
      <c r="S1008" s="29">
        <f t="shared" si="125"/>
        <v>0.9</v>
      </c>
      <c r="T1008" s="29">
        <f t="shared" si="126"/>
        <v>1.58</v>
      </c>
      <c r="U1008" s="29" t="str">
        <f t="shared" si="127"/>
        <v>Medium</v>
      </c>
    </row>
    <row r="1009" spans="1:21" ht="15" customHeight="1" x14ac:dyDescent="0.25">
      <c r="A1009" s="29">
        <f>Dataset!A1009</f>
        <v>1005</v>
      </c>
      <c r="B1009" s="29">
        <f>IF(Dataset!B1009&lt;25,0.3,IF(Dataset!B1009&lt;75,0.5,IF(Dataset!B1009&lt;120,0.65,0.8)))</f>
        <v>0.65</v>
      </c>
      <c r="C1009" s="29">
        <f>IF(Dataset!B1009&lt;25,1,IF(Dataset!B1009&lt;75,2,IF(Dataset!B1009&lt;120,3,4)))</f>
        <v>3</v>
      </c>
      <c r="D1009" s="29">
        <f t="shared" si="120"/>
        <v>1.9500000000000002</v>
      </c>
      <c r="E1009" s="29">
        <f>IF(Dataset!C1009&lt;=1,0.3,IF(Dataset!C1009=2,0.4,IF(Dataset!C1009=3,0.5,IF(Dataset!C1009=4,0.65,0.8))))</f>
        <v>0.5</v>
      </c>
      <c r="F1009" s="29">
        <f>IF(Dataset!C1009&lt;=2,1,IF(Dataset!C1009=3,2,IF(Dataset!C1009=4,3,4)))</f>
        <v>2</v>
      </c>
      <c r="G1009" s="29">
        <f t="shared" si="121"/>
        <v>1</v>
      </c>
      <c r="H1009" s="29">
        <f>IF(Dataset!G1009&lt;=3,0.25,IF(Dataset!G1009&lt;=6,0.45,IF(Dataset!G1009&lt;=9,0.65,0.85)))</f>
        <v>0.25</v>
      </c>
      <c r="I1009" s="29">
        <f>IF(Dataset!G1009&lt;=3,1,IF(Dataset!G1009&lt;=6,2,IF(Dataset!G1009&lt;=9,3,4)))</f>
        <v>1</v>
      </c>
      <c r="J1009" s="29">
        <f t="shared" si="122"/>
        <v>0.25</v>
      </c>
      <c r="K1009" s="29">
        <f>IF(Dataset!H1009&lt;1,0.2,IF(Dataset!H1009&lt;1.3,0.45,IF(Dataset!H1009&lt;1.8,0.7,0.9)))</f>
        <v>0.45</v>
      </c>
      <c r="L1009" s="29">
        <f>IF(Dataset!H1009&lt;1,1,IF(Dataset!H1009&lt;1.3,2,IF(Dataset!H1009&lt;1.8,3,4)))</f>
        <v>2</v>
      </c>
      <c r="M1009" s="29">
        <f t="shared" si="123"/>
        <v>0.9</v>
      </c>
      <c r="N1009" s="29">
        <f>IF(Dataset!F1009=1,0.75,IF(Dataset!F1009=2,0.45,0.2))</f>
        <v>0.45</v>
      </c>
      <c r="O1009" s="29">
        <f>IF(Dataset!F1009=1,3,IF(Dataset!F1009=2,2,1))</f>
        <v>2</v>
      </c>
      <c r="P1009" s="29">
        <f t="shared" si="124"/>
        <v>0.9</v>
      </c>
      <c r="Q1009" s="29">
        <f>IF(Dataset!K1009&lt;5,0.2,IF(Dataset!K1009&lt;10,0.45,IF(Dataset!K1009&lt;18,0.7,0.9)))</f>
        <v>0.45</v>
      </c>
      <c r="R1009" s="29">
        <f>IF(Dataset!K1009&lt;5,1,IF(Dataset!K1009&lt;10,2,IF(Dataset!K1009&lt;18,3,4)))</f>
        <v>2</v>
      </c>
      <c r="S1009" s="29">
        <f t="shared" si="125"/>
        <v>0.9</v>
      </c>
      <c r="T1009" s="29">
        <f t="shared" si="126"/>
        <v>0.97299999999999998</v>
      </c>
      <c r="U1009" s="29" t="str">
        <f t="shared" si="127"/>
        <v>Low</v>
      </c>
    </row>
    <row r="1010" spans="1:21" ht="15" customHeight="1" x14ac:dyDescent="0.25">
      <c r="A1010" s="29">
        <f>Dataset!A1010</f>
        <v>1006</v>
      </c>
      <c r="B1010" s="29">
        <f>IF(Dataset!B1010&lt;25,0.3,IF(Dataset!B1010&lt;75,0.5,IF(Dataset!B1010&lt;120,0.65,0.8)))</f>
        <v>0.8</v>
      </c>
      <c r="C1010" s="29">
        <f>IF(Dataset!B1010&lt;25,1,IF(Dataset!B1010&lt;75,2,IF(Dataset!B1010&lt;120,3,4)))</f>
        <v>4</v>
      </c>
      <c r="D1010" s="29">
        <f t="shared" si="120"/>
        <v>3.2</v>
      </c>
      <c r="E1010" s="29">
        <f>IF(Dataset!C1010&lt;=1,0.3,IF(Dataset!C1010=2,0.4,IF(Dataset!C1010=3,0.5,IF(Dataset!C1010=4,0.65,0.8))))</f>
        <v>0.8</v>
      </c>
      <c r="F1010" s="29">
        <f>IF(Dataset!C1010&lt;=2,1,IF(Dataset!C1010=3,2,IF(Dataset!C1010=4,3,4)))</f>
        <v>4</v>
      </c>
      <c r="G1010" s="29">
        <f t="shared" si="121"/>
        <v>3.2</v>
      </c>
      <c r="H1010" s="29">
        <f>IF(Dataset!G1010&lt;=3,0.25,IF(Dataset!G1010&lt;=6,0.45,IF(Dataset!G1010&lt;=9,0.65,0.85)))</f>
        <v>0.45</v>
      </c>
      <c r="I1010" s="29">
        <f>IF(Dataset!G1010&lt;=3,1,IF(Dataset!G1010&lt;=6,2,IF(Dataset!G1010&lt;=9,3,4)))</f>
        <v>2</v>
      </c>
      <c r="J1010" s="29">
        <f t="shared" si="122"/>
        <v>0.9</v>
      </c>
      <c r="K1010" s="29">
        <f>IF(Dataset!H1010&lt;1,0.2,IF(Dataset!H1010&lt;1.3,0.45,IF(Dataset!H1010&lt;1.8,0.7,0.9)))</f>
        <v>0.45</v>
      </c>
      <c r="L1010" s="29">
        <f>IF(Dataset!H1010&lt;1,1,IF(Dataset!H1010&lt;1.3,2,IF(Dataset!H1010&lt;1.8,3,4)))</f>
        <v>2</v>
      </c>
      <c r="M1010" s="29">
        <f t="shared" si="123"/>
        <v>0.9</v>
      </c>
      <c r="N1010" s="29">
        <f>IF(Dataset!F1010=1,0.75,IF(Dataset!F1010=2,0.45,0.2))</f>
        <v>0.2</v>
      </c>
      <c r="O1010" s="29">
        <f>IF(Dataset!F1010=1,3,IF(Dataset!F1010=2,2,1))</f>
        <v>1</v>
      </c>
      <c r="P1010" s="29">
        <f t="shared" si="124"/>
        <v>0.2</v>
      </c>
      <c r="Q1010" s="29">
        <f>IF(Dataset!K1010&lt;5,0.2,IF(Dataset!K1010&lt;10,0.45,IF(Dataset!K1010&lt;18,0.7,0.9)))</f>
        <v>0.9</v>
      </c>
      <c r="R1010" s="29">
        <f>IF(Dataset!K1010&lt;5,1,IF(Dataset!K1010&lt;10,2,IF(Dataset!K1010&lt;18,3,4)))</f>
        <v>4</v>
      </c>
      <c r="S1010" s="29">
        <f t="shared" si="125"/>
        <v>3.6</v>
      </c>
      <c r="T1010" s="29">
        <f t="shared" si="126"/>
        <v>1.944</v>
      </c>
      <c r="U1010" s="29" t="str">
        <f t="shared" si="127"/>
        <v>High</v>
      </c>
    </row>
    <row r="1011" spans="1:21" ht="15" customHeight="1" x14ac:dyDescent="0.25">
      <c r="A1011" s="29">
        <f>Dataset!A1011</f>
        <v>1007</v>
      </c>
      <c r="B1011" s="29">
        <f>IF(Dataset!B1011&lt;25,0.3,IF(Dataset!B1011&lt;75,0.5,IF(Dataset!B1011&lt;120,0.65,0.8)))</f>
        <v>0.65</v>
      </c>
      <c r="C1011" s="29">
        <f>IF(Dataset!B1011&lt;25,1,IF(Dataset!B1011&lt;75,2,IF(Dataset!B1011&lt;120,3,4)))</f>
        <v>3</v>
      </c>
      <c r="D1011" s="29">
        <f t="shared" si="120"/>
        <v>1.9500000000000002</v>
      </c>
      <c r="E1011" s="29">
        <f>IF(Dataset!C1011&lt;=1,0.3,IF(Dataset!C1011=2,0.4,IF(Dataset!C1011=3,0.5,IF(Dataset!C1011=4,0.65,0.8))))</f>
        <v>0.65</v>
      </c>
      <c r="F1011" s="29">
        <f>IF(Dataset!C1011&lt;=2,1,IF(Dataset!C1011=3,2,IF(Dataset!C1011=4,3,4)))</f>
        <v>3</v>
      </c>
      <c r="G1011" s="29">
        <f t="shared" si="121"/>
        <v>1.9500000000000002</v>
      </c>
      <c r="H1011" s="29">
        <f>IF(Dataset!G1011&lt;=3,0.25,IF(Dataset!G1011&lt;=6,0.45,IF(Dataset!G1011&lt;=9,0.65,0.85)))</f>
        <v>0.65</v>
      </c>
      <c r="I1011" s="29">
        <f>IF(Dataset!G1011&lt;=3,1,IF(Dataset!G1011&lt;=6,2,IF(Dataset!G1011&lt;=9,3,4)))</f>
        <v>3</v>
      </c>
      <c r="J1011" s="29">
        <f t="shared" si="122"/>
        <v>1.9500000000000002</v>
      </c>
      <c r="K1011" s="29">
        <f>IF(Dataset!H1011&lt;1,0.2,IF(Dataset!H1011&lt;1.3,0.45,IF(Dataset!H1011&lt;1.8,0.7,0.9)))</f>
        <v>0.45</v>
      </c>
      <c r="L1011" s="29">
        <f>IF(Dataset!H1011&lt;1,1,IF(Dataset!H1011&lt;1.3,2,IF(Dataset!H1011&lt;1.8,3,4)))</f>
        <v>2</v>
      </c>
      <c r="M1011" s="29">
        <f t="shared" si="123"/>
        <v>0.9</v>
      </c>
      <c r="N1011" s="29">
        <f>IF(Dataset!F1011=1,0.75,IF(Dataset!F1011=2,0.45,0.2))</f>
        <v>0.75</v>
      </c>
      <c r="O1011" s="29">
        <f>IF(Dataset!F1011=1,3,IF(Dataset!F1011=2,2,1))</f>
        <v>3</v>
      </c>
      <c r="P1011" s="29">
        <f t="shared" si="124"/>
        <v>2.25</v>
      </c>
      <c r="Q1011" s="29">
        <f>IF(Dataset!K1011&lt;5,0.2,IF(Dataset!K1011&lt;10,0.45,IF(Dataset!K1011&lt;18,0.7,0.9)))</f>
        <v>0.7</v>
      </c>
      <c r="R1011" s="29">
        <f>IF(Dataset!K1011&lt;5,1,IF(Dataset!K1011&lt;10,2,IF(Dataset!K1011&lt;18,3,4)))</f>
        <v>3</v>
      </c>
      <c r="S1011" s="29">
        <f t="shared" si="125"/>
        <v>2.0999999999999996</v>
      </c>
      <c r="T1011" s="29">
        <f t="shared" si="126"/>
        <v>1.7490000000000003</v>
      </c>
      <c r="U1011" s="29" t="str">
        <f t="shared" si="127"/>
        <v>Medium</v>
      </c>
    </row>
    <row r="1012" spans="1:21" ht="15" customHeight="1" x14ac:dyDescent="0.25">
      <c r="A1012" s="29">
        <f>Dataset!A1012</f>
        <v>1008</v>
      </c>
      <c r="B1012" s="29">
        <f>IF(Dataset!B1012&lt;25,0.3,IF(Dataset!B1012&lt;75,0.5,IF(Dataset!B1012&lt;120,0.65,0.8)))</f>
        <v>0.65</v>
      </c>
      <c r="C1012" s="29">
        <f>IF(Dataset!B1012&lt;25,1,IF(Dataset!B1012&lt;75,2,IF(Dataset!B1012&lt;120,3,4)))</f>
        <v>3</v>
      </c>
      <c r="D1012" s="29">
        <f t="shared" si="120"/>
        <v>1.9500000000000002</v>
      </c>
      <c r="E1012" s="29">
        <f>IF(Dataset!C1012&lt;=1,0.3,IF(Dataset!C1012=2,0.4,IF(Dataset!C1012=3,0.5,IF(Dataset!C1012=4,0.65,0.8))))</f>
        <v>0.8</v>
      </c>
      <c r="F1012" s="29">
        <f>IF(Dataset!C1012&lt;=2,1,IF(Dataset!C1012=3,2,IF(Dataset!C1012=4,3,4)))</f>
        <v>4</v>
      </c>
      <c r="G1012" s="29">
        <f t="shared" si="121"/>
        <v>3.2</v>
      </c>
      <c r="H1012" s="29">
        <f>IF(Dataset!G1012&lt;=3,0.25,IF(Dataset!G1012&lt;=6,0.45,IF(Dataset!G1012&lt;=9,0.65,0.85)))</f>
        <v>0.85</v>
      </c>
      <c r="I1012" s="29">
        <f>IF(Dataset!G1012&lt;=3,1,IF(Dataset!G1012&lt;=6,2,IF(Dataset!G1012&lt;=9,3,4)))</f>
        <v>4</v>
      </c>
      <c r="J1012" s="29">
        <f t="shared" si="122"/>
        <v>3.4</v>
      </c>
      <c r="K1012" s="29">
        <f>IF(Dataset!H1012&lt;1,0.2,IF(Dataset!H1012&lt;1.3,0.45,IF(Dataset!H1012&lt;1.8,0.7,0.9)))</f>
        <v>0.7</v>
      </c>
      <c r="L1012" s="29">
        <f>IF(Dataset!H1012&lt;1,1,IF(Dataset!H1012&lt;1.3,2,IF(Dataset!H1012&lt;1.8,3,4)))</f>
        <v>3</v>
      </c>
      <c r="M1012" s="29">
        <f t="shared" si="123"/>
        <v>2.0999999999999996</v>
      </c>
      <c r="N1012" s="29">
        <f>IF(Dataset!F1012=1,0.75,IF(Dataset!F1012=2,0.45,0.2))</f>
        <v>0.2</v>
      </c>
      <c r="O1012" s="29">
        <f>IF(Dataset!F1012=1,3,IF(Dataset!F1012=2,2,1))</f>
        <v>1</v>
      </c>
      <c r="P1012" s="29">
        <f t="shared" si="124"/>
        <v>0.2</v>
      </c>
      <c r="Q1012" s="29">
        <f>IF(Dataset!K1012&lt;5,0.2,IF(Dataset!K1012&lt;10,0.45,IF(Dataset!K1012&lt;18,0.7,0.9)))</f>
        <v>0.7</v>
      </c>
      <c r="R1012" s="29">
        <f>IF(Dataset!K1012&lt;5,1,IF(Dataset!K1012&lt;10,2,IF(Dataset!K1012&lt;18,3,4)))</f>
        <v>3</v>
      </c>
      <c r="S1012" s="29">
        <f t="shared" si="125"/>
        <v>2.0999999999999996</v>
      </c>
      <c r="T1012" s="29">
        <f t="shared" si="126"/>
        <v>2.2970000000000002</v>
      </c>
      <c r="U1012" s="29" t="str">
        <f t="shared" si="127"/>
        <v>High</v>
      </c>
    </row>
    <row r="1013" spans="1:21" ht="15" customHeight="1" x14ac:dyDescent="0.25">
      <c r="A1013" s="29">
        <f>Dataset!A1013</f>
        <v>1009</v>
      </c>
      <c r="B1013" s="29">
        <f>IF(Dataset!B1013&lt;25,0.3,IF(Dataset!B1013&lt;75,0.5,IF(Dataset!B1013&lt;120,0.65,0.8)))</f>
        <v>0.5</v>
      </c>
      <c r="C1013" s="29">
        <f>IF(Dataset!B1013&lt;25,1,IF(Dataset!B1013&lt;75,2,IF(Dataset!B1013&lt;120,3,4)))</f>
        <v>2</v>
      </c>
      <c r="D1013" s="29">
        <f t="shared" si="120"/>
        <v>1</v>
      </c>
      <c r="E1013" s="29">
        <f>IF(Dataset!C1013&lt;=1,0.3,IF(Dataset!C1013=2,0.4,IF(Dataset!C1013=3,0.5,IF(Dataset!C1013=4,0.65,0.8))))</f>
        <v>0.5</v>
      </c>
      <c r="F1013" s="29">
        <f>IF(Dataset!C1013&lt;=2,1,IF(Dataset!C1013=3,2,IF(Dataset!C1013=4,3,4)))</f>
        <v>2</v>
      </c>
      <c r="G1013" s="29">
        <f t="shared" si="121"/>
        <v>1</v>
      </c>
      <c r="H1013" s="29">
        <f>IF(Dataset!G1013&lt;=3,0.25,IF(Dataset!G1013&lt;=6,0.45,IF(Dataset!G1013&lt;=9,0.65,0.85)))</f>
        <v>0.45</v>
      </c>
      <c r="I1013" s="29">
        <f>IF(Dataset!G1013&lt;=3,1,IF(Dataset!G1013&lt;=6,2,IF(Dataset!G1013&lt;=9,3,4)))</f>
        <v>2</v>
      </c>
      <c r="J1013" s="29">
        <f t="shared" si="122"/>
        <v>0.9</v>
      </c>
      <c r="K1013" s="29">
        <f>IF(Dataset!H1013&lt;1,0.2,IF(Dataset!H1013&lt;1.3,0.45,IF(Dataset!H1013&lt;1.8,0.7,0.9)))</f>
        <v>0.45</v>
      </c>
      <c r="L1013" s="29">
        <f>IF(Dataset!H1013&lt;1,1,IF(Dataset!H1013&lt;1.3,2,IF(Dataset!H1013&lt;1.8,3,4)))</f>
        <v>2</v>
      </c>
      <c r="M1013" s="29">
        <f t="shared" si="123"/>
        <v>0.9</v>
      </c>
      <c r="N1013" s="29">
        <f>IF(Dataset!F1013=1,0.75,IF(Dataset!F1013=2,0.45,0.2))</f>
        <v>0.45</v>
      </c>
      <c r="O1013" s="29">
        <f>IF(Dataset!F1013=1,3,IF(Dataset!F1013=2,2,1))</f>
        <v>2</v>
      </c>
      <c r="P1013" s="29">
        <f t="shared" si="124"/>
        <v>0.9</v>
      </c>
      <c r="Q1013" s="29">
        <f>IF(Dataset!K1013&lt;5,0.2,IF(Dataset!K1013&lt;10,0.45,IF(Dataset!K1013&lt;18,0.7,0.9)))</f>
        <v>0.2</v>
      </c>
      <c r="R1013" s="29">
        <f>IF(Dataset!K1013&lt;5,1,IF(Dataset!K1013&lt;10,2,IF(Dataset!K1013&lt;18,3,4)))</f>
        <v>1</v>
      </c>
      <c r="S1013" s="29">
        <f t="shared" si="125"/>
        <v>0.2</v>
      </c>
      <c r="T1013" s="29">
        <f t="shared" si="126"/>
        <v>0.83399999999999996</v>
      </c>
      <c r="U1013" s="29" t="str">
        <f t="shared" si="127"/>
        <v>Low</v>
      </c>
    </row>
    <row r="1014" spans="1:21" ht="15" customHeight="1" x14ac:dyDescent="0.25">
      <c r="A1014" s="29">
        <f>Dataset!A1014</f>
        <v>1010</v>
      </c>
      <c r="B1014" s="29">
        <f>IF(Dataset!B1014&lt;25,0.3,IF(Dataset!B1014&lt;75,0.5,IF(Dataset!B1014&lt;120,0.65,0.8)))</f>
        <v>0.3</v>
      </c>
      <c r="C1014" s="29">
        <f>IF(Dataset!B1014&lt;25,1,IF(Dataset!B1014&lt;75,2,IF(Dataset!B1014&lt;120,3,4)))</f>
        <v>1</v>
      </c>
      <c r="D1014" s="29">
        <f t="shared" si="120"/>
        <v>0.3</v>
      </c>
      <c r="E1014" s="29">
        <f>IF(Dataset!C1014&lt;=1,0.3,IF(Dataset!C1014=2,0.4,IF(Dataset!C1014=3,0.5,IF(Dataset!C1014=4,0.65,0.8))))</f>
        <v>0.8</v>
      </c>
      <c r="F1014" s="29">
        <f>IF(Dataset!C1014&lt;=2,1,IF(Dataset!C1014=3,2,IF(Dataset!C1014=4,3,4)))</f>
        <v>4</v>
      </c>
      <c r="G1014" s="29">
        <f t="shared" si="121"/>
        <v>3.2</v>
      </c>
      <c r="H1014" s="29">
        <f>IF(Dataset!G1014&lt;=3,0.25,IF(Dataset!G1014&lt;=6,0.45,IF(Dataset!G1014&lt;=9,0.65,0.85)))</f>
        <v>0.85</v>
      </c>
      <c r="I1014" s="29">
        <f>IF(Dataset!G1014&lt;=3,1,IF(Dataset!G1014&lt;=6,2,IF(Dataset!G1014&lt;=9,3,4)))</f>
        <v>4</v>
      </c>
      <c r="J1014" s="29">
        <f t="shared" si="122"/>
        <v>3.4</v>
      </c>
      <c r="K1014" s="29">
        <f>IF(Dataset!H1014&lt;1,0.2,IF(Dataset!H1014&lt;1.3,0.45,IF(Dataset!H1014&lt;1.8,0.7,0.9)))</f>
        <v>0.9</v>
      </c>
      <c r="L1014" s="29">
        <f>IF(Dataset!H1014&lt;1,1,IF(Dataset!H1014&lt;1.3,2,IF(Dataset!H1014&lt;1.8,3,4)))</f>
        <v>4</v>
      </c>
      <c r="M1014" s="29">
        <f t="shared" si="123"/>
        <v>3.6</v>
      </c>
      <c r="N1014" s="29">
        <f>IF(Dataset!F1014=1,0.75,IF(Dataset!F1014=2,0.45,0.2))</f>
        <v>0.75</v>
      </c>
      <c r="O1014" s="29">
        <f>IF(Dataset!F1014=1,3,IF(Dataset!F1014=2,2,1))</f>
        <v>3</v>
      </c>
      <c r="P1014" s="29">
        <f t="shared" si="124"/>
        <v>2.25</v>
      </c>
      <c r="Q1014" s="29">
        <f>IF(Dataset!K1014&lt;5,0.2,IF(Dataset!K1014&lt;10,0.45,IF(Dataset!K1014&lt;18,0.7,0.9)))</f>
        <v>0.9</v>
      </c>
      <c r="R1014" s="29">
        <f>IF(Dataset!K1014&lt;5,1,IF(Dataset!K1014&lt;10,2,IF(Dataset!K1014&lt;18,3,4)))</f>
        <v>4</v>
      </c>
      <c r="S1014" s="29">
        <f t="shared" si="125"/>
        <v>3.6</v>
      </c>
      <c r="T1014" s="29">
        <f t="shared" si="126"/>
        <v>2.7750000000000004</v>
      </c>
      <c r="U1014" s="29" t="str">
        <f t="shared" si="127"/>
        <v>High</v>
      </c>
    </row>
    <row r="1015" spans="1:21" ht="15" customHeight="1" x14ac:dyDescent="0.25">
      <c r="A1015" s="29">
        <f>Dataset!A1015</f>
        <v>1011</v>
      </c>
      <c r="B1015" s="29">
        <f>IF(Dataset!B1015&lt;25,0.3,IF(Dataset!B1015&lt;75,0.5,IF(Dataset!B1015&lt;120,0.65,0.8)))</f>
        <v>0.65</v>
      </c>
      <c r="C1015" s="29">
        <f>IF(Dataset!B1015&lt;25,1,IF(Dataset!B1015&lt;75,2,IF(Dataset!B1015&lt;120,3,4)))</f>
        <v>3</v>
      </c>
      <c r="D1015" s="29">
        <f t="shared" si="120"/>
        <v>1.9500000000000002</v>
      </c>
      <c r="E1015" s="29">
        <f>IF(Dataset!C1015&lt;=1,0.3,IF(Dataset!C1015=2,0.4,IF(Dataset!C1015=3,0.5,IF(Dataset!C1015=4,0.65,0.8))))</f>
        <v>0.4</v>
      </c>
      <c r="F1015" s="29">
        <f>IF(Dataset!C1015&lt;=2,1,IF(Dataset!C1015=3,2,IF(Dataset!C1015=4,3,4)))</f>
        <v>1</v>
      </c>
      <c r="G1015" s="29">
        <f t="shared" si="121"/>
        <v>0.4</v>
      </c>
      <c r="H1015" s="29">
        <f>IF(Dataset!G1015&lt;=3,0.25,IF(Dataset!G1015&lt;=6,0.45,IF(Dataset!G1015&lt;=9,0.65,0.85)))</f>
        <v>0.65</v>
      </c>
      <c r="I1015" s="29">
        <f>IF(Dataset!G1015&lt;=3,1,IF(Dataset!G1015&lt;=6,2,IF(Dataset!G1015&lt;=9,3,4)))</f>
        <v>3</v>
      </c>
      <c r="J1015" s="29">
        <f t="shared" si="122"/>
        <v>1.9500000000000002</v>
      </c>
      <c r="K1015" s="29">
        <f>IF(Dataset!H1015&lt;1,0.2,IF(Dataset!H1015&lt;1.3,0.45,IF(Dataset!H1015&lt;1.8,0.7,0.9)))</f>
        <v>0.2</v>
      </c>
      <c r="L1015" s="29">
        <f>IF(Dataset!H1015&lt;1,1,IF(Dataset!H1015&lt;1.3,2,IF(Dataset!H1015&lt;1.8,3,4)))</f>
        <v>1</v>
      </c>
      <c r="M1015" s="29">
        <f t="shared" si="123"/>
        <v>0.2</v>
      </c>
      <c r="N1015" s="29">
        <f>IF(Dataset!F1015=1,0.75,IF(Dataset!F1015=2,0.45,0.2))</f>
        <v>0.75</v>
      </c>
      <c r="O1015" s="29">
        <f>IF(Dataset!F1015=1,3,IF(Dataset!F1015=2,2,1))</f>
        <v>3</v>
      </c>
      <c r="P1015" s="29">
        <f t="shared" si="124"/>
        <v>2.25</v>
      </c>
      <c r="Q1015" s="29">
        <f>IF(Dataset!K1015&lt;5,0.2,IF(Dataset!K1015&lt;10,0.45,IF(Dataset!K1015&lt;18,0.7,0.9)))</f>
        <v>0.2</v>
      </c>
      <c r="R1015" s="29">
        <f>IF(Dataset!K1015&lt;5,1,IF(Dataset!K1015&lt;10,2,IF(Dataset!K1015&lt;18,3,4)))</f>
        <v>1</v>
      </c>
      <c r="S1015" s="29">
        <f t="shared" si="125"/>
        <v>0.2</v>
      </c>
      <c r="T1015" s="29">
        <f t="shared" si="126"/>
        <v>1.0980000000000003</v>
      </c>
      <c r="U1015" s="29" t="str">
        <f t="shared" si="127"/>
        <v>Low</v>
      </c>
    </row>
    <row r="1016" spans="1:21" ht="15" customHeight="1" x14ac:dyDescent="0.25">
      <c r="A1016" s="29">
        <f>Dataset!A1016</f>
        <v>1012</v>
      </c>
      <c r="B1016" s="29">
        <f>IF(Dataset!B1016&lt;25,0.3,IF(Dataset!B1016&lt;75,0.5,IF(Dataset!B1016&lt;120,0.65,0.8)))</f>
        <v>0.3</v>
      </c>
      <c r="C1016" s="29">
        <f>IF(Dataset!B1016&lt;25,1,IF(Dataset!B1016&lt;75,2,IF(Dataset!B1016&lt;120,3,4)))</f>
        <v>1</v>
      </c>
      <c r="D1016" s="29">
        <f t="shared" si="120"/>
        <v>0.3</v>
      </c>
      <c r="E1016" s="29">
        <f>IF(Dataset!C1016&lt;=1,0.3,IF(Dataset!C1016=2,0.4,IF(Dataset!C1016=3,0.5,IF(Dataset!C1016=4,0.65,0.8))))</f>
        <v>0.5</v>
      </c>
      <c r="F1016" s="29">
        <f>IF(Dataset!C1016&lt;=2,1,IF(Dataset!C1016=3,2,IF(Dataset!C1016=4,3,4)))</f>
        <v>2</v>
      </c>
      <c r="G1016" s="29">
        <f t="shared" si="121"/>
        <v>1</v>
      </c>
      <c r="H1016" s="29">
        <f>IF(Dataset!G1016&lt;=3,0.25,IF(Dataset!G1016&lt;=6,0.45,IF(Dataset!G1016&lt;=9,0.65,0.85)))</f>
        <v>0.45</v>
      </c>
      <c r="I1016" s="29">
        <f>IF(Dataset!G1016&lt;=3,1,IF(Dataset!G1016&lt;=6,2,IF(Dataset!G1016&lt;=9,3,4)))</f>
        <v>2</v>
      </c>
      <c r="J1016" s="29">
        <f t="shared" si="122"/>
        <v>0.9</v>
      </c>
      <c r="K1016" s="29">
        <f>IF(Dataset!H1016&lt;1,0.2,IF(Dataset!H1016&lt;1.3,0.45,IF(Dataset!H1016&lt;1.8,0.7,0.9)))</f>
        <v>0.9</v>
      </c>
      <c r="L1016" s="29">
        <f>IF(Dataset!H1016&lt;1,1,IF(Dataset!H1016&lt;1.3,2,IF(Dataset!H1016&lt;1.8,3,4)))</f>
        <v>4</v>
      </c>
      <c r="M1016" s="29">
        <f t="shared" si="123"/>
        <v>3.6</v>
      </c>
      <c r="N1016" s="29">
        <f>IF(Dataset!F1016=1,0.75,IF(Dataset!F1016=2,0.45,0.2))</f>
        <v>0.75</v>
      </c>
      <c r="O1016" s="29">
        <f>IF(Dataset!F1016=1,3,IF(Dataset!F1016=2,2,1))</f>
        <v>3</v>
      </c>
      <c r="P1016" s="29">
        <f t="shared" si="124"/>
        <v>2.25</v>
      </c>
      <c r="Q1016" s="29">
        <f>IF(Dataset!K1016&lt;5,0.2,IF(Dataset!K1016&lt;10,0.45,IF(Dataset!K1016&lt;18,0.7,0.9)))</f>
        <v>0.45</v>
      </c>
      <c r="R1016" s="29">
        <f>IF(Dataset!K1016&lt;5,1,IF(Dataset!K1016&lt;10,2,IF(Dataset!K1016&lt;18,3,4)))</f>
        <v>2</v>
      </c>
      <c r="S1016" s="29">
        <f t="shared" si="125"/>
        <v>0.9</v>
      </c>
      <c r="T1016" s="29">
        <f t="shared" si="126"/>
        <v>1.5890000000000002</v>
      </c>
      <c r="U1016" s="29" t="str">
        <f t="shared" si="127"/>
        <v>Medium</v>
      </c>
    </row>
    <row r="1017" spans="1:21" ht="15" customHeight="1" x14ac:dyDescent="0.25">
      <c r="A1017" s="29">
        <f>Dataset!A1017</f>
        <v>1013</v>
      </c>
      <c r="B1017" s="29">
        <f>IF(Dataset!B1017&lt;25,0.3,IF(Dataset!B1017&lt;75,0.5,IF(Dataset!B1017&lt;120,0.65,0.8)))</f>
        <v>0.3</v>
      </c>
      <c r="C1017" s="29">
        <f>IF(Dataset!B1017&lt;25,1,IF(Dataset!B1017&lt;75,2,IF(Dataset!B1017&lt;120,3,4)))</f>
        <v>1</v>
      </c>
      <c r="D1017" s="29">
        <f t="shared" si="120"/>
        <v>0.3</v>
      </c>
      <c r="E1017" s="29">
        <f>IF(Dataset!C1017&lt;=1,0.3,IF(Dataset!C1017=2,0.4,IF(Dataset!C1017=3,0.5,IF(Dataset!C1017=4,0.65,0.8))))</f>
        <v>0.5</v>
      </c>
      <c r="F1017" s="29">
        <f>IF(Dataset!C1017&lt;=2,1,IF(Dataset!C1017=3,2,IF(Dataset!C1017=4,3,4)))</f>
        <v>2</v>
      </c>
      <c r="G1017" s="29">
        <f t="shared" si="121"/>
        <v>1</v>
      </c>
      <c r="H1017" s="29">
        <f>IF(Dataset!G1017&lt;=3,0.25,IF(Dataset!G1017&lt;=6,0.45,IF(Dataset!G1017&lt;=9,0.65,0.85)))</f>
        <v>0.65</v>
      </c>
      <c r="I1017" s="29">
        <f>IF(Dataset!G1017&lt;=3,1,IF(Dataset!G1017&lt;=6,2,IF(Dataset!G1017&lt;=9,3,4)))</f>
        <v>3</v>
      </c>
      <c r="J1017" s="29">
        <f t="shared" si="122"/>
        <v>1.9500000000000002</v>
      </c>
      <c r="K1017" s="29">
        <f>IF(Dataset!H1017&lt;1,0.2,IF(Dataset!H1017&lt;1.3,0.45,IF(Dataset!H1017&lt;1.8,0.7,0.9)))</f>
        <v>0.9</v>
      </c>
      <c r="L1017" s="29">
        <f>IF(Dataset!H1017&lt;1,1,IF(Dataset!H1017&lt;1.3,2,IF(Dataset!H1017&lt;1.8,3,4)))</f>
        <v>4</v>
      </c>
      <c r="M1017" s="29">
        <f t="shared" si="123"/>
        <v>3.6</v>
      </c>
      <c r="N1017" s="29">
        <f>IF(Dataset!F1017=1,0.75,IF(Dataset!F1017=2,0.45,0.2))</f>
        <v>0.2</v>
      </c>
      <c r="O1017" s="29">
        <f>IF(Dataset!F1017=1,3,IF(Dataset!F1017=2,2,1))</f>
        <v>1</v>
      </c>
      <c r="P1017" s="29">
        <f t="shared" si="124"/>
        <v>0.2</v>
      </c>
      <c r="Q1017" s="29">
        <f>IF(Dataset!K1017&lt;5,0.2,IF(Dataset!K1017&lt;10,0.45,IF(Dataset!K1017&lt;18,0.7,0.9)))</f>
        <v>0.45</v>
      </c>
      <c r="R1017" s="29">
        <f>IF(Dataset!K1017&lt;5,1,IF(Dataset!K1017&lt;10,2,IF(Dataset!K1017&lt;18,3,4)))</f>
        <v>2</v>
      </c>
      <c r="S1017" s="29">
        <f t="shared" si="125"/>
        <v>0.9</v>
      </c>
      <c r="T1017" s="29">
        <f t="shared" si="126"/>
        <v>1.5940000000000001</v>
      </c>
      <c r="U1017" s="29" t="str">
        <f t="shared" si="127"/>
        <v>Medium</v>
      </c>
    </row>
    <row r="1018" spans="1:21" ht="15" customHeight="1" x14ac:dyDescent="0.25">
      <c r="A1018" s="29">
        <f>Dataset!A1018</f>
        <v>1014</v>
      </c>
      <c r="B1018" s="29">
        <f>IF(Dataset!B1018&lt;25,0.3,IF(Dataset!B1018&lt;75,0.5,IF(Dataset!B1018&lt;120,0.65,0.8)))</f>
        <v>0.8</v>
      </c>
      <c r="C1018" s="29">
        <f>IF(Dataset!B1018&lt;25,1,IF(Dataset!B1018&lt;75,2,IF(Dataset!B1018&lt;120,3,4)))</f>
        <v>4</v>
      </c>
      <c r="D1018" s="29">
        <f t="shared" si="120"/>
        <v>3.2</v>
      </c>
      <c r="E1018" s="29">
        <f>IF(Dataset!C1018&lt;=1,0.3,IF(Dataset!C1018=2,0.4,IF(Dataset!C1018=3,0.5,IF(Dataset!C1018=4,0.65,0.8))))</f>
        <v>0.65</v>
      </c>
      <c r="F1018" s="29">
        <f>IF(Dataset!C1018&lt;=2,1,IF(Dataset!C1018=3,2,IF(Dataset!C1018=4,3,4)))</f>
        <v>3</v>
      </c>
      <c r="G1018" s="29">
        <f t="shared" si="121"/>
        <v>1.9500000000000002</v>
      </c>
      <c r="H1018" s="29">
        <f>IF(Dataset!G1018&lt;=3,0.25,IF(Dataset!G1018&lt;=6,0.45,IF(Dataset!G1018&lt;=9,0.65,0.85)))</f>
        <v>0.65</v>
      </c>
      <c r="I1018" s="29">
        <f>IF(Dataset!G1018&lt;=3,1,IF(Dataset!G1018&lt;=6,2,IF(Dataset!G1018&lt;=9,3,4)))</f>
        <v>3</v>
      </c>
      <c r="J1018" s="29">
        <f t="shared" si="122"/>
        <v>1.9500000000000002</v>
      </c>
      <c r="K1018" s="29">
        <f>IF(Dataset!H1018&lt;1,0.2,IF(Dataset!H1018&lt;1.3,0.45,IF(Dataset!H1018&lt;1.8,0.7,0.9)))</f>
        <v>0.45</v>
      </c>
      <c r="L1018" s="29">
        <f>IF(Dataset!H1018&lt;1,1,IF(Dataset!H1018&lt;1.3,2,IF(Dataset!H1018&lt;1.8,3,4)))</f>
        <v>2</v>
      </c>
      <c r="M1018" s="29">
        <f t="shared" si="123"/>
        <v>0.9</v>
      </c>
      <c r="N1018" s="29">
        <f>IF(Dataset!F1018=1,0.75,IF(Dataset!F1018=2,0.45,0.2))</f>
        <v>0.75</v>
      </c>
      <c r="O1018" s="29">
        <f>IF(Dataset!F1018=1,3,IF(Dataset!F1018=2,2,1))</f>
        <v>3</v>
      </c>
      <c r="P1018" s="29">
        <f t="shared" si="124"/>
        <v>2.25</v>
      </c>
      <c r="Q1018" s="29">
        <f>IF(Dataset!K1018&lt;5,0.2,IF(Dataset!K1018&lt;10,0.45,IF(Dataset!K1018&lt;18,0.7,0.9)))</f>
        <v>0.45</v>
      </c>
      <c r="R1018" s="29">
        <f>IF(Dataset!K1018&lt;5,1,IF(Dataset!K1018&lt;10,2,IF(Dataset!K1018&lt;18,3,4)))</f>
        <v>2</v>
      </c>
      <c r="S1018" s="29">
        <f t="shared" si="125"/>
        <v>0.9</v>
      </c>
      <c r="T1018" s="29">
        <f t="shared" si="126"/>
        <v>1.8060000000000003</v>
      </c>
      <c r="U1018" s="29" t="str">
        <f t="shared" si="127"/>
        <v>High</v>
      </c>
    </row>
    <row r="1019" spans="1:21" ht="15" customHeight="1" x14ac:dyDescent="0.25">
      <c r="A1019" s="29">
        <f>Dataset!A1019</f>
        <v>1015</v>
      </c>
      <c r="B1019" s="29">
        <f>IF(Dataset!B1019&lt;25,0.3,IF(Dataset!B1019&lt;75,0.5,IF(Dataset!B1019&lt;120,0.65,0.8)))</f>
        <v>0.5</v>
      </c>
      <c r="C1019" s="29">
        <f>IF(Dataset!B1019&lt;25,1,IF(Dataset!B1019&lt;75,2,IF(Dataset!B1019&lt;120,3,4)))</f>
        <v>2</v>
      </c>
      <c r="D1019" s="29">
        <f t="shared" si="120"/>
        <v>1</v>
      </c>
      <c r="E1019" s="29">
        <f>IF(Dataset!C1019&lt;=1,0.3,IF(Dataset!C1019=2,0.4,IF(Dataset!C1019=3,0.5,IF(Dataset!C1019=4,0.65,0.8))))</f>
        <v>0.8</v>
      </c>
      <c r="F1019" s="29">
        <f>IF(Dataset!C1019&lt;=2,1,IF(Dataset!C1019=3,2,IF(Dataset!C1019=4,3,4)))</f>
        <v>4</v>
      </c>
      <c r="G1019" s="29">
        <f t="shared" si="121"/>
        <v>3.2</v>
      </c>
      <c r="H1019" s="29">
        <f>IF(Dataset!G1019&lt;=3,0.25,IF(Dataset!G1019&lt;=6,0.45,IF(Dataset!G1019&lt;=9,0.65,0.85)))</f>
        <v>0.25</v>
      </c>
      <c r="I1019" s="29">
        <f>IF(Dataset!G1019&lt;=3,1,IF(Dataset!G1019&lt;=6,2,IF(Dataset!G1019&lt;=9,3,4)))</f>
        <v>1</v>
      </c>
      <c r="J1019" s="29">
        <f t="shared" si="122"/>
        <v>0.25</v>
      </c>
      <c r="K1019" s="29">
        <f>IF(Dataset!H1019&lt;1,0.2,IF(Dataset!H1019&lt;1.3,0.45,IF(Dataset!H1019&lt;1.8,0.7,0.9)))</f>
        <v>0.7</v>
      </c>
      <c r="L1019" s="29">
        <f>IF(Dataset!H1019&lt;1,1,IF(Dataset!H1019&lt;1.3,2,IF(Dataset!H1019&lt;1.8,3,4)))</f>
        <v>3</v>
      </c>
      <c r="M1019" s="29">
        <f t="shared" si="123"/>
        <v>2.0999999999999996</v>
      </c>
      <c r="N1019" s="29">
        <f>IF(Dataset!F1019=1,0.75,IF(Dataset!F1019=2,0.45,0.2))</f>
        <v>0.45</v>
      </c>
      <c r="O1019" s="29">
        <f>IF(Dataset!F1019=1,3,IF(Dataset!F1019=2,2,1))</f>
        <v>2</v>
      </c>
      <c r="P1019" s="29">
        <f t="shared" si="124"/>
        <v>0.9</v>
      </c>
      <c r="Q1019" s="29">
        <f>IF(Dataset!K1019&lt;5,0.2,IF(Dataset!K1019&lt;10,0.45,IF(Dataset!K1019&lt;18,0.7,0.9)))</f>
        <v>0.7</v>
      </c>
      <c r="R1019" s="29">
        <f>IF(Dataset!K1019&lt;5,1,IF(Dataset!K1019&lt;10,2,IF(Dataset!K1019&lt;18,3,4)))</f>
        <v>3</v>
      </c>
      <c r="S1019" s="29">
        <f t="shared" si="125"/>
        <v>2.0999999999999996</v>
      </c>
      <c r="T1019" s="29">
        <f t="shared" si="126"/>
        <v>1.5660000000000001</v>
      </c>
      <c r="U1019" s="29" t="str">
        <f t="shared" si="127"/>
        <v>Medium</v>
      </c>
    </row>
    <row r="1020" spans="1:21" ht="15" customHeight="1" x14ac:dyDescent="0.25">
      <c r="A1020" s="29">
        <f>Dataset!A1020</f>
        <v>1016</v>
      </c>
      <c r="B1020" s="29">
        <f>IF(Dataset!B1020&lt;25,0.3,IF(Dataset!B1020&lt;75,0.5,IF(Dataset!B1020&lt;120,0.65,0.8)))</f>
        <v>0.5</v>
      </c>
      <c r="C1020" s="29">
        <f>IF(Dataset!B1020&lt;25,1,IF(Dataset!B1020&lt;75,2,IF(Dataset!B1020&lt;120,3,4)))</f>
        <v>2</v>
      </c>
      <c r="D1020" s="29">
        <f t="shared" si="120"/>
        <v>1</v>
      </c>
      <c r="E1020" s="29">
        <f>IF(Dataset!C1020&lt;=1,0.3,IF(Dataset!C1020=2,0.4,IF(Dataset!C1020=3,0.5,IF(Dataset!C1020=4,0.65,0.8))))</f>
        <v>0.65</v>
      </c>
      <c r="F1020" s="29">
        <f>IF(Dataset!C1020&lt;=2,1,IF(Dataset!C1020=3,2,IF(Dataset!C1020=4,3,4)))</f>
        <v>3</v>
      </c>
      <c r="G1020" s="29">
        <f t="shared" si="121"/>
        <v>1.9500000000000002</v>
      </c>
      <c r="H1020" s="29">
        <f>IF(Dataset!G1020&lt;=3,0.25,IF(Dataset!G1020&lt;=6,0.45,IF(Dataset!G1020&lt;=9,0.65,0.85)))</f>
        <v>0.45</v>
      </c>
      <c r="I1020" s="29">
        <f>IF(Dataset!G1020&lt;=3,1,IF(Dataset!G1020&lt;=6,2,IF(Dataset!G1020&lt;=9,3,4)))</f>
        <v>2</v>
      </c>
      <c r="J1020" s="29">
        <f t="shared" si="122"/>
        <v>0.9</v>
      </c>
      <c r="K1020" s="29">
        <f>IF(Dataset!H1020&lt;1,0.2,IF(Dataset!H1020&lt;1.3,0.45,IF(Dataset!H1020&lt;1.8,0.7,0.9)))</f>
        <v>0.45</v>
      </c>
      <c r="L1020" s="29">
        <f>IF(Dataset!H1020&lt;1,1,IF(Dataset!H1020&lt;1.3,2,IF(Dataset!H1020&lt;1.8,3,4)))</f>
        <v>2</v>
      </c>
      <c r="M1020" s="29">
        <f t="shared" si="123"/>
        <v>0.9</v>
      </c>
      <c r="N1020" s="29">
        <f>IF(Dataset!F1020=1,0.75,IF(Dataset!F1020=2,0.45,0.2))</f>
        <v>0.45</v>
      </c>
      <c r="O1020" s="29">
        <f>IF(Dataset!F1020=1,3,IF(Dataset!F1020=2,2,1))</f>
        <v>2</v>
      </c>
      <c r="P1020" s="29">
        <f t="shared" si="124"/>
        <v>0.9</v>
      </c>
      <c r="Q1020" s="29">
        <f>IF(Dataset!K1020&lt;5,0.2,IF(Dataset!K1020&lt;10,0.45,IF(Dataset!K1020&lt;18,0.7,0.9)))</f>
        <v>0.7</v>
      </c>
      <c r="R1020" s="29">
        <f>IF(Dataset!K1020&lt;5,1,IF(Dataset!K1020&lt;10,2,IF(Dataset!K1020&lt;18,3,4)))</f>
        <v>3</v>
      </c>
      <c r="S1020" s="29">
        <f t="shared" si="125"/>
        <v>2.0999999999999996</v>
      </c>
      <c r="T1020" s="29">
        <f t="shared" si="126"/>
        <v>1.2330000000000001</v>
      </c>
      <c r="U1020" s="29" t="str">
        <f t="shared" si="127"/>
        <v>Low</v>
      </c>
    </row>
    <row r="1021" spans="1:21" ht="15" customHeight="1" x14ac:dyDescent="0.25">
      <c r="A1021" s="29">
        <f>Dataset!A1021</f>
        <v>1017</v>
      </c>
      <c r="B1021" s="29">
        <f>IF(Dataset!B1021&lt;25,0.3,IF(Dataset!B1021&lt;75,0.5,IF(Dataset!B1021&lt;120,0.65,0.8)))</f>
        <v>0.5</v>
      </c>
      <c r="C1021" s="29">
        <f>IF(Dataset!B1021&lt;25,1,IF(Dataset!B1021&lt;75,2,IF(Dataset!B1021&lt;120,3,4)))</f>
        <v>2</v>
      </c>
      <c r="D1021" s="29">
        <f t="shared" si="120"/>
        <v>1</v>
      </c>
      <c r="E1021" s="29">
        <f>IF(Dataset!C1021&lt;=1,0.3,IF(Dataset!C1021=2,0.4,IF(Dataset!C1021=3,0.5,IF(Dataset!C1021=4,0.65,0.8))))</f>
        <v>0.65</v>
      </c>
      <c r="F1021" s="29">
        <f>IF(Dataset!C1021&lt;=2,1,IF(Dataset!C1021=3,2,IF(Dataset!C1021=4,3,4)))</f>
        <v>3</v>
      </c>
      <c r="G1021" s="29">
        <f t="shared" si="121"/>
        <v>1.9500000000000002</v>
      </c>
      <c r="H1021" s="29">
        <f>IF(Dataset!G1021&lt;=3,0.25,IF(Dataset!G1021&lt;=6,0.45,IF(Dataset!G1021&lt;=9,0.65,0.85)))</f>
        <v>0.45</v>
      </c>
      <c r="I1021" s="29">
        <f>IF(Dataset!G1021&lt;=3,1,IF(Dataset!G1021&lt;=6,2,IF(Dataset!G1021&lt;=9,3,4)))</f>
        <v>2</v>
      </c>
      <c r="J1021" s="29">
        <f t="shared" si="122"/>
        <v>0.9</v>
      </c>
      <c r="K1021" s="29">
        <f>IF(Dataset!H1021&lt;1,0.2,IF(Dataset!H1021&lt;1.3,0.45,IF(Dataset!H1021&lt;1.8,0.7,0.9)))</f>
        <v>0.9</v>
      </c>
      <c r="L1021" s="29">
        <f>IF(Dataset!H1021&lt;1,1,IF(Dataset!H1021&lt;1.3,2,IF(Dataset!H1021&lt;1.8,3,4)))</f>
        <v>4</v>
      </c>
      <c r="M1021" s="29">
        <f t="shared" si="123"/>
        <v>3.6</v>
      </c>
      <c r="N1021" s="29">
        <f>IF(Dataset!F1021=1,0.75,IF(Dataset!F1021=2,0.45,0.2))</f>
        <v>0.2</v>
      </c>
      <c r="O1021" s="29">
        <f>IF(Dataset!F1021=1,3,IF(Dataset!F1021=2,2,1))</f>
        <v>1</v>
      </c>
      <c r="P1021" s="29">
        <f t="shared" si="124"/>
        <v>0.2</v>
      </c>
      <c r="Q1021" s="29">
        <f>IF(Dataset!K1021&lt;5,0.2,IF(Dataset!K1021&lt;10,0.45,IF(Dataset!K1021&lt;18,0.7,0.9)))</f>
        <v>0.7</v>
      </c>
      <c r="R1021" s="29">
        <f>IF(Dataset!K1021&lt;5,1,IF(Dataset!K1021&lt;10,2,IF(Dataset!K1021&lt;18,3,4)))</f>
        <v>3</v>
      </c>
      <c r="S1021" s="29">
        <f t="shared" si="125"/>
        <v>2.0999999999999996</v>
      </c>
      <c r="T1021" s="29">
        <f t="shared" si="126"/>
        <v>1.8110000000000002</v>
      </c>
      <c r="U1021" s="29" t="str">
        <f t="shared" si="127"/>
        <v>High</v>
      </c>
    </row>
    <row r="1022" spans="1:21" ht="15" customHeight="1" x14ac:dyDescent="0.25">
      <c r="A1022" s="29">
        <f>Dataset!A1022</f>
        <v>1018</v>
      </c>
      <c r="B1022" s="29">
        <f>IF(Dataset!B1022&lt;25,0.3,IF(Dataset!B1022&lt;75,0.5,IF(Dataset!B1022&lt;120,0.65,0.8)))</f>
        <v>0.3</v>
      </c>
      <c r="C1022" s="29">
        <f>IF(Dataset!B1022&lt;25,1,IF(Dataset!B1022&lt;75,2,IF(Dataset!B1022&lt;120,3,4)))</f>
        <v>1</v>
      </c>
      <c r="D1022" s="29">
        <f t="shared" si="120"/>
        <v>0.3</v>
      </c>
      <c r="E1022" s="29">
        <f>IF(Dataset!C1022&lt;=1,0.3,IF(Dataset!C1022=2,0.4,IF(Dataset!C1022=3,0.5,IF(Dataset!C1022=4,0.65,0.8))))</f>
        <v>0.5</v>
      </c>
      <c r="F1022" s="29">
        <f>IF(Dataset!C1022&lt;=2,1,IF(Dataset!C1022=3,2,IF(Dataset!C1022=4,3,4)))</f>
        <v>2</v>
      </c>
      <c r="G1022" s="29">
        <f t="shared" si="121"/>
        <v>1</v>
      </c>
      <c r="H1022" s="29">
        <f>IF(Dataset!G1022&lt;=3,0.25,IF(Dataset!G1022&lt;=6,0.45,IF(Dataset!G1022&lt;=9,0.65,0.85)))</f>
        <v>0.85</v>
      </c>
      <c r="I1022" s="29">
        <f>IF(Dataset!G1022&lt;=3,1,IF(Dataset!G1022&lt;=6,2,IF(Dataset!G1022&lt;=9,3,4)))</f>
        <v>4</v>
      </c>
      <c r="J1022" s="29">
        <f t="shared" si="122"/>
        <v>3.4</v>
      </c>
      <c r="K1022" s="29">
        <f>IF(Dataset!H1022&lt;1,0.2,IF(Dataset!H1022&lt;1.3,0.45,IF(Dataset!H1022&lt;1.8,0.7,0.9)))</f>
        <v>0.9</v>
      </c>
      <c r="L1022" s="29">
        <f>IF(Dataset!H1022&lt;1,1,IF(Dataset!H1022&lt;1.3,2,IF(Dataset!H1022&lt;1.8,3,4)))</f>
        <v>4</v>
      </c>
      <c r="M1022" s="29">
        <f t="shared" si="123"/>
        <v>3.6</v>
      </c>
      <c r="N1022" s="29">
        <f>IF(Dataset!F1022=1,0.75,IF(Dataset!F1022=2,0.45,0.2))</f>
        <v>0.45</v>
      </c>
      <c r="O1022" s="29">
        <f>IF(Dataset!F1022=1,3,IF(Dataset!F1022=2,2,1))</f>
        <v>2</v>
      </c>
      <c r="P1022" s="29">
        <f t="shared" si="124"/>
        <v>0.9</v>
      </c>
      <c r="Q1022" s="29">
        <f>IF(Dataset!K1022&lt;5,0.2,IF(Dataset!K1022&lt;10,0.45,IF(Dataset!K1022&lt;18,0.7,0.9)))</f>
        <v>0.45</v>
      </c>
      <c r="R1022" s="29">
        <f>IF(Dataset!K1022&lt;5,1,IF(Dataset!K1022&lt;10,2,IF(Dataset!K1022&lt;18,3,4)))</f>
        <v>2</v>
      </c>
      <c r="S1022" s="29">
        <f t="shared" si="125"/>
        <v>0.9</v>
      </c>
      <c r="T1022" s="29">
        <f t="shared" si="126"/>
        <v>1.9540000000000002</v>
      </c>
      <c r="U1022" s="29" t="str">
        <f t="shared" si="127"/>
        <v>High</v>
      </c>
    </row>
    <row r="1023" spans="1:21" ht="15" customHeight="1" x14ac:dyDescent="0.25">
      <c r="A1023" s="29">
        <f>Dataset!A1023</f>
        <v>1019</v>
      </c>
      <c r="B1023" s="29">
        <f>IF(Dataset!B1023&lt;25,0.3,IF(Dataset!B1023&lt;75,0.5,IF(Dataset!B1023&lt;120,0.65,0.8)))</f>
        <v>0.65</v>
      </c>
      <c r="C1023" s="29">
        <f>IF(Dataset!B1023&lt;25,1,IF(Dataset!B1023&lt;75,2,IF(Dataset!B1023&lt;120,3,4)))</f>
        <v>3</v>
      </c>
      <c r="D1023" s="29">
        <f t="shared" si="120"/>
        <v>1.9500000000000002</v>
      </c>
      <c r="E1023" s="29">
        <f>IF(Dataset!C1023&lt;=1,0.3,IF(Dataset!C1023=2,0.4,IF(Dataset!C1023=3,0.5,IF(Dataset!C1023=4,0.65,0.8))))</f>
        <v>0.5</v>
      </c>
      <c r="F1023" s="29">
        <f>IF(Dataset!C1023&lt;=2,1,IF(Dataset!C1023=3,2,IF(Dataset!C1023=4,3,4)))</f>
        <v>2</v>
      </c>
      <c r="G1023" s="29">
        <f t="shared" si="121"/>
        <v>1</v>
      </c>
      <c r="H1023" s="29">
        <f>IF(Dataset!G1023&lt;=3,0.25,IF(Dataset!G1023&lt;=6,0.45,IF(Dataset!G1023&lt;=9,0.65,0.85)))</f>
        <v>0.65</v>
      </c>
      <c r="I1023" s="29">
        <f>IF(Dataset!G1023&lt;=3,1,IF(Dataset!G1023&lt;=6,2,IF(Dataset!G1023&lt;=9,3,4)))</f>
        <v>3</v>
      </c>
      <c r="J1023" s="29">
        <f t="shared" si="122"/>
        <v>1.9500000000000002</v>
      </c>
      <c r="K1023" s="29">
        <f>IF(Dataset!H1023&lt;1,0.2,IF(Dataset!H1023&lt;1.3,0.45,IF(Dataset!H1023&lt;1.8,0.7,0.9)))</f>
        <v>0.9</v>
      </c>
      <c r="L1023" s="29">
        <f>IF(Dataset!H1023&lt;1,1,IF(Dataset!H1023&lt;1.3,2,IF(Dataset!H1023&lt;1.8,3,4)))</f>
        <v>4</v>
      </c>
      <c r="M1023" s="29">
        <f t="shared" si="123"/>
        <v>3.6</v>
      </c>
      <c r="N1023" s="29">
        <f>IF(Dataset!F1023=1,0.75,IF(Dataset!F1023=2,0.45,0.2))</f>
        <v>0.2</v>
      </c>
      <c r="O1023" s="29">
        <f>IF(Dataset!F1023=1,3,IF(Dataset!F1023=2,2,1))</f>
        <v>1</v>
      </c>
      <c r="P1023" s="29">
        <f t="shared" si="124"/>
        <v>0.2</v>
      </c>
      <c r="Q1023" s="29">
        <f>IF(Dataset!K1023&lt;5,0.2,IF(Dataset!K1023&lt;10,0.45,IF(Dataset!K1023&lt;18,0.7,0.9)))</f>
        <v>0.2</v>
      </c>
      <c r="R1023" s="29">
        <f>IF(Dataset!K1023&lt;5,1,IF(Dataset!K1023&lt;10,2,IF(Dataset!K1023&lt;18,3,4)))</f>
        <v>1</v>
      </c>
      <c r="S1023" s="29">
        <f t="shared" si="125"/>
        <v>0.2</v>
      </c>
      <c r="T1023" s="29">
        <f t="shared" si="126"/>
        <v>1.7930000000000001</v>
      </c>
      <c r="U1023" s="29" t="str">
        <f t="shared" si="127"/>
        <v>High</v>
      </c>
    </row>
    <row r="1024" spans="1:21" ht="15" customHeight="1" x14ac:dyDescent="0.25">
      <c r="A1024" s="29">
        <f>Dataset!A1024</f>
        <v>1020</v>
      </c>
      <c r="B1024" s="29">
        <f>IF(Dataset!B1024&lt;25,0.3,IF(Dataset!B1024&lt;75,0.5,IF(Dataset!B1024&lt;120,0.65,0.8)))</f>
        <v>0.5</v>
      </c>
      <c r="C1024" s="29">
        <f>IF(Dataset!B1024&lt;25,1,IF(Dataset!B1024&lt;75,2,IF(Dataset!B1024&lt;120,3,4)))</f>
        <v>2</v>
      </c>
      <c r="D1024" s="29">
        <f t="shared" si="120"/>
        <v>1</v>
      </c>
      <c r="E1024" s="29">
        <f>IF(Dataset!C1024&lt;=1,0.3,IF(Dataset!C1024=2,0.4,IF(Dataset!C1024=3,0.5,IF(Dataset!C1024=4,0.65,0.8))))</f>
        <v>0.5</v>
      </c>
      <c r="F1024" s="29">
        <f>IF(Dataset!C1024&lt;=2,1,IF(Dataset!C1024=3,2,IF(Dataset!C1024=4,3,4)))</f>
        <v>2</v>
      </c>
      <c r="G1024" s="29">
        <f t="shared" si="121"/>
        <v>1</v>
      </c>
      <c r="H1024" s="29">
        <f>IF(Dataset!G1024&lt;=3,0.25,IF(Dataset!G1024&lt;=6,0.45,IF(Dataset!G1024&lt;=9,0.65,0.85)))</f>
        <v>0.65</v>
      </c>
      <c r="I1024" s="29">
        <f>IF(Dataset!G1024&lt;=3,1,IF(Dataset!G1024&lt;=6,2,IF(Dataset!G1024&lt;=9,3,4)))</f>
        <v>3</v>
      </c>
      <c r="J1024" s="29">
        <f t="shared" si="122"/>
        <v>1.9500000000000002</v>
      </c>
      <c r="K1024" s="29">
        <f>IF(Dataset!H1024&lt;1,0.2,IF(Dataset!H1024&lt;1.3,0.45,IF(Dataset!H1024&lt;1.8,0.7,0.9)))</f>
        <v>0.9</v>
      </c>
      <c r="L1024" s="29">
        <f>IF(Dataset!H1024&lt;1,1,IF(Dataset!H1024&lt;1.3,2,IF(Dataset!H1024&lt;1.8,3,4)))</f>
        <v>4</v>
      </c>
      <c r="M1024" s="29">
        <f t="shared" si="123"/>
        <v>3.6</v>
      </c>
      <c r="N1024" s="29">
        <f>IF(Dataset!F1024=1,0.75,IF(Dataset!F1024=2,0.45,0.2))</f>
        <v>0.75</v>
      </c>
      <c r="O1024" s="29">
        <f>IF(Dataset!F1024=1,3,IF(Dataset!F1024=2,2,1))</f>
        <v>3</v>
      </c>
      <c r="P1024" s="29">
        <f t="shared" si="124"/>
        <v>2.25</v>
      </c>
      <c r="Q1024" s="29">
        <f>IF(Dataset!K1024&lt;5,0.2,IF(Dataset!K1024&lt;10,0.45,IF(Dataset!K1024&lt;18,0.7,0.9)))</f>
        <v>0.45</v>
      </c>
      <c r="R1024" s="29">
        <f>IF(Dataset!K1024&lt;5,1,IF(Dataset!K1024&lt;10,2,IF(Dataset!K1024&lt;18,3,4)))</f>
        <v>2</v>
      </c>
      <c r="S1024" s="29">
        <f t="shared" si="125"/>
        <v>0.9</v>
      </c>
      <c r="T1024" s="29">
        <f t="shared" si="126"/>
        <v>1.9250000000000003</v>
      </c>
      <c r="U1024" s="29" t="str">
        <f t="shared" si="127"/>
        <v>High</v>
      </c>
    </row>
    <row r="1025" spans="1:21" ht="15" customHeight="1" x14ac:dyDescent="0.25">
      <c r="A1025" s="29">
        <f>Dataset!A1025</f>
        <v>1021</v>
      </c>
      <c r="B1025" s="29">
        <f>IF(Dataset!B1025&lt;25,0.3,IF(Dataset!B1025&lt;75,0.5,IF(Dataset!B1025&lt;120,0.65,0.8)))</f>
        <v>0.8</v>
      </c>
      <c r="C1025" s="29">
        <f>IF(Dataset!B1025&lt;25,1,IF(Dataset!B1025&lt;75,2,IF(Dataset!B1025&lt;120,3,4)))</f>
        <v>4</v>
      </c>
      <c r="D1025" s="29">
        <f t="shared" si="120"/>
        <v>3.2</v>
      </c>
      <c r="E1025" s="29">
        <f>IF(Dataset!C1025&lt;=1,0.3,IF(Dataset!C1025=2,0.4,IF(Dataset!C1025=3,0.5,IF(Dataset!C1025=4,0.65,0.8))))</f>
        <v>0.3</v>
      </c>
      <c r="F1025" s="29">
        <f>IF(Dataset!C1025&lt;=2,1,IF(Dataset!C1025=3,2,IF(Dataset!C1025=4,3,4)))</f>
        <v>1</v>
      </c>
      <c r="G1025" s="29">
        <f t="shared" si="121"/>
        <v>0.3</v>
      </c>
      <c r="H1025" s="29">
        <f>IF(Dataset!G1025&lt;=3,0.25,IF(Dataset!G1025&lt;=6,0.45,IF(Dataset!G1025&lt;=9,0.65,0.85)))</f>
        <v>0.85</v>
      </c>
      <c r="I1025" s="29">
        <f>IF(Dataset!G1025&lt;=3,1,IF(Dataset!G1025&lt;=6,2,IF(Dataset!G1025&lt;=9,3,4)))</f>
        <v>4</v>
      </c>
      <c r="J1025" s="29">
        <f t="shared" si="122"/>
        <v>3.4</v>
      </c>
      <c r="K1025" s="29">
        <f>IF(Dataset!H1025&lt;1,0.2,IF(Dataset!H1025&lt;1.3,0.45,IF(Dataset!H1025&lt;1.8,0.7,0.9)))</f>
        <v>0.2</v>
      </c>
      <c r="L1025" s="29">
        <f>IF(Dataset!H1025&lt;1,1,IF(Dataset!H1025&lt;1.3,2,IF(Dataset!H1025&lt;1.8,3,4)))</f>
        <v>1</v>
      </c>
      <c r="M1025" s="29">
        <f t="shared" si="123"/>
        <v>0.2</v>
      </c>
      <c r="N1025" s="29">
        <f>IF(Dataset!F1025=1,0.75,IF(Dataset!F1025=2,0.45,0.2))</f>
        <v>0.2</v>
      </c>
      <c r="O1025" s="29">
        <f>IF(Dataset!F1025=1,3,IF(Dataset!F1025=2,2,1))</f>
        <v>1</v>
      </c>
      <c r="P1025" s="29">
        <f t="shared" si="124"/>
        <v>0.2</v>
      </c>
      <c r="Q1025" s="29">
        <f>IF(Dataset!K1025&lt;5,0.2,IF(Dataset!K1025&lt;10,0.45,IF(Dataset!K1025&lt;18,0.7,0.9)))</f>
        <v>0.2</v>
      </c>
      <c r="R1025" s="29">
        <f>IF(Dataset!K1025&lt;5,1,IF(Dataset!K1025&lt;10,2,IF(Dataset!K1025&lt;18,3,4)))</f>
        <v>1</v>
      </c>
      <c r="S1025" s="29">
        <f t="shared" si="125"/>
        <v>0.2</v>
      </c>
      <c r="T1025" s="29">
        <f t="shared" si="126"/>
        <v>1.3940000000000001</v>
      </c>
      <c r="U1025" s="29" t="str">
        <f t="shared" si="127"/>
        <v>Medium</v>
      </c>
    </row>
    <row r="1026" spans="1:21" ht="15" customHeight="1" x14ac:dyDescent="0.25">
      <c r="A1026" s="29">
        <f>Dataset!A1026</f>
        <v>1022</v>
      </c>
      <c r="B1026" s="29">
        <f>IF(Dataset!B1026&lt;25,0.3,IF(Dataset!B1026&lt;75,0.5,IF(Dataset!B1026&lt;120,0.65,0.8)))</f>
        <v>0.65</v>
      </c>
      <c r="C1026" s="29">
        <f>IF(Dataset!B1026&lt;25,1,IF(Dataset!B1026&lt;75,2,IF(Dataset!B1026&lt;120,3,4)))</f>
        <v>3</v>
      </c>
      <c r="D1026" s="29">
        <f t="shared" si="120"/>
        <v>1.9500000000000002</v>
      </c>
      <c r="E1026" s="29">
        <f>IF(Dataset!C1026&lt;=1,0.3,IF(Dataset!C1026=2,0.4,IF(Dataset!C1026=3,0.5,IF(Dataset!C1026=4,0.65,0.8))))</f>
        <v>0.5</v>
      </c>
      <c r="F1026" s="29">
        <f>IF(Dataset!C1026&lt;=2,1,IF(Dataset!C1026=3,2,IF(Dataset!C1026=4,3,4)))</f>
        <v>2</v>
      </c>
      <c r="G1026" s="29">
        <f t="shared" si="121"/>
        <v>1</v>
      </c>
      <c r="H1026" s="29">
        <f>IF(Dataset!G1026&lt;=3,0.25,IF(Dataset!G1026&lt;=6,0.45,IF(Dataset!G1026&lt;=9,0.65,0.85)))</f>
        <v>0.45</v>
      </c>
      <c r="I1026" s="29">
        <f>IF(Dataset!G1026&lt;=3,1,IF(Dataset!G1026&lt;=6,2,IF(Dataset!G1026&lt;=9,3,4)))</f>
        <v>2</v>
      </c>
      <c r="J1026" s="29">
        <f t="shared" si="122"/>
        <v>0.9</v>
      </c>
      <c r="K1026" s="29">
        <f>IF(Dataset!H1026&lt;1,0.2,IF(Dataset!H1026&lt;1.3,0.45,IF(Dataset!H1026&lt;1.8,0.7,0.9)))</f>
        <v>0.45</v>
      </c>
      <c r="L1026" s="29">
        <f>IF(Dataset!H1026&lt;1,1,IF(Dataset!H1026&lt;1.3,2,IF(Dataset!H1026&lt;1.8,3,4)))</f>
        <v>2</v>
      </c>
      <c r="M1026" s="29">
        <f t="shared" si="123"/>
        <v>0.9</v>
      </c>
      <c r="N1026" s="29">
        <f>IF(Dataset!F1026=1,0.75,IF(Dataset!F1026=2,0.45,0.2))</f>
        <v>0.75</v>
      </c>
      <c r="O1026" s="29">
        <f>IF(Dataset!F1026=1,3,IF(Dataset!F1026=2,2,1))</f>
        <v>3</v>
      </c>
      <c r="P1026" s="29">
        <f t="shared" si="124"/>
        <v>2.25</v>
      </c>
      <c r="Q1026" s="29">
        <f>IF(Dataset!K1026&lt;5,0.2,IF(Dataset!K1026&lt;10,0.45,IF(Dataset!K1026&lt;18,0.7,0.9)))</f>
        <v>0.45</v>
      </c>
      <c r="R1026" s="29">
        <f>IF(Dataset!K1026&lt;5,1,IF(Dataset!K1026&lt;10,2,IF(Dataset!K1026&lt;18,3,4)))</f>
        <v>2</v>
      </c>
      <c r="S1026" s="29">
        <f t="shared" si="125"/>
        <v>0.9</v>
      </c>
      <c r="T1026" s="29">
        <f t="shared" si="126"/>
        <v>1.2380000000000002</v>
      </c>
      <c r="U1026" s="29" t="str">
        <f t="shared" si="127"/>
        <v>Low</v>
      </c>
    </row>
    <row r="1027" spans="1:21" ht="15" customHeight="1" x14ac:dyDescent="0.25">
      <c r="A1027" s="29">
        <f>Dataset!A1027</f>
        <v>1023</v>
      </c>
      <c r="B1027" s="29">
        <f>IF(Dataset!B1027&lt;25,0.3,IF(Dataset!B1027&lt;75,0.5,IF(Dataset!B1027&lt;120,0.65,0.8)))</f>
        <v>0.5</v>
      </c>
      <c r="C1027" s="29">
        <f>IF(Dataset!B1027&lt;25,1,IF(Dataset!B1027&lt;75,2,IF(Dataset!B1027&lt;120,3,4)))</f>
        <v>2</v>
      </c>
      <c r="D1027" s="29">
        <f t="shared" si="120"/>
        <v>1</v>
      </c>
      <c r="E1027" s="29">
        <f>IF(Dataset!C1027&lt;=1,0.3,IF(Dataset!C1027=2,0.4,IF(Dataset!C1027=3,0.5,IF(Dataset!C1027=4,0.65,0.8))))</f>
        <v>0.8</v>
      </c>
      <c r="F1027" s="29">
        <f>IF(Dataset!C1027&lt;=2,1,IF(Dataset!C1027=3,2,IF(Dataset!C1027=4,3,4)))</f>
        <v>4</v>
      </c>
      <c r="G1027" s="29">
        <f t="shared" si="121"/>
        <v>3.2</v>
      </c>
      <c r="H1027" s="29">
        <f>IF(Dataset!G1027&lt;=3,0.25,IF(Dataset!G1027&lt;=6,0.45,IF(Dataset!G1027&lt;=9,0.65,0.85)))</f>
        <v>0.25</v>
      </c>
      <c r="I1027" s="29">
        <f>IF(Dataset!G1027&lt;=3,1,IF(Dataset!G1027&lt;=6,2,IF(Dataset!G1027&lt;=9,3,4)))</f>
        <v>1</v>
      </c>
      <c r="J1027" s="29">
        <f t="shared" si="122"/>
        <v>0.25</v>
      </c>
      <c r="K1027" s="29">
        <f>IF(Dataset!H1027&lt;1,0.2,IF(Dataset!H1027&lt;1.3,0.45,IF(Dataset!H1027&lt;1.8,0.7,0.9)))</f>
        <v>0.9</v>
      </c>
      <c r="L1027" s="29">
        <f>IF(Dataset!H1027&lt;1,1,IF(Dataset!H1027&lt;1.3,2,IF(Dataset!H1027&lt;1.8,3,4)))</f>
        <v>4</v>
      </c>
      <c r="M1027" s="29">
        <f t="shared" si="123"/>
        <v>3.6</v>
      </c>
      <c r="N1027" s="29">
        <f>IF(Dataset!F1027=1,0.75,IF(Dataset!F1027=2,0.45,0.2))</f>
        <v>0.75</v>
      </c>
      <c r="O1027" s="29">
        <f>IF(Dataset!F1027=1,3,IF(Dataset!F1027=2,2,1))</f>
        <v>3</v>
      </c>
      <c r="P1027" s="29">
        <f t="shared" si="124"/>
        <v>2.25</v>
      </c>
      <c r="Q1027" s="29">
        <f>IF(Dataset!K1027&lt;5,0.2,IF(Dataset!K1027&lt;10,0.45,IF(Dataset!K1027&lt;18,0.7,0.9)))</f>
        <v>0.7</v>
      </c>
      <c r="R1027" s="29">
        <f>IF(Dataset!K1027&lt;5,1,IF(Dataset!K1027&lt;10,2,IF(Dataset!K1027&lt;18,3,4)))</f>
        <v>3</v>
      </c>
      <c r="S1027" s="29">
        <f t="shared" si="125"/>
        <v>2.0999999999999996</v>
      </c>
      <c r="T1027" s="29">
        <f t="shared" si="126"/>
        <v>2.0610000000000004</v>
      </c>
      <c r="U1027" s="29" t="str">
        <f t="shared" si="127"/>
        <v>High</v>
      </c>
    </row>
    <row r="1028" spans="1:21" ht="15" customHeight="1" x14ac:dyDescent="0.25">
      <c r="A1028" s="29">
        <f>Dataset!A1028</f>
        <v>1024</v>
      </c>
      <c r="B1028" s="29">
        <f>IF(Dataset!B1028&lt;25,0.3,IF(Dataset!B1028&lt;75,0.5,IF(Dataset!B1028&lt;120,0.65,0.8)))</f>
        <v>0.3</v>
      </c>
      <c r="C1028" s="29">
        <f>IF(Dataset!B1028&lt;25,1,IF(Dataset!B1028&lt;75,2,IF(Dataset!B1028&lt;120,3,4)))</f>
        <v>1</v>
      </c>
      <c r="D1028" s="29">
        <f t="shared" si="120"/>
        <v>0.3</v>
      </c>
      <c r="E1028" s="29">
        <f>IF(Dataset!C1028&lt;=1,0.3,IF(Dataset!C1028=2,0.4,IF(Dataset!C1028=3,0.5,IF(Dataset!C1028=4,0.65,0.8))))</f>
        <v>0.65</v>
      </c>
      <c r="F1028" s="29">
        <f>IF(Dataset!C1028&lt;=2,1,IF(Dataset!C1028=3,2,IF(Dataset!C1028=4,3,4)))</f>
        <v>3</v>
      </c>
      <c r="G1028" s="29">
        <f t="shared" si="121"/>
        <v>1.9500000000000002</v>
      </c>
      <c r="H1028" s="29">
        <f>IF(Dataset!G1028&lt;=3,0.25,IF(Dataset!G1028&lt;=6,0.45,IF(Dataset!G1028&lt;=9,0.65,0.85)))</f>
        <v>0.85</v>
      </c>
      <c r="I1028" s="29">
        <f>IF(Dataset!G1028&lt;=3,1,IF(Dataset!G1028&lt;=6,2,IF(Dataset!G1028&lt;=9,3,4)))</f>
        <v>4</v>
      </c>
      <c r="J1028" s="29">
        <f t="shared" si="122"/>
        <v>3.4</v>
      </c>
      <c r="K1028" s="29">
        <f>IF(Dataset!H1028&lt;1,0.2,IF(Dataset!H1028&lt;1.3,0.45,IF(Dataset!H1028&lt;1.8,0.7,0.9)))</f>
        <v>0.7</v>
      </c>
      <c r="L1028" s="29">
        <f>IF(Dataset!H1028&lt;1,1,IF(Dataset!H1028&lt;1.3,2,IF(Dataset!H1028&lt;1.8,3,4)))</f>
        <v>3</v>
      </c>
      <c r="M1028" s="29">
        <f t="shared" si="123"/>
        <v>2.0999999999999996</v>
      </c>
      <c r="N1028" s="29">
        <f>IF(Dataset!F1028=1,0.75,IF(Dataset!F1028=2,0.45,0.2))</f>
        <v>0.2</v>
      </c>
      <c r="O1028" s="29">
        <f>IF(Dataset!F1028=1,3,IF(Dataset!F1028=2,2,1))</f>
        <v>1</v>
      </c>
      <c r="P1028" s="29">
        <f t="shared" si="124"/>
        <v>0.2</v>
      </c>
      <c r="Q1028" s="29">
        <f>IF(Dataset!K1028&lt;5,0.2,IF(Dataset!K1028&lt;10,0.45,IF(Dataset!K1028&lt;18,0.7,0.9)))</f>
        <v>0.45</v>
      </c>
      <c r="R1028" s="29">
        <f>IF(Dataset!K1028&lt;5,1,IF(Dataset!K1028&lt;10,2,IF(Dataset!K1028&lt;18,3,4)))</f>
        <v>2</v>
      </c>
      <c r="S1028" s="29">
        <f t="shared" si="125"/>
        <v>0.9</v>
      </c>
      <c r="T1028" s="29">
        <f t="shared" si="126"/>
        <v>1.6570000000000003</v>
      </c>
      <c r="U1028" s="29" t="str">
        <f t="shared" si="127"/>
        <v>Medium</v>
      </c>
    </row>
    <row r="1029" spans="1:21" ht="15" customHeight="1" x14ac:dyDescent="0.25">
      <c r="A1029" s="29">
        <f>Dataset!A1029</f>
        <v>1025</v>
      </c>
      <c r="B1029" s="29">
        <f>IF(Dataset!B1029&lt;25,0.3,IF(Dataset!B1029&lt;75,0.5,IF(Dataset!B1029&lt;120,0.65,0.8)))</f>
        <v>0.5</v>
      </c>
      <c r="C1029" s="29">
        <f>IF(Dataset!B1029&lt;25,1,IF(Dataset!B1029&lt;75,2,IF(Dataset!B1029&lt;120,3,4)))</f>
        <v>2</v>
      </c>
      <c r="D1029" s="29">
        <f t="shared" ref="D1029:D1092" si="128">B1029*C1029</f>
        <v>1</v>
      </c>
      <c r="E1029" s="29">
        <f>IF(Dataset!C1029&lt;=1,0.3,IF(Dataset!C1029=2,0.4,IF(Dataset!C1029=3,0.5,IF(Dataset!C1029=4,0.65,0.8))))</f>
        <v>0.65</v>
      </c>
      <c r="F1029" s="29">
        <f>IF(Dataset!C1029&lt;=2,1,IF(Dataset!C1029=3,2,IF(Dataset!C1029=4,3,4)))</f>
        <v>3</v>
      </c>
      <c r="G1029" s="29">
        <f t="shared" ref="G1029:G1092" si="129">E1029*F1029</f>
        <v>1.9500000000000002</v>
      </c>
      <c r="H1029" s="29">
        <f>IF(Dataset!G1029&lt;=3,0.25,IF(Dataset!G1029&lt;=6,0.45,IF(Dataset!G1029&lt;=9,0.65,0.85)))</f>
        <v>0.45</v>
      </c>
      <c r="I1029" s="29">
        <f>IF(Dataset!G1029&lt;=3,1,IF(Dataset!G1029&lt;=6,2,IF(Dataset!G1029&lt;=9,3,4)))</f>
        <v>2</v>
      </c>
      <c r="J1029" s="29">
        <f t="shared" ref="J1029:J1092" si="130">H1029*I1029</f>
        <v>0.9</v>
      </c>
      <c r="K1029" s="29">
        <f>IF(Dataset!H1029&lt;1,0.2,IF(Dataset!H1029&lt;1.3,0.45,IF(Dataset!H1029&lt;1.8,0.7,0.9)))</f>
        <v>0.9</v>
      </c>
      <c r="L1029" s="29">
        <f>IF(Dataset!H1029&lt;1,1,IF(Dataset!H1029&lt;1.3,2,IF(Dataset!H1029&lt;1.8,3,4)))</f>
        <v>4</v>
      </c>
      <c r="M1029" s="29">
        <f t="shared" ref="M1029:M1092" si="131">K1029*L1029</f>
        <v>3.6</v>
      </c>
      <c r="N1029" s="29">
        <f>IF(Dataset!F1029=1,0.75,IF(Dataset!F1029=2,0.45,0.2))</f>
        <v>0.75</v>
      </c>
      <c r="O1029" s="29">
        <f>IF(Dataset!F1029=1,3,IF(Dataset!F1029=2,2,1))</f>
        <v>3</v>
      </c>
      <c r="P1029" s="29">
        <f t="shared" ref="P1029:P1092" si="132">N1029*O1029</f>
        <v>2.25</v>
      </c>
      <c r="Q1029" s="29">
        <f>IF(Dataset!K1029&lt;5,0.2,IF(Dataset!K1029&lt;10,0.45,IF(Dataset!K1029&lt;18,0.7,0.9)))</f>
        <v>0.7</v>
      </c>
      <c r="R1029" s="29">
        <f>IF(Dataset!K1029&lt;5,1,IF(Dataset!K1029&lt;10,2,IF(Dataset!K1029&lt;18,3,4)))</f>
        <v>3</v>
      </c>
      <c r="S1029" s="29">
        <f t="shared" ref="S1029:S1092" si="133">Q1029*R1029</f>
        <v>2.0999999999999996</v>
      </c>
      <c r="T1029" s="29">
        <f t="shared" ref="T1029:T1092" si="134">$Y$6*D1029+$Y$7*G1029+$Y$8*J1029+$Y$9*M1029+$Y$10*P1029+$Y$11*S1029</f>
        <v>2.016</v>
      </c>
      <c r="U1029" s="29" t="str">
        <f t="shared" ref="U1029:U1092" si="135">IF(T1029&lt;=$Y$15,"Low",IF(T1029&lt;=$Y$16,"Medium","High"))</f>
        <v>High</v>
      </c>
    </row>
    <row r="1030" spans="1:21" ht="15" customHeight="1" x14ac:dyDescent="0.25">
      <c r="A1030" s="29">
        <f>Dataset!A1030</f>
        <v>1026</v>
      </c>
      <c r="B1030" s="29">
        <f>IF(Dataset!B1030&lt;25,0.3,IF(Dataset!B1030&lt;75,0.5,IF(Dataset!B1030&lt;120,0.65,0.8)))</f>
        <v>0.5</v>
      </c>
      <c r="C1030" s="29">
        <f>IF(Dataset!B1030&lt;25,1,IF(Dataset!B1030&lt;75,2,IF(Dataset!B1030&lt;120,3,4)))</f>
        <v>2</v>
      </c>
      <c r="D1030" s="29">
        <f t="shared" si="128"/>
        <v>1</v>
      </c>
      <c r="E1030" s="29">
        <f>IF(Dataset!C1030&lt;=1,0.3,IF(Dataset!C1030=2,0.4,IF(Dataset!C1030=3,0.5,IF(Dataset!C1030=4,0.65,0.8))))</f>
        <v>0.5</v>
      </c>
      <c r="F1030" s="29">
        <f>IF(Dataset!C1030&lt;=2,1,IF(Dataset!C1030=3,2,IF(Dataset!C1030=4,3,4)))</f>
        <v>2</v>
      </c>
      <c r="G1030" s="29">
        <f t="shared" si="129"/>
        <v>1</v>
      </c>
      <c r="H1030" s="29">
        <f>IF(Dataset!G1030&lt;=3,0.25,IF(Dataset!G1030&lt;=6,0.45,IF(Dataset!G1030&lt;=9,0.65,0.85)))</f>
        <v>0.45</v>
      </c>
      <c r="I1030" s="29">
        <f>IF(Dataset!G1030&lt;=3,1,IF(Dataset!G1030&lt;=6,2,IF(Dataset!G1030&lt;=9,3,4)))</f>
        <v>2</v>
      </c>
      <c r="J1030" s="29">
        <f t="shared" si="130"/>
        <v>0.9</v>
      </c>
      <c r="K1030" s="29">
        <f>IF(Dataset!H1030&lt;1,0.2,IF(Dataset!H1030&lt;1.3,0.45,IF(Dataset!H1030&lt;1.8,0.7,0.9)))</f>
        <v>0.9</v>
      </c>
      <c r="L1030" s="29">
        <f>IF(Dataset!H1030&lt;1,1,IF(Dataset!H1030&lt;1.3,2,IF(Dataset!H1030&lt;1.8,3,4)))</f>
        <v>4</v>
      </c>
      <c r="M1030" s="29">
        <f t="shared" si="131"/>
        <v>3.6</v>
      </c>
      <c r="N1030" s="29">
        <f>IF(Dataset!F1030=1,0.75,IF(Dataset!F1030=2,0.45,0.2))</f>
        <v>0.75</v>
      </c>
      <c r="O1030" s="29">
        <f>IF(Dataset!F1030=1,3,IF(Dataset!F1030=2,2,1))</f>
        <v>3</v>
      </c>
      <c r="P1030" s="29">
        <f t="shared" si="132"/>
        <v>2.25</v>
      </c>
      <c r="Q1030" s="29">
        <f>IF(Dataset!K1030&lt;5,0.2,IF(Dataset!K1030&lt;10,0.45,IF(Dataset!K1030&lt;18,0.7,0.9)))</f>
        <v>0.2</v>
      </c>
      <c r="R1030" s="29">
        <f>IF(Dataset!K1030&lt;5,1,IF(Dataset!K1030&lt;10,2,IF(Dataset!K1030&lt;18,3,4)))</f>
        <v>1</v>
      </c>
      <c r="S1030" s="29">
        <f t="shared" si="133"/>
        <v>0.2</v>
      </c>
      <c r="T1030" s="29">
        <f t="shared" si="134"/>
        <v>1.617</v>
      </c>
      <c r="U1030" s="29" t="str">
        <f t="shared" si="135"/>
        <v>Medium</v>
      </c>
    </row>
    <row r="1031" spans="1:21" ht="15" customHeight="1" x14ac:dyDescent="0.25">
      <c r="A1031" s="29">
        <f>Dataset!A1031</f>
        <v>1027</v>
      </c>
      <c r="B1031" s="29">
        <f>IF(Dataset!B1031&lt;25,0.3,IF(Dataset!B1031&lt;75,0.5,IF(Dataset!B1031&lt;120,0.65,0.8)))</f>
        <v>0.3</v>
      </c>
      <c r="C1031" s="29">
        <f>IF(Dataset!B1031&lt;25,1,IF(Dataset!B1031&lt;75,2,IF(Dataset!B1031&lt;120,3,4)))</f>
        <v>1</v>
      </c>
      <c r="D1031" s="29">
        <f t="shared" si="128"/>
        <v>0.3</v>
      </c>
      <c r="E1031" s="29">
        <f>IF(Dataset!C1031&lt;=1,0.3,IF(Dataset!C1031=2,0.4,IF(Dataset!C1031=3,0.5,IF(Dataset!C1031=4,0.65,0.8))))</f>
        <v>0.5</v>
      </c>
      <c r="F1031" s="29">
        <f>IF(Dataset!C1031&lt;=2,1,IF(Dataset!C1031=3,2,IF(Dataset!C1031=4,3,4)))</f>
        <v>2</v>
      </c>
      <c r="G1031" s="29">
        <f t="shared" si="129"/>
        <v>1</v>
      </c>
      <c r="H1031" s="29">
        <f>IF(Dataset!G1031&lt;=3,0.25,IF(Dataset!G1031&lt;=6,0.45,IF(Dataset!G1031&lt;=9,0.65,0.85)))</f>
        <v>0.25</v>
      </c>
      <c r="I1031" s="29">
        <f>IF(Dataset!G1031&lt;=3,1,IF(Dataset!G1031&lt;=6,2,IF(Dataset!G1031&lt;=9,3,4)))</f>
        <v>1</v>
      </c>
      <c r="J1031" s="29">
        <f t="shared" si="130"/>
        <v>0.25</v>
      </c>
      <c r="K1031" s="29">
        <f>IF(Dataset!H1031&lt;1,0.2,IF(Dataset!H1031&lt;1.3,0.45,IF(Dataset!H1031&lt;1.8,0.7,0.9)))</f>
        <v>0.45</v>
      </c>
      <c r="L1031" s="29">
        <f>IF(Dataset!H1031&lt;1,1,IF(Dataset!H1031&lt;1.3,2,IF(Dataset!H1031&lt;1.8,3,4)))</f>
        <v>2</v>
      </c>
      <c r="M1031" s="29">
        <f t="shared" si="131"/>
        <v>0.9</v>
      </c>
      <c r="N1031" s="29">
        <f>IF(Dataset!F1031=1,0.75,IF(Dataset!F1031=2,0.45,0.2))</f>
        <v>0.45</v>
      </c>
      <c r="O1031" s="29">
        <f>IF(Dataset!F1031=1,3,IF(Dataset!F1031=2,2,1))</f>
        <v>2</v>
      </c>
      <c r="P1031" s="29">
        <f t="shared" si="132"/>
        <v>0.9</v>
      </c>
      <c r="Q1031" s="29">
        <f>IF(Dataset!K1031&lt;5,0.2,IF(Dataset!K1031&lt;10,0.45,IF(Dataset!K1031&lt;18,0.7,0.9)))</f>
        <v>0.2</v>
      </c>
      <c r="R1031" s="29">
        <f>IF(Dataset!K1031&lt;5,1,IF(Dataset!K1031&lt;10,2,IF(Dataset!K1031&lt;18,3,4)))</f>
        <v>1</v>
      </c>
      <c r="S1031" s="29">
        <f t="shared" si="133"/>
        <v>0.2</v>
      </c>
      <c r="T1031" s="29">
        <f t="shared" si="134"/>
        <v>0.57799999999999996</v>
      </c>
      <c r="U1031" s="29" t="str">
        <f t="shared" si="135"/>
        <v>Low</v>
      </c>
    </row>
    <row r="1032" spans="1:21" ht="15" customHeight="1" x14ac:dyDescent="0.25">
      <c r="A1032" s="29">
        <f>Dataset!A1032</f>
        <v>1028</v>
      </c>
      <c r="B1032" s="29">
        <f>IF(Dataset!B1032&lt;25,0.3,IF(Dataset!B1032&lt;75,0.5,IF(Dataset!B1032&lt;120,0.65,0.8)))</f>
        <v>0.65</v>
      </c>
      <c r="C1032" s="29">
        <f>IF(Dataset!B1032&lt;25,1,IF(Dataset!B1032&lt;75,2,IF(Dataset!B1032&lt;120,3,4)))</f>
        <v>3</v>
      </c>
      <c r="D1032" s="29">
        <f t="shared" si="128"/>
        <v>1.9500000000000002</v>
      </c>
      <c r="E1032" s="29">
        <f>IF(Dataset!C1032&lt;=1,0.3,IF(Dataset!C1032=2,0.4,IF(Dataset!C1032=3,0.5,IF(Dataset!C1032=4,0.65,0.8))))</f>
        <v>0.3</v>
      </c>
      <c r="F1032" s="29">
        <f>IF(Dataset!C1032&lt;=2,1,IF(Dataset!C1032=3,2,IF(Dataset!C1032=4,3,4)))</f>
        <v>1</v>
      </c>
      <c r="G1032" s="29">
        <f t="shared" si="129"/>
        <v>0.3</v>
      </c>
      <c r="H1032" s="29">
        <f>IF(Dataset!G1032&lt;=3,0.25,IF(Dataset!G1032&lt;=6,0.45,IF(Dataset!G1032&lt;=9,0.65,0.85)))</f>
        <v>0.45</v>
      </c>
      <c r="I1032" s="29">
        <f>IF(Dataset!G1032&lt;=3,1,IF(Dataset!G1032&lt;=6,2,IF(Dataset!G1032&lt;=9,3,4)))</f>
        <v>2</v>
      </c>
      <c r="J1032" s="29">
        <f t="shared" si="130"/>
        <v>0.9</v>
      </c>
      <c r="K1032" s="29">
        <f>IF(Dataset!H1032&lt;1,0.2,IF(Dataset!H1032&lt;1.3,0.45,IF(Dataset!H1032&lt;1.8,0.7,0.9)))</f>
        <v>0.7</v>
      </c>
      <c r="L1032" s="29">
        <f>IF(Dataset!H1032&lt;1,1,IF(Dataset!H1032&lt;1.3,2,IF(Dataset!H1032&lt;1.8,3,4)))</f>
        <v>3</v>
      </c>
      <c r="M1032" s="29">
        <f t="shared" si="131"/>
        <v>2.0999999999999996</v>
      </c>
      <c r="N1032" s="29">
        <f>IF(Dataset!F1032=1,0.75,IF(Dataset!F1032=2,0.45,0.2))</f>
        <v>0.45</v>
      </c>
      <c r="O1032" s="29">
        <f>IF(Dataset!F1032=1,3,IF(Dataset!F1032=2,2,1))</f>
        <v>2</v>
      </c>
      <c r="P1032" s="29">
        <f t="shared" si="132"/>
        <v>0.9</v>
      </c>
      <c r="Q1032" s="29">
        <f>IF(Dataset!K1032&lt;5,0.2,IF(Dataset!K1032&lt;10,0.45,IF(Dataset!K1032&lt;18,0.7,0.9)))</f>
        <v>0.2</v>
      </c>
      <c r="R1032" s="29">
        <f>IF(Dataset!K1032&lt;5,1,IF(Dataset!K1032&lt;10,2,IF(Dataset!K1032&lt;18,3,4)))</f>
        <v>1</v>
      </c>
      <c r="S1032" s="29">
        <f t="shared" si="133"/>
        <v>0.2</v>
      </c>
      <c r="T1032" s="29">
        <f t="shared" si="134"/>
        <v>1.1950000000000001</v>
      </c>
      <c r="U1032" s="29" t="str">
        <f t="shared" si="135"/>
        <v>Low</v>
      </c>
    </row>
    <row r="1033" spans="1:21" ht="15" customHeight="1" x14ac:dyDescent="0.25">
      <c r="A1033" s="29">
        <f>Dataset!A1033</f>
        <v>1029</v>
      </c>
      <c r="B1033" s="29">
        <f>IF(Dataset!B1033&lt;25,0.3,IF(Dataset!B1033&lt;75,0.5,IF(Dataset!B1033&lt;120,0.65,0.8)))</f>
        <v>0.3</v>
      </c>
      <c r="C1033" s="29">
        <f>IF(Dataset!B1033&lt;25,1,IF(Dataset!B1033&lt;75,2,IF(Dataset!B1033&lt;120,3,4)))</f>
        <v>1</v>
      </c>
      <c r="D1033" s="29">
        <f t="shared" si="128"/>
        <v>0.3</v>
      </c>
      <c r="E1033" s="29">
        <f>IF(Dataset!C1033&lt;=1,0.3,IF(Dataset!C1033=2,0.4,IF(Dataset!C1033=3,0.5,IF(Dataset!C1033=4,0.65,0.8))))</f>
        <v>0.5</v>
      </c>
      <c r="F1033" s="29">
        <f>IF(Dataset!C1033&lt;=2,1,IF(Dataset!C1033=3,2,IF(Dataset!C1033=4,3,4)))</f>
        <v>2</v>
      </c>
      <c r="G1033" s="29">
        <f t="shared" si="129"/>
        <v>1</v>
      </c>
      <c r="H1033" s="29">
        <f>IF(Dataset!G1033&lt;=3,0.25,IF(Dataset!G1033&lt;=6,0.45,IF(Dataset!G1033&lt;=9,0.65,0.85)))</f>
        <v>0.45</v>
      </c>
      <c r="I1033" s="29">
        <f>IF(Dataset!G1033&lt;=3,1,IF(Dataset!G1033&lt;=6,2,IF(Dataset!G1033&lt;=9,3,4)))</f>
        <v>2</v>
      </c>
      <c r="J1033" s="29">
        <f t="shared" si="130"/>
        <v>0.9</v>
      </c>
      <c r="K1033" s="29">
        <f>IF(Dataset!H1033&lt;1,0.2,IF(Dataset!H1033&lt;1.3,0.45,IF(Dataset!H1033&lt;1.8,0.7,0.9)))</f>
        <v>0.9</v>
      </c>
      <c r="L1033" s="29">
        <f>IF(Dataset!H1033&lt;1,1,IF(Dataset!H1033&lt;1.3,2,IF(Dataset!H1033&lt;1.8,3,4)))</f>
        <v>4</v>
      </c>
      <c r="M1033" s="29">
        <f t="shared" si="131"/>
        <v>3.6</v>
      </c>
      <c r="N1033" s="29">
        <f>IF(Dataset!F1033=1,0.75,IF(Dataset!F1033=2,0.45,0.2))</f>
        <v>0.75</v>
      </c>
      <c r="O1033" s="29">
        <f>IF(Dataset!F1033=1,3,IF(Dataset!F1033=2,2,1))</f>
        <v>3</v>
      </c>
      <c r="P1033" s="29">
        <f t="shared" si="132"/>
        <v>2.25</v>
      </c>
      <c r="Q1033" s="29">
        <f>IF(Dataset!K1033&lt;5,0.2,IF(Dataset!K1033&lt;10,0.45,IF(Dataset!K1033&lt;18,0.7,0.9)))</f>
        <v>0.45</v>
      </c>
      <c r="R1033" s="29">
        <f>IF(Dataset!K1033&lt;5,1,IF(Dataset!K1033&lt;10,2,IF(Dataset!K1033&lt;18,3,4)))</f>
        <v>2</v>
      </c>
      <c r="S1033" s="29">
        <f t="shared" si="133"/>
        <v>0.9</v>
      </c>
      <c r="T1033" s="29">
        <f t="shared" si="134"/>
        <v>1.5890000000000002</v>
      </c>
      <c r="U1033" s="29" t="str">
        <f t="shared" si="135"/>
        <v>Medium</v>
      </c>
    </row>
    <row r="1034" spans="1:21" ht="15" customHeight="1" x14ac:dyDescent="0.25">
      <c r="A1034" s="29">
        <f>Dataset!A1034</f>
        <v>1030</v>
      </c>
      <c r="B1034" s="29">
        <f>IF(Dataset!B1034&lt;25,0.3,IF(Dataset!B1034&lt;75,0.5,IF(Dataset!B1034&lt;120,0.65,0.8)))</f>
        <v>0.8</v>
      </c>
      <c r="C1034" s="29">
        <f>IF(Dataset!B1034&lt;25,1,IF(Dataset!B1034&lt;75,2,IF(Dataset!B1034&lt;120,3,4)))</f>
        <v>4</v>
      </c>
      <c r="D1034" s="29">
        <f t="shared" si="128"/>
        <v>3.2</v>
      </c>
      <c r="E1034" s="29">
        <f>IF(Dataset!C1034&lt;=1,0.3,IF(Dataset!C1034=2,0.4,IF(Dataset!C1034=3,0.5,IF(Dataset!C1034=4,0.65,0.8))))</f>
        <v>0.5</v>
      </c>
      <c r="F1034" s="29">
        <f>IF(Dataset!C1034&lt;=2,1,IF(Dataset!C1034=3,2,IF(Dataset!C1034=4,3,4)))</f>
        <v>2</v>
      </c>
      <c r="G1034" s="29">
        <f t="shared" si="129"/>
        <v>1</v>
      </c>
      <c r="H1034" s="29">
        <f>IF(Dataset!G1034&lt;=3,0.25,IF(Dataset!G1034&lt;=6,0.45,IF(Dataset!G1034&lt;=9,0.65,0.85)))</f>
        <v>0.85</v>
      </c>
      <c r="I1034" s="29">
        <f>IF(Dataset!G1034&lt;=3,1,IF(Dataset!G1034&lt;=6,2,IF(Dataset!G1034&lt;=9,3,4)))</f>
        <v>4</v>
      </c>
      <c r="J1034" s="29">
        <f t="shared" si="130"/>
        <v>3.4</v>
      </c>
      <c r="K1034" s="29">
        <f>IF(Dataset!H1034&lt;1,0.2,IF(Dataset!H1034&lt;1.3,0.45,IF(Dataset!H1034&lt;1.8,0.7,0.9)))</f>
        <v>0.9</v>
      </c>
      <c r="L1034" s="29">
        <f>IF(Dataset!H1034&lt;1,1,IF(Dataset!H1034&lt;1.3,2,IF(Dataset!H1034&lt;1.8,3,4)))</f>
        <v>4</v>
      </c>
      <c r="M1034" s="29">
        <f t="shared" si="131"/>
        <v>3.6</v>
      </c>
      <c r="N1034" s="29">
        <f>IF(Dataset!F1034=1,0.75,IF(Dataset!F1034=2,0.45,0.2))</f>
        <v>0.45</v>
      </c>
      <c r="O1034" s="29">
        <f>IF(Dataset!F1034=1,3,IF(Dataset!F1034=2,2,1))</f>
        <v>2</v>
      </c>
      <c r="P1034" s="29">
        <f t="shared" si="132"/>
        <v>0.9</v>
      </c>
      <c r="Q1034" s="29">
        <f>IF(Dataset!K1034&lt;5,0.2,IF(Dataset!K1034&lt;10,0.45,IF(Dataset!K1034&lt;18,0.7,0.9)))</f>
        <v>0.45</v>
      </c>
      <c r="R1034" s="29">
        <f>IF(Dataset!K1034&lt;5,1,IF(Dataset!K1034&lt;10,2,IF(Dataset!K1034&lt;18,3,4)))</f>
        <v>2</v>
      </c>
      <c r="S1034" s="29">
        <f t="shared" si="133"/>
        <v>0.9</v>
      </c>
      <c r="T1034" s="29">
        <f t="shared" si="134"/>
        <v>2.4759999999999995</v>
      </c>
      <c r="U1034" s="29" t="str">
        <f t="shared" si="135"/>
        <v>High</v>
      </c>
    </row>
    <row r="1035" spans="1:21" ht="15" customHeight="1" x14ac:dyDescent="0.25">
      <c r="A1035" s="29">
        <f>Dataset!A1035</f>
        <v>1031</v>
      </c>
      <c r="B1035" s="29">
        <f>IF(Dataset!B1035&lt;25,0.3,IF(Dataset!B1035&lt;75,0.5,IF(Dataset!B1035&lt;120,0.65,0.8)))</f>
        <v>0.5</v>
      </c>
      <c r="C1035" s="29">
        <f>IF(Dataset!B1035&lt;25,1,IF(Dataset!B1035&lt;75,2,IF(Dataset!B1035&lt;120,3,4)))</f>
        <v>2</v>
      </c>
      <c r="D1035" s="29">
        <f t="shared" si="128"/>
        <v>1</v>
      </c>
      <c r="E1035" s="29">
        <f>IF(Dataset!C1035&lt;=1,0.3,IF(Dataset!C1035=2,0.4,IF(Dataset!C1035=3,0.5,IF(Dataset!C1035=4,0.65,0.8))))</f>
        <v>0.5</v>
      </c>
      <c r="F1035" s="29">
        <f>IF(Dataset!C1035&lt;=2,1,IF(Dataset!C1035=3,2,IF(Dataset!C1035=4,3,4)))</f>
        <v>2</v>
      </c>
      <c r="G1035" s="29">
        <f t="shared" si="129"/>
        <v>1</v>
      </c>
      <c r="H1035" s="29">
        <f>IF(Dataset!G1035&lt;=3,0.25,IF(Dataset!G1035&lt;=6,0.45,IF(Dataset!G1035&lt;=9,0.65,0.85)))</f>
        <v>0.45</v>
      </c>
      <c r="I1035" s="29">
        <f>IF(Dataset!G1035&lt;=3,1,IF(Dataset!G1035&lt;=6,2,IF(Dataset!G1035&lt;=9,3,4)))</f>
        <v>2</v>
      </c>
      <c r="J1035" s="29">
        <f t="shared" si="130"/>
        <v>0.9</v>
      </c>
      <c r="K1035" s="29">
        <f>IF(Dataset!H1035&lt;1,0.2,IF(Dataset!H1035&lt;1.3,0.45,IF(Dataset!H1035&lt;1.8,0.7,0.9)))</f>
        <v>0.9</v>
      </c>
      <c r="L1035" s="29">
        <f>IF(Dataset!H1035&lt;1,1,IF(Dataset!H1035&lt;1.3,2,IF(Dataset!H1035&lt;1.8,3,4)))</f>
        <v>4</v>
      </c>
      <c r="M1035" s="29">
        <f t="shared" si="131"/>
        <v>3.6</v>
      </c>
      <c r="N1035" s="29">
        <f>IF(Dataset!F1035=1,0.75,IF(Dataset!F1035=2,0.45,0.2))</f>
        <v>0.2</v>
      </c>
      <c r="O1035" s="29">
        <f>IF(Dataset!F1035=1,3,IF(Dataset!F1035=2,2,1))</f>
        <v>1</v>
      </c>
      <c r="P1035" s="29">
        <f t="shared" si="132"/>
        <v>0.2</v>
      </c>
      <c r="Q1035" s="29">
        <f>IF(Dataset!K1035&lt;5,0.2,IF(Dataset!K1035&lt;10,0.45,IF(Dataset!K1035&lt;18,0.7,0.9)))</f>
        <v>0.45</v>
      </c>
      <c r="R1035" s="29">
        <f>IF(Dataset!K1035&lt;5,1,IF(Dataset!K1035&lt;10,2,IF(Dataset!K1035&lt;18,3,4)))</f>
        <v>2</v>
      </c>
      <c r="S1035" s="29">
        <f t="shared" si="133"/>
        <v>0.9</v>
      </c>
      <c r="T1035" s="29">
        <f t="shared" si="134"/>
        <v>1.51</v>
      </c>
      <c r="U1035" s="29" t="str">
        <f t="shared" si="135"/>
        <v>Medium</v>
      </c>
    </row>
    <row r="1036" spans="1:21" ht="15" customHeight="1" x14ac:dyDescent="0.25">
      <c r="A1036" s="29">
        <f>Dataset!A1036</f>
        <v>1032</v>
      </c>
      <c r="B1036" s="29">
        <f>IF(Dataset!B1036&lt;25,0.3,IF(Dataset!B1036&lt;75,0.5,IF(Dataset!B1036&lt;120,0.65,0.8)))</f>
        <v>0.5</v>
      </c>
      <c r="C1036" s="29">
        <f>IF(Dataset!B1036&lt;25,1,IF(Dataset!B1036&lt;75,2,IF(Dataset!B1036&lt;120,3,4)))</f>
        <v>2</v>
      </c>
      <c r="D1036" s="29">
        <f t="shared" si="128"/>
        <v>1</v>
      </c>
      <c r="E1036" s="29">
        <f>IF(Dataset!C1036&lt;=1,0.3,IF(Dataset!C1036=2,0.4,IF(Dataset!C1036=3,0.5,IF(Dataset!C1036=4,0.65,0.8))))</f>
        <v>0.3</v>
      </c>
      <c r="F1036" s="29">
        <f>IF(Dataset!C1036&lt;=2,1,IF(Dataset!C1036=3,2,IF(Dataset!C1036=4,3,4)))</f>
        <v>1</v>
      </c>
      <c r="G1036" s="29">
        <f t="shared" si="129"/>
        <v>0.3</v>
      </c>
      <c r="H1036" s="29">
        <f>IF(Dataset!G1036&lt;=3,0.25,IF(Dataset!G1036&lt;=6,0.45,IF(Dataset!G1036&lt;=9,0.65,0.85)))</f>
        <v>0.65</v>
      </c>
      <c r="I1036" s="29">
        <f>IF(Dataset!G1036&lt;=3,1,IF(Dataset!G1036&lt;=6,2,IF(Dataset!G1036&lt;=9,3,4)))</f>
        <v>3</v>
      </c>
      <c r="J1036" s="29">
        <f t="shared" si="130"/>
        <v>1.9500000000000002</v>
      </c>
      <c r="K1036" s="29">
        <f>IF(Dataset!H1036&lt;1,0.2,IF(Dataset!H1036&lt;1.3,0.45,IF(Dataset!H1036&lt;1.8,0.7,0.9)))</f>
        <v>0.2</v>
      </c>
      <c r="L1036" s="29">
        <f>IF(Dataset!H1036&lt;1,1,IF(Dataset!H1036&lt;1.3,2,IF(Dataset!H1036&lt;1.8,3,4)))</f>
        <v>1</v>
      </c>
      <c r="M1036" s="29">
        <f t="shared" si="131"/>
        <v>0.2</v>
      </c>
      <c r="N1036" s="29">
        <f>IF(Dataset!F1036=1,0.75,IF(Dataset!F1036=2,0.45,0.2))</f>
        <v>0.2</v>
      </c>
      <c r="O1036" s="29">
        <f>IF(Dataset!F1036=1,3,IF(Dataset!F1036=2,2,1))</f>
        <v>1</v>
      </c>
      <c r="P1036" s="29">
        <f t="shared" si="132"/>
        <v>0.2</v>
      </c>
      <c r="Q1036" s="29">
        <f>IF(Dataset!K1036&lt;5,0.2,IF(Dataset!K1036&lt;10,0.45,IF(Dataset!K1036&lt;18,0.7,0.9)))</f>
        <v>0.2</v>
      </c>
      <c r="R1036" s="29">
        <f>IF(Dataset!K1036&lt;5,1,IF(Dataset!K1036&lt;10,2,IF(Dataset!K1036&lt;18,3,4)))</f>
        <v>1</v>
      </c>
      <c r="S1036" s="29">
        <f t="shared" si="133"/>
        <v>0.2</v>
      </c>
      <c r="T1036" s="29">
        <f t="shared" si="134"/>
        <v>0.70800000000000018</v>
      </c>
      <c r="U1036" s="29" t="str">
        <f t="shared" si="135"/>
        <v>Low</v>
      </c>
    </row>
    <row r="1037" spans="1:21" ht="15" customHeight="1" x14ac:dyDescent="0.25">
      <c r="A1037" s="29">
        <f>Dataset!A1037</f>
        <v>1033</v>
      </c>
      <c r="B1037" s="29">
        <f>IF(Dataset!B1037&lt;25,0.3,IF(Dataset!B1037&lt;75,0.5,IF(Dataset!B1037&lt;120,0.65,0.8)))</f>
        <v>0.5</v>
      </c>
      <c r="C1037" s="29">
        <f>IF(Dataset!B1037&lt;25,1,IF(Dataset!B1037&lt;75,2,IF(Dataset!B1037&lt;120,3,4)))</f>
        <v>2</v>
      </c>
      <c r="D1037" s="29">
        <f t="shared" si="128"/>
        <v>1</v>
      </c>
      <c r="E1037" s="29">
        <f>IF(Dataset!C1037&lt;=1,0.3,IF(Dataset!C1037=2,0.4,IF(Dataset!C1037=3,0.5,IF(Dataset!C1037=4,0.65,0.8))))</f>
        <v>0.65</v>
      </c>
      <c r="F1037" s="29">
        <f>IF(Dataset!C1037&lt;=2,1,IF(Dataset!C1037=3,2,IF(Dataset!C1037=4,3,4)))</f>
        <v>3</v>
      </c>
      <c r="G1037" s="29">
        <f t="shared" si="129"/>
        <v>1.9500000000000002</v>
      </c>
      <c r="H1037" s="29">
        <f>IF(Dataset!G1037&lt;=3,0.25,IF(Dataset!G1037&lt;=6,0.45,IF(Dataset!G1037&lt;=9,0.65,0.85)))</f>
        <v>0.85</v>
      </c>
      <c r="I1037" s="29">
        <f>IF(Dataset!G1037&lt;=3,1,IF(Dataset!G1037&lt;=6,2,IF(Dataset!G1037&lt;=9,3,4)))</f>
        <v>4</v>
      </c>
      <c r="J1037" s="29">
        <f t="shared" si="130"/>
        <v>3.4</v>
      </c>
      <c r="K1037" s="29">
        <f>IF(Dataset!H1037&lt;1,0.2,IF(Dataset!H1037&lt;1.3,0.45,IF(Dataset!H1037&lt;1.8,0.7,0.9)))</f>
        <v>0.45</v>
      </c>
      <c r="L1037" s="29">
        <f>IF(Dataset!H1037&lt;1,1,IF(Dataset!H1037&lt;1.3,2,IF(Dataset!H1037&lt;1.8,3,4)))</f>
        <v>2</v>
      </c>
      <c r="M1037" s="29">
        <f t="shared" si="131"/>
        <v>0.9</v>
      </c>
      <c r="N1037" s="29">
        <f>IF(Dataset!F1037=1,0.75,IF(Dataset!F1037=2,0.45,0.2))</f>
        <v>0.75</v>
      </c>
      <c r="O1037" s="29">
        <f>IF(Dataset!F1037=1,3,IF(Dataset!F1037=2,2,1))</f>
        <v>3</v>
      </c>
      <c r="P1037" s="29">
        <f t="shared" si="132"/>
        <v>2.25</v>
      </c>
      <c r="Q1037" s="29">
        <f>IF(Dataset!K1037&lt;5,0.2,IF(Dataset!K1037&lt;10,0.45,IF(Dataset!K1037&lt;18,0.7,0.9)))</f>
        <v>0.45</v>
      </c>
      <c r="R1037" s="29">
        <f>IF(Dataset!K1037&lt;5,1,IF(Dataset!K1037&lt;10,2,IF(Dataset!K1037&lt;18,3,4)))</f>
        <v>2</v>
      </c>
      <c r="S1037" s="29">
        <f t="shared" si="133"/>
        <v>0.9</v>
      </c>
      <c r="T1037" s="29">
        <f t="shared" si="134"/>
        <v>1.7000000000000002</v>
      </c>
      <c r="U1037" s="29" t="str">
        <f t="shared" si="135"/>
        <v>Medium</v>
      </c>
    </row>
    <row r="1038" spans="1:21" ht="15" customHeight="1" x14ac:dyDescent="0.25">
      <c r="A1038" s="29">
        <f>Dataset!A1038</f>
        <v>1034</v>
      </c>
      <c r="B1038" s="29">
        <f>IF(Dataset!B1038&lt;25,0.3,IF(Dataset!B1038&lt;75,0.5,IF(Dataset!B1038&lt;120,0.65,0.8)))</f>
        <v>0.5</v>
      </c>
      <c r="C1038" s="29">
        <f>IF(Dataset!B1038&lt;25,1,IF(Dataset!B1038&lt;75,2,IF(Dataset!B1038&lt;120,3,4)))</f>
        <v>2</v>
      </c>
      <c r="D1038" s="29">
        <f t="shared" si="128"/>
        <v>1</v>
      </c>
      <c r="E1038" s="29">
        <f>IF(Dataset!C1038&lt;=1,0.3,IF(Dataset!C1038=2,0.4,IF(Dataset!C1038=3,0.5,IF(Dataset!C1038=4,0.65,0.8))))</f>
        <v>0.5</v>
      </c>
      <c r="F1038" s="29">
        <f>IF(Dataset!C1038&lt;=2,1,IF(Dataset!C1038=3,2,IF(Dataset!C1038=4,3,4)))</f>
        <v>2</v>
      </c>
      <c r="G1038" s="29">
        <f t="shared" si="129"/>
        <v>1</v>
      </c>
      <c r="H1038" s="29">
        <f>IF(Dataset!G1038&lt;=3,0.25,IF(Dataset!G1038&lt;=6,0.45,IF(Dataset!G1038&lt;=9,0.65,0.85)))</f>
        <v>0.85</v>
      </c>
      <c r="I1038" s="29">
        <f>IF(Dataset!G1038&lt;=3,1,IF(Dataset!G1038&lt;=6,2,IF(Dataset!G1038&lt;=9,3,4)))</f>
        <v>4</v>
      </c>
      <c r="J1038" s="29">
        <f t="shared" si="130"/>
        <v>3.4</v>
      </c>
      <c r="K1038" s="29">
        <f>IF(Dataset!H1038&lt;1,0.2,IF(Dataset!H1038&lt;1.3,0.45,IF(Dataset!H1038&lt;1.8,0.7,0.9)))</f>
        <v>0.9</v>
      </c>
      <c r="L1038" s="29">
        <f>IF(Dataset!H1038&lt;1,1,IF(Dataset!H1038&lt;1.3,2,IF(Dataset!H1038&lt;1.8,3,4)))</f>
        <v>4</v>
      </c>
      <c r="M1038" s="29">
        <f t="shared" si="131"/>
        <v>3.6</v>
      </c>
      <c r="N1038" s="29">
        <f>IF(Dataset!F1038=1,0.75,IF(Dataset!F1038=2,0.45,0.2))</f>
        <v>0.45</v>
      </c>
      <c r="O1038" s="29">
        <f>IF(Dataset!F1038=1,3,IF(Dataset!F1038=2,2,1))</f>
        <v>2</v>
      </c>
      <c r="P1038" s="29">
        <f t="shared" si="132"/>
        <v>0.9</v>
      </c>
      <c r="Q1038" s="29">
        <f>IF(Dataset!K1038&lt;5,0.2,IF(Dataset!K1038&lt;10,0.45,IF(Dataset!K1038&lt;18,0.7,0.9)))</f>
        <v>0.45</v>
      </c>
      <c r="R1038" s="29">
        <f>IF(Dataset!K1038&lt;5,1,IF(Dataset!K1038&lt;10,2,IF(Dataset!K1038&lt;18,3,4)))</f>
        <v>2</v>
      </c>
      <c r="S1038" s="29">
        <f t="shared" si="133"/>
        <v>0.9</v>
      </c>
      <c r="T1038" s="29">
        <f t="shared" si="134"/>
        <v>2.08</v>
      </c>
      <c r="U1038" s="29" t="str">
        <f t="shared" si="135"/>
        <v>High</v>
      </c>
    </row>
    <row r="1039" spans="1:21" ht="15" customHeight="1" x14ac:dyDescent="0.25">
      <c r="A1039" s="29">
        <f>Dataset!A1039</f>
        <v>1035</v>
      </c>
      <c r="B1039" s="29">
        <f>IF(Dataset!B1039&lt;25,0.3,IF(Dataset!B1039&lt;75,0.5,IF(Dataset!B1039&lt;120,0.65,0.8)))</f>
        <v>0.5</v>
      </c>
      <c r="C1039" s="29">
        <f>IF(Dataset!B1039&lt;25,1,IF(Dataset!B1039&lt;75,2,IF(Dataset!B1039&lt;120,3,4)))</f>
        <v>2</v>
      </c>
      <c r="D1039" s="29">
        <f t="shared" si="128"/>
        <v>1</v>
      </c>
      <c r="E1039" s="29">
        <f>IF(Dataset!C1039&lt;=1,0.3,IF(Dataset!C1039=2,0.4,IF(Dataset!C1039=3,0.5,IF(Dataset!C1039=4,0.65,0.8))))</f>
        <v>0.5</v>
      </c>
      <c r="F1039" s="29">
        <f>IF(Dataset!C1039&lt;=2,1,IF(Dataset!C1039=3,2,IF(Dataset!C1039=4,3,4)))</f>
        <v>2</v>
      </c>
      <c r="G1039" s="29">
        <f t="shared" si="129"/>
        <v>1</v>
      </c>
      <c r="H1039" s="29">
        <f>IF(Dataset!G1039&lt;=3,0.25,IF(Dataset!G1039&lt;=6,0.45,IF(Dataset!G1039&lt;=9,0.65,0.85)))</f>
        <v>0.65</v>
      </c>
      <c r="I1039" s="29">
        <f>IF(Dataset!G1039&lt;=3,1,IF(Dataset!G1039&lt;=6,2,IF(Dataset!G1039&lt;=9,3,4)))</f>
        <v>3</v>
      </c>
      <c r="J1039" s="29">
        <f t="shared" si="130"/>
        <v>1.9500000000000002</v>
      </c>
      <c r="K1039" s="29">
        <f>IF(Dataset!H1039&lt;1,0.2,IF(Dataset!H1039&lt;1.3,0.45,IF(Dataset!H1039&lt;1.8,0.7,0.9)))</f>
        <v>0.2</v>
      </c>
      <c r="L1039" s="29">
        <f>IF(Dataset!H1039&lt;1,1,IF(Dataset!H1039&lt;1.3,2,IF(Dataset!H1039&lt;1.8,3,4)))</f>
        <v>1</v>
      </c>
      <c r="M1039" s="29">
        <f t="shared" si="131"/>
        <v>0.2</v>
      </c>
      <c r="N1039" s="29">
        <f>IF(Dataset!F1039=1,0.75,IF(Dataset!F1039=2,0.45,0.2))</f>
        <v>0.2</v>
      </c>
      <c r="O1039" s="29">
        <f>IF(Dataset!F1039=1,3,IF(Dataset!F1039=2,2,1))</f>
        <v>1</v>
      </c>
      <c r="P1039" s="29">
        <f t="shared" si="132"/>
        <v>0.2</v>
      </c>
      <c r="Q1039" s="29">
        <f>IF(Dataset!K1039&lt;5,0.2,IF(Dataset!K1039&lt;10,0.45,IF(Dataset!K1039&lt;18,0.7,0.9)))</f>
        <v>0.2</v>
      </c>
      <c r="R1039" s="29">
        <f>IF(Dataset!K1039&lt;5,1,IF(Dataset!K1039&lt;10,2,IF(Dataset!K1039&lt;18,3,4)))</f>
        <v>1</v>
      </c>
      <c r="S1039" s="29">
        <f t="shared" si="133"/>
        <v>0.2</v>
      </c>
      <c r="T1039" s="29">
        <f t="shared" si="134"/>
        <v>0.80600000000000016</v>
      </c>
      <c r="U1039" s="29" t="str">
        <f t="shared" si="135"/>
        <v>Low</v>
      </c>
    </row>
    <row r="1040" spans="1:21" ht="15" customHeight="1" x14ac:dyDescent="0.25">
      <c r="A1040" s="29">
        <f>Dataset!A1040</f>
        <v>1036</v>
      </c>
      <c r="B1040" s="29">
        <f>IF(Dataset!B1040&lt;25,0.3,IF(Dataset!B1040&lt;75,0.5,IF(Dataset!B1040&lt;120,0.65,0.8)))</f>
        <v>0.65</v>
      </c>
      <c r="C1040" s="29">
        <f>IF(Dataset!B1040&lt;25,1,IF(Dataset!B1040&lt;75,2,IF(Dataset!B1040&lt;120,3,4)))</f>
        <v>3</v>
      </c>
      <c r="D1040" s="29">
        <f t="shared" si="128"/>
        <v>1.9500000000000002</v>
      </c>
      <c r="E1040" s="29">
        <f>IF(Dataset!C1040&lt;=1,0.3,IF(Dataset!C1040=2,0.4,IF(Dataset!C1040=3,0.5,IF(Dataset!C1040=4,0.65,0.8))))</f>
        <v>0.5</v>
      </c>
      <c r="F1040" s="29">
        <f>IF(Dataset!C1040&lt;=2,1,IF(Dataset!C1040=3,2,IF(Dataset!C1040=4,3,4)))</f>
        <v>2</v>
      </c>
      <c r="G1040" s="29">
        <f t="shared" si="129"/>
        <v>1</v>
      </c>
      <c r="H1040" s="29">
        <f>IF(Dataset!G1040&lt;=3,0.25,IF(Dataset!G1040&lt;=6,0.45,IF(Dataset!G1040&lt;=9,0.65,0.85)))</f>
        <v>0.65</v>
      </c>
      <c r="I1040" s="29">
        <f>IF(Dataset!G1040&lt;=3,1,IF(Dataset!G1040&lt;=6,2,IF(Dataset!G1040&lt;=9,3,4)))</f>
        <v>3</v>
      </c>
      <c r="J1040" s="29">
        <f t="shared" si="130"/>
        <v>1.9500000000000002</v>
      </c>
      <c r="K1040" s="29">
        <f>IF(Dataset!H1040&lt;1,0.2,IF(Dataset!H1040&lt;1.3,0.45,IF(Dataset!H1040&lt;1.8,0.7,0.9)))</f>
        <v>0.9</v>
      </c>
      <c r="L1040" s="29">
        <f>IF(Dataset!H1040&lt;1,1,IF(Dataset!H1040&lt;1.3,2,IF(Dataset!H1040&lt;1.8,3,4)))</f>
        <v>4</v>
      </c>
      <c r="M1040" s="29">
        <f t="shared" si="131"/>
        <v>3.6</v>
      </c>
      <c r="N1040" s="29">
        <f>IF(Dataset!F1040=1,0.75,IF(Dataset!F1040=2,0.45,0.2))</f>
        <v>0.75</v>
      </c>
      <c r="O1040" s="29">
        <f>IF(Dataset!F1040=1,3,IF(Dataset!F1040=2,2,1))</f>
        <v>3</v>
      </c>
      <c r="P1040" s="29">
        <f t="shared" si="132"/>
        <v>2.25</v>
      </c>
      <c r="Q1040" s="29">
        <f>IF(Dataset!K1040&lt;5,0.2,IF(Dataset!K1040&lt;10,0.45,IF(Dataset!K1040&lt;18,0.7,0.9)))</f>
        <v>0.2</v>
      </c>
      <c r="R1040" s="29">
        <f>IF(Dataset!K1040&lt;5,1,IF(Dataset!K1040&lt;10,2,IF(Dataset!K1040&lt;18,3,4)))</f>
        <v>1</v>
      </c>
      <c r="S1040" s="29">
        <f t="shared" si="133"/>
        <v>0.2</v>
      </c>
      <c r="T1040" s="29">
        <f t="shared" si="134"/>
        <v>1.9980000000000002</v>
      </c>
      <c r="U1040" s="29" t="str">
        <f t="shared" si="135"/>
        <v>High</v>
      </c>
    </row>
    <row r="1041" spans="1:21" ht="15" customHeight="1" x14ac:dyDescent="0.25">
      <c r="A1041" s="29">
        <f>Dataset!A1041</f>
        <v>1037</v>
      </c>
      <c r="B1041" s="29">
        <f>IF(Dataset!B1041&lt;25,0.3,IF(Dataset!B1041&lt;75,0.5,IF(Dataset!B1041&lt;120,0.65,0.8)))</f>
        <v>0.65</v>
      </c>
      <c r="C1041" s="29">
        <f>IF(Dataset!B1041&lt;25,1,IF(Dataset!B1041&lt;75,2,IF(Dataset!B1041&lt;120,3,4)))</f>
        <v>3</v>
      </c>
      <c r="D1041" s="29">
        <f t="shared" si="128"/>
        <v>1.9500000000000002</v>
      </c>
      <c r="E1041" s="29">
        <f>IF(Dataset!C1041&lt;=1,0.3,IF(Dataset!C1041=2,0.4,IF(Dataset!C1041=3,0.5,IF(Dataset!C1041=4,0.65,0.8))))</f>
        <v>0.5</v>
      </c>
      <c r="F1041" s="29">
        <f>IF(Dataset!C1041&lt;=2,1,IF(Dataset!C1041=3,2,IF(Dataset!C1041=4,3,4)))</f>
        <v>2</v>
      </c>
      <c r="G1041" s="29">
        <f t="shared" si="129"/>
        <v>1</v>
      </c>
      <c r="H1041" s="29">
        <f>IF(Dataset!G1041&lt;=3,0.25,IF(Dataset!G1041&lt;=6,0.45,IF(Dataset!G1041&lt;=9,0.65,0.85)))</f>
        <v>0.65</v>
      </c>
      <c r="I1041" s="29">
        <f>IF(Dataset!G1041&lt;=3,1,IF(Dataset!G1041&lt;=6,2,IF(Dataset!G1041&lt;=9,3,4)))</f>
        <v>3</v>
      </c>
      <c r="J1041" s="29">
        <f t="shared" si="130"/>
        <v>1.9500000000000002</v>
      </c>
      <c r="K1041" s="29">
        <f>IF(Dataset!H1041&lt;1,0.2,IF(Dataset!H1041&lt;1.3,0.45,IF(Dataset!H1041&lt;1.8,0.7,0.9)))</f>
        <v>0.2</v>
      </c>
      <c r="L1041" s="29">
        <f>IF(Dataset!H1041&lt;1,1,IF(Dataset!H1041&lt;1.3,2,IF(Dataset!H1041&lt;1.8,3,4)))</f>
        <v>1</v>
      </c>
      <c r="M1041" s="29">
        <f t="shared" si="131"/>
        <v>0.2</v>
      </c>
      <c r="N1041" s="29">
        <f>IF(Dataset!F1041=1,0.75,IF(Dataset!F1041=2,0.45,0.2))</f>
        <v>0.75</v>
      </c>
      <c r="O1041" s="29">
        <f>IF(Dataset!F1041=1,3,IF(Dataset!F1041=2,2,1))</f>
        <v>3</v>
      </c>
      <c r="P1041" s="29">
        <f t="shared" si="132"/>
        <v>2.25</v>
      </c>
      <c r="Q1041" s="29">
        <f>IF(Dataset!K1041&lt;5,0.2,IF(Dataset!K1041&lt;10,0.45,IF(Dataset!K1041&lt;18,0.7,0.9)))</f>
        <v>0.45</v>
      </c>
      <c r="R1041" s="29">
        <f>IF(Dataset!K1041&lt;5,1,IF(Dataset!K1041&lt;10,2,IF(Dataset!K1041&lt;18,3,4)))</f>
        <v>2</v>
      </c>
      <c r="S1041" s="29">
        <f t="shared" si="133"/>
        <v>0.9</v>
      </c>
      <c r="T1041" s="29">
        <f t="shared" si="134"/>
        <v>1.2800000000000002</v>
      </c>
      <c r="U1041" s="29" t="str">
        <f t="shared" si="135"/>
        <v>Low</v>
      </c>
    </row>
    <row r="1042" spans="1:21" ht="15" customHeight="1" x14ac:dyDescent="0.25">
      <c r="A1042" s="29">
        <f>Dataset!A1042</f>
        <v>1038</v>
      </c>
      <c r="B1042" s="29">
        <f>IF(Dataset!B1042&lt;25,0.3,IF(Dataset!B1042&lt;75,0.5,IF(Dataset!B1042&lt;120,0.65,0.8)))</f>
        <v>0.5</v>
      </c>
      <c r="C1042" s="29">
        <f>IF(Dataset!B1042&lt;25,1,IF(Dataset!B1042&lt;75,2,IF(Dataset!B1042&lt;120,3,4)))</f>
        <v>2</v>
      </c>
      <c r="D1042" s="29">
        <f t="shared" si="128"/>
        <v>1</v>
      </c>
      <c r="E1042" s="29">
        <f>IF(Dataset!C1042&lt;=1,0.3,IF(Dataset!C1042=2,0.4,IF(Dataset!C1042=3,0.5,IF(Dataset!C1042=4,0.65,0.8))))</f>
        <v>0.5</v>
      </c>
      <c r="F1042" s="29">
        <f>IF(Dataset!C1042&lt;=2,1,IF(Dataset!C1042=3,2,IF(Dataset!C1042=4,3,4)))</f>
        <v>2</v>
      </c>
      <c r="G1042" s="29">
        <f t="shared" si="129"/>
        <v>1</v>
      </c>
      <c r="H1042" s="29">
        <f>IF(Dataset!G1042&lt;=3,0.25,IF(Dataset!G1042&lt;=6,0.45,IF(Dataset!G1042&lt;=9,0.65,0.85)))</f>
        <v>0.45</v>
      </c>
      <c r="I1042" s="29">
        <f>IF(Dataset!G1042&lt;=3,1,IF(Dataset!G1042&lt;=6,2,IF(Dataset!G1042&lt;=9,3,4)))</f>
        <v>2</v>
      </c>
      <c r="J1042" s="29">
        <f t="shared" si="130"/>
        <v>0.9</v>
      </c>
      <c r="K1042" s="29">
        <f>IF(Dataset!H1042&lt;1,0.2,IF(Dataset!H1042&lt;1.3,0.45,IF(Dataset!H1042&lt;1.8,0.7,0.9)))</f>
        <v>0.7</v>
      </c>
      <c r="L1042" s="29">
        <f>IF(Dataset!H1042&lt;1,1,IF(Dataset!H1042&lt;1.3,2,IF(Dataset!H1042&lt;1.8,3,4)))</f>
        <v>3</v>
      </c>
      <c r="M1042" s="29">
        <f t="shared" si="131"/>
        <v>2.0999999999999996</v>
      </c>
      <c r="N1042" s="29">
        <f>IF(Dataset!F1042=1,0.75,IF(Dataset!F1042=2,0.45,0.2))</f>
        <v>0.75</v>
      </c>
      <c r="O1042" s="29">
        <f>IF(Dataset!F1042=1,3,IF(Dataset!F1042=2,2,1))</f>
        <v>3</v>
      </c>
      <c r="P1042" s="29">
        <f t="shared" si="132"/>
        <v>2.25</v>
      </c>
      <c r="Q1042" s="29">
        <f>IF(Dataset!K1042&lt;5,0.2,IF(Dataset!K1042&lt;10,0.45,IF(Dataset!K1042&lt;18,0.7,0.9)))</f>
        <v>0.2</v>
      </c>
      <c r="R1042" s="29">
        <f>IF(Dataset!K1042&lt;5,1,IF(Dataset!K1042&lt;10,2,IF(Dataset!K1042&lt;18,3,4)))</f>
        <v>1</v>
      </c>
      <c r="S1042" s="29">
        <f t="shared" si="133"/>
        <v>0.2</v>
      </c>
      <c r="T1042" s="29">
        <f t="shared" si="134"/>
        <v>1.2570000000000001</v>
      </c>
      <c r="U1042" s="29" t="str">
        <f t="shared" si="135"/>
        <v>Low</v>
      </c>
    </row>
    <row r="1043" spans="1:21" ht="15" customHeight="1" x14ac:dyDescent="0.25">
      <c r="A1043" s="29">
        <f>Dataset!A1043</f>
        <v>1039</v>
      </c>
      <c r="B1043" s="29">
        <f>IF(Dataset!B1043&lt;25,0.3,IF(Dataset!B1043&lt;75,0.5,IF(Dataset!B1043&lt;120,0.65,0.8)))</f>
        <v>0.5</v>
      </c>
      <c r="C1043" s="29">
        <f>IF(Dataset!B1043&lt;25,1,IF(Dataset!B1043&lt;75,2,IF(Dataset!B1043&lt;120,3,4)))</f>
        <v>2</v>
      </c>
      <c r="D1043" s="29">
        <f t="shared" si="128"/>
        <v>1</v>
      </c>
      <c r="E1043" s="29">
        <f>IF(Dataset!C1043&lt;=1,0.3,IF(Dataset!C1043=2,0.4,IF(Dataset!C1043=3,0.5,IF(Dataset!C1043=4,0.65,0.8))))</f>
        <v>0.5</v>
      </c>
      <c r="F1043" s="29">
        <f>IF(Dataset!C1043&lt;=2,1,IF(Dataset!C1043=3,2,IF(Dataset!C1043=4,3,4)))</f>
        <v>2</v>
      </c>
      <c r="G1043" s="29">
        <f t="shared" si="129"/>
        <v>1</v>
      </c>
      <c r="H1043" s="29">
        <f>IF(Dataset!G1043&lt;=3,0.25,IF(Dataset!G1043&lt;=6,0.45,IF(Dataset!G1043&lt;=9,0.65,0.85)))</f>
        <v>0.65</v>
      </c>
      <c r="I1043" s="29">
        <f>IF(Dataset!G1043&lt;=3,1,IF(Dataset!G1043&lt;=6,2,IF(Dataset!G1043&lt;=9,3,4)))</f>
        <v>3</v>
      </c>
      <c r="J1043" s="29">
        <f t="shared" si="130"/>
        <v>1.9500000000000002</v>
      </c>
      <c r="K1043" s="29">
        <f>IF(Dataset!H1043&lt;1,0.2,IF(Dataset!H1043&lt;1.3,0.45,IF(Dataset!H1043&lt;1.8,0.7,0.9)))</f>
        <v>0.7</v>
      </c>
      <c r="L1043" s="29">
        <f>IF(Dataset!H1043&lt;1,1,IF(Dataset!H1043&lt;1.3,2,IF(Dataset!H1043&lt;1.8,3,4)))</f>
        <v>3</v>
      </c>
      <c r="M1043" s="29">
        <f t="shared" si="131"/>
        <v>2.0999999999999996</v>
      </c>
      <c r="N1043" s="29">
        <f>IF(Dataset!F1043=1,0.75,IF(Dataset!F1043=2,0.45,0.2))</f>
        <v>0.45</v>
      </c>
      <c r="O1043" s="29">
        <f>IF(Dataset!F1043=1,3,IF(Dataset!F1043=2,2,1))</f>
        <v>2</v>
      </c>
      <c r="P1043" s="29">
        <f t="shared" si="132"/>
        <v>0.9</v>
      </c>
      <c r="Q1043" s="29">
        <f>IF(Dataset!K1043&lt;5,0.2,IF(Dataset!K1043&lt;10,0.45,IF(Dataset!K1043&lt;18,0.7,0.9)))</f>
        <v>0.45</v>
      </c>
      <c r="R1043" s="29">
        <f>IF(Dataset!K1043&lt;5,1,IF(Dataset!K1043&lt;10,2,IF(Dataset!K1043&lt;18,3,4)))</f>
        <v>2</v>
      </c>
      <c r="S1043" s="29">
        <f t="shared" si="133"/>
        <v>0.9</v>
      </c>
      <c r="T1043" s="29">
        <f t="shared" si="134"/>
        <v>1.4300000000000002</v>
      </c>
      <c r="U1043" s="29" t="str">
        <f t="shared" si="135"/>
        <v>Medium</v>
      </c>
    </row>
    <row r="1044" spans="1:21" ht="15" customHeight="1" x14ac:dyDescent="0.25">
      <c r="A1044" s="29">
        <f>Dataset!A1044</f>
        <v>1040</v>
      </c>
      <c r="B1044" s="29">
        <f>IF(Dataset!B1044&lt;25,0.3,IF(Dataset!B1044&lt;75,0.5,IF(Dataset!B1044&lt;120,0.65,0.8)))</f>
        <v>0.8</v>
      </c>
      <c r="C1044" s="29">
        <f>IF(Dataset!B1044&lt;25,1,IF(Dataset!B1044&lt;75,2,IF(Dataset!B1044&lt;120,3,4)))</f>
        <v>4</v>
      </c>
      <c r="D1044" s="29">
        <f t="shared" si="128"/>
        <v>3.2</v>
      </c>
      <c r="E1044" s="29">
        <f>IF(Dataset!C1044&lt;=1,0.3,IF(Dataset!C1044=2,0.4,IF(Dataset!C1044=3,0.5,IF(Dataset!C1044=4,0.65,0.8))))</f>
        <v>0.65</v>
      </c>
      <c r="F1044" s="29">
        <f>IF(Dataset!C1044&lt;=2,1,IF(Dataset!C1044=3,2,IF(Dataset!C1044=4,3,4)))</f>
        <v>3</v>
      </c>
      <c r="G1044" s="29">
        <f t="shared" si="129"/>
        <v>1.9500000000000002</v>
      </c>
      <c r="H1044" s="29">
        <f>IF(Dataset!G1044&lt;=3,0.25,IF(Dataset!G1044&lt;=6,0.45,IF(Dataset!G1044&lt;=9,0.65,0.85)))</f>
        <v>0.85</v>
      </c>
      <c r="I1044" s="29">
        <f>IF(Dataset!G1044&lt;=3,1,IF(Dataset!G1044&lt;=6,2,IF(Dataset!G1044&lt;=9,3,4)))</f>
        <v>4</v>
      </c>
      <c r="J1044" s="29">
        <f t="shared" si="130"/>
        <v>3.4</v>
      </c>
      <c r="K1044" s="29">
        <f>IF(Dataset!H1044&lt;1,0.2,IF(Dataset!H1044&lt;1.3,0.45,IF(Dataset!H1044&lt;1.8,0.7,0.9)))</f>
        <v>0.45</v>
      </c>
      <c r="L1044" s="29">
        <f>IF(Dataset!H1044&lt;1,1,IF(Dataset!H1044&lt;1.3,2,IF(Dataset!H1044&lt;1.8,3,4)))</f>
        <v>2</v>
      </c>
      <c r="M1044" s="29">
        <f t="shared" si="131"/>
        <v>0.9</v>
      </c>
      <c r="N1044" s="29">
        <f>IF(Dataset!F1044=1,0.75,IF(Dataset!F1044=2,0.45,0.2))</f>
        <v>0.75</v>
      </c>
      <c r="O1044" s="29">
        <f>IF(Dataset!F1044=1,3,IF(Dataset!F1044=2,2,1))</f>
        <v>3</v>
      </c>
      <c r="P1044" s="29">
        <f t="shared" si="132"/>
        <v>2.25</v>
      </c>
      <c r="Q1044" s="29">
        <f>IF(Dataset!K1044&lt;5,0.2,IF(Dataset!K1044&lt;10,0.45,IF(Dataset!K1044&lt;18,0.7,0.9)))</f>
        <v>0.7</v>
      </c>
      <c r="R1044" s="29">
        <f>IF(Dataset!K1044&lt;5,1,IF(Dataset!K1044&lt;10,2,IF(Dataset!K1044&lt;18,3,4)))</f>
        <v>3</v>
      </c>
      <c r="S1044" s="29">
        <f t="shared" si="133"/>
        <v>2.0999999999999996</v>
      </c>
      <c r="T1044" s="29">
        <f t="shared" si="134"/>
        <v>2.2639999999999998</v>
      </c>
      <c r="U1044" s="29" t="str">
        <f t="shared" si="135"/>
        <v>High</v>
      </c>
    </row>
    <row r="1045" spans="1:21" ht="15" customHeight="1" x14ac:dyDescent="0.25">
      <c r="A1045" s="29">
        <f>Dataset!A1045</f>
        <v>1041</v>
      </c>
      <c r="B1045" s="29">
        <f>IF(Dataset!B1045&lt;25,0.3,IF(Dataset!B1045&lt;75,0.5,IF(Dataset!B1045&lt;120,0.65,0.8)))</f>
        <v>0.5</v>
      </c>
      <c r="C1045" s="29">
        <f>IF(Dataset!B1045&lt;25,1,IF(Dataset!B1045&lt;75,2,IF(Dataset!B1045&lt;120,3,4)))</f>
        <v>2</v>
      </c>
      <c r="D1045" s="29">
        <f t="shared" si="128"/>
        <v>1</v>
      </c>
      <c r="E1045" s="29">
        <f>IF(Dataset!C1045&lt;=1,0.3,IF(Dataset!C1045=2,0.4,IF(Dataset!C1045=3,0.5,IF(Dataset!C1045=4,0.65,0.8))))</f>
        <v>0.3</v>
      </c>
      <c r="F1045" s="29">
        <f>IF(Dataset!C1045&lt;=2,1,IF(Dataset!C1045=3,2,IF(Dataset!C1045=4,3,4)))</f>
        <v>1</v>
      </c>
      <c r="G1045" s="29">
        <f t="shared" si="129"/>
        <v>0.3</v>
      </c>
      <c r="H1045" s="29">
        <f>IF(Dataset!G1045&lt;=3,0.25,IF(Dataset!G1045&lt;=6,0.45,IF(Dataset!G1045&lt;=9,0.65,0.85)))</f>
        <v>0.45</v>
      </c>
      <c r="I1045" s="29">
        <f>IF(Dataset!G1045&lt;=3,1,IF(Dataset!G1045&lt;=6,2,IF(Dataset!G1045&lt;=9,3,4)))</f>
        <v>2</v>
      </c>
      <c r="J1045" s="29">
        <f t="shared" si="130"/>
        <v>0.9</v>
      </c>
      <c r="K1045" s="29">
        <f>IF(Dataset!H1045&lt;1,0.2,IF(Dataset!H1045&lt;1.3,0.45,IF(Dataset!H1045&lt;1.8,0.7,0.9)))</f>
        <v>0.7</v>
      </c>
      <c r="L1045" s="29">
        <f>IF(Dataset!H1045&lt;1,1,IF(Dataset!H1045&lt;1.3,2,IF(Dataset!H1045&lt;1.8,3,4)))</f>
        <v>3</v>
      </c>
      <c r="M1045" s="29">
        <f t="shared" si="131"/>
        <v>2.0999999999999996</v>
      </c>
      <c r="N1045" s="29">
        <f>IF(Dataset!F1045=1,0.75,IF(Dataset!F1045=2,0.45,0.2))</f>
        <v>0.45</v>
      </c>
      <c r="O1045" s="29">
        <f>IF(Dataset!F1045=1,3,IF(Dataset!F1045=2,2,1))</f>
        <v>2</v>
      </c>
      <c r="P1045" s="29">
        <f t="shared" si="132"/>
        <v>0.9</v>
      </c>
      <c r="Q1045" s="29">
        <f>IF(Dataset!K1045&lt;5,0.2,IF(Dataset!K1045&lt;10,0.45,IF(Dataset!K1045&lt;18,0.7,0.9)))</f>
        <v>0.2</v>
      </c>
      <c r="R1045" s="29">
        <f>IF(Dataset!K1045&lt;5,1,IF(Dataset!K1045&lt;10,2,IF(Dataset!K1045&lt;18,3,4)))</f>
        <v>1</v>
      </c>
      <c r="S1045" s="29">
        <f t="shared" si="133"/>
        <v>0.2</v>
      </c>
      <c r="T1045" s="29">
        <f t="shared" si="134"/>
        <v>1.0239999999999998</v>
      </c>
      <c r="U1045" s="29" t="str">
        <f t="shared" si="135"/>
        <v>Low</v>
      </c>
    </row>
    <row r="1046" spans="1:21" ht="15" customHeight="1" x14ac:dyDescent="0.25">
      <c r="A1046" s="29">
        <f>Dataset!A1046</f>
        <v>1042</v>
      </c>
      <c r="B1046" s="29">
        <f>IF(Dataset!B1046&lt;25,0.3,IF(Dataset!B1046&lt;75,0.5,IF(Dataset!B1046&lt;120,0.65,0.8)))</f>
        <v>0.65</v>
      </c>
      <c r="C1046" s="29">
        <f>IF(Dataset!B1046&lt;25,1,IF(Dataset!B1046&lt;75,2,IF(Dataset!B1046&lt;120,3,4)))</f>
        <v>3</v>
      </c>
      <c r="D1046" s="29">
        <f t="shared" si="128"/>
        <v>1.9500000000000002</v>
      </c>
      <c r="E1046" s="29">
        <f>IF(Dataset!C1046&lt;=1,0.3,IF(Dataset!C1046=2,0.4,IF(Dataset!C1046=3,0.5,IF(Dataset!C1046=4,0.65,0.8))))</f>
        <v>0.8</v>
      </c>
      <c r="F1046" s="29">
        <f>IF(Dataset!C1046&lt;=2,1,IF(Dataset!C1046=3,2,IF(Dataset!C1046=4,3,4)))</f>
        <v>4</v>
      </c>
      <c r="G1046" s="29">
        <f t="shared" si="129"/>
        <v>3.2</v>
      </c>
      <c r="H1046" s="29">
        <f>IF(Dataset!G1046&lt;=3,0.25,IF(Dataset!G1046&lt;=6,0.45,IF(Dataset!G1046&lt;=9,0.65,0.85)))</f>
        <v>0.45</v>
      </c>
      <c r="I1046" s="29">
        <f>IF(Dataset!G1046&lt;=3,1,IF(Dataset!G1046&lt;=6,2,IF(Dataset!G1046&lt;=9,3,4)))</f>
        <v>2</v>
      </c>
      <c r="J1046" s="29">
        <f t="shared" si="130"/>
        <v>0.9</v>
      </c>
      <c r="K1046" s="29">
        <f>IF(Dataset!H1046&lt;1,0.2,IF(Dataset!H1046&lt;1.3,0.45,IF(Dataset!H1046&lt;1.8,0.7,0.9)))</f>
        <v>0.9</v>
      </c>
      <c r="L1046" s="29">
        <f>IF(Dataset!H1046&lt;1,1,IF(Dataset!H1046&lt;1.3,2,IF(Dataset!H1046&lt;1.8,3,4)))</f>
        <v>4</v>
      </c>
      <c r="M1046" s="29">
        <f t="shared" si="131"/>
        <v>3.6</v>
      </c>
      <c r="N1046" s="29">
        <f>IF(Dataset!F1046=1,0.75,IF(Dataset!F1046=2,0.45,0.2))</f>
        <v>0.2</v>
      </c>
      <c r="O1046" s="29">
        <f>IF(Dataset!F1046=1,3,IF(Dataset!F1046=2,2,1))</f>
        <v>1</v>
      </c>
      <c r="P1046" s="29">
        <f t="shared" si="132"/>
        <v>0.2</v>
      </c>
      <c r="Q1046" s="29">
        <f>IF(Dataset!K1046&lt;5,0.2,IF(Dataset!K1046&lt;10,0.45,IF(Dataset!K1046&lt;18,0.7,0.9)))</f>
        <v>0.9</v>
      </c>
      <c r="R1046" s="29">
        <f>IF(Dataset!K1046&lt;5,1,IF(Dataset!K1046&lt;10,2,IF(Dataset!K1046&lt;18,3,4)))</f>
        <v>4</v>
      </c>
      <c r="S1046" s="29">
        <f t="shared" si="133"/>
        <v>3.6</v>
      </c>
      <c r="T1046" s="29">
        <f t="shared" si="134"/>
        <v>2.3670000000000004</v>
      </c>
      <c r="U1046" s="29" t="str">
        <f t="shared" si="135"/>
        <v>High</v>
      </c>
    </row>
    <row r="1047" spans="1:21" ht="15" customHeight="1" x14ac:dyDescent="0.25">
      <c r="A1047" s="29">
        <f>Dataset!A1047</f>
        <v>1043</v>
      </c>
      <c r="B1047" s="29">
        <f>IF(Dataset!B1047&lt;25,0.3,IF(Dataset!B1047&lt;75,0.5,IF(Dataset!B1047&lt;120,0.65,0.8)))</f>
        <v>0.8</v>
      </c>
      <c r="C1047" s="29">
        <f>IF(Dataset!B1047&lt;25,1,IF(Dataset!B1047&lt;75,2,IF(Dataset!B1047&lt;120,3,4)))</f>
        <v>4</v>
      </c>
      <c r="D1047" s="29">
        <f t="shared" si="128"/>
        <v>3.2</v>
      </c>
      <c r="E1047" s="29">
        <f>IF(Dataset!C1047&lt;=1,0.3,IF(Dataset!C1047=2,0.4,IF(Dataset!C1047=3,0.5,IF(Dataset!C1047=4,0.65,0.8))))</f>
        <v>0.3</v>
      </c>
      <c r="F1047" s="29">
        <f>IF(Dataset!C1047&lt;=2,1,IF(Dataset!C1047=3,2,IF(Dataset!C1047=4,3,4)))</f>
        <v>1</v>
      </c>
      <c r="G1047" s="29">
        <f t="shared" si="129"/>
        <v>0.3</v>
      </c>
      <c r="H1047" s="29">
        <f>IF(Dataset!G1047&lt;=3,0.25,IF(Dataset!G1047&lt;=6,0.45,IF(Dataset!G1047&lt;=9,0.65,0.85)))</f>
        <v>0.45</v>
      </c>
      <c r="I1047" s="29">
        <f>IF(Dataset!G1047&lt;=3,1,IF(Dataset!G1047&lt;=6,2,IF(Dataset!G1047&lt;=9,3,4)))</f>
        <v>2</v>
      </c>
      <c r="J1047" s="29">
        <f t="shared" si="130"/>
        <v>0.9</v>
      </c>
      <c r="K1047" s="29">
        <f>IF(Dataset!H1047&lt;1,0.2,IF(Dataset!H1047&lt;1.3,0.45,IF(Dataset!H1047&lt;1.8,0.7,0.9)))</f>
        <v>0.45</v>
      </c>
      <c r="L1047" s="29">
        <f>IF(Dataset!H1047&lt;1,1,IF(Dataset!H1047&lt;1.3,2,IF(Dataset!H1047&lt;1.8,3,4)))</f>
        <v>2</v>
      </c>
      <c r="M1047" s="29">
        <f t="shared" si="131"/>
        <v>0.9</v>
      </c>
      <c r="N1047" s="29">
        <f>IF(Dataset!F1047=1,0.75,IF(Dataset!F1047=2,0.45,0.2))</f>
        <v>0.75</v>
      </c>
      <c r="O1047" s="29">
        <f>IF(Dataset!F1047=1,3,IF(Dataset!F1047=2,2,1))</f>
        <v>3</v>
      </c>
      <c r="P1047" s="29">
        <f t="shared" si="132"/>
        <v>2.25</v>
      </c>
      <c r="Q1047" s="29">
        <f>IF(Dataset!K1047&lt;5,0.2,IF(Dataset!K1047&lt;10,0.45,IF(Dataset!K1047&lt;18,0.7,0.9)))</f>
        <v>0.2</v>
      </c>
      <c r="R1047" s="29">
        <f>IF(Dataset!K1047&lt;5,1,IF(Dataset!K1047&lt;10,2,IF(Dataset!K1047&lt;18,3,4)))</f>
        <v>1</v>
      </c>
      <c r="S1047" s="29">
        <f t="shared" si="133"/>
        <v>0.2</v>
      </c>
      <c r="T1047" s="29">
        <f t="shared" si="134"/>
        <v>1.2670000000000001</v>
      </c>
      <c r="U1047" s="29" t="str">
        <f t="shared" si="135"/>
        <v>Low</v>
      </c>
    </row>
    <row r="1048" spans="1:21" ht="15" customHeight="1" x14ac:dyDescent="0.25">
      <c r="A1048" s="29">
        <f>Dataset!A1048</f>
        <v>1044</v>
      </c>
      <c r="B1048" s="29">
        <f>IF(Dataset!B1048&lt;25,0.3,IF(Dataset!B1048&lt;75,0.5,IF(Dataset!B1048&lt;120,0.65,0.8)))</f>
        <v>0.65</v>
      </c>
      <c r="C1048" s="29">
        <f>IF(Dataset!B1048&lt;25,1,IF(Dataset!B1048&lt;75,2,IF(Dataset!B1048&lt;120,3,4)))</f>
        <v>3</v>
      </c>
      <c r="D1048" s="29">
        <f t="shared" si="128"/>
        <v>1.9500000000000002</v>
      </c>
      <c r="E1048" s="29">
        <f>IF(Dataset!C1048&lt;=1,0.3,IF(Dataset!C1048=2,0.4,IF(Dataset!C1048=3,0.5,IF(Dataset!C1048=4,0.65,0.8))))</f>
        <v>0.5</v>
      </c>
      <c r="F1048" s="29">
        <f>IF(Dataset!C1048&lt;=2,1,IF(Dataset!C1048=3,2,IF(Dataset!C1048=4,3,4)))</f>
        <v>2</v>
      </c>
      <c r="G1048" s="29">
        <f t="shared" si="129"/>
        <v>1</v>
      </c>
      <c r="H1048" s="29">
        <f>IF(Dataset!G1048&lt;=3,0.25,IF(Dataset!G1048&lt;=6,0.45,IF(Dataset!G1048&lt;=9,0.65,0.85)))</f>
        <v>0.65</v>
      </c>
      <c r="I1048" s="29">
        <f>IF(Dataset!G1048&lt;=3,1,IF(Dataset!G1048&lt;=6,2,IF(Dataset!G1048&lt;=9,3,4)))</f>
        <v>3</v>
      </c>
      <c r="J1048" s="29">
        <f t="shared" si="130"/>
        <v>1.9500000000000002</v>
      </c>
      <c r="K1048" s="29">
        <f>IF(Dataset!H1048&lt;1,0.2,IF(Dataset!H1048&lt;1.3,0.45,IF(Dataset!H1048&lt;1.8,0.7,0.9)))</f>
        <v>0.2</v>
      </c>
      <c r="L1048" s="29">
        <f>IF(Dataset!H1048&lt;1,1,IF(Dataset!H1048&lt;1.3,2,IF(Dataset!H1048&lt;1.8,3,4)))</f>
        <v>1</v>
      </c>
      <c r="M1048" s="29">
        <f t="shared" si="131"/>
        <v>0.2</v>
      </c>
      <c r="N1048" s="29">
        <f>IF(Dataset!F1048=1,0.75,IF(Dataset!F1048=2,0.45,0.2))</f>
        <v>0.45</v>
      </c>
      <c r="O1048" s="29">
        <f>IF(Dataset!F1048=1,3,IF(Dataset!F1048=2,2,1))</f>
        <v>2</v>
      </c>
      <c r="P1048" s="29">
        <f t="shared" si="132"/>
        <v>0.9</v>
      </c>
      <c r="Q1048" s="29">
        <f>IF(Dataset!K1048&lt;5,0.2,IF(Dataset!K1048&lt;10,0.45,IF(Dataset!K1048&lt;18,0.7,0.9)))</f>
        <v>0.45</v>
      </c>
      <c r="R1048" s="29">
        <f>IF(Dataset!K1048&lt;5,1,IF(Dataset!K1048&lt;10,2,IF(Dataset!K1048&lt;18,3,4)))</f>
        <v>2</v>
      </c>
      <c r="S1048" s="29">
        <f t="shared" si="133"/>
        <v>0.9</v>
      </c>
      <c r="T1048" s="29">
        <f t="shared" si="134"/>
        <v>1.1450000000000002</v>
      </c>
      <c r="U1048" s="29" t="str">
        <f t="shared" si="135"/>
        <v>Low</v>
      </c>
    </row>
    <row r="1049" spans="1:21" ht="15" customHeight="1" x14ac:dyDescent="0.25">
      <c r="A1049" s="29">
        <f>Dataset!A1049</f>
        <v>1045</v>
      </c>
      <c r="B1049" s="29">
        <f>IF(Dataset!B1049&lt;25,0.3,IF(Dataset!B1049&lt;75,0.5,IF(Dataset!B1049&lt;120,0.65,0.8)))</f>
        <v>0.5</v>
      </c>
      <c r="C1049" s="29">
        <f>IF(Dataset!B1049&lt;25,1,IF(Dataset!B1049&lt;75,2,IF(Dataset!B1049&lt;120,3,4)))</f>
        <v>2</v>
      </c>
      <c r="D1049" s="29">
        <f t="shared" si="128"/>
        <v>1</v>
      </c>
      <c r="E1049" s="29">
        <f>IF(Dataset!C1049&lt;=1,0.3,IF(Dataset!C1049=2,0.4,IF(Dataset!C1049=3,0.5,IF(Dataset!C1049=4,0.65,0.8))))</f>
        <v>0.4</v>
      </c>
      <c r="F1049" s="29">
        <f>IF(Dataset!C1049&lt;=2,1,IF(Dataset!C1049=3,2,IF(Dataset!C1049=4,3,4)))</f>
        <v>1</v>
      </c>
      <c r="G1049" s="29">
        <f t="shared" si="129"/>
        <v>0.4</v>
      </c>
      <c r="H1049" s="29">
        <f>IF(Dataset!G1049&lt;=3,0.25,IF(Dataset!G1049&lt;=6,0.45,IF(Dataset!G1049&lt;=9,0.65,0.85)))</f>
        <v>0.45</v>
      </c>
      <c r="I1049" s="29">
        <f>IF(Dataset!G1049&lt;=3,1,IF(Dataset!G1049&lt;=6,2,IF(Dataset!G1049&lt;=9,3,4)))</f>
        <v>2</v>
      </c>
      <c r="J1049" s="29">
        <f t="shared" si="130"/>
        <v>0.9</v>
      </c>
      <c r="K1049" s="29">
        <f>IF(Dataset!H1049&lt;1,0.2,IF(Dataset!H1049&lt;1.3,0.45,IF(Dataset!H1049&lt;1.8,0.7,0.9)))</f>
        <v>0.7</v>
      </c>
      <c r="L1049" s="29">
        <f>IF(Dataset!H1049&lt;1,1,IF(Dataset!H1049&lt;1.3,2,IF(Dataset!H1049&lt;1.8,3,4)))</f>
        <v>3</v>
      </c>
      <c r="M1049" s="29">
        <f t="shared" si="131"/>
        <v>2.0999999999999996</v>
      </c>
      <c r="N1049" s="29">
        <f>IF(Dataset!F1049=1,0.75,IF(Dataset!F1049=2,0.45,0.2))</f>
        <v>0.75</v>
      </c>
      <c r="O1049" s="29">
        <f>IF(Dataset!F1049=1,3,IF(Dataset!F1049=2,2,1))</f>
        <v>3</v>
      </c>
      <c r="P1049" s="29">
        <f t="shared" si="132"/>
        <v>2.25</v>
      </c>
      <c r="Q1049" s="29">
        <f>IF(Dataset!K1049&lt;5,0.2,IF(Dataset!K1049&lt;10,0.45,IF(Dataset!K1049&lt;18,0.7,0.9)))</f>
        <v>0.45</v>
      </c>
      <c r="R1049" s="29">
        <f>IF(Dataset!K1049&lt;5,1,IF(Dataset!K1049&lt;10,2,IF(Dataset!K1049&lt;18,3,4)))</f>
        <v>2</v>
      </c>
      <c r="S1049" s="29">
        <f t="shared" si="133"/>
        <v>0.9</v>
      </c>
      <c r="T1049" s="29">
        <f t="shared" si="134"/>
        <v>1.2710000000000001</v>
      </c>
      <c r="U1049" s="29" t="str">
        <f t="shared" si="135"/>
        <v>Low</v>
      </c>
    </row>
    <row r="1050" spans="1:21" ht="15" customHeight="1" x14ac:dyDescent="0.25">
      <c r="A1050" s="29">
        <f>Dataset!A1050</f>
        <v>1046</v>
      </c>
      <c r="B1050" s="29">
        <f>IF(Dataset!B1050&lt;25,0.3,IF(Dataset!B1050&lt;75,0.5,IF(Dataset!B1050&lt;120,0.65,0.8)))</f>
        <v>0.5</v>
      </c>
      <c r="C1050" s="29">
        <f>IF(Dataset!B1050&lt;25,1,IF(Dataset!B1050&lt;75,2,IF(Dataset!B1050&lt;120,3,4)))</f>
        <v>2</v>
      </c>
      <c r="D1050" s="29">
        <f t="shared" si="128"/>
        <v>1</v>
      </c>
      <c r="E1050" s="29">
        <f>IF(Dataset!C1050&lt;=1,0.3,IF(Dataset!C1050=2,0.4,IF(Dataset!C1050=3,0.5,IF(Dataset!C1050=4,0.65,0.8))))</f>
        <v>0.5</v>
      </c>
      <c r="F1050" s="29">
        <f>IF(Dataset!C1050&lt;=2,1,IF(Dataset!C1050=3,2,IF(Dataset!C1050=4,3,4)))</f>
        <v>2</v>
      </c>
      <c r="G1050" s="29">
        <f t="shared" si="129"/>
        <v>1</v>
      </c>
      <c r="H1050" s="29">
        <f>IF(Dataset!G1050&lt;=3,0.25,IF(Dataset!G1050&lt;=6,0.45,IF(Dataset!G1050&lt;=9,0.65,0.85)))</f>
        <v>0.25</v>
      </c>
      <c r="I1050" s="29">
        <f>IF(Dataset!G1050&lt;=3,1,IF(Dataset!G1050&lt;=6,2,IF(Dataset!G1050&lt;=9,3,4)))</f>
        <v>1</v>
      </c>
      <c r="J1050" s="29">
        <f t="shared" si="130"/>
        <v>0.25</v>
      </c>
      <c r="K1050" s="29">
        <f>IF(Dataset!H1050&lt;1,0.2,IF(Dataset!H1050&lt;1.3,0.45,IF(Dataset!H1050&lt;1.8,0.7,0.9)))</f>
        <v>0.45</v>
      </c>
      <c r="L1050" s="29">
        <f>IF(Dataset!H1050&lt;1,1,IF(Dataset!H1050&lt;1.3,2,IF(Dataset!H1050&lt;1.8,3,4)))</f>
        <v>2</v>
      </c>
      <c r="M1050" s="29">
        <f t="shared" si="131"/>
        <v>0.9</v>
      </c>
      <c r="N1050" s="29">
        <f>IF(Dataset!F1050=1,0.75,IF(Dataset!F1050=2,0.45,0.2))</f>
        <v>0.75</v>
      </c>
      <c r="O1050" s="29">
        <f>IF(Dataset!F1050=1,3,IF(Dataset!F1050=2,2,1))</f>
        <v>3</v>
      </c>
      <c r="P1050" s="29">
        <f t="shared" si="132"/>
        <v>2.25</v>
      </c>
      <c r="Q1050" s="29">
        <f>IF(Dataset!K1050&lt;5,0.2,IF(Dataset!K1050&lt;10,0.45,IF(Dataset!K1050&lt;18,0.7,0.9)))</f>
        <v>0.45</v>
      </c>
      <c r="R1050" s="29">
        <f>IF(Dataset!K1050&lt;5,1,IF(Dataset!K1050&lt;10,2,IF(Dataset!K1050&lt;18,3,4)))</f>
        <v>2</v>
      </c>
      <c r="S1050" s="29">
        <f t="shared" si="133"/>
        <v>0.9</v>
      </c>
      <c r="T1050" s="29">
        <f t="shared" si="134"/>
        <v>0.93699999999999994</v>
      </c>
      <c r="U1050" s="29" t="str">
        <f t="shared" si="135"/>
        <v>Low</v>
      </c>
    </row>
    <row r="1051" spans="1:21" ht="15" customHeight="1" x14ac:dyDescent="0.25">
      <c r="A1051" s="29">
        <f>Dataset!A1051</f>
        <v>1047</v>
      </c>
      <c r="B1051" s="29">
        <f>IF(Dataset!B1051&lt;25,0.3,IF(Dataset!B1051&lt;75,0.5,IF(Dataset!B1051&lt;120,0.65,0.8)))</f>
        <v>0.65</v>
      </c>
      <c r="C1051" s="29">
        <f>IF(Dataset!B1051&lt;25,1,IF(Dataset!B1051&lt;75,2,IF(Dataset!B1051&lt;120,3,4)))</f>
        <v>3</v>
      </c>
      <c r="D1051" s="29">
        <f t="shared" si="128"/>
        <v>1.9500000000000002</v>
      </c>
      <c r="E1051" s="29">
        <f>IF(Dataset!C1051&lt;=1,0.3,IF(Dataset!C1051=2,0.4,IF(Dataset!C1051=3,0.5,IF(Dataset!C1051=4,0.65,0.8))))</f>
        <v>0.5</v>
      </c>
      <c r="F1051" s="29">
        <f>IF(Dataset!C1051&lt;=2,1,IF(Dataset!C1051=3,2,IF(Dataset!C1051=4,3,4)))</f>
        <v>2</v>
      </c>
      <c r="G1051" s="29">
        <f t="shared" si="129"/>
        <v>1</v>
      </c>
      <c r="H1051" s="29">
        <f>IF(Dataset!G1051&lt;=3,0.25,IF(Dataset!G1051&lt;=6,0.45,IF(Dataset!G1051&lt;=9,0.65,0.85)))</f>
        <v>0.45</v>
      </c>
      <c r="I1051" s="29">
        <f>IF(Dataset!G1051&lt;=3,1,IF(Dataset!G1051&lt;=6,2,IF(Dataset!G1051&lt;=9,3,4)))</f>
        <v>2</v>
      </c>
      <c r="J1051" s="29">
        <f t="shared" si="130"/>
        <v>0.9</v>
      </c>
      <c r="K1051" s="29">
        <f>IF(Dataset!H1051&lt;1,0.2,IF(Dataset!H1051&lt;1.3,0.45,IF(Dataset!H1051&lt;1.8,0.7,0.9)))</f>
        <v>0.9</v>
      </c>
      <c r="L1051" s="29">
        <f>IF(Dataset!H1051&lt;1,1,IF(Dataset!H1051&lt;1.3,2,IF(Dataset!H1051&lt;1.8,3,4)))</f>
        <v>4</v>
      </c>
      <c r="M1051" s="29">
        <f t="shared" si="131"/>
        <v>3.6</v>
      </c>
      <c r="N1051" s="29">
        <f>IF(Dataset!F1051=1,0.75,IF(Dataset!F1051=2,0.45,0.2))</f>
        <v>0.2</v>
      </c>
      <c r="O1051" s="29">
        <f>IF(Dataset!F1051=1,3,IF(Dataset!F1051=2,2,1))</f>
        <v>1</v>
      </c>
      <c r="P1051" s="29">
        <f t="shared" si="132"/>
        <v>0.2</v>
      </c>
      <c r="Q1051" s="29">
        <f>IF(Dataset!K1051&lt;5,0.2,IF(Dataset!K1051&lt;10,0.45,IF(Dataset!K1051&lt;18,0.7,0.9)))</f>
        <v>0.45</v>
      </c>
      <c r="R1051" s="29">
        <f>IF(Dataset!K1051&lt;5,1,IF(Dataset!K1051&lt;10,2,IF(Dataset!K1051&lt;18,3,4)))</f>
        <v>2</v>
      </c>
      <c r="S1051" s="29">
        <f t="shared" si="133"/>
        <v>0.9</v>
      </c>
      <c r="T1051" s="29">
        <f t="shared" si="134"/>
        <v>1.6810000000000003</v>
      </c>
      <c r="U1051" s="29" t="str">
        <f t="shared" si="135"/>
        <v>Medium</v>
      </c>
    </row>
    <row r="1052" spans="1:21" ht="15" customHeight="1" x14ac:dyDescent="0.25">
      <c r="A1052" s="29">
        <f>Dataset!A1052</f>
        <v>1048</v>
      </c>
      <c r="B1052" s="29">
        <f>IF(Dataset!B1052&lt;25,0.3,IF(Dataset!B1052&lt;75,0.5,IF(Dataset!B1052&lt;120,0.65,0.8)))</f>
        <v>0.5</v>
      </c>
      <c r="C1052" s="29">
        <f>IF(Dataset!B1052&lt;25,1,IF(Dataset!B1052&lt;75,2,IF(Dataset!B1052&lt;120,3,4)))</f>
        <v>2</v>
      </c>
      <c r="D1052" s="29">
        <f t="shared" si="128"/>
        <v>1</v>
      </c>
      <c r="E1052" s="29">
        <f>IF(Dataset!C1052&lt;=1,0.3,IF(Dataset!C1052=2,0.4,IF(Dataset!C1052=3,0.5,IF(Dataset!C1052=4,0.65,0.8))))</f>
        <v>0.8</v>
      </c>
      <c r="F1052" s="29">
        <f>IF(Dataset!C1052&lt;=2,1,IF(Dataset!C1052=3,2,IF(Dataset!C1052=4,3,4)))</f>
        <v>4</v>
      </c>
      <c r="G1052" s="29">
        <f t="shared" si="129"/>
        <v>3.2</v>
      </c>
      <c r="H1052" s="29">
        <f>IF(Dataset!G1052&lt;=3,0.25,IF(Dataset!G1052&lt;=6,0.45,IF(Dataset!G1052&lt;=9,0.65,0.85)))</f>
        <v>0.45</v>
      </c>
      <c r="I1052" s="29">
        <f>IF(Dataset!G1052&lt;=3,1,IF(Dataset!G1052&lt;=6,2,IF(Dataset!G1052&lt;=9,3,4)))</f>
        <v>2</v>
      </c>
      <c r="J1052" s="29">
        <f t="shared" si="130"/>
        <v>0.9</v>
      </c>
      <c r="K1052" s="29">
        <f>IF(Dataset!H1052&lt;1,0.2,IF(Dataset!H1052&lt;1.3,0.45,IF(Dataset!H1052&lt;1.8,0.7,0.9)))</f>
        <v>0.7</v>
      </c>
      <c r="L1052" s="29">
        <f>IF(Dataset!H1052&lt;1,1,IF(Dataset!H1052&lt;1.3,2,IF(Dataset!H1052&lt;1.8,3,4)))</f>
        <v>3</v>
      </c>
      <c r="M1052" s="29">
        <f t="shared" si="131"/>
        <v>2.0999999999999996</v>
      </c>
      <c r="N1052" s="29">
        <f>IF(Dataset!F1052=1,0.75,IF(Dataset!F1052=2,0.45,0.2))</f>
        <v>0.45</v>
      </c>
      <c r="O1052" s="29">
        <f>IF(Dataset!F1052=1,3,IF(Dataset!F1052=2,2,1))</f>
        <v>2</v>
      </c>
      <c r="P1052" s="29">
        <f t="shared" si="132"/>
        <v>0.9</v>
      </c>
      <c r="Q1052" s="29">
        <f>IF(Dataset!K1052&lt;5,0.2,IF(Dataset!K1052&lt;10,0.45,IF(Dataset!K1052&lt;18,0.7,0.9)))</f>
        <v>0.9</v>
      </c>
      <c r="R1052" s="29">
        <f>IF(Dataset!K1052&lt;5,1,IF(Dataset!K1052&lt;10,2,IF(Dataset!K1052&lt;18,3,4)))</f>
        <v>4</v>
      </c>
      <c r="S1052" s="29">
        <f t="shared" si="133"/>
        <v>3.6</v>
      </c>
      <c r="T1052" s="29">
        <f t="shared" si="134"/>
        <v>1.9060000000000001</v>
      </c>
      <c r="U1052" s="29" t="str">
        <f t="shared" si="135"/>
        <v>High</v>
      </c>
    </row>
    <row r="1053" spans="1:21" ht="15" customHeight="1" x14ac:dyDescent="0.25">
      <c r="A1053" s="29">
        <f>Dataset!A1053</f>
        <v>1049</v>
      </c>
      <c r="B1053" s="29">
        <f>IF(Dataset!B1053&lt;25,0.3,IF(Dataset!B1053&lt;75,0.5,IF(Dataset!B1053&lt;120,0.65,0.8)))</f>
        <v>0.5</v>
      </c>
      <c r="C1053" s="29">
        <f>IF(Dataset!B1053&lt;25,1,IF(Dataset!B1053&lt;75,2,IF(Dataset!B1053&lt;120,3,4)))</f>
        <v>2</v>
      </c>
      <c r="D1053" s="29">
        <f t="shared" si="128"/>
        <v>1</v>
      </c>
      <c r="E1053" s="29">
        <f>IF(Dataset!C1053&lt;=1,0.3,IF(Dataset!C1053=2,0.4,IF(Dataset!C1053=3,0.5,IF(Dataset!C1053=4,0.65,0.8))))</f>
        <v>0.5</v>
      </c>
      <c r="F1053" s="29">
        <f>IF(Dataset!C1053&lt;=2,1,IF(Dataset!C1053=3,2,IF(Dataset!C1053=4,3,4)))</f>
        <v>2</v>
      </c>
      <c r="G1053" s="29">
        <f t="shared" si="129"/>
        <v>1</v>
      </c>
      <c r="H1053" s="29">
        <f>IF(Dataset!G1053&lt;=3,0.25,IF(Dataset!G1053&lt;=6,0.45,IF(Dataset!G1053&lt;=9,0.65,0.85)))</f>
        <v>0.25</v>
      </c>
      <c r="I1053" s="29">
        <f>IF(Dataset!G1053&lt;=3,1,IF(Dataset!G1053&lt;=6,2,IF(Dataset!G1053&lt;=9,3,4)))</f>
        <v>1</v>
      </c>
      <c r="J1053" s="29">
        <f t="shared" si="130"/>
        <v>0.25</v>
      </c>
      <c r="K1053" s="29">
        <f>IF(Dataset!H1053&lt;1,0.2,IF(Dataset!H1053&lt;1.3,0.45,IF(Dataset!H1053&lt;1.8,0.7,0.9)))</f>
        <v>0.45</v>
      </c>
      <c r="L1053" s="29">
        <f>IF(Dataset!H1053&lt;1,1,IF(Dataset!H1053&lt;1.3,2,IF(Dataset!H1053&lt;1.8,3,4)))</f>
        <v>2</v>
      </c>
      <c r="M1053" s="29">
        <f t="shared" si="131"/>
        <v>0.9</v>
      </c>
      <c r="N1053" s="29">
        <f>IF(Dataset!F1053=1,0.75,IF(Dataset!F1053=2,0.45,0.2))</f>
        <v>0.2</v>
      </c>
      <c r="O1053" s="29">
        <f>IF(Dataset!F1053=1,3,IF(Dataset!F1053=2,2,1))</f>
        <v>1</v>
      </c>
      <c r="P1053" s="29">
        <f t="shared" si="132"/>
        <v>0.2</v>
      </c>
      <c r="Q1053" s="29">
        <f>IF(Dataset!K1053&lt;5,0.2,IF(Dataset!K1053&lt;10,0.45,IF(Dataset!K1053&lt;18,0.7,0.9)))</f>
        <v>0.45</v>
      </c>
      <c r="R1053" s="29">
        <f>IF(Dataset!K1053&lt;5,1,IF(Dataset!K1053&lt;10,2,IF(Dataset!K1053&lt;18,3,4)))</f>
        <v>2</v>
      </c>
      <c r="S1053" s="29">
        <f t="shared" si="133"/>
        <v>0.9</v>
      </c>
      <c r="T1053" s="29">
        <f t="shared" si="134"/>
        <v>0.73199999999999998</v>
      </c>
      <c r="U1053" s="29" t="str">
        <f t="shared" si="135"/>
        <v>Low</v>
      </c>
    </row>
    <row r="1054" spans="1:21" ht="15" customHeight="1" x14ac:dyDescent="0.25">
      <c r="A1054" s="29">
        <f>Dataset!A1054</f>
        <v>1050</v>
      </c>
      <c r="B1054" s="29">
        <f>IF(Dataset!B1054&lt;25,0.3,IF(Dataset!B1054&lt;75,0.5,IF(Dataset!B1054&lt;120,0.65,0.8)))</f>
        <v>0.8</v>
      </c>
      <c r="C1054" s="29">
        <f>IF(Dataset!B1054&lt;25,1,IF(Dataset!B1054&lt;75,2,IF(Dataset!B1054&lt;120,3,4)))</f>
        <v>4</v>
      </c>
      <c r="D1054" s="29">
        <f t="shared" si="128"/>
        <v>3.2</v>
      </c>
      <c r="E1054" s="29">
        <f>IF(Dataset!C1054&lt;=1,0.3,IF(Dataset!C1054=2,0.4,IF(Dataset!C1054=3,0.5,IF(Dataset!C1054=4,0.65,0.8))))</f>
        <v>0.65</v>
      </c>
      <c r="F1054" s="29">
        <f>IF(Dataset!C1054&lt;=2,1,IF(Dataset!C1054=3,2,IF(Dataset!C1054=4,3,4)))</f>
        <v>3</v>
      </c>
      <c r="G1054" s="29">
        <f t="shared" si="129"/>
        <v>1.9500000000000002</v>
      </c>
      <c r="H1054" s="29">
        <f>IF(Dataset!G1054&lt;=3,0.25,IF(Dataset!G1054&lt;=6,0.45,IF(Dataset!G1054&lt;=9,0.65,0.85)))</f>
        <v>0.45</v>
      </c>
      <c r="I1054" s="29">
        <f>IF(Dataset!G1054&lt;=3,1,IF(Dataset!G1054&lt;=6,2,IF(Dataset!G1054&lt;=9,3,4)))</f>
        <v>2</v>
      </c>
      <c r="J1054" s="29">
        <f t="shared" si="130"/>
        <v>0.9</v>
      </c>
      <c r="K1054" s="29">
        <f>IF(Dataset!H1054&lt;1,0.2,IF(Dataset!H1054&lt;1.3,0.45,IF(Dataset!H1054&lt;1.8,0.7,0.9)))</f>
        <v>0.7</v>
      </c>
      <c r="L1054" s="29">
        <f>IF(Dataset!H1054&lt;1,1,IF(Dataset!H1054&lt;1.3,2,IF(Dataset!H1054&lt;1.8,3,4)))</f>
        <v>3</v>
      </c>
      <c r="M1054" s="29">
        <f t="shared" si="131"/>
        <v>2.0999999999999996</v>
      </c>
      <c r="N1054" s="29">
        <f>IF(Dataset!F1054=1,0.75,IF(Dataset!F1054=2,0.45,0.2))</f>
        <v>0.45</v>
      </c>
      <c r="O1054" s="29">
        <f>IF(Dataset!F1054=1,3,IF(Dataset!F1054=2,2,1))</f>
        <v>2</v>
      </c>
      <c r="P1054" s="29">
        <f t="shared" si="132"/>
        <v>0.9</v>
      </c>
      <c r="Q1054" s="29">
        <f>IF(Dataset!K1054&lt;5,0.2,IF(Dataset!K1054&lt;10,0.45,IF(Dataset!K1054&lt;18,0.7,0.9)))</f>
        <v>0.7</v>
      </c>
      <c r="R1054" s="29">
        <f>IF(Dataset!K1054&lt;5,1,IF(Dataset!K1054&lt;10,2,IF(Dataset!K1054&lt;18,3,4)))</f>
        <v>3</v>
      </c>
      <c r="S1054" s="29">
        <f t="shared" si="133"/>
        <v>2.0999999999999996</v>
      </c>
      <c r="T1054" s="29">
        <f t="shared" si="134"/>
        <v>1.917</v>
      </c>
      <c r="U1054" s="29" t="str">
        <f t="shared" si="135"/>
        <v>High</v>
      </c>
    </row>
    <row r="1055" spans="1:21" ht="15" customHeight="1" x14ac:dyDescent="0.25">
      <c r="A1055" s="29">
        <f>Dataset!A1055</f>
        <v>1051</v>
      </c>
      <c r="B1055" s="29">
        <f>IF(Dataset!B1055&lt;25,0.3,IF(Dataset!B1055&lt;75,0.5,IF(Dataset!B1055&lt;120,0.65,0.8)))</f>
        <v>0.65</v>
      </c>
      <c r="C1055" s="29">
        <f>IF(Dataset!B1055&lt;25,1,IF(Dataset!B1055&lt;75,2,IF(Dataset!B1055&lt;120,3,4)))</f>
        <v>3</v>
      </c>
      <c r="D1055" s="29">
        <f t="shared" si="128"/>
        <v>1.9500000000000002</v>
      </c>
      <c r="E1055" s="29">
        <f>IF(Dataset!C1055&lt;=1,0.3,IF(Dataset!C1055=2,0.4,IF(Dataset!C1055=3,0.5,IF(Dataset!C1055=4,0.65,0.8))))</f>
        <v>0.5</v>
      </c>
      <c r="F1055" s="29">
        <f>IF(Dataset!C1055&lt;=2,1,IF(Dataset!C1055=3,2,IF(Dataset!C1055=4,3,4)))</f>
        <v>2</v>
      </c>
      <c r="G1055" s="29">
        <f t="shared" si="129"/>
        <v>1</v>
      </c>
      <c r="H1055" s="29">
        <f>IF(Dataset!G1055&lt;=3,0.25,IF(Dataset!G1055&lt;=6,0.45,IF(Dataset!G1055&lt;=9,0.65,0.85)))</f>
        <v>0.85</v>
      </c>
      <c r="I1055" s="29">
        <f>IF(Dataset!G1055&lt;=3,1,IF(Dataset!G1055&lt;=6,2,IF(Dataset!G1055&lt;=9,3,4)))</f>
        <v>4</v>
      </c>
      <c r="J1055" s="29">
        <f t="shared" si="130"/>
        <v>3.4</v>
      </c>
      <c r="K1055" s="29">
        <f>IF(Dataset!H1055&lt;1,0.2,IF(Dataset!H1055&lt;1.3,0.45,IF(Dataset!H1055&lt;1.8,0.7,0.9)))</f>
        <v>0.9</v>
      </c>
      <c r="L1055" s="29">
        <f>IF(Dataset!H1055&lt;1,1,IF(Dataset!H1055&lt;1.3,2,IF(Dataset!H1055&lt;1.8,3,4)))</f>
        <v>4</v>
      </c>
      <c r="M1055" s="29">
        <f t="shared" si="131"/>
        <v>3.6</v>
      </c>
      <c r="N1055" s="29">
        <f>IF(Dataset!F1055=1,0.75,IF(Dataset!F1055=2,0.45,0.2))</f>
        <v>0.75</v>
      </c>
      <c r="O1055" s="29">
        <f>IF(Dataset!F1055=1,3,IF(Dataset!F1055=2,2,1))</f>
        <v>3</v>
      </c>
      <c r="P1055" s="29">
        <f t="shared" si="132"/>
        <v>2.25</v>
      </c>
      <c r="Q1055" s="29">
        <f>IF(Dataset!K1055&lt;5,0.2,IF(Dataset!K1055&lt;10,0.45,IF(Dataset!K1055&lt;18,0.7,0.9)))</f>
        <v>0.2</v>
      </c>
      <c r="R1055" s="29">
        <f>IF(Dataset!K1055&lt;5,1,IF(Dataset!K1055&lt;10,2,IF(Dataset!K1055&lt;18,3,4)))</f>
        <v>1</v>
      </c>
      <c r="S1055" s="29">
        <f t="shared" si="133"/>
        <v>0.2</v>
      </c>
      <c r="T1055" s="29">
        <f t="shared" si="134"/>
        <v>2.2880000000000003</v>
      </c>
      <c r="U1055" s="29" t="str">
        <f t="shared" si="135"/>
        <v>High</v>
      </c>
    </row>
    <row r="1056" spans="1:21" ht="15" customHeight="1" x14ac:dyDescent="0.25">
      <c r="A1056" s="29">
        <f>Dataset!A1056</f>
        <v>1052</v>
      </c>
      <c r="B1056" s="29">
        <f>IF(Dataset!B1056&lt;25,0.3,IF(Dataset!B1056&lt;75,0.5,IF(Dataset!B1056&lt;120,0.65,0.8)))</f>
        <v>0.5</v>
      </c>
      <c r="C1056" s="29">
        <f>IF(Dataset!B1056&lt;25,1,IF(Dataset!B1056&lt;75,2,IF(Dataset!B1056&lt;120,3,4)))</f>
        <v>2</v>
      </c>
      <c r="D1056" s="29">
        <f t="shared" si="128"/>
        <v>1</v>
      </c>
      <c r="E1056" s="29">
        <f>IF(Dataset!C1056&lt;=1,0.3,IF(Dataset!C1056=2,0.4,IF(Dataset!C1056=3,0.5,IF(Dataset!C1056=4,0.65,0.8))))</f>
        <v>0.3</v>
      </c>
      <c r="F1056" s="29">
        <f>IF(Dataset!C1056&lt;=2,1,IF(Dataset!C1056=3,2,IF(Dataset!C1056=4,3,4)))</f>
        <v>1</v>
      </c>
      <c r="G1056" s="29">
        <f t="shared" si="129"/>
        <v>0.3</v>
      </c>
      <c r="H1056" s="29">
        <f>IF(Dataset!G1056&lt;=3,0.25,IF(Dataset!G1056&lt;=6,0.45,IF(Dataset!G1056&lt;=9,0.65,0.85)))</f>
        <v>0.65</v>
      </c>
      <c r="I1056" s="29">
        <f>IF(Dataset!G1056&lt;=3,1,IF(Dataset!G1056&lt;=6,2,IF(Dataset!G1056&lt;=9,3,4)))</f>
        <v>3</v>
      </c>
      <c r="J1056" s="29">
        <f t="shared" si="130"/>
        <v>1.9500000000000002</v>
      </c>
      <c r="K1056" s="29">
        <f>IF(Dataset!H1056&lt;1,0.2,IF(Dataset!H1056&lt;1.3,0.45,IF(Dataset!H1056&lt;1.8,0.7,0.9)))</f>
        <v>0.9</v>
      </c>
      <c r="L1056" s="29">
        <f>IF(Dataset!H1056&lt;1,1,IF(Dataset!H1056&lt;1.3,2,IF(Dataset!H1056&lt;1.8,3,4)))</f>
        <v>4</v>
      </c>
      <c r="M1056" s="29">
        <f t="shared" si="131"/>
        <v>3.6</v>
      </c>
      <c r="N1056" s="29">
        <f>IF(Dataset!F1056=1,0.75,IF(Dataset!F1056=2,0.45,0.2))</f>
        <v>0.45</v>
      </c>
      <c r="O1056" s="29">
        <f>IF(Dataset!F1056=1,3,IF(Dataset!F1056=2,2,1))</f>
        <v>2</v>
      </c>
      <c r="P1056" s="29">
        <f t="shared" si="132"/>
        <v>0.9</v>
      </c>
      <c r="Q1056" s="29">
        <f>IF(Dataset!K1056&lt;5,0.2,IF(Dataset!K1056&lt;10,0.45,IF(Dataset!K1056&lt;18,0.7,0.9)))</f>
        <v>0.2</v>
      </c>
      <c r="R1056" s="29">
        <f>IF(Dataset!K1056&lt;5,1,IF(Dataset!K1056&lt;10,2,IF(Dataset!K1056&lt;18,3,4)))</f>
        <v>1</v>
      </c>
      <c r="S1056" s="29">
        <f t="shared" si="133"/>
        <v>0.2</v>
      </c>
      <c r="T1056" s="29">
        <f t="shared" si="134"/>
        <v>1.5940000000000001</v>
      </c>
      <c r="U1056" s="29" t="str">
        <f t="shared" si="135"/>
        <v>Medium</v>
      </c>
    </row>
    <row r="1057" spans="1:21" ht="15" customHeight="1" x14ac:dyDescent="0.25">
      <c r="A1057" s="29">
        <f>Dataset!A1057</f>
        <v>1053</v>
      </c>
      <c r="B1057" s="29">
        <f>IF(Dataset!B1057&lt;25,0.3,IF(Dataset!B1057&lt;75,0.5,IF(Dataset!B1057&lt;120,0.65,0.8)))</f>
        <v>0.5</v>
      </c>
      <c r="C1057" s="29">
        <f>IF(Dataset!B1057&lt;25,1,IF(Dataset!B1057&lt;75,2,IF(Dataset!B1057&lt;120,3,4)))</f>
        <v>2</v>
      </c>
      <c r="D1057" s="29">
        <f t="shared" si="128"/>
        <v>1</v>
      </c>
      <c r="E1057" s="29">
        <f>IF(Dataset!C1057&lt;=1,0.3,IF(Dataset!C1057=2,0.4,IF(Dataset!C1057=3,0.5,IF(Dataset!C1057=4,0.65,0.8))))</f>
        <v>0.5</v>
      </c>
      <c r="F1057" s="29">
        <f>IF(Dataset!C1057&lt;=2,1,IF(Dataset!C1057=3,2,IF(Dataset!C1057=4,3,4)))</f>
        <v>2</v>
      </c>
      <c r="G1057" s="29">
        <f t="shared" si="129"/>
        <v>1</v>
      </c>
      <c r="H1057" s="29">
        <f>IF(Dataset!G1057&lt;=3,0.25,IF(Dataset!G1057&lt;=6,0.45,IF(Dataset!G1057&lt;=9,0.65,0.85)))</f>
        <v>0.45</v>
      </c>
      <c r="I1057" s="29">
        <f>IF(Dataset!G1057&lt;=3,1,IF(Dataset!G1057&lt;=6,2,IF(Dataset!G1057&lt;=9,3,4)))</f>
        <v>2</v>
      </c>
      <c r="J1057" s="29">
        <f t="shared" si="130"/>
        <v>0.9</v>
      </c>
      <c r="K1057" s="29">
        <f>IF(Dataset!H1057&lt;1,0.2,IF(Dataset!H1057&lt;1.3,0.45,IF(Dataset!H1057&lt;1.8,0.7,0.9)))</f>
        <v>0.45</v>
      </c>
      <c r="L1057" s="29">
        <f>IF(Dataset!H1057&lt;1,1,IF(Dataset!H1057&lt;1.3,2,IF(Dataset!H1057&lt;1.8,3,4)))</f>
        <v>2</v>
      </c>
      <c r="M1057" s="29">
        <f t="shared" si="131"/>
        <v>0.9</v>
      </c>
      <c r="N1057" s="29">
        <f>IF(Dataset!F1057=1,0.75,IF(Dataset!F1057=2,0.45,0.2))</f>
        <v>0.75</v>
      </c>
      <c r="O1057" s="29">
        <f>IF(Dataset!F1057=1,3,IF(Dataset!F1057=2,2,1))</f>
        <v>3</v>
      </c>
      <c r="P1057" s="29">
        <f t="shared" si="132"/>
        <v>2.25</v>
      </c>
      <c r="Q1057" s="29">
        <f>IF(Dataset!K1057&lt;5,0.2,IF(Dataset!K1057&lt;10,0.45,IF(Dataset!K1057&lt;18,0.7,0.9)))</f>
        <v>0.45</v>
      </c>
      <c r="R1057" s="29">
        <f>IF(Dataset!K1057&lt;5,1,IF(Dataset!K1057&lt;10,2,IF(Dataset!K1057&lt;18,3,4)))</f>
        <v>2</v>
      </c>
      <c r="S1057" s="29">
        <f t="shared" si="133"/>
        <v>0.9</v>
      </c>
      <c r="T1057" s="29">
        <f t="shared" si="134"/>
        <v>1.0669999999999999</v>
      </c>
      <c r="U1057" s="29" t="str">
        <f t="shared" si="135"/>
        <v>Low</v>
      </c>
    </row>
    <row r="1058" spans="1:21" ht="15" customHeight="1" x14ac:dyDescent="0.25">
      <c r="A1058" s="29">
        <f>Dataset!A1058</f>
        <v>1054</v>
      </c>
      <c r="B1058" s="29">
        <f>IF(Dataset!B1058&lt;25,0.3,IF(Dataset!B1058&lt;75,0.5,IF(Dataset!B1058&lt;120,0.65,0.8)))</f>
        <v>0.5</v>
      </c>
      <c r="C1058" s="29">
        <f>IF(Dataset!B1058&lt;25,1,IF(Dataset!B1058&lt;75,2,IF(Dataset!B1058&lt;120,3,4)))</f>
        <v>2</v>
      </c>
      <c r="D1058" s="29">
        <f t="shared" si="128"/>
        <v>1</v>
      </c>
      <c r="E1058" s="29">
        <f>IF(Dataset!C1058&lt;=1,0.3,IF(Dataset!C1058=2,0.4,IF(Dataset!C1058=3,0.5,IF(Dataset!C1058=4,0.65,0.8))))</f>
        <v>0.5</v>
      </c>
      <c r="F1058" s="29">
        <f>IF(Dataset!C1058&lt;=2,1,IF(Dataset!C1058=3,2,IF(Dataset!C1058=4,3,4)))</f>
        <v>2</v>
      </c>
      <c r="G1058" s="29">
        <f t="shared" si="129"/>
        <v>1</v>
      </c>
      <c r="H1058" s="29">
        <f>IF(Dataset!G1058&lt;=3,0.25,IF(Dataset!G1058&lt;=6,0.45,IF(Dataset!G1058&lt;=9,0.65,0.85)))</f>
        <v>0.45</v>
      </c>
      <c r="I1058" s="29">
        <f>IF(Dataset!G1058&lt;=3,1,IF(Dataset!G1058&lt;=6,2,IF(Dataset!G1058&lt;=9,3,4)))</f>
        <v>2</v>
      </c>
      <c r="J1058" s="29">
        <f t="shared" si="130"/>
        <v>0.9</v>
      </c>
      <c r="K1058" s="29">
        <f>IF(Dataset!H1058&lt;1,0.2,IF(Dataset!H1058&lt;1.3,0.45,IF(Dataset!H1058&lt;1.8,0.7,0.9)))</f>
        <v>0.2</v>
      </c>
      <c r="L1058" s="29">
        <f>IF(Dataset!H1058&lt;1,1,IF(Dataset!H1058&lt;1.3,2,IF(Dataset!H1058&lt;1.8,3,4)))</f>
        <v>1</v>
      </c>
      <c r="M1058" s="29">
        <f t="shared" si="131"/>
        <v>0.2</v>
      </c>
      <c r="N1058" s="29">
        <f>IF(Dataset!F1058=1,0.75,IF(Dataset!F1058=2,0.45,0.2))</f>
        <v>0.2</v>
      </c>
      <c r="O1058" s="29">
        <f>IF(Dataset!F1058=1,3,IF(Dataset!F1058=2,2,1))</f>
        <v>1</v>
      </c>
      <c r="P1058" s="29">
        <f t="shared" si="132"/>
        <v>0.2</v>
      </c>
      <c r="Q1058" s="29">
        <f>IF(Dataset!K1058&lt;5,0.2,IF(Dataset!K1058&lt;10,0.45,IF(Dataset!K1058&lt;18,0.7,0.9)))</f>
        <v>0.2</v>
      </c>
      <c r="R1058" s="29">
        <f>IF(Dataset!K1058&lt;5,1,IF(Dataset!K1058&lt;10,2,IF(Dataset!K1058&lt;18,3,4)))</f>
        <v>1</v>
      </c>
      <c r="S1058" s="29">
        <f t="shared" si="133"/>
        <v>0.2</v>
      </c>
      <c r="T1058" s="29">
        <f t="shared" si="134"/>
        <v>0.59600000000000009</v>
      </c>
      <c r="U1058" s="29" t="str">
        <f t="shared" si="135"/>
        <v>Low</v>
      </c>
    </row>
    <row r="1059" spans="1:21" ht="15" customHeight="1" x14ac:dyDescent="0.25">
      <c r="A1059" s="29">
        <f>Dataset!A1059</f>
        <v>1055</v>
      </c>
      <c r="B1059" s="29">
        <f>IF(Dataset!B1059&lt;25,0.3,IF(Dataset!B1059&lt;75,0.5,IF(Dataset!B1059&lt;120,0.65,0.8)))</f>
        <v>0.65</v>
      </c>
      <c r="C1059" s="29">
        <f>IF(Dataset!B1059&lt;25,1,IF(Dataset!B1059&lt;75,2,IF(Dataset!B1059&lt;120,3,4)))</f>
        <v>3</v>
      </c>
      <c r="D1059" s="29">
        <f t="shared" si="128"/>
        <v>1.9500000000000002</v>
      </c>
      <c r="E1059" s="29">
        <f>IF(Dataset!C1059&lt;=1,0.3,IF(Dataset!C1059=2,0.4,IF(Dataset!C1059=3,0.5,IF(Dataset!C1059=4,0.65,0.8))))</f>
        <v>0.5</v>
      </c>
      <c r="F1059" s="29">
        <f>IF(Dataset!C1059&lt;=2,1,IF(Dataset!C1059=3,2,IF(Dataset!C1059=4,3,4)))</f>
        <v>2</v>
      </c>
      <c r="G1059" s="29">
        <f t="shared" si="129"/>
        <v>1</v>
      </c>
      <c r="H1059" s="29">
        <f>IF(Dataset!G1059&lt;=3,0.25,IF(Dataset!G1059&lt;=6,0.45,IF(Dataset!G1059&lt;=9,0.65,0.85)))</f>
        <v>0.85</v>
      </c>
      <c r="I1059" s="29">
        <f>IF(Dataset!G1059&lt;=3,1,IF(Dataset!G1059&lt;=6,2,IF(Dataset!G1059&lt;=9,3,4)))</f>
        <v>4</v>
      </c>
      <c r="J1059" s="29">
        <f t="shared" si="130"/>
        <v>3.4</v>
      </c>
      <c r="K1059" s="29">
        <f>IF(Dataset!H1059&lt;1,0.2,IF(Dataset!H1059&lt;1.3,0.45,IF(Dataset!H1059&lt;1.8,0.7,0.9)))</f>
        <v>0.9</v>
      </c>
      <c r="L1059" s="29">
        <f>IF(Dataset!H1059&lt;1,1,IF(Dataset!H1059&lt;1.3,2,IF(Dataset!H1059&lt;1.8,3,4)))</f>
        <v>4</v>
      </c>
      <c r="M1059" s="29">
        <f t="shared" si="131"/>
        <v>3.6</v>
      </c>
      <c r="N1059" s="29">
        <f>IF(Dataset!F1059=1,0.75,IF(Dataset!F1059=2,0.45,0.2))</f>
        <v>0.45</v>
      </c>
      <c r="O1059" s="29">
        <f>IF(Dataset!F1059=1,3,IF(Dataset!F1059=2,2,1))</f>
        <v>2</v>
      </c>
      <c r="P1059" s="29">
        <f t="shared" si="132"/>
        <v>0.9</v>
      </c>
      <c r="Q1059" s="29">
        <f>IF(Dataset!K1059&lt;5,0.2,IF(Dataset!K1059&lt;10,0.45,IF(Dataset!K1059&lt;18,0.7,0.9)))</f>
        <v>0.45</v>
      </c>
      <c r="R1059" s="29">
        <f>IF(Dataset!K1059&lt;5,1,IF(Dataset!K1059&lt;10,2,IF(Dataset!K1059&lt;18,3,4)))</f>
        <v>2</v>
      </c>
      <c r="S1059" s="29">
        <f t="shared" si="133"/>
        <v>0.9</v>
      </c>
      <c r="T1059" s="29">
        <f t="shared" si="134"/>
        <v>2.2509999999999999</v>
      </c>
      <c r="U1059" s="29" t="str">
        <f t="shared" si="135"/>
        <v>High</v>
      </c>
    </row>
    <row r="1060" spans="1:21" ht="15" customHeight="1" x14ac:dyDescent="0.25">
      <c r="A1060" s="29">
        <f>Dataset!A1060</f>
        <v>1056</v>
      </c>
      <c r="B1060" s="29">
        <f>IF(Dataset!B1060&lt;25,0.3,IF(Dataset!B1060&lt;75,0.5,IF(Dataset!B1060&lt;120,0.65,0.8)))</f>
        <v>0.65</v>
      </c>
      <c r="C1060" s="29">
        <f>IF(Dataset!B1060&lt;25,1,IF(Dataset!B1060&lt;75,2,IF(Dataset!B1060&lt;120,3,4)))</f>
        <v>3</v>
      </c>
      <c r="D1060" s="29">
        <f t="shared" si="128"/>
        <v>1.9500000000000002</v>
      </c>
      <c r="E1060" s="29">
        <f>IF(Dataset!C1060&lt;=1,0.3,IF(Dataset!C1060=2,0.4,IF(Dataset!C1060=3,0.5,IF(Dataset!C1060=4,0.65,0.8))))</f>
        <v>0.8</v>
      </c>
      <c r="F1060" s="29">
        <f>IF(Dataset!C1060&lt;=2,1,IF(Dataset!C1060=3,2,IF(Dataset!C1060=4,3,4)))</f>
        <v>4</v>
      </c>
      <c r="G1060" s="29">
        <f t="shared" si="129"/>
        <v>3.2</v>
      </c>
      <c r="H1060" s="29">
        <f>IF(Dataset!G1060&lt;=3,0.25,IF(Dataset!G1060&lt;=6,0.45,IF(Dataset!G1060&lt;=9,0.65,0.85)))</f>
        <v>0.25</v>
      </c>
      <c r="I1060" s="29">
        <f>IF(Dataset!G1060&lt;=3,1,IF(Dataset!G1060&lt;=6,2,IF(Dataset!G1060&lt;=9,3,4)))</f>
        <v>1</v>
      </c>
      <c r="J1060" s="29">
        <f t="shared" si="130"/>
        <v>0.25</v>
      </c>
      <c r="K1060" s="29">
        <f>IF(Dataset!H1060&lt;1,0.2,IF(Dataset!H1060&lt;1.3,0.45,IF(Dataset!H1060&lt;1.8,0.7,0.9)))</f>
        <v>0.45</v>
      </c>
      <c r="L1060" s="29">
        <f>IF(Dataset!H1060&lt;1,1,IF(Dataset!H1060&lt;1.3,2,IF(Dataset!H1060&lt;1.8,3,4)))</f>
        <v>2</v>
      </c>
      <c r="M1060" s="29">
        <f t="shared" si="131"/>
        <v>0.9</v>
      </c>
      <c r="N1060" s="29">
        <f>IF(Dataset!F1060=1,0.75,IF(Dataset!F1060=2,0.45,0.2))</f>
        <v>0.45</v>
      </c>
      <c r="O1060" s="29">
        <f>IF(Dataset!F1060=1,3,IF(Dataset!F1060=2,2,1))</f>
        <v>2</v>
      </c>
      <c r="P1060" s="29">
        <f t="shared" si="132"/>
        <v>0.9</v>
      </c>
      <c r="Q1060" s="29">
        <f>IF(Dataset!K1060&lt;5,0.2,IF(Dataset!K1060&lt;10,0.45,IF(Dataset!K1060&lt;18,0.7,0.9)))</f>
        <v>0.9</v>
      </c>
      <c r="R1060" s="29">
        <f>IF(Dataset!K1060&lt;5,1,IF(Dataset!K1060&lt;10,2,IF(Dataset!K1060&lt;18,3,4)))</f>
        <v>4</v>
      </c>
      <c r="S1060" s="29">
        <f t="shared" si="133"/>
        <v>3.6</v>
      </c>
      <c r="T1060" s="29">
        <f t="shared" si="134"/>
        <v>1.6590000000000003</v>
      </c>
      <c r="U1060" s="29" t="str">
        <f t="shared" si="135"/>
        <v>Medium</v>
      </c>
    </row>
    <row r="1061" spans="1:21" ht="15" customHeight="1" x14ac:dyDescent="0.25">
      <c r="A1061" s="29">
        <f>Dataset!A1061</f>
        <v>1057</v>
      </c>
      <c r="B1061" s="29">
        <f>IF(Dataset!B1061&lt;25,0.3,IF(Dataset!B1061&lt;75,0.5,IF(Dataset!B1061&lt;120,0.65,0.8)))</f>
        <v>0.5</v>
      </c>
      <c r="C1061" s="29">
        <f>IF(Dataset!B1061&lt;25,1,IF(Dataset!B1061&lt;75,2,IF(Dataset!B1061&lt;120,3,4)))</f>
        <v>2</v>
      </c>
      <c r="D1061" s="29">
        <f t="shared" si="128"/>
        <v>1</v>
      </c>
      <c r="E1061" s="29">
        <f>IF(Dataset!C1061&lt;=1,0.3,IF(Dataset!C1061=2,0.4,IF(Dataset!C1061=3,0.5,IF(Dataset!C1061=4,0.65,0.8))))</f>
        <v>0.65</v>
      </c>
      <c r="F1061" s="29">
        <f>IF(Dataset!C1061&lt;=2,1,IF(Dataset!C1061=3,2,IF(Dataset!C1061=4,3,4)))</f>
        <v>3</v>
      </c>
      <c r="G1061" s="29">
        <f t="shared" si="129"/>
        <v>1.9500000000000002</v>
      </c>
      <c r="H1061" s="29">
        <f>IF(Dataset!G1061&lt;=3,0.25,IF(Dataset!G1061&lt;=6,0.45,IF(Dataset!G1061&lt;=9,0.65,0.85)))</f>
        <v>0.65</v>
      </c>
      <c r="I1061" s="29">
        <f>IF(Dataset!G1061&lt;=3,1,IF(Dataset!G1061&lt;=6,2,IF(Dataset!G1061&lt;=9,3,4)))</f>
        <v>3</v>
      </c>
      <c r="J1061" s="29">
        <f t="shared" si="130"/>
        <v>1.9500000000000002</v>
      </c>
      <c r="K1061" s="29">
        <f>IF(Dataset!H1061&lt;1,0.2,IF(Dataset!H1061&lt;1.3,0.45,IF(Dataset!H1061&lt;1.8,0.7,0.9)))</f>
        <v>0.9</v>
      </c>
      <c r="L1061" s="29">
        <f>IF(Dataset!H1061&lt;1,1,IF(Dataset!H1061&lt;1.3,2,IF(Dataset!H1061&lt;1.8,3,4)))</f>
        <v>4</v>
      </c>
      <c r="M1061" s="29">
        <f t="shared" si="131"/>
        <v>3.6</v>
      </c>
      <c r="N1061" s="29">
        <f>IF(Dataset!F1061=1,0.75,IF(Dataset!F1061=2,0.45,0.2))</f>
        <v>0.45</v>
      </c>
      <c r="O1061" s="29">
        <f>IF(Dataset!F1061=1,3,IF(Dataset!F1061=2,2,1))</f>
        <v>2</v>
      </c>
      <c r="P1061" s="29">
        <f t="shared" si="132"/>
        <v>0.9</v>
      </c>
      <c r="Q1061" s="29">
        <f>IF(Dataset!K1061&lt;5,0.2,IF(Dataset!K1061&lt;10,0.45,IF(Dataset!K1061&lt;18,0.7,0.9)))</f>
        <v>0.7</v>
      </c>
      <c r="R1061" s="29">
        <f>IF(Dataset!K1061&lt;5,1,IF(Dataset!K1061&lt;10,2,IF(Dataset!K1061&lt;18,3,4)))</f>
        <v>3</v>
      </c>
      <c r="S1061" s="29">
        <f t="shared" si="133"/>
        <v>2.0999999999999996</v>
      </c>
      <c r="T1061" s="29">
        <f t="shared" si="134"/>
        <v>2.0910000000000002</v>
      </c>
      <c r="U1061" s="29" t="str">
        <f t="shared" si="135"/>
        <v>High</v>
      </c>
    </row>
    <row r="1062" spans="1:21" ht="15" customHeight="1" x14ac:dyDescent="0.25">
      <c r="A1062" s="29">
        <f>Dataset!A1062</f>
        <v>1058</v>
      </c>
      <c r="B1062" s="29">
        <f>IF(Dataset!B1062&lt;25,0.3,IF(Dataset!B1062&lt;75,0.5,IF(Dataset!B1062&lt;120,0.65,0.8)))</f>
        <v>0.8</v>
      </c>
      <c r="C1062" s="29">
        <f>IF(Dataset!B1062&lt;25,1,IF(Dataset!B1062&lt;75,2,IF(Dataset!B1062&lt;120,3,4)))</f>
        <v>4</v>
      </c>
      <c r="D1062" s="29">
        <f t="shared" si="128"/>
        <v>3.2</v>
      </c>
      <c r="E1062" s="29">
        <f>IF(Dataset!C1062&lt;=1,0.3,IF(Dataset!C1062=2,0.4,IF(Dataset!C1062=3,0.5,IF(Dataset!C1062=4,0.65,0.8))))</f>
        <v>0.8</v>
      </c>
      <c r="F1062" s="29">
        <f>IF(Dataset!C1062&lt;=2,1,IF(Dataset!C1062=3,2,IF(Dataset!C1062=4,3,4)))</f>
        <v>4</v>
      </c>
      <c r="G1062" s="29">
        <f t="shared" si="129"/>
        <v>3.2</v>
      </c>
      <c r="H1062" s="29">
        <f>IF(Dataset!G1062&lt;=3,0.25,IF(Dataset!G1062&lt;=6,0.45,IF(Dataset!G1062&lt;=9,0.65,0.85)))</f>
        <v>0.45</v>
      </c>
      <c r="I1062" s="29">
        <f>IF(Dataset!G1062&lt;=3,1,IF(Dataset!G1062&lt;=6,2,IF(Dataset!G1062&lt;=9,3,4)))</f>
        <v>2</v>
      </c>
      <c r="J1062" s="29">
        <f t="shared" si="130"/>
        <v>0.9</v>
      </c>
      <c r="K1062" s="29">
        <f>IF(Dataset!H1062&lt;1,0.2,IF(Dataset!H1062&lt;1.3,0.45,IF(Dataset!H1062&lt;1.8,0.7,0.9)))</f>
        <v>0.7</v>
      </c>
      <c r="L1062" s="29">
        <f>IF(Dataset!H1062&lt;1,1,IF(Dataset!H1062&lt;1.3,2,IF(Dataset!H1062&lt;1.8,3,4)))</f>
        <v>3</v>
      </c>
      <c r="M1062" s="29">
        <f t="shared" si="131"/>
        <v>2.0999999999999996</v>
      </c>
      <c r="N1062" s="29">
        <f>IF(Dataset!F1062=1,0.75,IF(Dataset!F1062=2,0.45,0.2))</f>
        <v>0.45</v>
      </c>
      <c r="O1062" s="29">
        <f>IF(Dataset!F1062=1,3,IF(Dataset!F1062=2,2,1))</f>
        <v>2</v>
      </c>
      <c r="P1062" s="29">
        <f t="shared" si="132"/>
        <v>0.9</v>
      </c>
      <c r="Q1062" s="29">
        <f>IF(Dataset!K1062&lt;5,0.2,IF(Dataset!K1062&lt;10,0.45,IF(Dataset!K1062&lt;18,0.7,0.9)))</f>
        <v>0.7</v>
      </c>
      <c r="R1062" s="29">
        <f>IF(Dataset!K1062&lt;5,1,IF(Dataset!K1062&lt;10,2,IF(Dataset!K1062&lt;18,3,4)))</f>
        <v>3</v>
      </c>
      <c r="S1062" s="29">
        <f t="shared" si="133"/>
        <v>2.0999999999999996</v>
      </c>
      <c r="T1062" s="29">
        <f t="shared" si="134"/>
        <v>2.0919999999999996</v>
      </c>
      <c r="U1062" s="29" t="str">
        <f t="shared" si="135"/>
        <v>High</v>
      </c>
    </row>
    <row r="1063" spans="1:21" ht="15" customHeight="1" x14ac:dyDescent="0.25">
      <c r="A1063" s="29">
        <f>Dataset!A1063</f>
        <v>1059</v>
      </c>
      <c r="B1063" s="29">
        <f>IF(Dataset!B1063&lt;25,0.3,IF(Dataset!B1063&lt;75,0.5,IF(Dataset!B1063&lt;120,0.65,0.8)))</f>
        <v>0.5</v>
      </c>
      <c r="C1063" s="29">
        <f>IF(Dataset!B1063&lt;25,1,IF(Dataset!B1063&lt;75,2,IF(Dataset!B1063&lt;120,3,4)))</f>
        <v>2</v>
      </c>
      <c r="D1063" s="29">
        <f t="shared" si="128"/>
        <v>1</v>
      </c>
      <c r="E1063" s="29">
        <f>IF(Dataset!C1063&lt;=1,0.3,IF(Dataset!C1063=2,0.4,IF(Dataset!C1063=3,0.5,IF(Dataset!C1063=4,0.65,0.8))))</f>
        <v>0.5</v>
      </c>
      <c r="F1063" s="29">
        <f>IF(Dataset!C1063&lt;=2,1,IF(Dataset!C1063=3,2,IF(Dataset!C1063=4,3,4)))</f>
        <v>2</v>
      </c>
      <c r="G1063" s="29">
        <f t="shared" si="129"/>
        <v>1</v>
      </c>
      <c r="H1063" s="29">
        <f>IF(Dataset!G1063&lt;=3,0.25,IF(Dataset!G1063&lt;=6,0.45,IF(Dataset!G1063&lt;=9,0.65,0.85)))</f>
        <v>0.25</v>
      </c>
      <c r="I1063" s="29">
        <f>IF(Dataset!G1063&lt;=3,1,IF(Dataset!G1063&lt;=6,2,IF(Dataset!G1063&lt;=9,3,4)))</f>
        <v>1</v>
      </c>
      <c r="J1063" s="29">
        <f t="shared" si="130"/>
        <v>0.25</v>
      </c>
      <c r="K1063" s="29">
        <f>IF(Dataset!H1063&lt;1,0.2,IF(Dataset!H1063&lt;1.3,0.45,IF(Dataset!H1063&lt;1.8,0.7,0.9)))</f>
        <v>0.45</v>
      </c>
      <c r="L1063" s="29">
        <f>IF(Dataset!H1063&lt;1,1,IF(Dataset!H1063&lt;1.3,2,IF(Dataset!H1063&lt;1.8,3,4)))</f>
        <v>2</v>
      </c>
      <c r="M1063" s="29">
        <f t="shared" si="131"/>
        <v>0.9</v>
      </c>
      <c r="N1063" s="29">
        <f>IF(Dataset!F1063=1,0.75,IF(Dataset!F1063=2,0.45,0.2))</f>
        <v>0.2</v>
      </c>
      <c r="O1063" s="29">
        <f>IF(Dataset!F1063=1,3,IF(Dataset!F1063=2,2,1))</f>
        <v>1</v>
      </c>
      <c r="P1063" s="29">
        <f t="shared" si="132"/>
        <v>0.2</v>
      </c>
      <c r="Q1063" s="29">
        <f>IF(Dataset!K1063&lt;5,0.2,IF(Dataset!K1063&lt;10,0.45,IF(Dataset!K1063&lt;18,0.7,0.9)))</f>
        <v>0.45</v>
      </c>
      <c r="R1063" s="29">
        <f>IF(Dataset!K1063&lt;5,1,IF(Dataset!K1063&lt;10,2,IF(Dataset!K1063&lt;18,3,4)))</f>
        <v>2</v>
      </c>
      <c r="S1063" s="29">
        <f t="shared" si="133"/>
        <v>0.9</v>
      </c>
      <c r="T1063" s="29">
        <f t="shared" si="134"/>
        <v>0.73199999999999998</v>
      </c>
      <c r="U1063" s="29" t="str">
        <f t="shared" si="135"/>
        <v>Low</v>
      </c>
    </row>
    <row r="1064" spans="1:21" ht="15" customHeight="1" x14ac:dyDescent="0.25">
      <c r="A1064" s="29">
        <f>Dataset!A1064</f>
        <v>1060</v>
      </c>
      <c r="B1064" s="29">
        <f>IF(Dataset!B1064&lt;25,0.3,IF(Dataset!B1064&lt;75,0.5,IF(Dataset!B1064&lt;120,0.65,0.8)))</f>
        <v>0.5</v>
      </c>
      <c r="C1064" s="29">
        <f>IF(Dataset!B1064&lt;25,1,IF(Dataset!B1064&lt;75,2,IF(Dataset!B1064&lt;120,3,4)))</f>
        <v>2</v>
      </c>
      <c r="D1064" s="29">
        <f t="shared" si="128"/>
        <v>1</v>
      </c>
      <c r="E1064" s="29">
        <f>IF(Dataset!C1064&lt;=1,0.3,IF(Dataset!C1064=2,0.4,IF(Dataset!C1064=3,0.5,IF(Dataset!C1064=4,0.65,0.8))))</f>
        <v>0.65</v>
      </c>
      <c r="F1064" s="29">
        <f>IF(Dataset!C1064&lt;=2,1,IF(Dataset!C1064=3,2,IF(Dataset!C1064=4,3,4)))</f>
        <v>3</v>
      </c>
      <c r="G1064" s="29">
        <f t="shared" si="129"/>
        <v>1.9500000000000002</v>
      </c>
      <c r="H1064" s="29">
        <f>IF(Dataset!G1064&lt;=3,0.25,IF(Dataset!G1064&lt;=6,0.45,IF(Dataset!G1064&lt;=9,0.65,0.85)))</f>
        <v>0.45</v>
      </c>
      <c r="I1064" s="29">
        <f>IF(Dataset!G1064&lt;=3,1,IF(Dataset!G1064&lt;=6,2,IF(Dataset!G1064&lt;=9,3,4)))</f>
        <v>2</v>
      </c>
      <c r="J1064" s="29">
        <f t="shared" si="130"/>
        <v>0.9</v>
      </c>
      <c r="K1064" s="29">
        <f>IF(Dataset!H1064&lt;1,0.2,IF(Dataset!H1064&lt;1.3,0.45,IF(Dataset!H1064&lt;1.8,0.7,0.9)))</f>
        <v>0.45</v>
      </c>
      <c r="L1064" s="29">
        <f>IF(Dataset!H1064&lt;1,1,IF(Dataset!H1064&lt;1.3,2,IF(Dataset!H1064&lt;1.8,3,4)))</f>
        <v>2</v>
      </c>
      <c r="M1064" s="29">
        <f t="shared" si="131"/>
        <v>0.9</v>
      </c>
      <c r="N1064" s="29">
        <f>IF(Dataset!F1064=1,0.75,IF(Dataset!F1064=2,0.45,0.2))</f>
        <v>0.75</v>
      </c>
      <c r="O1064" s="29">
        <f>IF(Dataset!F1064=1,3,IF(Dataset!F1064=2,2,1))</f>
        <v>3</v>
      </c>
      <c r="P1064" s="29">
        <f t="shared" si="132"/>
        <v>2.25</v>
      </c>
      <c r="Q1064" s="29">
        <f>IF(Dataset!K1064&lt;5,0.2,IF(Dataset!K1064&lt;10,0.45,IF(Dataset!K1064&lt;18,0.7,0.9)))</f>
        <v>0.7</v>
      </c>
      <c r="R1064" s="29">
        <f>IF(Dataset!K1064&lt;5,1,IF(Dataset!K1064&lt;10,2,IF(Dataset!K1064&lt;18,3,4)))</f>
        <v>3</v>
      </c>
      <c r="S1064" s="29">
        <f t="shared" si="133"/>
        <v>2.0999999999999996</v>
      </c>
      <c r="T1064" s="29">
        <f t="shared" si="134"/>
        <v>1.3680000000000001</v>
      </c>
      <c r="U1064" s="29" t="str">
        <f t="shared" si="135"/>
        <v>Medium</v>
      </c>
    </row>
    <row r="1065" spans="1:21" ht="15" customHeight="1" x14ac:dyDescent="0.25">
      <c r="A1065" s="29">
        <f>Dataset!A1065</f>
        <v>1061</v>
      </c>
      <c r="B1065" s="29">
        <f>IF(Dataset!B1065&lt;25,0.3,IF(Dataset!B1065&lt;75,0.5,IF(Dataset!B1065&lt;120,0.65,0.8)))</f>
        <v>0.5</v>
      </c>
      <c r="C1065" s="29">
        <f>IF(Dataset!B1065&lt;25,1,IF(Dataset!B1065&lt;75,2,IF(Dataset!B1065&lt;120,3,4)))</f>
        <v>2</v>
      </c>
      <c r="D1065" s="29">
        <f t="shared" si="128"/>
        <v>1</v>
      </c>
      <c r="E1065" s="29">
        <f>IF(Dataset!C1065&lt;=1,0.3,IF(Dataset!C1065=2,0.4,IF(Dataset!C1065=3,0.5,IF(Dataset!C1065=4,0.65,0.8))))</f>
        <v>0.65</v>
      </c>
      <c r="F1065" s="29">
        <f>IF(Dataset!C1065&lt;=2,1,IF(Dataset!C1065=3,2,IF(Dataset!C1065=4,3,4)))</f>
        <v>3</v>
      </c>
      <c r="G1065" s="29">
        <f t="shared" si="129"/>
        <v>1.9500000000000002</v>
      </c>
      <c r="H1065" s="29">
        <f>IF(Dataset!G1065&lt;=3,0.25,IF(Dataset!G1065&lt;=6,0.45,IF(Dataset!G1065&lt;=9,0.65,0.85)))</f>
        <v>0.45</v>
      </c>
      <c r="I1065" s="29">
        <f>IF(Dataset!G1065&lt;=3,1,IF(Dataset!G1065&lt;=6,2,IF(Dataset!G1065&lt;=9,3,4)))</f>
        <v>2</v>
      </c>
      <c r="J1065" s="29">
        <f t="shared" si="130"/>
        <v>0.9</v>
      </c>
      <c r="K1065" s="29">
        <f>IF(Dataset!H1065&lt;1,0.2,IF(Dataset!H1065&lt;1.3,0.45,IF(Dataset!H1065&lt;1.8,0.7,0.9)))</f>
        <v>0.7</v>
      </c>
      <c r="L1065" s="29">
        <f>IF(Dataset!H1065&lt;1,1,IF(Dataset!H1065&lt;1.3,2,IF(Dataset!H1065&lt;1.8,3,4)))</f>
        <v>3</v>
      </c>
      <c r="M1065" s="29">
        <f t="shared" si="131"/>
        <v>2.0999999999999996</v>
      </c>
      <c r="N1065" s="29">
        <f>IF(Dataset!F1065=1,0.75,IF(Dataset!F1065=2,0.45,0.2))</f>
        <v>0.75</v>
      </c>
      <c r="O1065" s="29">
        <f>IF(Dataset!F1065=1,3,IF(Dataset!F1065=2,2,1))</f>
        <v>3</v>
      </c>
      <c r="P1065" s="29">
        <f t="shared" si="132"/>
        <v>2.25</v>
      </c>
      <c r="Q1065" s="29">
        <f>IF(Dataset!K1065&lt;5,0.2,IF(Dataset!K1065&lt;10,0.45,IF(Dataset!K1065&lt;18,0.7,0.9)))</f>
        <v>0.45</v>
      </c>
      <c r="R1065" s="29">
        <f>IF(Dataset!K1065&lt;5,1,IF(Dataset!K1065&lt;10,2,IF(Dataset!K1065&lt;18,3,4)))</f>
        <v>2</v>
      </c>
      <c r="S1065" s="29">
        <f t="shared" si="133"/>
        <v>0.9</v>
      </c>
      <c r="T1065" s="29">
        <f t="shared" si="134"/>
        <v>1.4880000000000002</v>
      </c>
      <c r="U1065" s="29" t="str">
        <f t="shared" si="135"/>
        <v>Medium</v>
      </c>
    </row>
    <row r="1066" spans="1:21" ht="15" customHeight="1" x14ac:dyDescent="0.25">
      <c r="A1066" s="29">
        <f>Dataset!A1066</f>
        <v>1062</v>
      </c>
      <c r="B1066" s="29">
        <f>IF(Dataset!B1066&lt;25,0.3,IF(Dataset!B1066&lt;75,0.5,IF(Dataset!B1066&lt;120,0.65,0.8)))</f>
        <v>0.5</v>
      </c>
      <c r="C1066" s="29">
        <f>IF(Dataset!B1066&lt;25,1,IF(Dataset!B1066&lt;75,2,IF(Dataset!B1066&lt;120,3,4)))</f>
        <v>2</v>
      </c>
      <c r="D1066" s="29">
        <f t="shared" si="128"/>
        <v>1</v>
      </c>
      <c r="E1066" s="29">
        <f>IF(Dataset!C1066&lt;=1,0.3,IF(Dataset!C1066=2,0.4,IF(Dataset!C1066=3,0.5,IF(Dataset!C1066=4,0.65,0.8))))</f>
        <v>0.65</v>
      </c>
      <c r="F1066" s="29">
        <f>IF(Dataset!C1066&lt;=2,1,IF(Dataset!C1066=3,2,IF(Dataset!C1066=4,3,4)))</f>
        <v>3</v>
      </c>
      <c r="G1066" s="29">
        <f t="shared" si="129"/>
        <v>1.9500000000000002</v>
      </c>
      <c r="H1066" s="29">
        <f>IF(Dataset!G1066&lt;=3,0.25,IF(Dataset!G1066&lt;=6,0.45,IF(Dataset!G1066&lt;=9,0.65,0.85)))</f>
        <v>0.45</v>
      </c>
      <c r="I1066" s="29">
        <f>IF(Dataset!G1066&lt;=3,1,IF(Dataset!G1066&lt;=6,2,IF(Dataset!G1066&lt;=9,3,4)))</f>
        <v>2</v>
      </c>
      <c r="J1066" s="29">
        <f t="shared" si="130"/>
        <v>0.9</v>
      </c>
      <c r="K1066" s="29">
        <f>IF(Dataset!H1066&lt;1,0.2,IF(Dataset!H1066&lt;1.3,0.45,IF(Dataset!H1066&lt;1.8,0.7,0.9)))</f>
        <v>0.2</v>
      </c>
      <c r="L1066" s="29">
        <f>IF(Dataset!H1066&lt;1,1,IF(Dataset!H1066&lt;1.3,2,IF(Dataset!H1066&lt;1.8,3,4)))</f>
        <v>1</v>
      </c>
      <c r="M1066" s="29">
        <f t="shared" si="131"/>
        <v>0.2</v>
      </c>
      <c r="N1066" s="29">
        <f>IF(Dataset!F1066=1,0.75,IF(Dataset!F1066=2,0.45,0.2))</f>
        <v>0.75</v>
      </c>
      <c r="O1066" s="29">
        <f>IF(Dataset!F1066=1,3,IF(Dataset!F1066=2,2,1))</f>
        <v>3</v>
      </c>
      <c r="P1066" s="29">
        <f t="shared" si="132"/>
        <v>2.25</v>
      </c>
      <c r="Q1066" s="29">
        <f>IF(Dataset!K1066&lt;5,0.2,IF(Dataset!K1066&lt;10,0.45,IF(Dataset!K1066&lt;18,0.7,0.9)))</f>
        <v>0.7</v>
      </c>
      <c r="R1066" s="29">
        <f>IF(Dataset!K1066&lt;5,1,IF(Dataset!K1066&lt;10,2,IF(Dataset!K1066&lt;18,3,4)))</f>
        <v>3</v>
      </c>
      <c r="S1066" s="29">
        <f t="shared" si="133"/>
        <v>2.0999999999999996</v>
      </c>
      <c r="T1066" s="29">
        <f t="shared" si="134"/>
        <v>1.2000000000000002</v>
      </c>
      <c r="U1066" s="29" t="str">
        <f t="shared" si="135"/>
        <v>Low</v>
      </c>
    </row>
    <row r="1067" spans="1:21" ht="15" customHeight="1" x14ac:dyDescent="0.25">
      <c r="A1067" s="29">
        <f>Dataset!A1067</f>
        <v>1063</v>
      </c>
      <c r="B1067" s="29">
        <f>IF(Dataset!B1067&lt;25,0.3,IF(Dataset!B1067&lt;75,0.5,IF(Dataset!B1067&lt;120,0.65,0.8)))</f>
        <v>0.5</v>
      </c>
      <c r="C1067" s="29">
        <f>IF(Dataset!B1067&lt;25,1,IF(Dataset!B1067&lt;75,2,IF(Dataset!B1067&lt;120,3,4)))</f>
        <v>2</v>
      </c>
      <c r="D1067" s="29">
        <f t="shared" si="128"/>
        <v>1</v>
      </c>
      <c r="E1067" s="29">
        <f>IF(Dataset!C1067&lt;=1,0.3,IF(Dataset!C1067=2,0.4,IF(Dataset!C1067=3,0.5,IF(Dataset!C1067=4,0.65,0.8))))</f>
        <v>0.8</v>
      </c>
      <c r="F1067" s="29">
        <f>IF(Dataset!C1067&lt;=2,1,IF(Dataset!C1067=3,2,IF(Dataset!C1067=4,3,4)))</f>
        <v>4</v>
      </c>
      <c r="G1067" s="29">
        <f t="shared" si="129"/>
        <v>3.2</v>
      </c>
      <c r="H1067" s="29">
        <f>IF(Dataset!G1067&lt;=3,0.25,IF(Dataset!G1067&lt;=6,0.45,IF(Dataset!G1067&lt;=9,0.65,0.85)))</f>
        <v>0.65</v>
      </c>
      <c r="I1067" s="29">
        <f>IF(Dataset!G1067&lt;=3,1,IF(Dataset!G1067&lt;=6,2,IF(Dataset!G1067&lt;=9,3,4)))</f>
        <v>3</v>
      </c>
      <c r="J1067" s="29">
        <f t="shared" si="130"/>
        <v>1.9500000000000002</v>
      </c>
      <c r="K1067" s="29">
        <f>IF(Dataset!H1067&lt;1,0.2,IF(Dataset!H1067&lt;1.3,0.45,IF(Dataset!H1067&lt;1.8,0.7,0.9)))</f>
        <v>0.45</v>
      </c>
      <c r="L1067" s="29">
        <f>IF(Dataset!H1067&lt;1,1,IF(Dataset!H1067&lt;1.3,2,IF(Dataset!H1067&lt;1.8,3,4)))</f>
        <v>2</v>
      </c>
      <c r="M1067" s="29">
        <f t="shared" si="131"/>
        <v>0.9</v>
      </c>
      <c r="N1067" s="29">
        <f>IF(Dataset!F1067=1,0.75,IF(Dataset!F1067=2,0.45,0.2))</f>
        <v>0.45</v>
      </c>
      <c r="O1067" s="29">
        <f>IF(Dataset!F1067=1,3,IF(Dataset!F1067=2,2,1))</f>
        <v>2</v>
      </c>
      <c r="P1067" s="29">
        <f t="shared" si="132"/>
        <v>0.9</v>
      </c>
      <c r="Q1067" s="29">
        <f>IF(Dataset!K1067&lt;5,0.2,IF(Dataset!K1067&lt;10,0.45,IF(Dataset!K1067&lt;18,0.7,0.9)))</f>
        <v>0.9</v>
      </c>
      <c r="R1067" s="29">
        <f>IF(Dataset!K1067&lt;5,1,IF(Dataset!K1067&lt;10,2,IF(Dataset!K1067&lt;18,3,4)))</f>
        <v>4</v>
      </c>
      <c r="S1067" s="29">
        <f t="shared" si="133"/>
        <v>3.6</v>
      </c>
      <c r="T1067" s="29">
        <f t="shared" si="134"/>
        <v>1.8280000000000003</v>
      </c>
      <c r="U1067" s="29" t="str">
        <f t="shared" si="135"/>
        <v>High</v>
      </c>
    </row>
    <row r="1068" spans="1:21" ht="15" customHeight="1" x14ac:dyDescent="0.25">
      <c r="A1068" s="29">
        <f>Dataset!A1068</f>
        <v>1064</v>
      </c>
      <c r="B1068" s="29">
        <f>IF(Dataset!B1068&lt;25,0.3,IF(Dataset!B1068&lt;75,0.5,IF(Dataset!B1068&lt;120,0.65,0.8)))</f>
        <v>0.5</v>
      </c>
      <c r="C1068" s="29">
        <f>IF(Dataset!B1068&lt;25,1,IF(Dataset!B1068&lt;75,2,IF(Dataset!B1068&lt;120,3,4)))</f>
        <v>2</v>
      </c>
      <c r="D1068" s="29">
        <f t="shared" si="128"/>
        <v>1</v>
      </c>
      <c r="E1068" s="29">
        <f>IF(Dataset!C1068&lt;=1,0.3,IF(Dataset!C1068=2,0.4,IF(Dataset!C1068=3,0.5,IF(Dataset!C1068=4,0.65,0.8))))</f>
        <v>0.65</v>
      </c>
      <c r="F1068" s="29">
        <f>IF(Dataset!C1068&lt;=2,1,IF(Dataset!C1068=3,2,IF(Dataset!C1068=4,3,4)))</f>
        <v>3</v>
      </c>
      <c r="G1068" s="29">
        <f t="shared" si="129"/>
        <v>1.9500000000000002</v>
      </c>
      <c r="H1068" s="29">
        <f>IF(Dataset!G1068&lt;=3,0.25,IF(Dataset!G1068&lt;=6,0.45,IF(Dataset!G1068&lt;=9,0.65,0.85)))</f>
        <v>0.45</v>
      </c>
      <c r="I1068" s="29">
        <f>IF(Dataset!G1068&lt;=3,1,IF(Dataset!G1068&lt;=6,2,IF(Dataset!G1068&lt;=9,3,4)))</f>
        <v>2</v>
      </c>
      <c r="J1068" s="29">
        <f t="shared" si="130"/>
        <v>0.9</v>
      </c>
      <c r="K1068" s="29">
        <f>IF(Dataset!H1068&lt;1,0.2,IF(Dataset!H1068&lt;1.3,0.45,IF(Dataset!H1068&lt;1.8,0.7,0.9)))</f>
        <v>0.9</v>
      </c>
      <c r="L1068" s="29">
        <f>IF(Dataset!H1068&lt;1,1,IF(Dataset!H1068&lt;1.3,2,IF(Dataset!H1068&lt;1.8,3,4)))</f>
        <v>4</v>
      </c>
      <c r="M1068" s="29">
        <f t="shared" si="131"/>
        <v>3.6</v>
      </c>
      <c r="N1068" s="29">
        <f>IF(Dataset!F1068=1,0.75,IF(Dataset!F1068=2,0.45,0.2))</f>
        <v>0.45</v>
      </c>
      <c r="O1068" s="29">
        <f>IF(Dataset!F1068=1,3,IF(Dataset!F1068=2,2,1))</f>
        <v>2</v>
      </c>
      <c r="P1068" s="29">
        <f t="shared" si="132"/>
        <v>0.9</v>
      </c>
      <c r="Q1068" s="29">
        <f>IF(Dataset!K1068&lt;5,0.2,IF(Dataset!K1068&lt;10,0.45,IF(Dataset!K1068&lt;18,0.7,0.9)))</f>
        <v>0.45</v>
      </c>
      <c r="R1068" s="29">
        <f>IF(Dataset!K1068&lt;5,1,IF(Dataset!K1068&lt;10,2,IF(Dataset!K1068&lt;18,3,4)))</f>
        <v>2</v>
      </c>
      <c r="S1068" s="29">
        <f t="shared" si="133"/>
        <v>0.9</v>
      </c>
      <c r="T1068" s="29">
        <f t="shared" si="134"/>
        <v>1.7130000000000003</v>
      </c>
      <c r="U1068" s="29" t="str">
        <f t="shared" si="135"/>
        <v>Medium</v>
      </c>
    </row>
    <row r="1069" spans="1:21" ht="15" customHeight="1" x14ac:dyDescent="0.25">
      <c r="A1069" s="29">
        <f>Dataset!A1069</f>
        <v>1065</v>
      </c>
      <c r="B1069" s="29">
        <f>IF(Dataset!B1069&lt;25,0.3,IF(Dataset!B1069&lt;75,0.5,IF(Dataset!B1069&lt;120,0.65,0.8)))</f>
        <v>0.65</v>
      </c>
      <c r="C1069" s="29">
        <f>IF(Dataset!B1069&lt;25,1,IF(Dataset!B1069&lt;75,2,IF(Dataset!B1069&lt;120,3,4)))</f>
        <v>3</v>
      </c>
      <c r="D1069" s="29">
        <f t="shared" si="128"/>
        <v>1.9500000000000002</v>
      </c>
      <c r="E1069" s="29">
        <f>IF(Dataset!C1069&lt;=1,0.3,IF(Dataset!C1069=2,0.4,IF(Dataset!C1069=3,0.5,IF(Dataset!C1069=4,0.65,0.8))))</f>
        <v>0.8</v>
      </c>
      <c r="F1069" s="29">
        <f>IF(Dataset!C1069&lt;=2,1,IF(Dataset!C1069=3,2,IF(Dataset!C1069=4,3,4)))</f>
        <v>4</v>
      </c>
      <c r="G1069" s="29">
        <f t="shared" si="129"/>
        <v>3.2</v>
      </c>
      <c r="H1069" s="29">
        <f>IF(Dataset!G1069&lt;=3,0.25,IF(Dataset!G1069&lt;=6,0.45,IF(Dataset!G1069&lt;=9,0.65,0.85)))</f>
        <v>0.65</v>
      </c>
      <c r="I1069" s="29">
        <f>IF(Dataset!G1069&lt;=3,1,IF(Dataset!G1069&lt;=6,2,IF(Dataset!G1069&lt;=9,3,4)))</f>
        <v>3</v>
      </c>
      <c r="J1069" s="29">
        <f t="shared" si="130"/>
        <v>1.9500000000000002</v>
      </c>
      <c r="K1069" s="29">
        <f>IF(Dataset!H1069&lt;1,0.2,IF(Dataset!H1069&lt;1.3,0.45,IF(Dataset!H1069&lt;1.8,0.7,0.9)))</f>
        <v>0.9</v>
      </c>
      <c r="L1069" s="29">
        <f>IF(Dataset!H1069&lt;1,1,IF(Dataset!H1069&lt;1.3,2,IF(Dataset!H1069&lt;1.8,3,4)))</f>
        <v>4</v>
      </c>
      <c r="M1069" s="29">
        <f t="shared" si="131"/>
        <v>3.6</v>
      </c>
      <c r="N1069" s="29">
        <f>IF(Dataset!F1069=1,0.75,IF(Dataset!F1069=2,0.45,0.2))</f>
        <v>0.75</v>
      </c>
      <c r="O1069" s="29">
        <f>IF(Dataset!F1069=1,3,IF(Dataset!F1069=2,2,1))</f>
        <v>3</v>
      </c>
      <c r="P1069" s="29">
        <f t="shared" si="132"/>
        <v>2.25</v>
      </c>
      <c r="Q1069" s="29">
        <f>IF(Dataset!K1069&lt;5,0.2,IF(Dataset!K1069&lt;10,0.45,IF(Dataset!K1069&lt;18,0.7,0.9)))</f>
        <v>0.9</v>
      </c>
      <c r="R1069" s="29">
        <f>IF(Dataset!K1069&lt;5,1,IF(Dataset!K1069&lt;10,2,IF(Dataset!K1069&lt;18,3,4)))</f>
        <v>4</v>
      </c>
      <c r="S1069" s="29">
        <f t="shared" si="133"/>
        <v>3.6</v>
      </c>
      <c r="T1069" s="29">
        <f t="shared" si="134"/>
        <v>2.7820000000000005</v>
      </c>
      <c r="U1069" s="29" t="str">
        <f t="shared" si="135"/>
        <v>High</v>
      </c>
    </row>
    <row r="1070" spans="1:21" ht="15" customHeight="1" x14ac:dyDescent="0.25">
      <c r="A1070" s="29">
        <f>Dataset!A1070</f>
        <v>1066</v>
      </c>
      <c r="B1070" s="29">
        <f>IF(Dataset!B1070&lt;25,0.3,IF(Dataset!B1070&lt;75,0.5,IF(Dataset!B1070&lt;120,0.65,0.8)))</f>
        <v>0.65</v>
      </c>
      <c r="C1070" s="29">
        <f>IF(Dataset!B1070&lt;25,1,IF(Dataset!B1070&lt;75,2,IF(Dataset!B1070&lt;120,3,4)))</f>
        <v>3</v>
      </c>
      <c r="D1070" s="29">
        <f t="shared" si="128"/>
        <v>1.9500000000000002</v>
      </c>
      <c r="E1070" s="29">
        <f>IF(Dataset!C1070&lt;=1,0.3,IF(Dataset!C1070=2,0.4,IF(Dataset!C1070=3,0.5,IF(Dataset!C1070=4,0.65,0.8))))</f>
        <v>0.65</v>
      </c>
      <c r="F1070" s="29">
        <f>IF(Dataset!C1070&lt;=2,1,IF(Dataset!C1070=3,2,IF(Dataset!C1070=4,3,4)))</f>
        <v>3</v>
      </c>
      <c r="G1070" s="29">
        <f t="shared" si="129"/>
        <v>1.9500000000000002</v>
      </c>
      <c r="H1070" s="29">
        <f>IF(Dataset!G1070&lt;=3,0.25,IF(Dataset!G1070&lt;=6,0.45,IF(Dataset!G1070&lt;=9,0.65,0.85)))</f>
        <v>0.65</v>
      </c>
      <c r="I1070" s="29">
        <f>IF(Dataset!G1070&lt;=3,1,IF(Dataset!G1070&lt;=6,2,IF(Dataset!G1070&lt;=9,3,4)))</f>
        <v>3</v>
      </c>
      <c r="J1070" s="29">
        <f t="shared" si="130"/>
        <v>1.9500000000000002</v>
      </c>
      <c r="K1070" s="29">
        <f>IF(Dataset!H1070&lt;1,0.2,IF(Dataset!H1070&lt;1.3,0.45,IF(Dataset!H1070&lt;1.8,0.7,0.9)))</f>
        <v>0.45</v>
      </c>
      <c r="L1070" s="29">
        <f>IF(Dataset!H1070&lt;1,1,IF(Dataset!H1070&lt;1.3,2,IF(Dataset!H1070&lt;1.8,3,4)))</f>
        <v>2</v>
      </c>
      <c r="M1070" s="29">
        <f t="shared" si="131"/>
        <v>0.9</v>
      </c>
      <c r="N1070" s="29">
        <f>IF(Dataset!F1070=1,0.75,IF(Dataset!F1070=2,0.45,0.2))</f>
        <v>0.45</v>
      </c>
      <c r="O1070" s="29">
        <f>IF(Dataset!F1070=1,3,IF(Dataset!F1070=2,2,1))</f>
        <v>2</v>
      </c>
      <c r="P1070" s="29">
        <f t="shared" si="132"/>
        <v>0.9</v>
      </c>
      <c r="Q1070" s="29">
        <f>IF(Dataset!K1070&lt;5,0.2,IF(Dataset!K1070&lt;10,0.45,IF(Dataset!K1070&lt;18,0.7,0.9)))</f>
        <v>0.45</v>
      </c>
      <c r="R1070" s="29">
        <f>IF(Dataset!K1070&lt;5,1,IF(Dataset!K1070&lt;10,2,IF(Dataset!K1070&lt;18,3,4)))</f>
        <v>2</v>
      </c>
      <c r="S1070" s="29">
        <f t="shared" si="133"/>
        <v>0.9</v>
      </c>
      <c r="T1070" s="29">
        <f t="shared" si="134"/>
        <v>1.4460000000000004</v>
      </c>
      <c r="U1070" s="29" t="str">
        <f t="shared" si="135"/>
        <v>Medium</v>
      </c>
    </row>
    <row r="1071" spans="1:21" ht="15" customHeight="1" x14ac:dyDescent="0.25">
      <c r="A1071" s="29">
        <f>Dataset!A1071</f>
        <v>1067</v>
      </c>
      <c r="B1071" s="29">
        <f>IF(Dataset!B1071&lt;25,0.3,IF(Dataset!B1071&lt;75,0.5,IF(Dataset!B1071&lt;120,0.65,0.8)))</f>
        <v>0.5</v>
      </c>
      <c r="C1071" s="29">
        <f>IF(Dataset!B1071&lt;25,1,IF(Dataset!B1071&lt;75,2,IF(Dataset!B1071&lt;120,3,4)))</f>
        <v>2</v>
      </c>
      <c r="D1071" s="29">
        <f t="shared" si="128"/>
        <v>1</v>
      </c>
      <c r="E1071" s="29">
        <f>IF(Dataset!C1071&lt;=1,0.3,IF(Dataset!C1071=2,0.4,IF(Dataset!C1071=3,0.5,IF(Dataset!C1071=4,0.65,0.8))))</f>
        <v>0.4</v>
      </c>
      <c r="F1071" s="29">
        <f>IF(Dataset!C1071&lt;=2,1,IF(Dataset!C1071=3,2,IF(Dataset!C1071=4,3,4)))</f>
        <v>1</v>
      </c>
      <c r="G1071" s="29">
        <f t="shared" si="129"/>
        <v>0.4</v>
      </c>
      <c r="H1071" s="29">
        <f>IF(Dataset!G1071&lt;=3,0.25,IF(Dataset!G1071&lt;=6,0.45,IF(Dataset!G1071&lt;=9,0.65,0.85)))</f>
        <v>0.45</v>
      </c>
      <c r="I1071" s="29">
        <f>IF(Dataset!G1071&lt;=3,1,IF(Dataset!G1071&lt;=6,2,IF(Dataset!G1071&lt;=9,3,4)))</f>
        <v>2</v>
      </c>
      <c r="J1071" s="29">
        <f t="shared" si="130"/>
        <v>0.9</v>
      </c>
      <c r="K1071" s="29">
        <f>IF(Dataset!H1071&lt;1,0.2,IF(Dataset!H1071&lt;1.3,0.45,IF(Dataset!H1071&lt;1.8,0.7,0.9)))</f>
        <v>0.9</v>
      </c>
      <c r="L1071" s="29">
        <f>IF(Dataset!H1071&lt;1,1,IF(Dataset!H1071&lt;1.3,2,IF(Dataset!H1071&lt;1.8,3,4)))</f>
        <v>4</v>
      </c>
      <c r="M1071" s="29">
        <f t="shared" si="131"/>
        <v>3.6</v>
      </c>
      <c r="N1071" s="29">
        <f>IF(Dataset!F1071=1,0.75,IF(Dataset!F1071=2,0.45,0.2))</f>
        <v>0.45</v>
      </c>
      <c r="O1071" s="29">
        <f>IF(Dataset!F1071=1,3,IF(Dataset!F1071=2,2,1))</f>
        <v>2</v>
      </c>
      <c r="P1071" s="29">
        <f t="shared" si="132"/>
        <v>0.9</v>
      </c>
      <c r="Q1071" s="29">
        <f>IF(Dataset!K1071&lt;5,0.2,IF(Dataset!K1071&lt;10,0.45,IF(Dataset!K1071&lt;18,0.7,0.9)))</f>
        <v>0.2</v>
      </c>
      <c r="R1071" s="29">
        <f>IF(Dataset!K1071&lt;5,1,IF(Dataset!K1071&lt;10,2,IF(Dataset!K1071&lt;18,3,4)))</f>
        <v>1</v>
      </c>
      <c r="S1071" s="29">
        <f t="shared" si="133"/>
        <v>0.2</v>
      </c>
      <c r="T1071" s="29">
        <f t="shared" si="134"/>
        <v>1.3980000000000001</v>
      </c>
      <c r="U1071" s="29" t="str">
        <f t="shared" si="135"/>
        <v>Medium</v>
      </c>
    </row>
    <row r="1072" spans="1:21" ht="15" customHeight="1" x14ac:dyDescent="0.25">
      <c r="A1072" s="29">
        <f>Dataset!A1072</f>
        <v>1068</v>
      </c>
      <c r="B1072" s="29">
        <f>IF(Dataset!B1072&lt;25,0.3,IF(Dataset!B1072&lt;75,0.5,IF(Dataset!B1072&lt;120,0.65,0.8)))</f>
        <v>0.8</v>
      </c>
      <c r="C1072" s="29">
        <f>IF(Dataset!B1072&lt;25,1,IF(Dataset!B1072&lt;75,2,IF(Dataset!B1072&lt;120,3,4)))</f>
        <v>4</v>
      </c>
      <c r="D1072" s="29">
        <f t="shared" si="128"/>
        <v>3.2</v>
      </c>
      <c r="E1072" s="29">
        <f>IF(Dataset!C1072&lt;=1,0.3,IF(Dataset!C1072=2,0.4,IF(Dataset!C1072=3,0.5,IF(Dataset!C1072=4,0.65,0.8))))</f>
        <v>0.65</v>
      </c>
      <c r="F1072" s="29">
        <f>IF(Dataset!C1072&lt;=2,1,IF(Dataset!C1072=3,2,IF(Dataset!C1072=4,3,4)))</f>
        <v>3</v>
      </c>
      <c r="G1072" s="29">
        <f t="shared" si="129"/>
        <v>1.9500000000000002</v>
      </c>
      <c r="H1072" s="29">
        <f>IF(Dataset!G1072&lt;=3,0.25,IF(Dataset!G1072&lt;=6,0.45,IF(Dataset!G1072&lt;=9,0.65,0.85)))</f>
        <v>0.45</v>
      </c>
      <c r="I1072" s="29">
        <f>IF(Dataset!G1072&lt;=3,1,IF(Dataset!G1072&lt;=6,2,IF(Dataset!G1072&lt;=9,3,4)))</f>
        <v>2</v>
      </c>
      <c r="J1072" s="29">
        <f t="shared" si="130"/>
        <v>0.9</v>
      </c>
      <c r="K1072" s="29">
        <f>IF(Dataset!H1072&lt;1,0.2,IF(Dataset!H1072&lt;1.3,0.45,IF(Dataset!H1072&lt;1.8,0.7,0.9)))</f>
        <v>0.9</v>
      </c>
      <c r="L1072" s="29">
        <f>IF(Dataset!H1072&lt;1,1,IF(Dataset!H1072&lt;1.3,2,IF(Dataset!H1072&lt;1.8,3,4)))</f>
        <v>4</v>
      </c>
      <c r="M1072" s="29">
        <f t="shared" si="131"/>
        <v>3.6</v>
      </c>
      <c r="N1072" s="29">
        <f>IF(Dataset!F1072=1,0.75,IF(Dataset!F1072=2,0.45,0.2))</f>
        <v>0.75</v>
      </c>
      <c r="O1072" s="29">
        <f>IF(Dataset!F1072=1,3,IF(Dataset!F1072=2,2,1))</f>
        <v>3</v>
      </c>
      <c r="P1072" s="29">
        <f t="shared" si="132"/>
        <v>2.25</v>
      </c>
      <c r="Q1072" s="29">
        <f>IF(Dataset!K1072&lt;5,0.2,IF(Dataset!K1072&lt;10,0.45,IF(Dataset!K1072&lt;18,0.7,0.9)))</f>
        <v>0.45</v>
      </c>
      <c r="R1072" s="29">
        <f>IF(Dataset!K1072&lt;5,1,IF(Dataset!K1072&lt;10,2,IF(Dataset!K1072&lt;18,3,4)))</f>
        <v>2</v>
      </c>
      <c r="S1072" s="29">
        <f t="shared" si="133"/>
        <v>0.9</v>
      </c>
      <c r="T1072" s="29">
        <f t="shared" si="134"/>
        <v>2.2439999999999998</v>
      </c>
      <c r="U1072" s="29" t="str">
        <f t="shared" si="135"/>
        <v>High</v>
      </c>
    </row>
    <row r="1073" spans="1:21" ht="15" customHeight="1" x14ac:dyDescent="0.25">
      <c r="A1073" s="29">
        <f>Dataset!A1073</f>
        <v>1069</v>
      </c>
      <c r="B1073" s="29">
        <f>IF(Dataset!B1073&lt;25,0.3,IF(Dataset!B1073&lt;75,0.5,IF(Dataset!B1073&lt;120,0.65,0.8)))</f>
        <v>0.65</v>
      </c>
      <c r="C1073" s="29">
        <f>IF(Dataset!B1073&lt;25,1,IF(Dataset!B1073&lt;75,2,IF(Dataset!B1073&lt;120,3,4)))</f>
        <v>3</v>
      </c>
      <c r="D1073" s="29">
        <f t="shared" si="128"/>
        <v>1.9500000000000002</v>
      </c>
      <c r="E1073" s="29">
        <f>IF(Dataset!C1073&lt;=1,0.3,IF(Dataset!C1073=2,0.4,IF(Dataset!C1073=3,0.5,IF(Dataset!C1073=4,0.65,0.8))))</f>
        <v>0.5</v>
      </c>
      <c r="F1073" s="29">
        <f>IF(Dataset!C1073&lt;=2,1,IF(Dataset!C1073=3,2,IF(Dataset!C1073=4,3,4)))</f>
        <v>2</v>
      </c>
      <c r="G1073" s="29">
        <f t="shared" si="129"/>
        <v>1</v>
      </c>
      <c r="H1073" s="29">
        <f>IF(Dataset!G1073&lt;=3,0.25,IF(Dataset!G1073&lt;=6,0.45,IF(Dataset!G1073&lt;=9,0.65,0.85)))</f>
        <v>0.45</v>
      </c>
      <c r="I1073" s="29">
        <f>IF(Dataset!G1073&lt;=3,1,IF(Dataset!G1073&lt;=6,2,IF(Dataset!G1073&lt;=9,3,4)))</f>
        <v>2</v>
      </c>
      <c r="J1073" s="29">
        <f t="shared" si="130"/>
        <v>0.9</v>
      </c>
      <c r="K1073" s="29">
        <f>IF(Dataset!H1073&lt;1,0.2,IF(Dataset!H1073&lt;1.3,0.45,IF(Dataset!H1073&lt;1.8,0.7,0.9)))</f>
        <v>0.45</v>
      </c>
      <c r="L1073" s="29">
        <f>IF(Dataset!H1073&lt;1,1,IF(Dataset!H1073&lt;1.3,2,IF(Dataset!H1073&lt;1.8,3,4)))</f>
        <v>2</v>
      </c>
      <c r="M1073" s="29">
        <f t="shared" si="131"/>
        <v>0.9</v>
      </c>
      <c r="N1073" s="29">
        <f>IF(Dataset!F1073=1,0.75,IF(Dataset!F1073=2,0.45,0.2))</f>
        <v>0.2</v>
      </c>
      <c r="O1073" s="29">
        <f>IF(Dataset!F1073=1,3,IF(Dataset!F1073=2,2,1))</f>
        <v>1</v>
      </c>
      <c r="P1073" s="29">
        <f t="shared" si="132"/>
        <v>0.2</v>
      </c>
      <c r="Q1073" s="29">
        <f>IF(Dataset!K1073&lt;5,0.2,IF(Dataset!K1073&lt;10,0.45,IF(Dataset!K1073&lt;18,0.7,0.9)))</f>
        <v>0.45</v>
      </c>
      <c r="R1073" s="29">
        <f>IF(Dataset!K1073&lt;5,1,IF(Dataset!K1073&lt;10,2,IF(Dataset!K1073&lt;18,3,4)))</f>
        <v>2</v>
      </c>
      <c r="S1073" s="29">
        <f t="shared" si="133"/>
        <v>0.9</v>
      </c>
      <c r="T1073" s="29">
        <f t="shared" si="134"/>
        <v>1.0330000000000001</v>
      </c>
      <c r="U1073" s="29" t="str">
        <f t="shared" si="135"/>
        <v>Low</v>
      </c>
    </row>
    <row r="1074" spans="1:21" ht="15" customHeight="1" x14ac:dyDescent="0.25">
      <c r="A1074" s="29">
        <f>Dataset!A1074</f>
        <v>1070</v>
      </c>
      <c r="B1074" s="29">
        <f>IF(Dataset!B1074&lt;25,0.3,IF(Dataset!B1074&lt;75,0.5,IF(Dataset!B1074&lt;120,0.65,0.8)))</f>
        <v>0.5</v>
      </c>
      <c r="C1074" s="29">
        <f>IF(Dataset!B1074&lt;25,1,IF(Dataset!B1074&lt;75,2,IF(Dataset!B1074&lt;120,3,4)))</f>
        <v>2</v>
      </c>
      <c r="D1074" s="29">
        <f t="shared" si="128"/>
        <v>1</v>
      </c>
      <c r="E1074" s="29">
        <f>IF(Dataset!C1074&lt;=1,0.3,IF(Dataset!C1074=2,0.4,IF(Dataset!C1074=3,0.5,IF(Dataset!C1074=4,0.65,0.8))))</f>
        <v>0.8</v>
      </c>
      <c r="F1074" s="29">
        <f>IF(Dataset!C1074&lt;=2,1,IF(Dataset!C1074=3,2,IF(Dataset!C1074=4,3,4)))</f>
        <v>4</v>
      </c>
      <c r="G1074" s="29">
        <f t="shared" si="129"/>
        <v>3.2</v>
      </c>
      <c r="H1074" s="29">
        <f>IF(Dataset!G1074&lt;=3,0.25,IF(Dataset!G1074&lt;=6,0.45,IF(Dataset!G1074&lt;=9,0.65,0.85)))</f>
        <v>0.85</v>
      </c>
      <c r="I1074" s="29">
        <f>IF(Dataset!G1074&lt;=3,1,IF(Dataset!G1074&lt;=6,2,IF(Dataset!G1074&lt;=9,3,4)))</f>
        <v>4</v>
      </c>
      <c r="J1074" s="29">
        <f t="shared" si="130"/>
        <v>3.4</v>
      </c>
      <c r="K1074" s="29">
        <f>IF(Dataset!H1074&lt;1,0.2,IF(Dataset!H1074&lt;1.3,0.45,IF(Dataset!H1074&lt;1.8,0.7,0.9)))</f>
        <v>0.9</v>
      </c>
      <c r="L1074" s="29">
        <f>IF(Dataset!H1074&lt;1,1,IF(Dataset!H1074&lt;1.3,2,IF(Dataset!H1074&lt;1.8,3,4)))</f>
        <v>4</v>
      </c>
      <c r="M1074" s="29">
        <f t="shared" si="131"/>
        <v>3.6</v>
      </c>
      <c r="N1074" s="29">
        <f>IF(Dataset!F1074=1,0.75,IF(Dataset!F1074=2,0.45,0.2))</f>
        <v>0.45</v>
      </c>
      <c r="O1074" s="29">
        <f>IF(Dataset!F1074=1,3,IF(Dataset!F1074=2,2,1))</f>
        <v>2</v>
      </c>
      <c r="P1074" s="29">
        <f t="shared" si="132"/>
        <v>0.9</v>
      </c>
      <c r="Q1074" s="29">
        <f>IF(Dataset!K1074&lt;5,0.2,IF(Dataset!K1074&lt;10,0.45,IF(Dataset!K1074&lt;18,0.7,0.9)))</f>
        <v>0.9</v>
      </c>
      <c r="R1074" s="29">
        <f>IF(Dataset!K1074&lt;5,1,IF(Dataset!K1074&lt;10,2,IF(Dataset!K1074&lt;18,3,4)))</f>
        <v>4</v>
      </c>
      <c r="S1074" s="29">
        <f t="shared" si="133"/>
        <v>3.6</v>
      </c>
      <c r="T1074" s="29">
        <f t="shared" si="134"/>
        <v>2.766</v>
      </c>
      <c r="U1074" s="29" t="str">
        <f t="shared" si="135"/>
        <v>High</v>
      </c>
    </row>
    <row r="1075" spans="1:21" ht="15" customHeight="1" x14ac:dyDescent="0.25">
      <c r="A1075" s="29">
        <f>Dataset!A1075</f>
        <v>1071</v>
      </c>
      <c r="B1075" s="29">
        <f>IF(Dataset!B1075&lt;25,0.3,IF(Dataset!B1075&lt;75,0.5,IF(Dataset!B1075&lt;120,0.65,0.8)))</f>
        <v>0.5</v>
      </c>
      <c r="C1075" s="29">
        <f>IF(Dataset!B1075&lt;25,1,IF(Dataset!B1075&lt;75,2,IF(Dataset!B1075&lt;120,3,4)))</f>
        <v>2</v>
      </c>
      <c r="D1075" s="29">
        <f t="shared" si="128"/>
        <v>1</v>
      </c>
      <c r="E1075" s="29">
        <f>IF(Dataset!C1075&lt;=1,0.3,IF(Dataset!C1075=2,0.4,IF(Dataset!C1075=3,0.5,IF(Dataset!C1075=4,0.65,0.8))))</f>
        <v>0.65</v>
      </c>
      <c r="F1075" s="29">
        <f>IF(Dataset!C1075&lt;=2,1,IF(Dataset!C1075=3,2,IF(Dataset!C1075=4,3,4)))</f>
        <v>3</v>
      </c>
      <c r="G1075" s="29">
        <f t="shared" si="129"/>
        <v>1.9500000000000002</v>
      </c>
      <c r="H1075" s="29">
        <f>IF(Dataset!G1075&lt;=3,0.25,IF(Dataset!G1075&lt;=6,0.45,IF(Dataset!G1075&lt;=9,0.65,0.85)))</f>
        <v>0.45</v>
      </c>
      <c r="I1075" s="29">
        <f>IF(Dataset!G1075&lt;=3,1,IF(Dataset!G1075&lt;=6,2,IF(Dataset!G1075&lt;=9,3,4)))</f>
        <v>2</v>
      </c>
      <c r="J1075" s="29">
        <f t="shared" si="130"/>
        <v>0.9</v>
      </c>
      <c r="K1075" s="29">
        <f>IF(Dataset!H1075&lt;1,0.2,IF(Dataset!H1075&lt;1.3,0.45,IF(Dataset!H1075&lt;1.8,0.7,0.9)))</f>
        <v>0.7</v>
      </c>
      <c r="L1075" s="29">
        <f>IF(Dataset!H1075&lt;1,1,IF(Dataset!H1075&lt;1.3,2,IF(Dataset!H1075&lt;1.8,3,4)))</f>
        <v>3</v>
      </c>
      <c r="M1075" s="29">
        <f t="shared" si="131"/>
        <v>2.0999999999999996</v>
      </c>
      <c r="N1075" s="29">
        <f>IF(Dataset!F1075=1,0.75,IF(Dataset!F1075=2,0.45,0.2))</f>
        <v>0.45</v>
      </c>
      <c r="O1075" s="29">
        <f>IF(Dataset!F1075=1,3,IF(Dataset!F1075=2,2,1))</f>
        <v>2</v>
      </c>
      <c r="P1075" s="29">
        <f t="shared" si="132"/>
        <v>0.9</v>
      </c>
      <c r="Q1075" s="29">
        <f>IF(Dataset!K1075&lt;5,0.2,IF(Dataset!K1075&lt;10,0.45,IF(Dataset!K1075&lt;18,0.7,0.9)))</f>
        <v>0.7</v>
      </c>
      <c r="R1075" s="29">
        <f>IF(Dataset!K1075&lt;5,1,IF(Dataset!K1075&lt;10,2,IF(Dataset!K1075&lt;18,3,4)))</f>
        <v>3</v>
      </c>
      <c r="S1075" s="29">
        <f t="shared" si="133"/>
        <v>2.0999999999999996</v>
      </c>
      <c r="T1075" s="29">
        <f t="shared" si="134"/>
        <v>1.5210000000000001</v>
      </c>
      <c r="U1075" s="29" t="str">
        <f t="shared" si="135"/>
        <v>Medium</v>
      </c>
    </row>
    <row r="1076" spans="1:21" ht="15" customHeight="1" x14ac:dyDescent="0.25">
      <c r="A1076" s="29">
        <f>Dataset!A1076</f>
        <v>1072</v>
      </c>
      <c r="B1076" s="29">
        <f>IF(Dataset!B1076&lt;25,0.3,IF(Dataset!B1076&lt;75,0.5,IF(Dataset!B1076&lt;120,0.65,0.8)))</f>
        <v>0.5</v>
      </c>
      <c r="C1076" s="29">
        <f>IF(Dataset!B1076&lt;25,1,IF(Dataset!B1076&lt;75,2,IF(Dataset!B1076&lt;120,3,4)))</f>
        <v>2</v>
      </c>
      <c r="D1076" s="29">
        <f t="shared" si="128"/>
        <v>1</v>
      </c>
      <c r="E1076" s="29">
        <f>IF(Dataset!C1076&lt;=1,0.3,IF(Dataset!C1076=2,0.4,IF(Dataset!C1076=3,0.5,IF(Dataset!C1076=4,0.65,0.8))))</f>
        <v>0.4</v>
      </c>
      <c r="F1076" s="29">
        <f>IF(Dataset!C1076&lt;=2,1,IF(Dataset!C1076=3,2,IF(Dataset!C1076=4,3,4)))</f>
        <v>1</v>
      </c>
      <c r="G1076" s="29">
        <f t="shared" si="129"/>
        <v>0.4</v>
      </c>
      <c r="H1076" s="29">
        <f>IF(Dataset!G1076&lt;=3,0.25,IF(Dataset!G1076&lt;=6,0.45,IF(Dataset!G1076&lt;=9,0.65,0.85)))</f>
        <v>0.65</v>
      </c>
      <c r="I1076" s="29">
        <f>IF(Dataset!G1076&lt;=3,1,IF(Dataset!G1076&lt;=6,2,IF(Dataset!G1076&lt;=9,3,4)))</f>
        <v>3</v>
      </c>
      <c r="J1076" s="29">
        <f t="shared" si="130"/>
        <v>1.9500000000000002</v>
      </c>
      <c r="K1076" s="29">
        <f>IF(Dataset!H1076&lt;1,0.2,IF(Dataset!H1076&lt;1.3,0.45,IF(Dataset!H1076&lt;1.8,0.7,0.9)))</f>
        <v>0.7</v>
      </c>
      <c r="L1076" s="29">
        <f>IF(Dataset!H1076&lt;1,1,IF(Dataset!H1076&lt;1.3,2,IF(Dataset!H1076&lt;1.8,3,4)))</f>
        <v>3</v>
      </c>
      <c r="M1076" s="29">
        <f t="shared" si="131"/>
        <v>2.0999999999999996</v>
      </c>
      <c r="N1076" s="29">
        <f>IF(Dataset!F1076=1,0.75,IF(Dataset!F1076=2,0.45,0.2))</f>
        <v>0.45</v>
      </c>
      <c r="O1076" s="29">
        <f>IF(Dataset!F1076=1,3,IF(Dataset!F1076=2,2,1))</f>
        <v>2</v>
      </c>
      <c r="P1076" s="29">
        <f t="shared" si="132"/>
        <v>0.9</v>
      </c>
      <c r="Q1076" s="29">
        <f>IF(Dataset!K1076&lt;5,0.2,IF(Dataset!K1076&lt;10,0.45,IF(Dataset!K1076&lt;18,0.7,0.9)))</f>
        <v>0.2</v>
      </c>
      <c r="R1076" s="29">
        <f>IF(Dataset!K1076&lt;5,1,IF(Dataset!K1076&lt;10,2,IF(Dataset!K1076&lt;18,3,4)))</f>
        <v>1</v>
      </c>
      <c r="S1076" s="29">
        <f t="shared" si="133"/>
        <v>0.2</v>
      </c>
      <c r="T1076" s="29">
        <f t="shared" si="134"/>
        <v>1.248</v>
      </c>
      <c r="U1076" s="29" t="str">
        <f t="shared" si="135"/>
        <v>Low</v>
      </c>
    </row>
    <row r="1077" spans="1:21" ht="15" customHeight="1" x14ac:dyDescent="0.25">
      <c r="A1077" s="29">
        <f>Dataset!A1077</f>
        <v>1073</v>
      </c>
      <c r="B1077" s="29">
        <f>IF(Dataset!B1077&lt;25,0.3,IF(Dataset!B1077&lt;75,0.5,IF(Dataset!B1077&lt;120,0.65,0.8)))</f>
        <v>0.65</v>
      </c>
      <c r="C1077" s="29">
        <f>IF(Dataset!B1077&lt;25,1,IF(Dataset!B1077&lt;75,2,IF(Dataset!B1077&lt;120,3,4)))</f>
        <v>3</v>
      </c>
      <c r="D1077" s="29">
        <f t="shared" si="128"/>
        <v>1.9500000000000002</v>
      </c>
      <c r="E1077" s="29">
        <f>IF(Dataset!C1077&lt;=1,0.3,IF(Dataset!C1077=2,0.4,IF(Dataset!C1077=3,0.5,IF(Dataset!C1077=4,0.65,0.8))))</f>
        <v>0.4</v>
      </c>
      <c r="F1077" s="29">
        <f>IF(Dataset!C1077&lt;=2,1,IF(Dataset!C1077=3,2,IF(Dataset!C1077=4,3,4)))</f>
        <v>1</v>
      </c>
      <c r="G1077" s="29">
        <f t="shared" si="129"/>
        <v>0.4</v>
      </c>
      <c r="H1077" s="29">
        <f>IF(Dataset!G1077&lt;=3,0.25,IF(Dataset!G1077&lt;=6,0.45,IF(Dataset!G1077&lt;=9,0.65,0.85)))</f>
        <v>0.45</v>
      </c>
      <c r="I1077" s="29">
        <f>IF(Dataset!G1077&lt;=3,1,IF(Dataset!G1077&lt;=6,2,IF(Dataset!G1077&lt;=9,3,4)))</f>
        <v>2</v>
      </c>
      <c r="J1077" s="29">
        <f t="shared" si="130"/>
        <v>0.9</v>
      </c>
      <c r="K1077" s="29">
        <f>IF(Dataset!H1077&lt;1,0.2,IF(Dataset!H1077&lt;1.3,0.45,IF(Dataset!H1077&lt;1.8,0.7,0.9)))</f>
        <v>0.9</v>
      </c>
      <c r="L1077" s="29">
        <f>IF(Dataset!H1077&lt;1,1,IF(Dataset!H1077&lt;1.3,2,IF(Dataset!H1077&lt;1.8,3,4)))</f>
        <v>4</v>
      </c>
      <c r="M1077" s="29">
        <f t="shared" si="131"/>
        <v>3.6</v>
      </c>
      <c r="N1077" s="29">
        <f>IF(Dataset!F1077=1,0.75,IF(Dataset!F1077=2,0.45,0.2))</f>
        <v>0.45</v>
      </c>
      <c r="O1077" s="29">
        <f>IF(Dataset!F1077=1,3,IF(Dataset!F1077=2,2,1))</f>
        <v>2</v>
      </c>
      <c r="P1077" s="29">
        <f t="shared" si="132"/>
        <v>0.9</v>
      </c>
      <c r="Q1077" s="29">
        <f>IF(Dataset!K1077&lt;5,0.2,IF(Dataset!K1077&lt;10,0.45,IF(Dataset!K1077&lt;18,0.7,0.9)))</f>
        <v>0.2</v>
      </c>
      <c r="R1077" s="29">
        <f>IF(Dataset!K1077&lt;5,1,IF(Dataset!K1077&lt;10,2,IF(Dataset!K1077&lt;18,3,4)))</f>
        <v>1</v>
      </c>
      <c r="S1077" s="29">
        <f t="shared" si="133"/>
        <v>0.2</v>
      </c>
      <c r="T1077" s="29">
        <f t="shared" si="134"/>
        <v>1.5690000000000002</v>
      </c>
      <c r="U1077" s="29" t="str">
        <f t="shared" si="135"/>
        <v>Medium</v>
      </c>
    </row>
    <row r="1078" spans="1:21" ht="15" customHeight="1" x14ac:dyDescent="0.25">
      <c r="A1078" s="29">
        <f>Dataset!A1078</f>
        <v>1074</v>
      </c>
      <c r="B1078" s="29">
        <f>IF(Dataset!B1078&lt;25,0.3,IF(Dataset!B1078&lt;75,0.5,IF(Dataset!B1078&lt;120,0.65,0.8)))</f>
        <v>0.65</v>
      </c>
      <c r="C1078" s="29">
        <f>IF(Dataset!B1078&lt;25,1,IF(Dataset!B1078&lt;75,2,IF(Dataset!B1078&lt;120,3,4)))</f>
        <v>3</v>
      </c>
      <c r="D1078" s="29">
        <f t="shared" si="128"/>
        <v>1.9500000000000002</v>
      </c>
      <c r="E1078" s="29">
        <f>IF(Dataset!C1078&lt;=1,0.3,IF(Dataset!C1078=2,0.4,IF(Dataset!C1078=3,0.5,IF(Dataset!C1078=4,0.65,0.8))))</f>
        <v>0.3</v>
      </c>
      <c r="F1078" s="29">
        <f>IF(Dataset!C1078&lt;=2,1,IF(Dataset!C1078=3,2,IF(Dataset!C1078=4,3,4)))</f>
        <v>1</v>
      </c>
      <c r="G1078" s="29">
        <f t="shared" si="129"/>
        <v>0.3</v>
      </c>
      <c r="H1078" s="29">
        <f>IF(Dataset!G1078&lt;=3,0.25,IF(Dataset!G1078&lt;=6,0.45,IF(Dataset!G1078&lt;=9,0.65,0.85)))</f>
        <v>0.45</v>
      </c>
      <c r="I1078" s="29">
        <f>IF(Dataset!G1078&lt;=3,1,IF(Dataset!G1078&lt;=6,2,IF(Dataset!G1078&lt;=9,3,4)))</f>
        <v>2</v>
      </c>
      <c r="J1078" s="29">
        <f t="shared" si="130"/>
        <v>0.9</v>
      </c>
      <c r="K1078" s="29">
        <f>IF(Dataset!H1078&lt;1,0.2,IF(Dataset!H1078&lt;1.3,0.45,IF(Dataset!H1078&lt;1.8,0.7,0.9)))</f>
        <v>0.7</v>
      </c>
      <c r="L1078" s="29">
        <f>IF(Dataset!H1078&lt;1,1,IF(Dataset!H1078&lt;1.3,2,IF(Dataset!H1078&lt;1.8,3,4)))</f>
        <v>3</v>
      </c>
      <c r="M1078" s="29">
        <f t="shared" si="131"/>
        <v>2.0999999999999996</v>
      </c>
      <c r="N1078" s="29">
        <f>IF(Dataset!F1078=1,0.75,IF(Dataset!F1078=2,0.45,0.2))</f>
        <v>0.2</v>
      </c>
      <c r="O1078" s="29">
        <f>IF(Dataset!F1078=1,3,IF(Dataset!F1078=2,2,1))</f>
        <v>1</v>
      </c>
      <c r="P1078" s="29">
        <f t="shared" si="132"/>
        <v>0.2</v>
      </c>
      <c r="Q1078" s="29">
        <f>IF(Dataset!K1078&lt;5,0.2,IF(Dataset!K1078&lt;10,0.45,IF(Dataset!K1078&lt;18,0.7,0.9)))</f>
        <v>0.2</v>
      </c>
      <c r="R1078" s="29">
        <f>IF(Dataset!K1078&lt;5,1,IF(Dataset!K1078&lt;10,2,IF(Dataset!K1078&lt;18,3,4)))</f>
        <v>1</v>
      </c>
      <c r="S1078" s="29">
        <f t="shared" si="133"/>
        <v>0.2</v>
      </c>
      <c r="T1078" s="29">
        <f t="shared" si="134"/>
        <v>1.125</v>
      </c>
      <c r="U1078" s="29" t="str">
        <f t="shared" si="135"/>
        <v>Low</v>
      </c>
    </row>
    <row r="1079" spans="1:21" ht="15" customHeight="1" x14ac:dyDescent="0.25">
      <c r="A1079" s="29">
        <f>Dataset!A1079</f>
        <v>1075</v>
      </c>
      <c r="B1079" s="29">
        <f>IF(Dataset!B1079&lt;25,0.3,IF(Dataset!B1079&lt;75,0.5,IF(Dataset!B1079&lt;120,0.65,0.8)))</f>
        <v>0.65</v>
      </c>
      <c r="C1079" s="29">
        <f>IF(Dataset!B1079&lt;25,1,IF(Dataset!B1079&lt;75,2,IF(Dataset!B1079&lt;120,3,4)))</f>
        <v>3</v>
      </c>
      <c r="D1079" s="29">
        <f t="shared" si="128"/>
        <v>1.9500000000000002</v>
      </c>
      <c r="E1079" s="29">
        <f>IF(Dataset!C1079&lt;=1,0.3,IF(Dataset!C1079=2,0.4,IF(Dataset!C1079=3,0.5,IF(Dataset!C1079=4,0.65,0.8))))</f>
        <v>0.5</v>
      </c>
      <c r="F1079" s="29">
        <f>IF(Dataset!C1079&lt;=2,1,IF(Dataset!C1079=3,2,IF(Dataset!C1079=4,3,4)))</f>
        <v>2</v>
      </c>
      <c r="G1079" s="29">
        <f t="shared" si="129"/>
        <v>1</v>
      </c>
      <c r="H1079" s="29">
        <f>IF(Dataset!G1079&lt;=3,0.25,IF(Dataset!G1079&lt;=6,0.45,IF(Dataset!G1079&lt;=9,0.65,0.85)))</f>
        <v>0.45</v>
      </c>
      <c r="I1079" s="29">
        <f>IF(Dataset!G1079&lt;=3,1,IF(Dataset!G1079&lt;=6,2,IF(Dataset!G1079&lt;=9,3,4)))</f>
        <v>2</v>
      </c>
      <c r="J1079" s="29">
        <f t="shared" si="130"/>
        <v>0.9</v>
      </c>
      <c r="K1079" s="29">
        <f>IF(Dataset!H1079&lt;1,0.2,IF(Dataset!H1079&lt;1.3,0.45,IF(Dataset!H1079&lt;1.8,0.7,0.9)))</f>
        <v>0.7</v>
      </c>
      <c r="L1079" s="29">
        <f>IF(Dataset!H1079&lt;1,1,IF(Dataset!H1079&lt;1.3,2,IF(Dataset!H1079&lt;1.8,3,4)))</f>
        <v>3</v>
      </c>
      <c r="M1079" s="29">
        <f t="shared" si="131"/>
        <v>2.0999999999999996</v>
      </c>
      <c r="N1079" s="29">
        <f>IF(Dataset!F1079=1,0.75,IF(Dataset!F1079=2,0.45,0.2))</f>
        <v>0.45</v>
      </c>
      <c r="O1079" s="29">
        <f>IF(Dataset!F1079=1,3,IF(Dataset!F1079=2,2,1))</f>
        <v>2</v>
      </c>
      <c r="P1079" s="29">
        <f t="shared" si="132"/>
        <v>0.9</v>
      </c>
      <c r="Q1079" s="29">
        <f>IF(Dataset!K1079&lt;5,0.2,IF(Dataset!K1079&lt;10,0.45,IF(Dataset!K1079&lt;18,0.7,0.9)))</f>
        <v>0.45</v>
      </c>
      <c r="R1079" s="29">
        <f>IF(Dataset!K1079&lt;5,1,IF(Dataset!K1079&lt;10,2,IF(Dataset!K1079&lt;18,3,4)))</f>
        <v>2</v>
      </c>
      <c r="S1079" s="29">
        <f t="shared" si="133"/>
        <v>0.9</v>
      </c>
      <c r="T1079" s="29">
        <f t="shared" si="134"/>
        <v>1.391</v>
      </c>
      <c r="U1079" s="29" t="str">
        <f t="shared" si="135"/>
        <v>Medium</v>
      </c>
    </row>
    <row r="1080" spans="1:21" ht="15" customHeight="1" x14ac:dyDescent="0.25">
      <c r="A1080" s="29">
        <f>Dataset!A1080</f>
        <v>1076</v>
      </c>
      <c r="B1080" s="29">
        <f>IF(Dataset!B1080&lt;25,0.3,IF(Dataset!B1080&lt;75,0.5,IF(Dataset!B1080&lt;120,0.65,0.8)))</f>
        <v>0.8</v>
      </c>
      <c r="C1080" s="29">
        <f>IF(Dataset!B1080&lt;25,1,IF(Dataset!B1080&lt;75,2,IF(Dataset!B1080&lt;120,3,4)))</f>
        <v>4</v>
      </c>
      <c r="D1080" s="29">
        <f t="shared" si="128"/>
        <v>3.2</v>
      </c>
      <c r="E1080" s="29">
        <f>IF(Dataset!C1080&lt;=1,0.3,IF(Dataset!C1080=2,0.4,IF(Dataset!C1080=3,0.5,IF(Dataset!C1080=4,0.65,0.8))))</f>
        <v>0.4</v>
      </c>
      <c r="F1080" s="29">
        <f>IF(Dataset!C1080&lt;=2,1,IF(Dataset!C1080=3,2,IF(Dataset!C1080=4,3,4)))</f>
        <v>1</v>
      </c>
      <c r="G1080" s="29">
        <f t="shared" si="129"/>
        <v>0.4</v>
      </c>
      <c r="H1080" s="29">
        <f>IF(Dataset!G1080&lt;=3,0.25,IF(Dataset!G1080&lt;=6,0.45,IF(Dataset!G1080&lt;=9,0.65,0.85)))</f>
        <v>0.65</v>
      </c>
      <c r="I1080" s="29">
        <f>IF(Dataset!G1080&lt;=3,1,IF(Dataset!G1080&lt;=6,2,IF(Dataset!G1080&lt;=9,3,4)))</f>
        <v>3</v>
      </c>
      <c r="J1080" s="29">
        <f t="shared" si="130"/>
        <v>1.9500000000000002</v>
      </c>
      <c r="K1080" s="29">
        <f>IF(Dataset!H1080&lt;1,0.2,IF(Dataset!H1080&lt;1.3,0.45,IF(Dataset!H1080&lt;1.8,0.7,0.9)))</f>
        <v>0.9</v>
      </c>
      <c r="L1080" s="29">
        <f>IF(Dataset!H1080&lt;1,1,IF(Dataset!H1080&lt;1.3,2,IF(Dataset!H1080&lt;1.8,3,4)))</f>
        <v>4</v>
      </c>
      <c r="M1080" s="29">
        <f t="shared" si="131"/>
        <v>3.6</v>
      </c>
      <c r="N1080" s="29">
        <f>IF(Dataset!F1080=1,0.75,IF(Dataset!F1080=2,0.45,0.2))</f>
        <v>0.45</v>
      </c>
      <c r="O1080" s="29">
        <f>IF(Dataset!F1080=1,3,IF(Dataset!F1080=2,2,1))</f>
        <v>2</v>
      </c>
      <c r="P1080" s="29">
        <f t="shared" si="132"/>
        <v>0.9</v>
      </c>
      <c r="Q1080" s="29">
        <f>IF(Dataset!K1080&lt;5,0.2,IF(Dataset!K1080&lt;10,0.45,IF(Dataset!K1080&lt;18,0.7,0.9)))</f>
        <v>0.2</v>
      </c>
      <c r="R1080" s="29">
        <f>IF(Dataset!K1080&lt;5,1,IF(Dataset!K1080&lt;10,2,IF(Dataset!K1080&lt;18,3,4)))</f>
        <v>1</v>
      </c>
      <c r="S1080" s="29">
        <f t="shared" si="133"/>
        <v>0.2</v>
      </c>
      <c r="T1080" s="29">
        <f t="shared" si="134"/>
        <v>2.004</v>
      </c>
      <c r="U1080" s="29" t="str">
        <f t="shared" si="135"/>
        <v>High</v>
      </c>
    </row>
    <row r="1081" spans="1:21" ht="15" customHeight="1" x14ac:dyDescent="0.25">
      <c r="A1081" s="29">
        <f>Dataset!A1081</f>
        <v>1077</v>
      </c>
      <c r="B1081" s="29">
        <f>IF(Dataset!B1081&lt;25,0.3,IF(Dataset!B1081&lt;75,0.5,IF(Dataset!B1081&lt;120,0.65,0.8)))</f>
        <v>0.3</v>
      </c>
      <c r="C1081" s="29">
        <f>IF(Dataset!B1081&lt;25,1,IF(Dataset!B1081&lt;75,2,IF(Dataset!B1081&lt;120,3,4)))</f>
        <v>1</v>
      </c>
      <c r="D1081" s="29">
        <f t="shared" si="128"/>
        <v>0.3</v>
      </c>
      <c r="E1081" s="29">
        <f>IF(Dataset!C1081&lt;=1,0.3,IF(Dataset!C1081=2,0.4,IF(Dataset!C1081=3,0.5,IF(Dataset!C1081=4,0.65,0.8))))</f>
        <v>0.65</v>
      </c>
      <c r="F1081" s="29">
        <f>IF(Dataset!C1081&lt;=2,1,IF(Dataset!C1081=3,2,IF(Dataset!C1081=4,3,4)))</f>
        <v>3</v>
      </c>
      <c r="G1081" s="29">
        <f t="shared" si="129"/>
        <v>1.9500000000000002</v>
      </c>
      <c r="H1081" s="29">
        <f>IF(Dataset!G1081&lt;=3,0.25,IF(Dataset!G1081&lt;=6,0.45,IF(Dataset!G1081&lt;=9,0.65,0.85)))</f>
        <v>0.45</v>
      </c>
      <c r="I1081" s="29">
        <f>IF(Dataset!G1081&lt;=3,1,IF(Dataset!G1081&lt;=6,2,IF(Dataset!G1081&lt;=9,3,4)))</f>
        <v>2</v>
      </c>
      <c r="J1081" s="29">
        <f t="shared" si="130"/>
        <v>0.9</v>
      </c>
      <c r="K1081" s="29">
        <f>IF(Dataset!H1081&lt;1,0.2,IF(Dataset!H1081&lt;1.3,0.45,IF(Dataset!H1081&lt;1.8,0.7,0.9)))</f>
        <v>0.9</v>
      </c>
      <c r="L1081" s="29">
        <f>IF(Dataset!H1081&lt;1,1,IF(Dataset!H1081&lt;1.3,2,IF(Dataset!H1081&lt;1.8,3,4)))</f>
        <v>4</v>
      </c>
      <c r="M1081" s="29">
        <f t="shared" si="131"/>
        <v>3.6</v>
      </c>
      <c r="N1081" s="29">
        <f>IF(Dataset!F1081=1,0.75,IF(Dataset!F1081=2,0.45,0.2))</f>
        <v>0.2</v>
      </c>
      <c r="O1081" s="29">
        <f>IF(Dataset!F1081=1,3,IF(Dataset!F1081=2,2,1))</f>
        <v>1</v>
      </c>
      <c r="P1081" s="29">
        <f t="shared" si="132"/>
        <v>0.2</v>
      </c>
      <c r="Q1081" s="29">
        <f>IF(Dataset!K1081&lt;5,0.2,IF(Dataset!K1081&lt;10,0.45,IF(Dataset!K1081&lt;18,0.7,0.9)))</f>
        <v>0.45</v>
      </c>
      <c r="R1081" s="29">
        <f>IF(Dataset!K1081&lt;5,1,IF(Dataset!K1081&lt;10,2,IF(Dataset!K1081&lt;18,3,4)))</f>
        <v>2</v>
      </c>
      <c r="S1081" s="29">
        <f t="shared" si="133"/>
        <v>0.9</v>
      </c>
      <c r="T1081" s="29">
        <f t="shared" si="134"/>
        <v>1.5170000000000001</v>
      </c>
      <c r="U1081" s="29" t="str">
        <f t="shared" si="135"/>
        <v>Medium</v>
      </c>
    </row>
    <row r="1082" spans="1:21" ht="15" customHeight="1" x14ac:dyDescent="0.25">
      <c r="A1082" s="29">
        <f>Dataset!A1082</f>
        <v>1078</v>
      </c>
      <c r="B1082" s="29">
        <f>IF(Dataset!B1082&lt;25,0.3,IF(Dataset!B1082&lt;75,0.5,IF(Dataset!B1082&lt;120,0.65,0.8)))</f>
        <v>0.5</v>
      </c>
      <c r="C1082" s="29">
        <f>IF(Dataset!B1082&lt;25,1,IF(Dataset!B1082&lt;75,2,IF(Dataset!B1082&lt;120,3,4)))</f>
        <v>2</v>
      </c>
      <c r="D1082" s="29">
        <f t="shared" si="128"/>
        <v>1</v>
      </c>
      <c r="E1082" s="29">
        <f>IF(Dataset!C1082&lt;=1,0.3,IF(Dataset!C1082=2,0.4,IF(Dataset!C1082=3,0.5,IF(Dataset!C1082=4,0.65,0.8))))</f>
        <v>0.65</v>
      </c>
      <c r="F1082" s="29">
        <f>IF(Dataset!C1082&lt;=2,1,IF(Dataset!C1082=3,2,IF(Dataset!C1082=4,3,4)))</f>
        <v>3</v>
      </c>
      <c r="G1082" s="29">
        <f t="shared" si="129"/>
        <v>1.9500000000000002</v>
      </c>
      <c r="H1082" s="29">
        <f>IF(Dataset!G1082&lt;=3,0.25,IF(Dataset!G1082&lt;=6,0.45,IF(Dataset!G1082&lt;=9,0.65,0.85)))</f>
        <v>0.65</v>
      </c>
      <c r="I1082" s="29">
        <f>IF(Dataset!G1082&lt;=3,1,IF(Dataset!G1082&lt;=6,2,IF(Dataset!G1082&lt;=9,3,4)))</f>
        <v>3</v>
      </c>
      <c r="J1082" s="29">
        <f t="shared" si="130"/>
        <v>1.9500000000000002</v>
      </c>
      <c r="K1082" s="29">
        <f>IF(Dataset!H1082&lt;1,0.2,IF(Dataset!H1082&lt;1.3,0.45,IF(Dataset!H1082&lt;1.8,0.7,0.9)))</f>
        <v>0.9</v>
      </c>
      <c r="L1082" s="29">
        <f>IF(Dataset!H1082&lt;1,1,IF(Dataset!H1082&lt;1.3,2,IF(Dataset!H1082&lt;1.8,3,4)))</f>
        <v>4</v>
      </c>
      <c r="M1082" s="29">
        <f t="shared" si="131"/>
        <v>3.6</v>
      </c>
      <c r="N1082" s="29">
        <f>IF(Dataset!F1082=1,0.75,IF(Dataset!F1082=2,0.45,0.2))</f>
        <v>0.2</v>
      </c>
      <c r="O1082" s="29">
        <f>IF(Dataset!F1082=1,3,IF(Dataset!F1082=2,2,1))</f>
        <v>1</v>
      </c>
      <c r="P1082" s="29">
        <f t="shared" si="132"/>
        <v>0.2</v>
      </c>
      <c r="Q1082" s="29">
        <f>IF(Dataset!K1082&lt;5,0.2,IF(Dataset!K1082&lt;10,0.45,IF(Dataset!K1082&lt;18,0.7,0.9)))</f>
        <v>0.7</v>
      </c>
      <c r="R1082" s="29">
        <f>IF(Dataset!K1082&lt;5,1,IF(Dataset!K1082&lt;10,2,IF(Dataset!K1082&lt;18,3,4)))</f>
        <v>3</v>
      </c>
      <c r="S1082" s="29">
        <f t="shared" si="133"/>
        <v>2.0999999999999996</v>
      </c>
      <c r="T1082" s="29">
        <f t="shared" si="134"/>
        <v>2.0210000000000004</v>
      </c>
      <c r="U1082" s="29" t="str">
        <f t="shared" si="135"/>
        <v>High</v>
      </c>
    </row>
    <row r="1083" spans="1:21" ht="15" customHeight="1" x14ac:dyDescent="0.25">
      <c r="A1083" s="29">
        <f>Dataset!A1083</f>
        <v>1079</v>
      </c>
      <c r="B1083" s="29">
        <f>IF(Dataset!B1083&lt;25,0.3,IF(Dataset!B1083&lt;75,0.5,IF(Dataset!B1083&lt;120,0.65,0.8)))</f>
        <v>0.8</v>
      </c>
      <c r="C1083" s="29">
        <f>IF(Dataset!B1083&lt;25,1,IF(Dataset!B1083&lt;75,2,IF(Dataset!B1083&lt;120,3,4)))</f>
        <v>4</v>
      </c>
      <c r="D1083" s="29">
        <f t="shared" si="128"/>
        <v>3.2</v>
      </c>
      <c r="E1083" s="29">
        <f>IF(Dataset!C1083&lt;=1,0.3,IF(Dataset!C1083=2,0.4,IF(Dataset!C1083=3,0.5,IF(Dataset!C1083=4,0.65,0.8))))</f>
        <v>0.65</v>
      </c>
      <c r="F1083" s="29">
        <f>IF(Dataset!C1083&lt;=2,1,IF(Dataset!C1083=3,2,IF(Dataset!C1083=4,3,4)))</f>
        <v>3</v>
      </c>
      <c r="G1083" s="29">
        <f t="shared" si="129"/>
        <v>1.9500000000000002</v>
      </c>
      <c r="H1083" s="29">
        <f>IF(Dataset!G1083&lt;=3,0.25,IF(Dataset!G1083&lt;=6,0.45,IF(Dataset!G1083&lt;=9,0.65,0.85)))</f>
        <v>0.25</v>
      </c>
      <c r="I1083" s="29">
        <f>IF(Dataset!G1083&lt;=3,1,IF(Dataset!G1083&lt;=6,2,IF(Dataset!G1083&lt;=9,3,4)))</f>
        <v>1</v>
      </c>
      <c r="J1083" s="29">
        <f t="shared" si="130"/>
        <v>0.25</v>
      </c>
      <c r="K1083" s="29">
        <f>IF(Dataset!H1083&lt;1,0.2,IF(Dataset!H1083&lt;1.3,0.45,IF(Dataset!H1083&lt;1.8,0.7,0.9)))</f>
        <v>0.7</v>
      </c>
      <c r="L1083" s="29">
        <f>IF(Dataset!H1083&lt;1,1,IF(Dataset!H1083&lt;1.3,2,IF(Dataset!H1083&lt;1.8,3,4)))</f>
        <v>3</v>
      </c>
      <c r="M1083" s="29">
        <f t="shared" si="131"/>
        <v>2.0999999999999996</v>
      </c>
      <c r="N1083" s="29">
        <f>IF(Dataset!F1083=1,0.75,IF(Dataset!F1083=2,0.45,0.2))</f>
        <v>0.2</v>
      </c>
      <c r="O1083" s="29">
        <f>IF(Dataset!F1083=1,3,IF(Dataset!F1083=2,2,1))</f>
        <v>1</v>
      </c>
      <c r="P1083" s="29">
        <f t="shared" si="132"/>
        <v>0.2</v>
      </c>
      <c r="Q1083" s="29">
        <f>IF(Dataset!K1083&lt;5,0.2,IF(Dataset!K1083&lt;10,0.45,IF(Dataset!K1083&lt;18,0.7,0.9)))</f>
        <v>0.7</v>
      </c>
      <c r="R1083" s="29">
        <f>IF(Dataset!K1083&lt;5,1,IF(Dataset!K1083&lt;10,2,IF(Dataset!K1083&lt;18,3,4)))</f>
        <v>3</v>
      </c>
      <c r="S1083" s="29">
        <f t="shared" si="133"/>
        <v>2.0999999999999996</v>
      </c>
      <c r="T1083" s="29">
        <f t="shared" si="134"/>
        <v>1.7170000000000001</v>
      </c>
      <c r="U1083" s="29" t="str">
        <f t="shared" si="135"/>
        <v>Medium</v>
      </c>
    </row>
    <row r="1084" spans="1:21" ht="15" customHeight="1" x14ac:dyDescent="0.25">
      <c r="A1084" s="29">
        <f>Dataset!A1084</f>
        <v>1080</v>
      </c>
      <c r="B1084" s="29">
        <f>IF(Dataset!B1084&lt;25,0.3,IF(Dataset!B1084&lt;75,0.5,IF(Dataset!B1084&lt;120,0.65,0.8)))</f>
        <v>0.65</v>
      </c>
      <c r="C1084" s="29">
        <f>IF(Dataset!B1084&lt;25,1,IF(Dataset!B1084&lt;75,2,IF(Dataset!B1084&lt;120,3,4)))</f>
        <v>3</v>
      </c>
      <c r="D1084" s="29">
        <f t="shared" si="128"/>
        <v>1.9500000000000002</v>
      </c>
      <c r="E1084" s="29">
        <f>IF(Dataset!C1084&lt;=1,0.3,IF(Dataset!C1084=2,0.4,IF(Dataset!C1084=3,0.5,IF(Dataset!C1084=4,0.65,0.8))))</f>
        <v>0.5</v>
      </c>
      <c r="F1084" s="29">
        <f>IF(Dataset!C1084&lt;=2,1,IF(Dataset!C1084=3,2,IF(Dataset!C1084=4,3,4)))</f>
        <v>2</v>
      </c>
      <c r="G1084" s="29">
        <f t="shared" si="129"/>
        <v>1</v>
      </c>
      <c r="H1084" s="29">
        <f>IF(Dataset!G1084&lt;=3,0.25,IF(Dataset!G1084&lt;=6,0.45,IF(Dataset!G1084&lt;=9,0.65,0.85)))</f>
        <v>0.25</v>
      </c>
      <c r="I1084" s="29">
        <f>IF(Dataset!G1084&lt;=3,1,IF(Dataset!G1084&lt;=6,2,IF(Dataset!G1084&lt;=9,3,4)))</f>
        <v>1</v>
      </c>
      <c r="J1084" s="29">
        <f t="shared" si="130"/>
        <v>0.25</v>
      </c>
      <c r="K1084" s="29">
        <f>IF(Dataset!H1084&lt;1,0.2,IF(Dataset!H1084&lt;1.3,0.45,IF(Dataset!H1084&lt;1.8,0.7,0.9)))</f>
        <v>0.9</v>
      </c>
      <c r="L1084" s="29">
        <f>IF(Dataset!H1084&lt;1,1,IF(Dataset!H1084&lt;1.3,2,IF(Dataset!H1084&lt;1.8,3,4)))</f>
        <v>4</v>
      </c>
      <c r="M1084" s="29">
        <f t="shared" si="131"/>
        <v>3.6</v>
      </c>
      <c r="N1084" s="29">
        <f>IF(Dataset!F1084=1,0.75,IF(Dataset!F1084=2,0.45,0.2))</f>
        <v>0.75</v>
      </c>
      <c r="O1084" s="29">
        <f>IF(Dataset!F1084=1,3,IF(Dataset!F1084=2,2,1))</f>
        <v>3</v>
      </c>
      <c r="P1084" s="29">
        <f t="shared" si="132"/>
        <v>2.25</v>
      </c>
      <c r="Q1084" s="29">
        <f>IF(Dataset!K1084&lt;5,0.2,IF(Dataset!K1084&lt;10,0.45,IF(Dataset!K1084&lt;18,0.7,0.9)))</f>
        <v>0.2</v>
      </c>
      <c r="R1084" s="29">
        <f>IF(Dataset!K1084&lt;5,1,IF(Dataset!K1084&lt;10,2,IF(Dataset!K1084&lt;18,3,4)))</f>
        <v>1</v>
      </c>
      <c r="S1084" s="29">
        <f t="shared" si="133"/>
        <v>0.2</v>
      </c>
      <c r="T1084" s="29">
        <f t="shared" si="134"/>
        <v>1.6580000000000001</v>
      </c>
      <c r="U1084" s="29" t="str">
        <f t="shared" si="135"/>
        <v>Medium</v>
      </c>
    </row>
    <row r="1085" spans="1:21" ht="15" customHeight="1" x14ac:dyDescent="0.25">
      <c r="A1085" s="29">
        <f>Dataset!A1085</f>
        <v>1081</v>
      </c>
      <c r="B1085" s="29">
        <f>IF(Dataset!B1085&lt;25,0.3,IF(Dataset!B1085&lt;75,0.5,IF(Dataset!B1085&lt;120,0.65,0.8)))</f>
        <v>0.3</v>
      </c>
      <c r="C1085" s="29">
        <f>IF(Dataset!B1085&lt;25,1,IF(Dataset!B1085&lt;75,2,IF(Dataset!B1085&lt;120,3,4)))</f>
        <v>1</v>
      </c>
      <c r="D1085" s="29">
        <f t="shared" si="128"/>
        <v>0.3</v>
      </c>
      <c r="E1085" s="29">
        <f>IF(Dataset!C1085&lt;=1,0.3,IF(Dataset!C1085=2,0.4,IF(Dataset!C1085=3,0.5,IF(Dataset!C1085=4,0.65,0.8))))</f>
        <v>0.5</v>
      </c>
      <c r="F1085" s="29">
        <f>IF(Dataset!C1085&lt;=2,1,IF(Dataset!C1085=3,2,IF(Dataset!C1085=4,3,4)))</f>
        <v>2</v>
      </c>
      <c r="G1085" s="29">
        <f t="shared" si="129"/>
        <v>1</v>
      </c>
      <c r="H1085" s="29">
        <f>IF(Dataset!G1085&lt;=3,0.25,IF(Dataset!G1085&lt;=6,0.45,IF(Dataset!G1085&lt;=9,0.65,0.85)))</f>
        <v>0.65</v>
      </c>
      <c r="I1085" s="29">
        <f>IF(Dataset!G1085&lt;=3,1,IF(Dataset!G1085&lt;=6,2,IF(Dataset!G1085&lt;=9,3,4)))</f>
        <v>3</v>
      </c>
      <c r="J1085" s="29">
        <f t="shared" si="130"/>
        <v>1.9500000000000002</v>
      </c>
      <c r="K1085" s="29">
        <f>IF(Dataset!H1085&lt;1,0.2,IF(Dataset!H1085&lt;1.3,0.45,IF(Dataset!H1085&lt;1.8,0.7,0.9)))</f>
        <v>0.9</v>
      </c>
      <c r="L1085" s="29">
        <f>IF(Dataset!H1085&lt;1,1,IF(Dataset!H1085&lt;1.3,2,IF(Dataset!H1085&lt;1.8,3,4)))</f>
        <v>4</v>
      </c>
      <c r="M1085" s="29">
        <f t="shared" si="131"/>
        <v>3.6</v>
      </c>
      <c r="N1085" s="29">
        <f>IF(Dataset!F1085=1,0.75,IF(Dataset!F1085=2,0.45,0.2))</f>
        <v>0.75</v>
      </c>
      <c r="O1085" s="29">
        <f>IF(Dataset!F1085=1,3,IF(Dataset!F1085=2,2,1))</f>
        <v>3</v>
      </c>
      <c r="P1085" s="29">
        <f t="shared" si="132"/>
        <v>2.25</v>
      </c>
      <c r="Q1085" s="29">
        <f>IF(Dataset!K1085&lt;5,0.2,IF(Dataset!K1085&lt;10,0.45,IF(Dataset!K1085&lt;18,0.7,0.9)))</f>
        <v>0.45</v>
      </c>
      <c r="R1085" s="29">
        <f>IF(Dataset!K1085&lt;5,1,IF(Dataset!K1085&lt;10,2,IF(Dataset!K1085&lt;18,3,4)))</f>
        <v>2</v>
      </c>
      <c r="S1085" s="29">
        <f t="shared" si="133"/>
        <v>0.9</v>
      </c>
      <c r="T1085" s="29">
        <f t="shared" si="134"/>
        <v>1.7990000000000002</v>
      </c>
      <c r="U1085" s="29" t="str">
        <f t="shared" si="135"/>
        <v>High</v>
      </c>
    </row>
    <row r="1086" spans="1:21" ht="15" customHeight="1" x14ac:dyDescent="0.25">
      <c r="A1086" s="29">
        <f>Dataset!A1086</f>
        <v>1082</v>
      </c>
      <c r="B1086" s="29">
        <f>IF(Dataset!B1086&lt;25,0.3,IF(Dataset!B1086&lt;75,0.5,IF(Dataset!B1086&lt;120,0.65,0.8)))</f>
        <v>0.5</v>
      </c>
      <c r="C1086" s="29">
        <f>IF(Dataset!B1086&lt;25,1,IF(Dataset!B1086&lt;75,2,IF(Dataset!B1086&lt;120,3,4)))</f>
        <v>2</v>
      </c>
      <c r="D1086" s="29">
        <f t="shared" si="128"/>
        <v>1</v>
      </c>
      <c r="E1086" s="29">
        <f>IF(Dataset!C1086&lt;=1,0.3,IF(Dataset!C1086=2,0.4,IF(Dataset!C1086=3,0.5,IF(Dataset!C1086=4,0.65,0.8))))</f>
        <v>0.4</v>
      </c>
      <c r="F1086" s="29">
        <f>IF(Dataset!C1086&lt;=2,1,IF(Dataset!C1086=3,2,IF(Dataset!C1086=4,3,4)))</f>
        <v>1</v>
      </c>
      <c r="G1086" s="29">
        <f t="shared" si="129"/>
        <v>0.4</v>
      </c>
      <c r="H1086" s="29">
        <f>IF(Dataset!G1086&lt;=3,0.25,IF(Dataset!G1086&lt;=6,0.45,IF(Dataset!G1086&lt;=9,0.65,0.85)))</f>
        <v>0.45</v>
      </c>
      <c r="I1086" s="29">
        <f>IF(Dataset!G1086&lt;=3,1,IF(Dataset!G1086&lt;=6,2,IF(Dataset!G1086&lt;=9,3,4)))</f>
        <v>2</v>
      </c>
      <c r="J1086" s="29">
        <f t="shared" si="130"/>
        <v>0.9</v>
      </c>
      <c r="K1086" s="29">
        <f>IF(Dataset!H1086&lt;1,0.2,IF(Dataset!H1086&lt;1.3,0.45,IF(Dataset!H1086&lt;1.8,0.7,0.9)))</f>
        <v>0.9</v>
      </c>
      <c r="L1086" s="29">
        <f>IF(Dataset!H1086&lt;1,1,IF(Dataset!H1086&lt;1.3,2,IF(Dataset!H1086&lt;1.8,3,4)))</f>
        <v>4</v>
      </c>
      <c r="M1086" s="29">
        <f t="shared" si="131"/>
        <v>3.6</v>
      </c>
      <c r="N1086" s="29">
        <f>IF(Dataset!F1086=1,0.75,IF(Dataset!F1086=2,0.45,0.2))</f>
        <v>0.45</v>
      </c>
      <c r="O1086" s="29">
        <f>IF(Dataset!F1086=1,3,IF(Dataset!F1086=2,2,1))</f>
        <v>2</v>
      </c>
      <c r="P1086" s="29">
        <f t="shared" si="132"/>
        <v>0.9</v>
      </c>
      <c r="Q1086" s="29">
        <f>IF(Dataset!K1086&lt;5,0.2,IF(Dataset!K1086&lt;10,0.45,IF(Dataset!K1086&lt;18,0.7,0.9)))</f>
        <v>0.2</v>
      </c>
      <c r="R1086" s="29">
        <f>IF(Dataset!K1086&lt;5,1,IF(Dataset!K1086&lt;10,2,IF(Dataset!K1086&lt;18,3,4)))</f>
        <v>1</v>
      </c>
      <c r="S1086" s="29">
        <f t="shared" si="133"/>
        <v>0.2</v>
      </c>
      <c r="T1086" s="29">
        <f t="shared" si="134"/>
        <v>1.3980000000000001</v>
      </c>
      <c r="U1086" s="29" t="str">
        <f t="shared" si="135"/>
        <v>Medium</v>
      </c>
    </row>
    <row r="1087" spans="1:21" ht="15" customHeight="1" x14ac:dyDescent="0.25">
      <c r="A1087" s="29">
        <f>Dataset!A1087</f>
        <v>1083</v>
      </c>
      <c r="B1087" s="29">
        <f>IF(Dataset!B1087&lt;25,0.3,IF(Dataset!B1087&lt;75,0.5,IF(Dataset!B1087&lt;120,0.65,0.8)))</f>
        <v>0.5</v>
      </c>
      <c r="C1087" s="29">
        <f>IF(Dataset!B1087&lt;25,1,IF(Dataset!B1087&lt;75,2,IF(Dataset!B1087&lt;120,3,4)))</f>
        <v>2</v>
      </c>
      <c r="D1087" s="29">
        <f t="shared" si="128"/>
        <v>1</v>
      </c>
      <c r="E1087" s="29">
        <f>IF(Dataset!C1087&lt;=1,0.3,IF(Dataset!C1087=2,0.4,IF(Dataset!C1087=3,0.5,IF(Dataset!C1087=4,0.65,0.8))))</f>
        <v>0.8</v>
      </c>
      <c r="F1087" s="29">
        <f>IF(Dataset!C1087&lt;=2,1,IF(Dataset!C1087=3,2,IF(Dataset!C1087=4,3,4)))</f>
        <v>4</v>
      </c>
      <c r="G1087" s="29">
        <f t="shared" si="129"/>
        <v>3.2</v>
      </c>
      <c r="H1087" s="29">
        <f>IF(Dataset!G1087&lt;=3,0.25,IF(Dataset!G1087&lt;=6,0.45,IF(Dataset!G1087&lt;=9,0.65,0.85)))</f>
        <v>0.85</v>
      </c>
      <c r="I1087" s="29">
        <f>IF(Dataset!G1087&lt;=3,1,IF(Dataset!G1087&lt;=6,2,IF(Dataset!G1087&lt;=9,3,4)))</f>
        <v>4</v>
      </c>
      <c r="J1087" s="29">
        <f t="shared" si="130"/>
        <v>3.4</v>
      </c>
      <c r="K1087" s="29">
        <f>IF(Dataset!H1087&lt;1,0.2,IF(Dataset!H1087&lt;1.3,0.45,IF(Dataset!H1087&lt;1.8,0.7,0.9)))</f>
        <v>0.9</v>
      </c>
      <c r="L1087" s="29">
        <f>IF(Dataset!H1087&lt;1,1,IF(Dataset!H1087&lt;1.3,2,IF(Dataset!H1087&lt;1.8,3,4)))</f>
        <v>4</v>
      </c>
      <c r="M1087" s="29">
        <f t="shared" si="131"/>
        <v>3.6</v>
      </c>
      <c r="N1087" s="29">
        <f>IF(Dataset!F1087=1,0.75,IF(Dataset!F1087=2,0.45,0.2))</f>
        <v>0.45</v>
      </c>
      <c r="O1087" s="29">
        <f>IF(Dataset!F1087=1,3,IF(Dataset!F1087=2,2,1))</f>
        <v>2</v>
      </c>
      <c r="P1087" s="29">
        <f t="shared" si="132"/>
        <v>0.9</v>
      </c>
      <c r="Q1087" s="29">
        <f>IF(Dataset!K1087&lt;5,0.2,IF(Dataset!K1087&lt;10,0.45,IF(Dataset!K1087&lt;18,0.7,0.9)))</f>
        <v>0.9</v>
      </c>
      <c r="R1087" s="29">
        <f>IF(Dataset!K1087&lt;5,1,IF(Dataset!K1087&lt;10,2,IF(Dataset!K1087&lt;18,3,4)))</f>
        <v>4</v>
      </c>
      <c r="S1087" s="29">
        <f t="shared" si="133"/>
        <v>3.6</v>
      </c>
      <c r="T1087" s="29">
        <f t="shared" si="134"/>
        <v>2.766</v>
      </c>
      <c r="U1087" s="29" t="str">
        <f t="shared" si="135"/>
        <v>High</v>
      </c>
    </row>
    <row r="1088" spans="1:21" ht="15" customHeight="1" x14ac:dyDescent="0.25">
      <c r="A1088" s="29">
        <f>Dataset!A1088</f>
        <v>1084</v>
      </c>
      <c r="B1088" s="29">
        <f>IF(Dataset!B1088&lt;25,0.3,IF(Dataset!B1088&lt;75,0.5,IF(Dataset!B1088&lt;120,0.65,0.8)))</f>
        <v>0.5</v>
      </c>
      <c r="C1088" s="29">
        <f>IF(Dataset!B1088&lt;25,1,IF(Dataset!B1088&lt;75,2,IF(Dataset!B1088&lt;120,3,4)))</f>
        <v>2</v>
      </c>
      <c r="D1088" s="29">
        <f t="shared" si="128"/>
        <v>1</v>
      </c>
      <c r="E1088" s="29">
        <f>IF(Dataset!C1088&lt;=1,0.3,IF(Dataset!C1088=2,0.4,IF(Dataset!C1088=3,0.5,IF(Dataset!C1088=4,0.65,0.8))))</f>
        <v>0.4</v>
      </c>
      <c r="F1088" s="29">
        <f>IF(Dataset!C1088&lt;=2,1,IF(Dataset!C1088=3,2,IF(Dataset!C1088=4,3,4)))</f>
        <v>1</v>
      </c>
      <c r="G1088" s="29">
        <f t="shared" si="129"/>
        <v>0.4</v>
      </c>
      <c r="H1088" s="29">
        <f>IF(Dataset!G1088&lt;=3,0.25,IF(Dataset!G1088&lt;=6,0.45,IF(Dataset!G1088&lt;=9,0.65,0.85)))</f>
        <v>0.85</v>
      </c>
      <c r="I1088" s="29">
        <f>IF(Dataset!G1088&lt;=3,1,IF(Dataset!G1088&lt;=6,2,IF(Dataset!G1088&lt;=9,3,4)))</f>
        <v>4</v>
      </c>
      <c r="J1088" s="29">
        <f t="shared" si="130"/>
        <v>3.4</v>
      </c>
      <c r="K1088" s="29">
        <f>IF(Dataset!H1088&lt;1,0.2,IF(Dataset!H1088&lt;1.3,0.45,IF(Dataset!H1088&lt;1.8,0.7,0.9)))</f>
        <v>0.9</v>
      </c>
      <c r="L1088" s="29">
        <f>IF(Dataset!H1088&lt;1,1,IF(Dataset!H1088&lt;1.3,2,IF(Dataset!H1088&lt;1.8,3,4)))</f>
        <v>4</v>
      </c>
      <c r="M1088" s="29">
        <f t="shared" si="131"/>
        <v>3.6</v>
      </c>
      <c r="N1088" s="29">
        <f>IF(Dataset!F1088=1,0.75,IF(Dataset!F1088=2,0.45,0.2))</f>
        <v>0.45</v>
      </c>
      <c r="O1088" s="29">
        <f>IF(Dataset!F1088=1,3,IF(Dataset!F1088=2,2,1))</f>
        <v>2</v>
      </c>
      <c r="P1088" s="29">
        <f t="shared" si="132"/>
        <v>0.9</v>
      </c>
      <c r="Q1088" s="29">
        <f>IF(Dataset!K1088&lt;5,0.2,IF(Dataset!K1088&lt;10,0.45,IF(Dataset!K1088&lt;18,0.7,0.9)))</f>
        <v>0.2</v>
      </c>
      <c r="R1088" s="29">
        <f>IF(Dataset!K1088&lt;5,1,IF(Dataset!K1088&lt;10,2,IF(Dataset!K1088&lt;18,3,4)))</f>
        <v>1</v>
      </c>
      <c r="S1088" s="29">
        <f t="shared" si="133"/>
        <v>0.2</v>
      </c>
      <c r="T1088" s="29">
        <f t="shared" si="134"/>
        <v>1.8980000000000001</v>
      </c>
      <c r="U1088" s="29" t="str">
        <f t="shared" si="135"/>
        <v>High</v>
      </c>
    </row>
    <row r="1089" spans="1:21" ht="15" customHeight="1" x14ac:dyDescent="0.25">
      <c r="A1089" s="29">
        <f>Dataset!A1089</f>
        <v>1085</v>
      </c>
      <c r="B1089" s="29">
        <f>IF(Dataset!B1089&lt;25,0.3,IF(Dataset!B1089&lt;75,0.5,IF(Dataset!B1089&lt;120,0.65,0.8)))</f>
        <v>0.5</v>
      </c>
      <c r="C1089" s="29">
        <f>IF(Dataset!B1089&lt;25,1,IF(Dataset!B1089&lt;75,2,IF(Dataset!B1089&lt;120,3,4)))</f>
        <v>2</v>
      </c>
      <c r="D1089" s="29">
        <f t="shared" si="128"/>
        <v>1</v>
      </c>
      <c r="E1089" s="29">
        <f>IF(Dataset!C1089&lt;=1,0.3,IF(Dataset!C1089=2,0.4,IF(Dataset!C1089=3,0.5,IF(Dataset!C1089=4,0.65,0.8))))</f>
        <v>0.4</v>
      </c>
      <c r="F1089" s="29">
        <f>IF(Dataset!C1089&lt;=2,1,IF(Dataset!C1089=3,2,IF(Dataset!C1089=4,3,4)))</f>
        <v>1</v>
      </c>
      <c r="G1089" s="29">
        <f t="shared" si="129"/>
        <v>0.4</v>
      </c>
      <c r="H1089" s="29">
        <f>IF(Dataset!G1089&lt;=3,0.25,IF(Dataset!G1089&lt;=6,0.45,IF(Dataset!G1089&lt;=9,0.65,0.85)))</f>
        <v>0.45</v>
      </c>
      <c r="I1089" s="29">
        <f>IF(Dataset!G1089&lt;=3,1,IF(Dataset!G1089&lt;=6,2,IF(Dataset!G1089&lt;=9,3,4)))</f>
        <v>2</v>
      </c>
      <c r="J1089" s="29">
        <f t="shared" si="130"/>
        <v>0.9</v>
      </c>
      <c r="K1089" s="29">
        <f>IF(Dataset!H1089&lt;1,0.2,IF(Dataset!H1089&lt;1.3,0.45,IF(Dataset!H1089&lt;1.8,0.7,0.9)))</f>
        <v>0.9</v>
      </c>
      <c r="L1089" s="29">
        <f>IF(Dataset!H1089&lt;1,1,IF(Dataset!H1089&lt;1.3,2,IF(Dataset!H1089&lt;1.8,3,4)))</f>
        <v>4</v>
      </c>
      <c r="M1089" s="29">
        <f t="shared" si="131"/>
        <v>3.6</v>
      </c>
      <c r="N1089" s="29">
        <f>IF(Dataset!F1089=1,0.75,IF(Dataset!F1089=2,0.45,0.2))</f>
        <v>0.2</v>
      </c>
      <c r="O1089" s="29">
        <f>IF(Dataset!F1089=1,3,IF(Dataset!F1089=2,2,1))</f>
        <v>1</v>
      </c>
      <c r="P1089" s="29">
        <f t="shared" si="132"/>
        <v>0.2</v>
      </c>
      <c r="Q1089" s="29">
        <f>IF(Dataset!K1089&lt;5,0.2,IF(Dataset!K1089&lt;10,0.45,IF(Dataset!K1089&lt;18,0.7,0.9)))</f>
        <v>0.45</v>
      </c>
      <c r="R1089" s="29">
        <f>IF(Dataset!K1089&lt;5,1,IF(Dataset!K1089&lt;10,2,IF(Dataset!K1089&lt;18,3,4)))</f>
        <v>2</v>
      </c>
      <c r="S1089" s="29">
        <f t="shared" si="133"/>
        <v>0.9</v>
      </c>
      <c r="T1089" s="29">
        <f t="shared" si="134"/>
        <v>1.4260000000000002</v>
      </c>
      <c r="U1089" s="29" t="str">
        <f t="shared" si="135"/>
        <v>Medium</v>
      </c>
    </row>
    <row r="1090" spans="1:21" ht="15" customHeight="1" x14ac:dyDescent="0.25">
      <c r="A1090" s="29">
        <f>Dataset!A1090</f>
        <v>1086</v>
      </c>
      <c r="B1090" s="29">
        <f>IF(Dataset!B1090&lt;25,0.3,IF(Dataset!B1090&lt;75,0.5,IF(Dataset!B1090&lt;120,0.65,0.8)))</f>
        <v>0.5</v>
      </c>
      <c r="C1090" s="29">
        <f>IF(Dataset!B1090&lt;25,1,IF(Dataset!B1090&lt;75,2,IF(Dataset!B1090&lt;120,3,4)))</f>
        <v>2</v>
      </c>
      <c r="D1090" s="29">
        <f t="shared" si="128"/>
        <v>1</v>
      </c>
      <c r="E1090" s="29">
        <f>IF(Dataset!C1090&lt;=1,0.3,IF(Dataset!C1090=2,0.4,IF(Dataset!C1090=3,0.5,IF(Dataset!C1090=4,0.65,0.8))))</f>
        <v>0.4</v>
      </c>
      <c r="F1090" s="29">
        <f>IF(Dataset!C1090&lt;=2,1,IF(Dataset!C1090=3,2,IF(Dataset!C1090=4,3,4)))</f>
        <v>1</v>
      </c>
      <c r="G1090" s="29">
        <f t="shared" si="129"/>
        <v>0.4</v>
      </c>
      <c r="H1090" s="29">
        <f>IF(Dataset!G1090&lt;=3,0.25,IF(Dataset!G1090&lt;=6,0.45,IF(Dataset!G1090&lt;=9,0.65,0.85)))</f>
        <v>0.65</v>
      </c>
      <c r="I1090" s="29">
        <f>IF(Dataset!G1090&lt;=3,1,IF(Dataset!G1090&lt;=6,2,IF(Dataset!G1090&lt;=9,3,4)))</f>
        <v>3</v>
      </c>
      <c r="J1090" s="29">
        <f t="shared" si="130"/>
        <v>1.9500000000000002</v>
      </c>
      <c r="K1090" s="29">
        <f>IF(Dataset!H1090&lt;1,0.2,IF(Dataset!H1090&lt;1.3,0.45,IF(Dataset!H1090&lt;1.8,0.7,0.9)))</f>
        <v>0.9</v>
      </c>
      <c r="L1090" s="29">
        <f>IF(Dataset!H1090&lt;1,1,IF(Dataset!H1090&lt;1.3,2,IF(Dataset!H1090&lt;1.8,3,4)))</f>
        <v>4</v>
      </c>
      <c r="M1090" s="29">
        <f t="shared" si="131"/>
        <v>3.6</v>
      </c>
      <c r="N1090" s="29">
        <f>IF(Dataset!F1090=1,0.75,IF(Dataset!F1090=2,0.45,0.2))</f>
        <v>0.75</v>
      </c>
      <c r="O1090" s="29">
        <f>IF(Dataset!F1090=1,3,IF(Dataset!F1090=2,2,1))</f>
        <v>3</v>
      </c>
      <c r="P1090" s="29">
        <f t="shared" si="132"/>
        <v>2.25</v>
      </c>
      <c r="Q1090" s="29">
        <f>IF(Dataset!K1090&lt;5,0.2,IF(Dataset!K1090&lt;10,0.45,IF(Dataset!K1090&lt;18,0.7,0.9)))</f>
        <v>0.2</v>
      </c>
      <c r="R1090" s="29">
        <f>IF(Dataset!K1090&lt;5,1,IF(Dataset!K1090&lt;10,2,IF(Dataset!K1090&lt;18,3,4)))</f>
        <v>1</v>
      </c>
      <c r="S1090" s="29">
        <f t="shared" si="133"/>
        <v>0.2</v>
      </c>
      <c r="T1090" s="29">
        <f t="shared" si="134"/>
        <v>1.7430000000000003</v>
      </c>
      <c r="U1090" s="29" t="str">
        <f t="shared" si="135"/>
        <v>Medium</v>
      </c>
    </row>
    <row r="1091" spans="1:21" ht="15" customHeight="1" x14ac:dyDescent="0.25">
      <c r="A1091" s="29">
        <f>Dataset!A1091</f>
        <v>1087</v>
      </c>
      <c r="B1091" s="29">
        <f>IF(Dataset!B1091&lt;25,0.3,IF(Dataset!B1091&lt;75,0.5,IF(Dataset!B1091&lt;120,0.65,0.8)))</f>
        <v>0.8</v>
      </c>
      <c r="C1091" s="29">
        <f>IF(Dataset!B1091&lt;25,1,IF(Dataset!B1091&lt;75,2,IF(Dataset!B1091&lt;120,3,4)))</f>
        <v>4</v>
      </c>
      <c r="D1091" s="29">
        <f t="shared" si="128"/>
        <v>3.2</v>
      </c>
      <c r="E1091" s="29">
        <f>IF(Dataset!C1091&lt;=1,0.3,IF(Dataset!C1091=2,0.4,IF(Dataset!C1091=3,0.5,IF(Dataset!C1091=4,0.65,0.8))))</f>
        <v>0.65</v>
      </c>
      <c r="F1091" s="29">
        <f>IF(Dataset!C1091&lt;=2,1,IF(Dataset!C1091=3,2,IF(Dataset!C1091=4,3,4)))</f>
        <v>3</v>
      </c>
      <c r="G1091" s="29">
        <f t="shared" si="129"/>
        <v>1.9500000000000002</v>
      </c>
      <c r="H1091" s="29">
        <f>IF(Dataset!G1091&lt;=3,0.25,IF(Dataset!G1091&lt;=6,0.45,IF(Dataset!G1091&lt;=9,0.65,0.85)))</f>
        <v>0.25</v>
      </c>
      <c r="I1091" s="29">
        <f>IF(Dataset!G1091&lt;=3,1,IF(Dataset!G1091&lt;=6,2,IF(Dataset!G1091&lt;=9,3,4)))</f>
        <v>1</v>
      </c>
      <c r="J1091" s="29">
        <f t="shared" si="130"/>
        <v>0.25</v>
      </c>
      <c r="K1091" s="29">
        <f>IF(Dataset!H1091&lt;1,0.2,IF(Dataset!H1091&lt;1.3,0.45,IF(Dataset!H1091&lt;1.8,0.7,0.9)))</f>
        <v>0.7</v>
      </c>
      <c r="L1091" s="29">
        <f>IF(Dataset!H1091&lt;1,1,IF(Dataset!H1091&lt;1.3,2,IF(Dataset!H1091&lt;1.8,3,4)))</f>
        <v>3</v>
      </c>
      <c r="M1091" s="29">
        <f t="shared" si="131"/>
        <v>2.0999999999999996</v>
      </c>
      <c r="N1091" s="29">
        <f>IF(Dataset!F1091=1,0.75,IF(Dataset!F1091=2,0.45,0.2))</f>
        <v>0.75</v>
      </c>
      <c r="O1091" s="29">
        <f>IF(Dataset!F1091=1,3,IF(Dataset!F1091=2,2,1))</f>
        <v>3</v>
      </c>
      <c r="P1091" s="29">
        <f t="shared" si="132"/>
        <v>2.25</v>
      </c>
      <c r="Q1091" s="29">
        <f>IF(Dataset!K1091&lt;5,0.2,IF(Dataset!K1091&lt;10,0.45,IF(Dataset!K1091&lt;18,0.7,0.9)))</f>
        <v>0.7</v>
      </c>
      <c r="R1091" s="29">
        <f>IF(Dataset!K1091&lt;5,1,IF(Dataset!K1091&lt;10,2,IF(Dataset!K1091&lt;18,3,4)))</f>
        <v>3</v>
      </c>
      <c r="S1091" s="29">
        <f t="shared" si="133"/>
        <v>2.0999999999999996</v>
      </c>
      <c r="T1091" s="29">
        <f t="shared" si="134"/>
        <v>1.9220000000000002</v>
      </c>
      <c r="U1091" s="29" t="str">
        <f t="shared" si="135"/>
        <v>High</v>
      </c>
    </row>
    <row r="1092" spans="1:21" ht="15" customHeight="1" x14ac:dyDescent="0.25">
      <c r="A1092" s="29">
        <f>Dataset!A1092</f>
        <v>1088</v>
      </c>
      <c r="B1092" s="29">
        <f>IF(Dataset!B1092&lt;25,0.3,IF(Dataset!B1092&lt;75,0.5,IF(Dataset!B1092&lt;120,0.65,0.8)))</f>
        <v>0.5</v>
      </c>
      <c r="C1092" s="29">
        <f>IF(Dataset!B1092&lt;25,1,IF(Dataset!B1092&lt;75,2,IF(Dataset!B1092&lt;120,3,4)))</f>
        <v>2</v>
      </c>
      <c r="D1092" s="29">
        <f t="shared" si="128"/>
        <v>1</v>
      </c>
      <c r="E1092" s="29">
        <f>IF(Dataset!C1092&lt;=1,0.3,IF(Dataset!C1092=2,0.4,IF(Dataset!C1092=3,0.5,IF(Dataset!C1092=4,0.65,0.8))))</f>
        <v>0.4</v>
      </c>
      <c r="F1092" s="29">
        <f>IF(Dataset!C1092&lt;=2,1,IF(Dataset!C1092=3,2,IF(Dataset!C1092=4,3,4)))</f>
        <v>1</v>
      </c>
      <c r="G1092" s="29">
        <f t="shared" si="129"/>
        <v>0.4</v>
      </c>
      <c r="H1092" s="29">
        <f>IF(Dataset!G1092&lt;=3,0.25,IF(Dataset!G1092&lt;=6,0.45,IF(Dataset!G1092&lt;=9,0.65,0.85)))</f>
        <v>0.85</v>
      </c>
      <c r="I1092" s="29">
        <f>IF(Dataset!G1092&lt;=3,1,IF(Dataset!G1092&lt;=6,2,IF(Dataset!G1092&lt;=9,3,4)))</f>
        <v>4</v>
      </c>
      <c r="J1092" s="29">
        <f t="shared" si="130"/>
        <v>3.4</v>
      </c>
      <c r="K1092" s="29">
        <f>IF(Dataset!H1092&lt;1,0.2,IF(Dataset!H1092&lt;1.3,0.45,IF(Dataset!H1092&lt;1.8,0.7,0.9)))</f>
        <v>0.9</v>
      </c>
      <c r="L1092" s="29">
        <f>IF(Dataset!H1092&lt;1,1,IF(Dataset!H1092&lt;1.3,2,IF(Dataset!H1092&lt;1.8,3,4)))</f>
        <v>4</v>
      </c>
      <c r="M1092" s="29">
        <f t="shared" si="131"/>
        <v>3.6</v>
      </c>
      <c r="N1092" s="29">
        <f>IF(Dataset!F1092=1,0.75,IF(Dataset!F1092=2,0.45,0.2))</f>
        <v>0.45</v>
      </c>
      <c r="O1092" s="29">
        <f>IF(Dataset!F1092=1,3,IF(Dataset!F1092=2,2,1))</f>
        <v>2</v>
      </c>
      <c r="P1092" s="29">
        <f t="shared" si="132"/>
        <v>0.9</v>
      </c>
      <c r="Q1092" s="29">
        <f>IF(Dataset!K1092&lt;5,0.2,IF(Dataset!K1092&lt;10,0.45,IF(Dataset!K1092&lt;18,0.7,0.9)))</f>
        <v>0.2</v>
      </c>
      <c r="R1092" s="29">
        <f>IF(Dataset!K1092&lt;5,1,IF(Dataset!K1092&lt;10,2,IF(Dataset!K1092&lt;18,3,4)))</f>
        <v>1</v>
      </c>
      <c r="S1092" s="29">
        <f t="shared" si="133"/>
        <v>0.2</v>
      </c>
      <c r="T1092" s="29">
        <f t="shared" si="134"/>
        <v>1.8980000000000001</v>
      </c>
      <c r="U1092" s="29" t="str">
        <f t="shared" si="135"/>
        <v>High</v>
      </c>
    </row>
    <row r="1093" spans="1:21" ht="15" customHeight="1" x14ac:dyDescent="0.25">
      <c r="A1093" s="29">
        <f>Dataset!A1093</f>
        <v>1089</v>
      </c>
      <c r="B1093" s="29">
        <f>IF(Dataset!B1093&lt;25,0.3,IF(Dataset!B1093&lt;75,0.5,IF(Dataset!B1093&lt;120,0.65,0.8)))</f>
        <v>0.65</v>
      </c>
      <c r="C1093" s="29">
        <f>IF(Dataset!B1093&lt;25,1,IF(Dataset!B1093&lt;75,2,IF(Dataset!B1093&lt;120,3,4)))</f>
        <v>3</v>
      </c>
      <c r="D1093" s="29">
        <f t="shared" ref="D1093:D1156" si="136">B1093*C1093</f>
        <v>1.9500000000000002</v>
      </c>
      <c r="E1093" s="29">
        <f>IF(Dataset!C1093&lt;=1,0.3,IF(Dataset!C1093=2,0.4,IF(Dataset!C1093=3,0.5,IF(Dataset!C1093=4,0.65,0.8))))</f>
        <v>0.65</v>
      </c>
      <c r="F1093" s="29">
        <f>IF(Dataset!C1093&lt;=2,1,IF(Dataset!C1093=3,2,IF(Dataset!C1093=4,3,4)))</f>
        <v>3</v>
      </c>
      <c r="G1093" s="29">
        <f t="shared" ref="G1093:G1156" si="137">E1093*F1093</f>
        <v>1.9500000000000002</v>
      </c>
      <c r="H1093" s="29">
        <f>IF(Dataset!G1093&lt;=3,0.25,IF(Dataset!G1093&lt;=6,0.45,IF(Dataset!G1093&lt;=9,0.65,0.85)))</f>
        <v>0.25</v>
      </c>
      <c r="I1093" s="29">
        <f>IF(Dataset!G1093&lt;=3,1,IF(Dataset!G1093&lt;=6,2,IF(Dataset!G1093&lt;=9,3,4)))</f>
        <v>1</v>
      </c>
      <c r="J1093" s="29">
        <f t="shared" ref="J1093:J1156" si="138">H1093*I1093</f>
        <v>0.25</v>
      </c>
      <c r="K1093" s="29">
        <f>IF(Dataset!H1093&lt;1,0.2,IF(Dataset!H1093&lt;1.3,0.45,IF(Dataset!H1093&lt;1.8,0.7,0.9)))</f>
        <v>0.7</v>
      </c>
      <c r="L1093" s="29">
        <f>IF(Dataset!H1093&lt;1,1,IF(Dataset!H1093&lt;1.3,2,IF(Dataset!H1093&lt;1.8,3,4)))</f>
        <v>3</v>
      </c>
      <c r="M1093" s="29">
        <f t="shared" ref="M1093:M1156" si="139">K1093*L1093</f>
        <v>2.0999999999999996</v>
      </c>
      <c r="N1093" s="29">
        <f>IF(Dataset!F1093=1,0.75,IF(Dataset!F1093=2,0.45,0.2))</f>
        <v>0.75</v>
      </c>
      <c r="O1093" s="29">
        <f>IF(Dataset!F1093=1,3,IF(Dataset!F1093=2,2,1))</f>
        <v>3</v>
      </c>
      <c r="P1093" s="29">
        <f t="shared" ref="P1093:P1156" si="140">N1093*O1093</f>
        <v>2.25</v>
      </c>
      <c r="Q1093" s="29">
        <f>IF(Dataset!K1093&lt;5,0.2,IF(Dataset!K1093&lt;10,0.45,IF(Dataset!K1093&lt;18,0.7,0.9)))</f>
        <v>0.45</v>
      </c>
      <c r="R1093" s="29">
        <f>IF(Dataset!K1093&lt;5,1,IF(Dataset!K1093&lt;10,2,IF(Dataset!K1093&lt;18,3,4)))</f>
        <v>2</v>
      </c>
      <c r="S1093" s="29">
        <f t="shared" ref="S1093:S1156" si="141">Q1093*R1093</f>
        <v>0.9</v>
      </c>
      <c r="T1093" s="29">
        <f t="shared" ref="T1093:T1156" si="142">$Y$6*D1093+$Y$7*G1093+$Y$8*J1093+$Y$9*M1093+$Y$10*P1093+$Y$11*S1093</f>
        <v>1.5290000000000001</v>
      </c>
      <c r="U1093" s="29" t="str">
        <f t="shared" ref="U1093:U1156" si="143">IF(T1093&lt;=$Y$15,"Low",IF(T1093&lt;=$Y$16,"Medium","High"))</f>
        <v>Medium</v>
      </c>
    </row>
    <row r="1094" spans="1:21" ht="15" customHeight="1" x14ac:dyDescent="0.25">
      <c r="A1094" s="29">
        <f>Dataset!A1094</f>
        <v>1090</v>
      </c>
      <c r="B1094" s="29">
        <f>IF(Dataset!B1094&lt;25,0.3,IF(Dataset!B1094&lt;75,0.5,IF(Dataset!B1094&lt;120,0.65,0.8)))</f>
        <v>0.65</v>
      </c>
      <c r="C1094" s="29">
        <f>IF(Dataset!B1094&lt;25,1,IF(Dataset!B1094&lt;75,2,IF(Dataset!B1094&lt;120,3,4)))</f>
        <v>3</v>
      </c>
      <c r="D1094" s="29">
        <f t="shared" si="136"/>
        <v>1.9500000000000002</v>
      </c>
      <c r="E1094" s="29">
        <f>IF(Dataset!C1094&lt;=1,0.3,IF(Dataset!C1094=2,0.4,IF(Dataset!C1094=3,0.5,IF(Dataset!C1094=4,0.65,0.8))))</f>
        <v>0.65</v>
      </c>
      <c r="F1094" s="29">
        <f>IF(Dataset!C1094&lt;=2,1,IF(Dataset!C1094=3,2,IF(Dataset!C1094=4,3,4)))</f>
        <v>3</v>
      </c>
      <c r="G1094" s="29">
        <f t="shared" si="137"/>
        <v>1.9500000000000002</v>
      </c>
      <c r="H1094" s="29">
        <f>IF(Dataset!G1094&lt;=3,0.25,IF(Dataset!G1094&lt;=6,0.45,IF(Dataset!G1094&lt;=9,0.65,0.85)))</f>
        <v>0.25</v>
      </c>
      <c r="I1094" s="29">
        <f>IF(Dataset!G1094&lt;=3,1,IF(Dataset!G1094&lt;=6,2,IF(Dataset!G1094&lt;=9,3,4)))</f>
        <v>1</v>
      </c>
      <c r="J1094" s="29">
        <f t="shared" si="138"/>
        <v>0.25</v>
      </c>
      <c r="K1094" s="29">
        <f>IF(Dataset!H1094&lt;1,0.2,IF(Dataset!H1094&lt;1.3,0.45,IF(Dataset!H1094&lt;1.8,0.7,0.9)))</f>
        <v>0.9</v>
      </c>
      <c r="L1094" s="29">
        <f>IF(Dataset!H1094&lt;1,1,IF(Dataset!H1094&lt;1.3,2,IF(Dataset!H1094&lt;1.8,3,4)))</f>
        <v>4</v>
      </c>
      <c r="M1094" s="29">
        <f t="shared" si="139"/>
        <v>3.6</v>
      </c>
      <c r="N1094" s="29">
        <f>IF(Dataset!F1094=1,0.75,IF(Dataset!F1094=2,0.45,0.2))</f>
        <v>0.45</v>
      </c>
      <c r="O1094" s="29">
        <f>IF(Dataset!F1094=1,3,IF(Dataset!F1094=2,2,1))</f>
        <v>2</v>
      </c>
      <c r="P1094" s="29">
        <f t="shared" si="140"/>
        <v>0.9</v>
      </c>
      <c r="Q1094" s="29">
        <f>IF(Dataset!K1094&lt;5,0.2,IF(Dataset!K1094&lt;10,0.45,IF(Dataset!K1094&lt;18,0.7,0.9)))</f>
        <v>0.45</v>
      </c>
      <c r="R1094" s="29">
        <f>IF(Dataset!K1094&lt;5,1,IF(Dataset!K1094&lt;10,2,IF(Dataset!K1094&lt;18,3,4)))</f>
        <v>2</v>
      </c>
      <c r="S1094" s="29">
        <f t="shared" si="141"/>
        <v>0.9</v>
      </c>
      <c r="T1094" s="29">
        <f t="shared" si="142"/>
        <v>1.7540000000000004</v>
      </c>
      <c r="U1094" s="29" t="str">
        <f t="shared" si="143"/>
        <v>Medium</v>
      </c>
    </row>
    <row r="1095" spans="1:21" ht="15" customHeight="1" x14ac:dyDescent="0.25">
      <c r="A1095" s="29">
        <f>Dataset!A1095</f>
        <v>1091</v>
      </c>
      <c r="B1095" s="29">
        <f>IF(Dataset!B1095&lt;25,0.3,IF(Dataset!B1095&lt;75,0.5,IF(Dataset!B1095&lt;120,0.65,0.8)))</f>
        <v>0.8</v>
      </c>
      <c r="C1095" s="29">
        <f>IF(Dataset!B1095&lt;25,1,IF(Dataset!B1095&lt;75,2,IF(Dataset!B1095&lt;120,3,4)))</f>
        <v>4</v>
      </c>
      <c r="D1095" s="29">
        <f t="shared" si="136"/>
        <v>3.2</v>
      </c>
      <c r="E1095" s="29">
        <f>IF(Dataset!C1095&lt;=1,0.3,IF(Dataset!C1095=2,0.4,IF(Dataset!C1095=3,0.5,IF(Dataset!C1095=4,0.65,0.8))))</f>
        <v>0.65</v>
      </c>
      <c r="F1095" s="29">
        <f>IF(Dataset!C1095&lt;=2,1,IF(Dataset!C1095=3,2,IF(Dataset!C1095=4,3,4)))</f>
        <v>3</v>
      </c>
      <c r="G1095" s="29">
        <f t="shared" si="137"/>
        <v>1.9500000000000002</v>
      </c>
      <c r="H1095" s="29">
        <f>IF(Dataset!G1095&lt;=3,0.25,IF(Dataset!G1095&lt;=6,0.45,IF(Dataset!G1095&lt;=9,0.65,0.85)))</f>
        <v>0.45</v>
      </c>
      <c r="I1095" s="29">
        <f>IF(Dataset!G1095&lt;=3,1,IF(Dataset!G1095&lt;=6,2,IF(Dataset!G1095&lt;=9,3,4)))</f>
        <v>2</v>
      </c>
      <c r="J1095" s="29">
        <f t="shared" si="138"/>
        <v>0.9</v>
      </c>
      <c r="K1095" s="29">
        <f>IF(Dataset!H1095&lt;1,0.2,IF(Dataset!H1095&lt;1.3,0.45,IF(Dataset!H1095&lt;1.8,0.7,0.9)))</f>
        <v>0.7</v>
      </c>
      <c r="L1095" s="29">
        <f>IF(Dataset!H1095&lt;1,1,IF(Dataset!H1095&lt;1.3,2,IF(Dataset!H1095&lt;1.8,3,4)))</f>
        <v>3</v>
      </c>
      <c r="M1095" s="29">
        <f t="shared" si="139"/>
        <v>2.0999999999999996</v>
      </c>
      <c r="N1095" s="29">
        <f>IF(Dataset!F1095=1,0.75,IF(Dataset!F1095=2,0.45,0.2))</f>
        <v>0.45</v>
      </c>
      <c r="O1095" s="29">
        <f>IF(Dataset!F1095=1,3,IF(Dataset!F1095=2,2,1))</f>
        <v>2</v>
      </c>
      <c r="P1095" s="29">
        <f t="shared" si="140"/>
        <v>0.9</v>
      </c>
      <c r="Q1095" s="29">
        <f>IF(Dataset!K1095&lt;5,0.2,IF(Dataset!K1095&lt;10,0.45,IF(Dataset!K1095&lt;18,0.7,0.9)))</f>
        <v>0.7</v>
      </c>
      <c r="R1095" s="29">
        <f>IF(Dataset!K1095&lt;5,1,IF(Dataset!K1095&lt;10,2,IF(Dataset!K1095&lt;18,3,4)))</f>
        <v>3</v>
      </c>
      <c r="S1095" s="29">
        <f t="shared" si="141"/>
        <v>2.0999999999999996</v>
      </c>
      <c r="T1095" s="29">
        <f t="shared" si="142"/>
        <v>1.917</v>
      </c>
      <c r="U1095" s="29" t="str">
        <f t="shared" si="143"/>
        <v>High</v>
      </c>
    </row>
    <row r="1096" spans="1:21" ht="15" customHeight="1" x14ac:dyDescent="0.25">
      <c r="A1096" s="29">
        <f>Dataset!A1096</f>
        <v>1092</v>
      </c>
      <c r="B1096" s="29">
        <f>IF(Dataset!B1096&lt;25,0.3,IF(Dataset!B1096&lt;75,0.5,IF(Dataset!B1096&lt;120,0.65,0.8)))</f>
        <v>0.5</v>
      </c>
      <c r="C1096" s="29">
        <f>IF(Dataset!B1096&lt;25,1,IF(Dataset!B1096&lt;75,2,IF(Dataset!B1096&lt;120,3,4)))</f>
        <v>2</v>
      </c>
      <c r="D1096" s="29">
        <f t="shared" si="136"/>
        <v>1</v>
      </c>
      <c r="E1096" s="29">
        <f>IF(Dataset!C1096&lt;=1,0.3,IF(Dataset!C1096=2,0.4,IF(Dataset!C1096=3,0.5,IF(Dataset!C1096=4,0.65,0.8))))</f>
        <v>0.4</v>
      </c>
      <c r="F1096" s="29">
        <f>IF(Dataset!C1096&lt;=2,1,IF(Dataset!C1096=3,2,IF(Dataset!C1096=4,3,4)))</f>
        <v>1</v>
      </c>
      <c r="G1096" s="29">
        <f t="shared" si="137"/>
        <v>0.4</v>
      </c>
      <c r="H1096" s="29">
        <f>IF(Dataset!G1096&lt;=3,0.25,IF(Dataset!G1096&lt;=6,0.45,IF(Dataset!G1096&lt;=9,0.65,0.85)))</f>
        <v>0.65</v>
      </c>
      <c r="I1096" s="29">
        <f>IF(Dataset!G1096&lt;=3,1,IF(Dataset!G1096&lt;=6,2,IF(Dataset!G1096&lt;=9,3,4)))</f>
        <v>3</v>
      </c>
      <c r="J1096" s="29">
        <f t="shared" si="138"/>
        <v>1.9500000000000002</v>
      </c>
      <c r="K1096" s="29">
        <f>IF(Dataset!H1096&lt;1,0.2,IF(Dataset!H1096&lt;1.3,0.45,IF(Dataset!H1096&lt;1.8,0.7,0.9)))</f>
        <v>0.2</v>
      </c>
      <c r="L1096" s="29">
        <f>IF(Dataset!H1096&lt;1,1,IF(Dataset!H1096&lt;1.3,2,IF(Dataset!H1096&lt;1.8,3,4)))</f>
        <v>1</v>
      </c>
      <c r="M1096" s="29">
        <f t="shared" si="139"/>
        <v>0.2</v>
      </c>
      <c r="N1096" s="29">
        <f>IF(Dataset!F1096=1,0.75,IF(Dataset!F1096=2,0.45,0.2))</f>
        <v>0.45</v>
      </c>
      <c r="O1096" s="29">
        <f>IF(Dataset!F1096=1,3,IF(Dataset!F1096=2,2,1))</f>
        <v>2</v>
      </c>
      <c r="P1096" s="29">
        <f t="shared" si="140"/>
        <v>0.9</v>
      </c>
      <c r="Q1096" s="29">
        <f>IF(Dataset!K1096&lt;5,0.2,IF(Dataset!K1096&lt;10,0.45,IF(Dataset!K1096&lt;18,0.7,0.9)))</f>
        <v>0.2</v>
      </c>
      <c r="R1096" s="29">
        <f>IF(Dataset!K1096&lt;5,1,IF(Dataset!K1096&lt;10,2,IF(Dataset!K1096&lt;18,3,4)))</f>
        <v>1</v>
      </c>
      <c r="S1096" s="29">
        <f t="shared" si="141"/>
        <v>0.2</v>
      </c>
      <c r="T1096" s="29">
        <f t="shared" si="142"/>
        <v>0.79200000000000015</v>
      </c>
      <c r="U1096" s="29" t="str">
        <f t="shared" si="143"/>
        <v>Low</v>
      </c>
    </row>
    <row r="1097" spans="1:21" ht="15" customHeight="1" x14ac:dyDescent="0.25">
      <c r="A1097" s="29">
        <f>Dataset!A1097</f>
        <v>1093</v>
      </c>
      <c r="B1097" s="29">
        <f>IF(Dataset!B1097&lt;25,0.3,IF(Dataset!B1097&lt;75,0.5,IF(Dataset!B1097&lt;120,0.65,0.8)))</f>
        <v>0.5</v>
      </c>
      <c r="C1097" s="29">
        <f>IF(Dataset!B1097&lt;25,1,IF(Dataset!B1097&lt;75,2,IF(Dataset!B1097&lt;120,3,4)))</f>
        <v>2</v>
      </c>
      <c r="D1097" s="29">
        <f t="shared" si="136"/>
        <v>1</v>
      </c>
      <c r="E1097" s="29">
        <f>IF(Dataset!C1097&lt;=1,0.3,IF(Dataset!C1097=2,0.4,IF(Dataset!C1097=3,0.5,IF(Dataset!C1097=4,0.65,0.8))))</f>
        <v>0.3</v>
      </c>
      <c r="F1097" s="29">
        <f>IF(Dataset!C1097&lt;=2,1,IF(Dataset!C1097=3,2,IF(Dataset!C1097=4,3,4)))</f>
        <v>1</v>
      </c>
      <c r="G1097" s="29">
        <f t="shared" si="137"/>
        <v>0.3</v>
      </c>
      <c r="H1097" s="29">
        <f>IF(Dataset!G1097&lt;=3,0.25,IF(Dataset!G1097&lt;=6,0.45,IF(Dataset!G1097&lt;=9,0.65,0.85)))</f>
        <v>0.45</v>
      </c>
      <c r="I1097" s="29">
        <f>IF(Dataset!G1097&lt;=3,1,IF(Dataset!G1097&lt;=6,2,IF(Dataset!G1097&lt;=9,3,4)))</f>
        <v>2</v>
      </c>
      <c r="J1097" s="29">
        <f t="shared" si="138"/>
        <v>0.9</v>
      </c>
      <c r="K1097" s="29">
        <f>IF(Dataset!H1097&lt;1,0.2,IF(Dataset!H1097&lt;1.3,0.45,IF(Dataset!H1097&lt;1.8,0.7,0.9)))</f>
        <v>0.9</v>
      </c>
      <c r="L1097" s="29">
        <f>IF(Dataset!H1097&lt;1,1,IF(Dataset!H1097&lt;1.3,2,IF(Dataset!H1097&lt;1.8,3,4)))</f>
        <v>4</v>
      </c>
      <c r="M1097" s="29">
        <f t="shared" si="139"/>
        <v>3.6</v>
      </c>
      <c r="N1097" s="29">
        <f>IF(Dataset!F1097=1,0.75,IF(Dataset!F1097=2,0.45,0.2))</f>
        <v>0.45</v>
      </c>
      <c r="O1097" s="29">
        <f>IF(Dataset!F1097=1,3,IF(Dataset!F1097=2,2,1))</f>
        <v>2</v>
      </c>
      <c r="P1097" s="29">
        <f t="shared" si="140"/>
        <v>0.9</v>
      </c>
      <c r="Q1097" s="29">
        <f>IF(Dataset!K1097&lt;5,0.2,IF(Dataset!K1097&lt;10,0.45,IF(Dataset!K1097&lt;18,0.7,0.9)))</f>
        <v>0.2</v>
      </c>
      <c r="R1097" s="29">
        <f>IF(Dataset!K1097&lt;5,1,IF(Dataset!K1097&lt;10,2,IF(Dataset!K1097&lt;18,3,4)))</f>
        <v>1</v>
      </c>
      <c r="S1097" s="29">
        <f t="shared" si="141"/>
        <v>0.2</v>
      </c>
      <c r="T1097" s="29">
        <f t="shared" si="142"/>
        <v>1.3840000000000001</v>
      </c>
      <c r="U1097" s="29" t="str">
        <f t="shared" si="143"/>
        <v>Medium</v>
      </c>
    </row>
    <row r="1098" spans="1:21" ht="15" customHeight="1" x14ac:dyDescent="0.25">
      <c r="A1098" s="29">
        <f>Dataset!A1098</f>
        <v>1094</v>
      </c>
      <c r="B1098" s="29">
        <f>IF(Dataset!B1098&lt;25,0.3,IF(Dataset!B1098&lt;75,0.5,IF(Dataset!B1098&lt;120,0.65,0.8)))</f>
        <v>0.5</v>
      </c>
      <c r="C1098" s="29">
        <f>IF(Dataset!B1098&lt;25,1,IF(Dataset!B1098&lt;75,2,IF(Dataset!B1098&lt;120,3,4)))</f>
        <v>2</v>
      </c>
      <c r="D1098" s="29">
        <f t="shared" si="136"/>
        <v>1</v>
      </c>
      <c r="E1098" s="29">
        <f>IF(Dataset!C1098&lt;=1,0.3,IF(Dataset!C1098=2,0.4,IF(Dataset!C1098=3,0.5,IF(Dataset!C1098=4,0.65,0.8))))</f>
        <v>0.5</v>
      </c>
      <c r="F1098" s="29">
        <f>IF(Dataset!C1098&lt;=2,1,IF(Dataset!C1098=3,2,IF(Dataset!C1098=4,3,4)))</f>
        <v>2</v>
      </c>
      <c r="G1098" s="29">
        <f t="shared" si="137"/>
        <v>1</v>
      </c>
      <c r="H1098" s="29">
        <f>IF(Dataset!G1098&lt;=3,0.25,IF(Dataset!G1098&lt;=6,0.45,IF(Dataset!G1098&lt;=9,0.65,0.85)))</f>
        <v>0.25</v>
      </c>
      <c r="I1098" s="29">
        <f>IF(Dataset!G1098&lt;=3,1,IF(Dataset!G1098&lt;=6,2,IF(Dataset!G1098&lt;=9,3,4)))</f>
        <v>1</v>
      </c>
      <c r="J1098" s="29">
        <f t="shared" si="138"/>
        <v>0.25</v>
      </c>
      <c r="K1098" s="29">
        <f>IF(Dataset!H1098&lt;1,0.2,IF(Dataset!H1098&lt;1.3,0.45,IF(Dataset!H1098&lt;1.8,0.7,0.9)))</f>
        <v>0.9</v>
      </c>
      <c r="L1098" s="29">
        <f>IF(Dataset!H1098&lt;1,1,IF(Dataset!H1098&lt;1.3,2,IF(Dataset!H1098&lt;1.8,3,4)))</f>
        <v>4</v>
      </c>
      <c r="M1098" s="29">
        <f t="shared" si="139"/>
        <v>3.6</v>
      </c>
      <c r="N1098" s="29">
        <f>IF(Dataset!F1098=1,0.75,IF(Dataset!F1098=2,0.45,0.2))</f>
        <v>0.45</v>
      </c>
      <c r="O1098" s="29">
        <f>IF(Dataset!F1098=1,3,IF(Dataset!F1098=2,2,1))</f>
        <v>2</v>
      </c>
      <c r="P1098" s="29">
        <f t="shared" si="140"/>
        <v>0.9</v>
      </c>
      <c r="Q1098" s="29">
        <f>IF(Dataset!K1098&lt;5,0.2,IF(Dataset!K1098&lt;10,0.45,IF(Dataset!K1098&lt;18,0.7,0.9)))</f>
        <v>0.45</v>
      </c>
      <c r="R1098" s="29">
        <f>IF(Dataset!K1098&lt;5,1,IF(Dataset!K1098&lt;10,2,IF(Dataset!K1098&lt;18,3,4)))</f>
        <v>2</v>
      </c>
      <c r="S1098" s="29">
        <f t="shared" si="141"/>
        <v>0.9</v>
      </c>
      <c r="T1098" s="29">
        <f t="shared" si="142"/>
        <v>1.4500000000000002</v>
      </c>
      <c r="U1098" s="29" t="str">
        <f t="shared" si="143"/>
        <v>Medium</v>
      </c>
    </row>
    <row r="1099" spans="1:21" ht="15" customHeight="1" x14ac:dyDescent="0.25">
      <c r="A1099" s="29">
        <f>Dataset!A1099</f>
        <v>1095</v>
      </c>
      <c r="B1099" s="29">
        <f>IF(Dataset!B1099&lt;25,0.3,IF(Dataset!B1099&lt;75,0.5,IF(Dataset!B1099&lt;120,0.65,0.8)))</f>
        <v>0.5</v>
      </c>
      <c r="C1099" s="29">
        <f>IF(Dataset!B1099&lt;25,1,IF(Dataset!B1099&lt;75,2,IF(Dataset!B1099&lt;120,3,4)))</f>
        <v>2</v>
      </c>
      <c r="D1099" s="29">
        <f t="shared" si="136"/>
        <v>1</v>
      </c>
      <c r="E1099" s="29">
        <f>IF(Dataset!C1099&lt;=1,0.3,IF(Dataset!C1099=2,0.4,IF(Dataset!C1099=3,0.5,IF(Dataset!C1099=4,0.65,0.8))))</f>
        <v>0.4</v>
      </c>
      <c r="F1099" s="29">
        <f>IF(Dataset!C1099&lt;=2,1,IF(Dataset!C1099=3,2,IF(Dataset!C1099=4,3,4)))</f>
        <v>1</v>
      </c>
      <c r="G1099" s="29">
        <f t="shared" si="137"/>
        <v>0.4</v>
      </c>
      <c r="H1099" s="29">
        <f>IF(Dataset!G1099&lt;=3,0.25,IF(Dataset!G1099&lt;=6,0.45,IF(Dataset!G1099&lt;=9,0.65,0.85)))</f>
        <v>0.65</v>
      </c>
      <c r="I1099" s="29">
        <f>IF(Dataset!G1099&lt;=3,1,IF(Dataset!G1099&lt;=6,2,IF(Dataset!G1099&lt;=9,3,4)))</f>
        <v>3</v>
      </c>
      <c r="J1099" s="29">
        <f t="shared" si="138"/>
        <v>1.9500000000000002</v>
      </c>
      <c r="K1099" s="29">
        <f>IF(Dataset!H1099&lt;1,0.2,IF(Dataset!H1099&lt;1.3,0.45,IF(Dataset!H1099&lt;1.8,0.7,0.9)))</f>
        <v>0.9</v>
      </c>
      <c r="L1099" s="29">
        <f>IF(Dataset!H1099&lt;1,1,IF(Dataset!H1099&lt;1.3,2,IF(Dataset!H1099&lt;1.8,3,4)))</f>
        <v>4</v>
      </c>
      <c r="M1099" s="29">
        <f t="shared" si="139"/>
        <v>3.6</v>
      </c>
      <c r="N1099" s="29">
        <f>IF(Dataset!F1099=1,0.75,IF(Dataset!F1099=2,0.45,0.2))</f>
        <v>0.45</v>
      </c>
      <c r="O1099" s="29">
        <f>IF(Dataset!F1099=1,3,IF(Dataset!F1099=2,2,1))</f>
        <v>2</v>
      </c>
      <c r="P1099" s="29">
        <f t="shared" si="140"/>
        <v>0.9</v>
      </c>
      <c r="Q1099" s="29">
        <f>IF(Dataset!K1099&lt;5,0.2,IF(Dataset!K1099&lt;10,0.45,IF(Dataset!K1099&lt;18,0.7,0.9)))</f>
        <v>0.2</v>
      </c>
      <c r="R1099" s="29">
        <f>IF(Dataset!K1099&lt;5,1,IF(Dataset!K1099&lt;10,2,IF(Dataset!K1099&lt;18,3,4)))</f>
        <v>1</v>
      </c>
      <c r="S1099" s="29">
        <f t="shared" si="141"/>
        <v>0.2</v>
      </c>
      <c r="T1099" s="29">
        <f t="shared" si="142"/>
        <v>1.6080000000000003</v>
      </c>
      <c r="U1099" s="29" t="str">
        <f t="shared" si="143"/>
        <v>Medium</v>
      </c>
    </row>
    <row r="1100" spans="1:21" ht="15" customHeight="1" x14ac:dyDescent="0.25">
      <c r="A1100" s="29">
        <f>Dataset!A1100</f>
        <v>1096</v>
      </c>
      <c r="B1100" s="29">
        <f>IF(Dataset!B1100&lt;25,0.3,IF(Dataset!B1100&lt;75,0.5,IF(Dataset!B1100&lt;120,0.65,0.8)))</f>
        <v>0.5</v>
      </c>
      <c r="C1100" s="29">
        <f>IF(Dataset!B1100&lt;25,1,IF(Dataset!B1100&lt;75,2,IF(Dataset!B1100&lt;120,3,4)))</f>
        <v>2</v>
      </c>
      <c r="D1100" s="29">
        <f t="shared" si="136"/>
        <v>1</v>
      </c>
      <c r="E1100" s="29">
        <f>IF(Dataset!C1100&lt;=1,0.3,IF(Dataset!C1100=2,0.4,IF(Dataset!C1100=3,0.5,IF(Dataset!C1100=4,0.65,0.8))))</f>
        <v>0.65</v>
      </c>
      <c r="F1100" s="29">
        <f>IF(Dataset!C1100&lt;=2,1,IF(Dataset!C1100=3,2,IF(Dataset!C1100=4,3,4)))</f>
        <v>3</v>
      </c>
      <c r="G1100" s="29">
        <f t="shared" si="137"/>
        <v>1.9500000000000002</v>
      </c>
      <c r="H1100" s="29">
        <f>IF(Dataset!G1100&lt;=3,0.25,IF(Dataset!G1100&lt;=6,0.45,IF(Dataset!G1100&lt;=9,0.65,0.85)))</f>
        <v>0.65</v>
      </c>
      <c r="I1100" s="29">
        <f>IF(Dataset!G1100&lt;=3,1,IF(Dataset!G1100&lt;=6,2,IF(Dataset!G1100&lt;=9,3,4)))</f>
        <v>3</v>
      </c>
      <c r="J1100" s="29">
        <f t="shared" si="138"/>
        <v>1.9500000000000002</v>
      </c>
      <c r="K1100" s="29">
        <f>IF(Dataset!H1100&lt;1,0.2,IF(Dataset!H1100&lt;1.3,0.45,IF(Dataset!H1100&lt;1.8,0.7,0.9)))</f>
        <v>0.7</v>
      </c>
      <c r="L1100" s="29">
        <f>IF(Dataset!H1100&lt;1,1,IF(Dataset!H1100&lt;1.3,2,IF(Dataset!H1100&lt;1.8,3,4)))</f>
        <v>3</v>
      </c>
      <c r="M1100" s="29">
        <f t="shared" si="139"/>
        <v>2.0999999999999996</v>
      </c>
      <c r="N1100" s="29">
        <f>IF(Dataset!F1100=1,0.75,IF(Dataset!F1100=2,0.45,0.2))</f>
        <v>0.75</v>
      </c>
      <c r="O1100" s="29">
        <f>IF(Dataset!F1100=1,3,IF(Dataset!F1100=2,2,1))</f>
        <v>3</v>
      </c>
      <c r="P1100" s="29">
        <f t="shared" si="140"/>
        <v>2.25</v>
      </c>
      <c r="Q1100" s="29">
        <f>IF(Dataset!K1100&lt;5,0.2,IF(Dataset!K1100&lt;10,0.45,IF(Dataset!K1100&lt;18,0.7,0.9)))</f>
        <v>0.7</v>
      </c>
      <c r="R1100" s="29">
        <f>IF(Dataset!K1100&lt;5,1,IF(Dataset!K1100&lt;10,2,IF(Dataset!K1100&lt;18,3,4)))</f>
        <v>3</v>
      </c>
      <c r="S1100" s="29">
        <f t="shared" si="141"/>
        <v>2.0999999999999996</v>
      </c>
      <c r="T1100" s="29">
        <f t="shared" si="142"/>
        <v>1.8660000000000001</v>
      </c>
      <c r="U1100" s="29" t="str">
        <f t="shared" si="143"/>
        <v>High</v>
      </c>
    </row>
    <row r="1101" spans="1:21" ht="15" customHeight="1" x14ac:dyDescent="0.25">
      <c r="A1101" s="29">
        <f>Dataset!A1101</f>
        <v>1097</v>
      </c>
      <c r="B1101" s="29">
        <f>IF(Dataset!B1101&lt;25,0.3,IF(Dataset!B1101&lt;75,0.5,IF(Dataset!B1101&lt;120,0.65,0.8)))</f>
        <v>0.3</v>
      </c>
      <c r="C1101" s="29">
        <f>IF(Dataset!B1101&lt;25,1,IF(Dataset!B1101&lt;75,2,IF(Dataset!B1101&lt;120,3,4)))</f>
        <v>1</v>
      </c>
      <c r="D1101" s="29">
        <f t="shared" si="136"/>
        <v>0.3</v>
      </c>
      <c r="E1101" s="29">
        <f>IF(Dataset!C1101&lt;=1,0.3,IF(Dataset!C1101=2,0.4,IF(Dataset!C1101=3,0.5,IF(Dataset!C1101=4,0.65,0.8))))</f>
        <v>0.5</v>
      </c>
      <c r="F1101" s="29">
        <f>IF(Dataset!C1101&lt;=2,1,IF(Dataset!C1101=3,2,IF(Dataset!C1101=4,3,4)))</f>
        <v>2</v>
      </c>
      <c r="G1101" s="29">
        <f t="shared" si="137"/>
        <v>1</v>
      </c>
      <c r="H1101" s="29">
        <f>IF(Dataset!G1101&lt;=3,0.25,IF(Dataset!G1101&lt;=6,0.45,IF(Dataset!G1101&lt;=9,0.65,0.85)))</f>
        <v>0.85</v>
      </c>
      <c r="I1101" s="29">
        <f>IF(Dataset!G1101&lt;=3,1,IF(Dataset!G1101&lt;=6,2,IF(Dataset!G1101&lt;=9,3,4)))</f>
        <v>4</v>
      </c>
      <c r="J1101" s="29">
        <f t="shared" si="138"/>
        <v>3.4</v>
      </c>
      <c r="K1101" s="29">
        <f>IF(Dataset!H1101&lt;1,0.2,IF(Dataset!H1101&lt;1.3,0.45,IF(Dataset!H1101&lt;1.8,0.7,0.9)))</f>
        <v>0.9</v>
      </c>
      <c r="L1101" s="29">
        <f>IF(Dataset!H1101&lt;1,1,IF(Dataset!H1101&lt;1.3,2,IF(Dataset!H1101&lt;1.8,3,4)))</f>
        <v>4</v>
      </c>
      <c r="M1101" s="29">
        <f t="shared" si="139"/>
        <v>3.6</v>
      </c>
      <c r="N1101" s="29">
        <f>IF(Dataset!F1101=1,0.75,IF(Dataset!F1101=2,0.45,0.2))</f>
        <v>0.45</v>
      </c>
      <c r="O1101" s="29">
        <f>IF(Dataset!F1101=1,3,IF(Dataset!F1101=2,2,1))</f>
        <v>2</v>
      </c>
      <c r="P1101" s="29">
        <f t="shared" si="140"/>
        <v>0.9</v>
      </c>
      <c r="Q1101" s="29">
        <f>IF(Dataset!K1101&lt;5,0.2,IF(Dataset!K1101&lt;10,0.45,IF(Dataset!K1101&lt;18,0.7,0.9)))</f>
        <v>0.45</v>
      </c>
      <c r="R1101" s="29">
        <f>IF(Dataset!K1101&lt;5,1,IF(Dataset!K1101&lt;10,2,IF(Dataset!K1101&lt;18,3,4)))</f>
        <v>2</v>
      </c>
      <c r="S1101" s="29">
        <f t="shared" si="141"/>
        <v>0.9</v>
      </c>
      <c r="T1101" s="29">
        <f t="shared" si="142"/>
        <v>1.9540000000000002</v>
      </c>
      <c r="U1101" s="29" t="str">
        <f t="shared" si="143"/>
        <v>High</v>
      </c>
    </row>
    <row r="1102" spans="1:21" ht="15" customHeight="1" x14ac:dyDescent="0.25">
      <c r="A1102" s="29">
        <f>Dataset!A1102</f>
        <v>1098</v>
      </c>
      <c r="B1102" s="29">
        <f>IF(Dataset!B1102&lt;25,0.3,IF(Dataset!B1102&lt;75,0.5,IF(Dataset!B1102&lt;120,0.65,0.8)))</f>
        <v>0.5</v>
      </c>
      <c r="C1102" s="29">
        <f>IF(Dataset!B1102&lt;25,1,IF(Dataset!B1102&lt;75,2,IF(Dataset!B1102&lt;120,3,4)))</f>
        <v>2</v>
      </c>
      <c r="D1102" s="29">
        <f t="shared" si="136"/>
        <v>1</v>
      </c>
      <c r="E1102" s="29">
        <f>IF(Dataset!C1102&lt;=1,0.3,IF(Dataset!C1102=2,0.4,IF(Dataset!C1102=3,0.5,IF(Dataset!C1102=4,0.65,0.8))))</f>
        <v>0.5</v>
      </c>
      <c r="F1102" s="29">
        <f>IF(Dataset!C1102&lt;=2,1,IF(Dataset!C1102=3,2,IF(Dataset!C1102=4,3,4)))</f>
        <v>2</v>
      </c>
      <c r="G1102" s="29">
        <f t="shared" si="137"/>
        <v>1</v>
      </c>
      <c r="H1102" s="29">
        <f>IF(Dataset!G1102&lt;=3,0.25,IF(Dataset!G1102&lt;=6,0.45,IF(Dataset!G1102&lt;=9,0.65,0.85)))</f>
        <v>0.45</v>
      </c>
      <c r="I1102" s="29">
        <f>IF(Dataset!G1102&lt;=3,1,IF(Dataset!G1102&lt;=6,2,IF(Dataset!G1102&lt;=9,3,4)))</f>
        <v>2</v>
      </c>
      <c r="J1102" s="29">
        <f t="shared" si="138"/>
        <v>0.9</v>
      </c>
      <c r="K1102" s="29">
        <f>IF(Dataset!H1102&lt;1,0.2,IF(Dataset!H1102&lt;1.3,0.45,IF(Dataset!H1102&lt;1.8,0.7,0.9)))</f>
        <v>0.7</v>
      </c>
      <c r="L1102" s="29">
        <f>IF(Dataset!H1102&lt;1,1,IF(Dataset!H1102&lt;1.3,2,IF(Dataset!H1102&lt;1.8,3,4)))</f>
        <v>3</v>
      </c>
      <c r="M1102" s="29">
        <f t="shared" si="139"/>
        <v>2.0999999999999996</v>
      </c>
      <c r="N1102" s="29">
        <f>IF(Dataset!F1102=1,0.75,IF(Dataset!F1102=2,0.45,0.2))</f>
        <v>0.45</v>
      </c>
      <c r="O1102" s="29">
        <f>IF(Dataset!F1102=1,3,IF(Dataset!F1102=2,2,1))</f>
        <v>2</v>
      </c>
      <c r="P1102" s="29">
        <f t="shared" si="140"/>
        <v>0.9</v>
      </c>
      <c r="Q1102" s="29">
        <f>IF(Dataset!K1102&lt;5,0.2,IF(Dataset!K1102&lt;10,0.45,IF(Dataset!K1102&lt;18,0.7,0.9)))</f>
        <v>0.2</v>
      </c>
      <c r="R1102" s="29">
        <f>IF(Dataset!K1102&lt;5,1,IF(Dataset!K1102&lt;10,2,IF(Dataset!K1102&lt;18,3,4)))</f>
        <v>1</v>
      </c>
      <c r="S1102" s="29">
        <f t="shared" si="141"/>
        <v>0.2</v>
      </c>
      <c r="T1102" s="29">
        <f t="shared" si="142"/>
        <v>1.1220000000000001</v>
      </c>
      <c r="U1102" s="29" t="str">
        <f t="shared" si="143"/>
        <v>Low</v>
      </c>
    </row>
    <row r="1103" spans="1:21" ht="15" customHeight="1" x14ac:dyDescent="0.25">
      <c r="A1103" s="29">
        <f>Dataset!A1103</f>
        <v>1099</v>
      </c>
      <c r="B1103" s="29">
        <f>IF(Dataset!B1103&lt;25,0.3,IF(Dataset!B1103&lt;75,0.5,IF(Dataset!B1103&lt;120,0.65,0.8)))</f>
        <v>0.8</v>
      </c>
      <c r="C1103" s="29">
        <f>IF(Dataset!B1103&lt;25,1,IF(Dataset!B1103&lt;75,2,IF(Dataset!B1103&lt;120,3,4)))</f>
        <v>4</v>
      </c>
      <c r="D1103" s="29">
        <f t="shared" si="136"/>
        <v>3.2</v>
      </c>
      <c r="E1103" s="29">
        <f>IF(Dataset!C1103&lt;=1,0.3,IF(Dataset!C1103=2,0.4,IF(Dataset!C1103=3,0.5,IF(Dataset!C1103=4,0.65,0.8))))</f>
        <v>0.4</v>
      </c>
      <c r="F1103" s="29">
        <f>IF(Dataset!C1103&lt;=2,1,IF(Dataset!C1103=3,2,IF(Dataset!C1103=4,3,4)))</f>
        <v>1</v>
      </c>
      <c r="G1103" s="29">
        <f t="shared" si="137"/>
        <v>0.4</v>
      </c>
      <c r="H1103" s="29">
        <f>IF(Dataset!G1103&lt;=3,0.25,IF(Dataset!G1103&lt;=6,0.45,IF(Dataset!G1103&lt;=9,0.65,0.85)))</f>
        <v>0.65</v>
      </c>
      <c r="I1103" s="29">
        <f>IF(Dataset!G1103&lt;=3,1,IF(Dataset!G1103&lt;=6,2,IF(Dataset!G1103&lt;=9,3,4)))</f>
        <v>3</v>
      </c>
      <c r="J1103" s="29">
        <f t="shared" si="138"/>
        <v>1.9500000000000002</v>
      </c>
      <c r="K1103" s="29">
        <f>IF(Dataset!H1103&lt;1,0.2,IF(Dataset!H1103&lt;1.3,0.45,IF(Dataset!H1103&lt;1.8,0.7,0.9)))</f>
        <v>0.7</v>
      </c>
      <c r="L1103" s="29">
        <f>IF(Dataset!H1103&lt;1,1,IF(Dataset!H1103&lt;1.3,2,IF(Dataset!H1103&lt;1.8,3,4)))</f>
        <v>3</v>
      </c>
      <c r="M1103" s="29">
        <f t="shared" si="139"/>
        <v>2.0999999999999996</v>
      </c>
      <c r="N1103" s="29">
        <f>IF(Dataset!F1103=1,0.75,IF(Dataset!F1103=2,0.45,0.2))</f>
        <v>0.75</v>
      </c>
      <c r="O1103" s="29">
        <f>IF(Dataset!F1103=1,3,IF(Dataset!F1103=2,2,1))</f>
        <v>3</v>
      </c>
      <c r="P1103" s="29">
        <f t="shared" si="140"/>
        <v>2.25</v>
      </c>
      <c r="Q1103" s="29">
        <f>IF(Dataset!K1103&lt;5,0.2,IF(Dataset!K1103&lt;10,0.45,IF(Dataset!K1103&lt;18,0.7,0.9)))</f>
        <v>0.2</v>
      </c>
      <c r="R1103" s="29">
        <f>IF(Dataset!K1103&lt;5,1,IF(Dataset!K1103&lt;10,2,IF(Dataset!K1103&lt;18,3,4)))</f>
        <v>1</v>
      </c>
      <c r="S1103" s="29">
        <f t="shared" si="141"/>
        <v>0.2</v>
      </c>
      <c r="T1103" s="29">
        <f t="shared" si="142"/>
        <v>1.7789999999999999</v>
      </c>
      <c r="U1103" s="29" t="str">
        <f t="shared" si="143"/>
        <v>High</v>
      </c>
    </row>
    <row r="1104" spans="1:21" ht="15" customHeight="1" x14ac:dyDescent="0.25">
      <c r="A1104" s="29">
        <f>Dataset!A1104</f>
        <v>1100</v>
      </c>
      <c r="B1104" s="29">
        <f>IF(Dataset!B1104&lt;25,0.3,IF(Dataset!B1104&lt;75,0.5,IF(Dataset!B1104&lt;120,0.65,0.8)))</f>
        <v>0.65</v>
      </c>
      <c r="C1104" s="29">
        <f>IF(Dataset!B1104&lt;25,1,IF(Dataset!B1104&lt;75,2,IF(Dataset!B1104&lt;120,3,4)))</f>
        <v>3</v>
      </c>
      <c r="D1104" s="29">
        <f t="shared" si="136"/>
        <v>1.9500000000000002</v>
      </c>
      <c r="E1104" s="29">
        <f>IF(Dataset!C1104&lt;=1,0.3,IF(Dataset!C1104=2,0.4,IF(Dataset!C1104=3,0.5,IF(Dataset!C1104=4,0.65,0.8))))</f>
        <v>0.65</v>
      </c>
      <c r="F1104" s="29">
        <f>IF(Dataset!C1104&lt;=2,1,IF(Dataset!C1104=3,2,IF(Dataset!C1104=4,3,4)))</f>
        <v>3</v>
      </c>
      <c r="G1104" s="29">
        <f t="shared" si="137"/>
        <v>1.9500000000000002</v>
      </c>
      <c r="H1104" s="29">
        <f>IF(Dataset!G1104&lt;=3,0.25,IF(Dataset!G1104&lt;=6,0.45,IF(Dataset!G1104&lt;=9,0.65,0.85)))</f>
        <v>0.45</v>
      </c>
      <c r="I1104" s="29">
        <f>IF(Dataset!G1104&lt;=3,1,IF(Dataset!G1104&lt;=6,2,IF(Dataset!G1104&lt;=9,3,4)))</f>
        <v>2</v>
      </c>
      <c r="J1104" s="29">
        <f t="shared" si="138"/>
        <v>0.9</v>
      </c>
      <c r="K1104" s="29">
        <f>IF(Dataset!H1104&lt;1,0.2,IF(Dataset!H1104&lt;1.3,0.45,IF(Dataset!H1104&lt;1.8,0.7,0.9)))</f>
        <v>0.45</v>
      </c>
      <c r="L1104" s="29">
        <f>IF(Dataset!H1104&lt;1,1,IF(Dataset!H1104&lt;1.3,2,IF(Dataset!H1104&lt;1.8,3,4)))</f>
        <v>2</v>
      </c>
      <c r="M1104" s="29">
        <f t="shared" si="139"/>
        <v>0.9</v>
      </c>
      <c r="N1104" s="29">
        <f>IF(Dataset!F1104=1,0.75,IF(Dataset!F1104=2,0.45,0.2))</f>
        <v>0.45</v>
      </c>
      <c r="O1104" s="29">
        <f>IF(Dataset!F1104=1,3,IF(Dataset!F1104=2,2,1))</f>
        <v>2</v>
      </c>
      <c r="P1104" s="29">
        <f t="shared" si="140"/>
        <v>0.9</v>
      </c>
      <c r="Q1104" s="29">
        <f>IF(Dataset!K1104&lt;5,0.2,IF(Dataset!K1104&lt;10,0.45,IF(Dataset!K1104&lt;18,0.7,0.9)))</f>
        <v>0.45</v>
      </c>
      <c r="R1104" s="29">
        <f>IF(Dataset!K1104&lt;5,1,IF(Dataset!K1104&lt;10,2,IF(Dataset!K1104&lt;18,3,4)))</f>
        <v>2</v>
      </c>
      <c r="S1104" s="29">
        <f t="shared" si="141"/>
        <v>0.9</v>
      </c>
      <c r="T1104" s="29">
        <f t="shared" si="142"/>
        <v>1.2360000000000004</v>
      </c>
      <c r="U1104" s="29" t="str">
        <f t="shared" si="143"/>
        <v>Low</v>
      </c>
    </row>
    <row r="1105" spans="1:21" ht="15" customHeight="1" x14ac:dyDescent="0.25">
      <c r="A1105" s="29">
        <f>Dataset!A1105</f>
        <v>1101</v>
      </c>
      <c r="B1105" s="29">
        <f>IF(Dataset!B1105&lt;25,0.3,IF(Dataset!B1105&lt;75,0.5,IF(Dataset!B1105&lt;120,0.65,0.8)))</f>
        <v>0.3</v>
      </c>
      <c r="C1105" s="29">
        <f>IF(Dataset!B1105&lt;25,1,IF(Dataset!B1105&lt;75,2,IF(Dataset!B1105&lt;120,3,4)))</f>
        <v>1</v>
      </c>
      <c r="D1105" s="29">
        <f t="shared" si="136"/>
        <v>0.3</v>
      </c>
      <c r="E1105" s="29">
        <f>IF(Dataset!C1105&lt;=1,0.3,IF(Dataset!C1105=2,0.4,IF(Dataset!C1105=3,0.5,IF(Dataset!C1105=4,0.65,0.8))))</f>
        <v>0.4</v>
      </c>
      <c r="F1105" s="29">
        <f>IF(Dataset!C1105&lt;=2,1,IF(Dataset!C1105=3,2,IF(Dataset!C1105=4,3,4)))</f>
        <v>1</v>
      </c>
      <c r="G1105" s="29">
        <f t="shared" si="137"/>
        <v>0.4</v>
      </c>
      <c r="H1105" s="29">
        <f>IF(Dataset!G1105&lt;=3,0.25,IF(Dataset!G1105&lt;=6,0.45,IF(Dataset!G1105&lt;=9,0.65,0.85)))</f>
        <v>0.85</v>
      </c>
      <c r="I1105" s="29">
        <f>IF(Dataset!G1105&lt;=3,1,IF(Dataset!G1105&lt;=6,2,IF(Dataset!G1105&lt;=9,3,4)))</f>
        <v>4</v>
      </c>
      <c r="J1105" s="29">
        <f t="shared" si="138"/>
        <v>3.4</v>
      </c>
      <c r="K1105" s="29">
        <f>IF(Dataset!H1105&lt;1,0.2,IF(Dataset!H1105&lt;1.3,0.45,IF(Dataset!H1105&lt;1.8,0.7,0.9)))</f>
        <v>0.9</v>
      </c>
      <c r="L1105" s="29">
        <f>IF(Dataset!H1105&lt;1,1,IF(Dataset!H1105&lt;1.3,2,IF(Dataset!H1105&lt;1.8,3,4)))</f>
        <v>4</v>
      </c>
      <c r="M1105" s="29">
        <f t="shared" si="139"/>
        <v>3.6</v>
      </c>
      <c r="N1105" s="29">
        <f>IF(Dataset!F1105=1,0.75,IF(Dataset!F1105=2,0.45,0.2))</f>
        <v>0.2</v>
      </c>
      <c r="O1105" s="29">
        <f>IF(Dataset!F1105=1,3,IF(Dataset!F1105=2,2,1))</f>
        <v>1</v>
      </c>
      <c r="P1105" s="29">
        <f t="shared" si="140"/>
        <v>0.2</v>
      </c>
      <c r="Q1105" s="29">
        <f>IF(Dataset!K1105&lt;5,0.2,IF(Dataset!K1105&lt;10,0.45,IF(Dataset!K1105&lt;18,0.7,0.9)))</f>
        <v>0.45</v>
      </c>
      <c r="R1105" s="29">
        <f>IF(Dataset!K1105&lt;5,1,IF(Dataset!K1105&lt;10,2,IF(Dataset!K1105&lt;18,3,4)))</f>
        <v>2</v>
      </c>
      <c r="S1105" s="29">
        <f t="shared" si="141"/>
        <v>0.9</v>
      </c>
      <c r="T1105" s="29">
        <f t="shared" si="142"/>
        <v>1.8</v>
      </c>
      <c r="U1105" s="29" t="str">
        <f t="shared" si="143"/>
        <v>High</v>
      </c>
    </row>
    <row r="1106" spans="1:21" ht="15" customHeight="1" x14ac:dyDescent="0.25">
      <c r="A1106" s="29">
        <f>Dataset!A1106</f>
        <v>1102</v>
      </c>
      <c r="B1106" s="29">
        <f>IF(Dataset!B1106&lt;25,0.3,IF(Dataset!B1106&lt;75,0.5,IF(Dataset!B1106&lt;120,0.65,0.8)))</f>
        <v>0.5</v>
      </c>
      <c r="C1106" s="29">
        <f>IF(Dataset!B1106&lt;25,1,IF(Dataset!B1106&lt;75,2,IF(Dataset!B1106&lt;120,3,4)))</f>
        <v>2</v>
      </c>
      <c r="D1106" s="29">
        <f t="shared" si="136"/>
        <v>1</v>
      </c>
      <c r="E1106" s="29">
        <f>IF(Dataset!C1106&lt;=1,0.3,IF(Dataset!C1106=2,0.4,IF(Dataset!C1106=3,0.5,IF(Dataset!C1106=4,0.65,0.8))))</f>
        <v>0.65</v>
      </c>
      <c r="F1106" s="29">
        <f>IF(Dataset!C1106&lt;=2,1,IF(Dataset!C1106=3,2,IF(Dataset!C1106=4,3,4)))</f>
        <v>3</v>
      </c>
      <c r="G1106" s="29">
        <f t="shared" si="137"/>
        <v>1.9500000000000002</v>
      </c>
      <c r="H1106" s="29">
        <f>IF(Dataset!G1106&lt;=3,0.25,IF(Dataset!G1106&lt;=6,0.45,IF(Dataset!G1106&lt;=9,0.65,0.85)))</f>
        <v>0.65</v>
      </c>
      <c r="I1106" s="29">
        <f>IF(Dataset!G1106&lt;=3,1,IF(Dataset!G1106&lt;=6,2,IF(Dataset!G1106&lt;=9,3,4)))</f>
        <v>3</v>
      </c>
      <c r="J1106" s="29">
        <f t="shared" si="138"/>
        <v>1.9500000000000002</v>
      </c>
      <c r="K1106" s="29">
        <f>IF(Dataset!H1106&lt;1,0.2,IF(Dataset!H1106&lt;1.3,0.45,IF(Dataset!H1106&lt;1.8,0.7,0.9)))</f>
        <v>0.9</v>
      </c>
      <c r="L1106" s="29">
        <f>IF(Dataset!H1106&lt;1,1,IF(Dataset!H1106&lt;1.3,2,IF(Dataset!H1106&lt;1.8,3,4)))</f>
        <v>4</v>
      </c>
      <c r="M1106" s="29">
        <f t="shared" si="139"/>
        <v>3.6</v>
      </c>
      <c r="N1106" s="29">
        <f>IF(Dataset!F1106=1,0.75,IF(Dataset!F1106=2,0.45,0.2))</f>
        <v>0.75</v>
      </c>
      <c r="O1106" s="29">
        <f>IF(Dataset!F1106=1,3,IF(Dataset!F1106=2,2,1))</f>
        <v>3</v>
      </c>
      <c r="P1106" s="29">
        <f t="shared" si="140"/>
        <v>2.25</v>
      </c>
      <c r="Q1106" s="29">
        <f>IF(Dataset!K1106&lt;5,0.2,IF(Dataset!K1106&lt;10,0.45,IF(Dataset!K1106&lt;18,0.7,0.9)))</f>
        <v>0.45</v>
      </c>
      <c r="R1106" s="29">
        <f>IF(Dataset!K1106&lt;5,1,IF(Dataset!K1106&lt;10,2,IF(Dataset!K1106&lt;18,3,4)))</f>
        <v>2</v>
      </c>
      <c r="S1106" s="29">
        <f t="shared" si="141"/>
        <v>0.9</v>
      </c>
      <c r="T1106" s="29">
        <f t="shared" si="142"/>
        <v>2.0580000000000003</v>
      </c>
      <c r="U1106" s="29" t="str">
        <f t="shared" si="143"/>
        <v>High</v>
      </c>
    </row>
    <row r="1107" spans="1:21" ht="15" customHeight="1" x14ac:dyDescent="0.25">
      <c r="A1107" s="29">
        <f>Dataset!A1107</f>
        <v>1103</v>
      </c>
      <c r="B1107" s="29">
        <f>IF(Dataset!B1107&lt;25,0.3,IF(Dataset!B1107&lt;75,0.5,IF(Dataset!B1107&lt;120,0.65,0.8)))</f>
        <v>0.5</v>
      </c>
      <c r="C1107" s="29">
        <f>IF(Dataset!B1107&lt;25,1,IF(Dataset!B1107&lt;75,2,IF(Dataset!B1107&lt;120,3,4)))</f>
        <v>2</v>
      </c>
      <c r="D1107" s="29">
        <f t="shared" si="136"/>
        <v>1</v>
      </c>
      <c r="E1107" s="29">
        <f>IF(Dataset!C1107&lt;=1,0.3,IF(Dataset!C1107=2,0.4,IF(Dataset!C1107=3,0.5,IF(Dataset!C1107=4,0.65,0.8))))</f>
        <v>0.3</v>
      </c>
      <c r="F1107" s="29">
        <f>IF(Dataset!C1107&lt;=2,1,IF(Dataset!C1107=3,2,IF(Dataset!C1107=4,3,4)))</f>
        <v>1</v>
      </c>
      <c r="G1107" s="29">
        <f t="shared" si="137"/>
        <v>0.3</v>
      </c>
      <c r="H1107" s="29">
        <f>IF(Dataset!G1107&lt;=3,0.25,IF(Dataset!G1107&lt;=6,0.45,IF(Dataset!G1107&lt;=9,0.65,0.85)))</f>
        <v>0.25</v>
      </c>
      <c r="I1107" s="29">
        <f>IF(Dataset!G1107&lt;=3,1,IF(Dataset!G1107&lt;=6,2,IF(Dataset!G1107&lt;=9,3,4)))</f>
        <v>1</v>
      </c>
      <c r="J1107" s="29">
        <f t="shared" si="138"/>
        <v>0.25</v>
      </c>
      <c r="K1107" s="29">
        <f>IF(Dataset!H1107&lt;1,0.2,IF(Dataset!H1107&lt;1.3,0.45,IF(Dataset!H1107&lt;1.8,0.7,0.9)))</f>
        <v>0.7</v>
      </c>
      <c r="L1107" s="29">
        <f>IF(Dataset!H1107&lt;1,1,IF(Dataset!H1107&lt;1.3,2,IF(Dataset!H1107&lt;1.8,3,4)))</f>
        <v>3</v>
      </c>
      <c r="M1107" s="29">
        <f t="shared" si="139"/>
        <v>2.0999999999999996</v>
      </c>
      <c r="N1107" s="29">
        <f>IF(Dataset!F1107=1,0.75,IF(Dataset!F1107=2,0.45,0.2))</f>
        <v>0.45</v>
      </c>
      <c r="O1107" s="29">
        <f>IF(Dataset!F1107=1,3,IF(Dataset!F1107=2,2,1))</f>
        <v>2</v>
      </c>
      <c r="P1107" s="29">
        <f t="shared" si="140"/>
        <v>0.9</v>
      </c>
      <c r="Q1107" s="29">
        <f>IF(Dataset!K1107&lt;5,0.2,IF(Dataset!K1107&lt;10,0.45,IF(Dataset!K1107&lt;18,0.7,0.9)))</f>
        <v>0.2</v>
      </c>
      <c r="R1107" s="29">
        <f>IF(Dataset!K1107&lt;5,1,IF(Dataset!K1107&lt;10,2,IF(Dataset!K1107&lt;18,3,4)))</f>
        <v>1</v>
      </c>
      <c r="S1107" s="29">
        <f t="shared" si="141"/>
        <v>0.2</v>
      </c>
      <c r="T1107" s="29">
        <f t="shared" si="142"/>
        <v>0.89399999999999991</v>
      </c>
      <c r="U1107" s="29" t="str">
        <f t="shared" si="143"/>
        <v>Low</v>
      </c>
    </row>
    <row r="1108" spans="1:21" ht="15" customHeight="1" x14ac:dyDescent="0.25">
      <c r="A1108" s="29">
        <f>Dataset!A1108</f>
        <v>1104</v>
      </c>
      <c r="B1108" s="29">
        <f>IF(Dataset!B1108&lt;25,0.3,IF(Dataset!B1108&lt;75,0.5,IF(Dataset!B1108&lt;120,0.65,0.8)))</f>
        <v>0.5</v>
      </c>
      <c r="C1108" s="29">
        <f>IF(Dataset!B1108&lt;25,1,IF(Dataset!B1108&lt;75,2,IF(Dataset!B1108&lt;120,3,4)))</f>
        <v>2</v>
      </c>
      <c r="D1108" s="29">
        <f t="shared" si="136"/>
        <v>1</v>
      </c>
      <c r="E1108" s="29">
        <f>IF(Dataset!C1108&lt;=1,0.3,IF(Dataset!C1108=2,0.4,IF(Dataset!C1108=3,0.5,IF(Dataset!C1108=4,0.65,0.8))))</f>
        <v>0.8</v>
      </c>
      <c r="F1108" s="29">
        <f>IF(Dataset!C1108&lt;=2,1,IF(Dataset!C1108=3,2,IF(Dataset!C1108=4,3,4)))</f>
        <v>4</v>
      </c>
      <c r="G1108" s="29">
        <f t="shared" si="137"/>
        <v>3.2</v>
      </c>
      <c r="H1108" s="29">
        <f>IF(Dataset!G1108&lt;=3,0.25,IF(Dataset!G1108&lt;=6,0.45,IF(Dataset!G1108&lt;=9,0.65,0.85)))</f>
        <v>0.65</v>
      </c>
      <c r="I1108" s="29">
        <f>IF(Dataset!G1108&lt;=3,1,IF(Dataset!G1108&lt;=6,2,IF(Dataset!G1108&lt;=9,3,4)))</f>
        <v>3</v>
      </c>
      <c r="J1108" s="29">
        <f t="shared" si="138"/>
        <v>1.9500000000000002</v>
      </c>
      <c r="K1108" s="29">
        <f>IF(Dataset!H1108&lt;1,0.2,IF(Dataset!H1108&lt;1.3,0.45,IF(Dataset!H1108&lt;1.8,0.7,0.9)))</f>
        <v>0.45</v>
      </c>
      <c r="L1108" s="29">
        <f>IF(Dataset!H1108&lt;1,1,IF(Dataset!H1108&lt;1.3,2,IF(Dataset!H1108&lt;1.8,3,4)))</f>
        <v>2</v>
      </c>
      <c r="M1108" s="29">
        <f t="shared" si="139"/>
        <v>0.9</v>
      </c>
      <c r="N1108" s="29">
        <f>IF(Dataset!F1108=1,0.75,IF(Dataset!F1108=2,0.45,0.2))</f>
        <v>0.2</v>
      </c>
      <c r="O1108" s="29">
        <f>IF(Dataset!F1108=1,3,IF(Dataset!F1108=2,2,1))</f>
        <v>1</v>
      </c>
      <c r="P1108" s="29">
        <f t="shared" si="140"/>
        <v>0.2</v>
      </c>
      <c r="Q1108" s="29">
        <f>IF(Dataset!K1108&lt;5,0.2,IF(Dataset!K1108&lt;10,0.45,IF(Dataset!K1108&lt;18,0.7,0.9)))</f>
        <v>0.9</v>
      </c>
      <c r="R1108" s="29">
        <f>IF(Dataset!K1108&lt;5,1,IF(Dataset!K1108&lt;10,2,IF(Dataset!K1108&lt;18,3,4)))</f>
        <v>4</v>
      </c>
      <c r="S1108" s="29">
        <f t="shared" si="141"/>
        <v>3.6</v>
      </c>
      <c r="T1108" s="29">
        <f t="shared" si="142"/>
        <v>1.7580000000000005</v>
      </c>
      <c r="U1108" s="29" t="str">
        <f t="shared" si="143"/>
        <v>High</v>
      </c>
    </row>
    <row r="1109" spans="1:21" ht="15" customHeight="1" x14ac:dyDescent="0.25">
      <c r="A1109" s="29">
        <f>Dataset!A1109</f>
        <v>1105</v>
      </c>
      <c r="B1109" s="29">
        <f>IF(Dataset!B1109&lt;25,0.3,IF(Dataset!B1109&lt;75,0.5,IF(Dataset!B1109&lt;120,0.65,0.8)))</f>
        <v>0.8</v>
      </c>
      <c r="C1109" s="29">
        <f>IF(Dataset!B1109&lt;25,1,IF(Dataset!B1109&lt;75,2,IF(Dataset!B1109&lt;120,3,4)))</f>
        <v>4</v>
      </c>
      <c r="D1109" s="29">
        <f t="shared" si="136"/>
        <v>3.2</v>
      </c>
      <c r="E1109" s="29">
        <f>IF(Dataset!C1109&lt;=1,0.3,IF(Dataset!C1109=2,0.4,IF(Dataset!C1109=3,0.5,IF(Dataset!C1109=4,0.65,0.8))))</f>
        <v>0.65</v>
      </c>
      <c r="F1109" s="29">
        <f>IF(Dataset!C1109&lt;=2,1,IF(Dataset!C1109=3,2,IF(Dataset!C1109=4,3,4)))</f>
        <v>3</v>
      </c>
      <c r="G1109" s="29">
        <f t="shared" si="137"/>
        <v>1.9500000000000002</v>
      </c>
      <c r="H1109" s="29">
        <f>IF(Dataset!G1109&lt;=3,0.25,IF(Dataset!G1109&lt;=6,0.45,IF(Dataset!G1109&lt;=9,0.65,0.85)))</f>
        <v>0.45</v>
      </c>
      <c r="I1109" s="29">
        <f>IF(Dataset!G1109&lt;=3,1,IF(Dataset!G1109&lt;=6,2,IF(Dataset!G1109&lt;=9,3,4)))</f>
        <v>2</v>
      </c>
      <c r="J1109" s="29">
        <f t="shared" si="138"/>
        <v>0.9</v>
      </c>
      <c r="K1109" s="29">
        <f>IF(Dataset!H1109&lt;1,0.2,IF(Dataset!H1109&lt;1.3,0.45,IF(Dataset!H1109&lt;1.8,0.7,0.9)))</f>
        <v>0.9</v>
      </c>
      <c r="L1109" s="29">
        <f>IF(Dataset!H1109&lt;1,1,IF(Dataset!H1109&lt;1.3,2,IF(Dataset!H1109&lt;1.8,3,4)))</f>
        <v>4</v>
      </c>
      <c r="M1109" s="29">
        <f t="shared" si="139"/>
        <v>3.6</v>
      </c>
      <c r="N1109" s="29">
        <f>IF(Dataset!F1109=1,0.75,IF(Dataset!F1109=2,0.45,0.2))</f>
        <v>0.2</v>
      </c>
      <c r="O1109" s="29">
        <f>IF(Dataset!F1109=1,3,IF(Dataset!F1109=2,2,1))</f>
        <v>1</v>
      </c>
      <c r="P1109" s="29">
        <f t="shared" si="140"/>
        <v>0.2</v>
      </c>
      <c r="Q1109" s="29">
        <f>IF(Dataset!K1109&lt;5,0.2,IF(Dataset!K1109&lt;10,0.45,IF(Dataset!K1109&lt;18,0.7,0.9)))</f>
        <v>0.7</v>
      </c>
      <c r="R1109" s="29">
        <f>IF(Dataset!K1109&lt;5,1,IF(Dataset!K1109&lt;10,2,IF(Dataset!K1109&lt;18,3,4)))</f>
        <v>3</v>
      </c>
      <c r="S1109" s="29">
        <f t="shared" si="141"/>
        <v>2.0999999999999996</v>
      </c>
      <c r="T1109" s="29">
        <f t="shared" si="142"/>
        <v>2.2069999999999999</v>
      </c>
      <c r="U1109" s="29" t="str">
        <f t="shared" si="143"/>
        <v>High</v>
      </c>
    </row>
    <row r="1110" spans="1:21" ht="15" customHeight="1" x14ac:dyDescent="0.25">
      <c r="A1110" s="29">
        <f>Dataset!A1110</f>
        <v>1106</v>
      </c>
      <c r="B1110" s="29">
        <f>IF(Dataset!B1110&lt;25,0.3,IF(Dataset!B1110&lt;75,0.5,IF(Dataset!B1110&lt;120,0.65,0.8)))</f>
        <v>0.3</v>
      </c>
      <c r="C1110" s="29">
        <f>IF(Dataset!B1110&lt;25,1,IF(Dataset!B1110&lt;75,2,IF(Dataset!B1110&lt;120,3,4)))</f>
        <v>1</v>
      </c>
      <c r="D1110" s="29">
        <f t="shared" si="136"/>
        <v>0.3</v>
      </c>
      <c r="E1110" s="29">
        <f>IF(Dataset!C1110&lt;=1,0.3,IF(Dataset!C1110=2,0.4,IF(Dataset!C1110=3,0.5,IF(Dataset!C1110=4,0.65,0.8))))</f>
        <v>0.4</v>
      </c>
      <c r="F1110" s="29">
        <f>IF(Dataset!C1110&lt;=2,1,IF(Dataset!C1110=3,2,IF(Dataset!C1110=4,3,4)))</f>
        <v>1</v>
      </c>
      <c r="G1110" s="29">
        <f t="shared" si="137"/>
        <v>0.4</v>
      </c>
      <c r="H1110" s="29">
        <f>IF(Dataset!G1110&lt;=3,0.25,IF(Dataset!G1110&lt;=6,0.45,IF(Dataset!G1110&lt;=9,0.65,0.85)))</f>
        <v>0.45</v>
      </c>
      <c r="I1110" s="29">
        <f>IF(Dataset!G1110&lt;=3,1,IF(Dataset!G1110&lt;=6,2,IF(Dataset!G1110&lt;=9,3,4)))</f>
        <v>2</v>
      </c>
      <c r="J1110" s="29">
        <f t="shared" si="138"/>
        <v>0.9</v>
      </c>
      <c r="K1110" s="29">
        <f>IF(Dataset!H1110&lt;1,0.2,IF(Dataset!H1110&lt;1.3,0.45,IF(Dataset!H1110&lt;1.8,0.7,0.9)))</f>
        <v>0.9</v>
      </c>
      <c r="L1110" s="29">
        <f>IF(Dataset!H1110&lt;1,1,IF(Dataset!H1110&lt;1.3,2,IF(Dataset!H1110&lt;1.8,3,4)))</f>
        <v>4</v>
      </c>
      <c r="M1110" s="29">
        <f t="shared" si="139"/>
        <v>3.6</v>
      </c>
      <c r="N1110" s="29">
        <f>IF(Dataset!F1110=1,0.75,IF(Dataset!F1110=2,0.45,0.2))</f>
        <v>0.45</v>
      </c>
      <c r="O1110" s="29">
        <f>IF(Dataset!F1110=1,3,IF(Dataset!F1110=2,2,1))</f>
        <v>2</v>
      </c>
      <c r="P1110" s="29">
        <f t="shared" si="140"/>
        <v>0.9</v>
      </c>
      <c r="Q1110" s="29">
        <f>IF(Dataset!K1110&lt;5,0.2,IF(Dataset!K1110&lt;10,0.45,IF(Dataset!K1110&lt;18,0.7,0.9)))</f>
        <v>0.2</v>
      </c>
      <c r="R1110" s="29">
        <f>IF(Dataset!K1110&lt;5,1,IF(Dataset!K1110&lt;10,2,IF(Dataset!K1110&lt;18,3,4)))</f>
        <v>1</v>
      </c>
      <c r="S1110" s="29">
        <f t="shared" si="141"/>
        <v>0.2</v>
      </c>
      <c r="T1110" s="29">
        <f t="shared" si="142"/>
        <v>1.272</v>
      </c>
      <c r="U1110" s="29" t="str">
        <f t="shared" si="143"/>
        <v>Low</v>
      </c>
    </row>
    <row r="1111" spans="1:21" ht="15" customHeight="1" x14ac:dyDescent="0.25">
      <c r="A1111" s="29">
        <f>Dataset!A1111</f>
        <v>1107</v>
      </c>
      <c r="B1111" s="29">
        <f>IF(Dataset!B1111&lt;25,0.3,IF(Dataset!B1111&lt;75,0.5,IF(Dataset!B1111&lt;120,0.65,0.8)))</f>
        <v>0.65</v>
      </c>
      <c r="C1111" s="29">
        <f>IF(Dataset!B1111&lt;25,1,IF(Dataset!B1111&lt;75,2,IF(Dataset!B1111&lt;120,3,4)))</f>
        <v>3</v>
      </c>
      <c r="D1111" s="29">
        <f t="shared" si="136"/>
        <v>1.9500000000000002</v>
      </c>
      <c r="E1111" s="29">
        <f>IF(Dataset!C1111&lt;=1,0.3,IF(Dataset!C1111=2,0.4,IF(Dataset!C1111=3,0.5,IF(Dataset!C1111=4,0.65,0.8))))</f>
        <v>0.3</v>
      </c>
      <c r="F1111" s="29">
        <f>IF(Dataset!C1111&lt;=2,1,IF(Dataset!C1111=3,2,IF(Dataset!C1111=4,3,4)))</f>
        <v>1</v>
      </c>
      <c r="G1111" s="29">
        <f t="shared" si="137"/>
        <v>0.3</v>
      </c>
      <c r="H1111" s="29">
        <f>IF(Dataset!G1111&lt;=3,0.25,IF(Dataset!G1111&lt;=6,0.45,IF(Dataset!G1111&lt;=9,0.65,0.85)))</f>
        <v>0.85</v>
      </c>
      <c r="I1111" s="29">
        <f>IF(Dataset!G1111&lt;=3,1,IF(Dataset!G1111&lt;=6,2,IF(Dataset!G1111&lt;=9,3,4)))</f>
        <v>4</v>
      </c>
      <c r="J1111" s="29">
        <f t="shared" si="138"/>
        <v>3.4</v>
      </c>
      <c r="K1111" s="29">
        <f>IF(Dataset!H1111&lt;1,0.2,IF(Dataset!H1111&lt;1.3,0.45,IF(Dataset!H1111&lt;1.8,0.7,0.9)))</f>
        <v>0.9</v>
      </c>
      <c r="L1111" s="29">
        <f>IF(Dataset!H1111&lt;1,1,IF(Dataset!H1111&lt;1.3,2,IF(Dataset!H1111&lt;1.8,3,4)))</f>
        <v>4</v>
      </c>
      <c r="M1111" s="29">
        <f t="shared" si="139"/>
        <v>3.6</v>
      </c>
      <c r="N1111" s="29">
        <f>IF(Dataset!F1111=1,0.75,IF(Dataset!F1111=2,0.45,0.2))</f>
        <v>0.45</v>
      </c>
      <c r="O1111" s="29">
        <f>IF(Dataset!F1111=1,3,IF(Dataset!F1111=2,2,1))</f>
        <v>2</v>
      </c>
      <c r="P1111" s="29">
        <f t="shared" si="140"/>
        <v>0.9</v>
      </c>
      <c r="Q1111" s="29">
        <f>IF(Dataset!K1111&lt;5,0.2,IF(Dataset!K1111&lt;10,0.45,IF(Dataset!K1111&lt;18,0.7,0.9)))</f>
        <v>0.2</v>
      </c>
      <c r="R1111" s="29">
        <f>IF(Dataset!K1111&lt;5,1,IF(Dataset!K1111&lt;10,2,IF(Dataset!K1111&lt;18,3,4)))</f>
        <v>1</v>
      </c>
      <c r="S1111" s="29">
        <f t="shared" si="141"/>
        <v>0.2</v>
      </c>
      <c r="T1111" s="29">
        <f t="shared" si="142"/>
        <v>2.0549999999999997</v>
      </c>
      <c r="U1111" s="29" t="str">
        <f t="shared" si="143"/>
        <v>High</v>
      </c>
    </row>
    <row r="1112" spans="1:21" ht="15" customHeight="1" x14ac:dyDescent="0.25">
      <c r="A1112" s="29">
        <f>Dataset!A1112</f>
        <v>1108</v>
      </c>
      <c r="B1112" s="29">
        <f>IF(Dataset!B1112&lt;25,0.3,IF(Dataset!B1112&lt;75,0.5,IF(Dataset!B1112&lt;120,0.65,0.8)))</f>
        <v>0.3</v>
      </c>
      <c r="C1112" s="29">
        <f>IF(Dataset!B1112&lt;25,1,IF(Dataset!B1112&lt;75,2,IF(Dataset!B1112&lt;120,3,4)))</f>
        <v>1</v>
      </c>
      <c r="D1112" s="29">
        <f t="shared" si="136"/>
        <v>0.3</v>
      </c>
      <c r="E1112" s="29">
        <f>IF(Dataset!C1112&lt;=1,0.3,IF(Dataset!C1112=2,0.4,IF(Dataset!C1112=3,0.5,IF(Dataset!C1112=4,0.65,0.8))))</f>
        <v>0.5</v>
      </c>
      <c r="F1112" s="29">
        <f>IF(Dataset!C1112&lt;=2,1,IF(Dataset!C1112=3,2,IF(Dataset!C1112=4,3,4)))</f>
        <v>2</v>
      </c>
      <c r="G1112" s="29">
        <f t="shared" si="137"/>
        <v>1</v>
      </c>
      <c r="H1112" s="29">
        <f>IF(Dataset!G1112&lt;=3,0.25,IF(Dataset!G1112&lt;=6,0.45,IF(Dataset!G1112&lt;=9,0.65,0.85)))</f>
        <v>0.65</v>
      </c>
      <c r="I1112" s="29">
        <f>IF(Dataset!G1112&lt;=3,1,IF(Dataset!G1112&lt;=6,2,IF(Dataset!G1112&lt;=9,3,4)))</f>
        <v>3</v>
      </c>
      <c r="J1112" s="29">
        <f t="shared" si="138"/>
        <v>1.9500000000000002</v>
      </c>
      <c r="K1112" s="29">
        <f>IF(Dataset!H1112&lt;1,0.2,IF(Dataset!H1112&lt;1.3,0.45,IF(Dataset!H1112&lt;1.8,0.7,0.9)))</f>
        <v>0.45</v>
      </c>
      <c r="L1112" s="29">
        <f>IF(Dataset!H1112&lt;1,1,IF(Dataset!H1112&lt;1.3,2,IF(Dataset!H1112&lt;1.8,3,4)))</f>
        <v>2</v>
      </c>
      <c r="M1112" s="29">
        <f t="shared" si="139"/>
        <v>0.9</v>
      </c>
      <c r="N1112" s="29">
        <f>IF(Dataset!F1112=1,0.75,IF(Dataset!F1112=2,0.45,0.2))</f>
        <v>0.2</v>
      </c>
      <c r="O1112" s="29">
        <f>IF(Dataset!F1112=1,3,IF(Dataset!F1112=2,2,1))</f>
        <v>1</v>
      </c>
      <c r="P1112" s="29">
        <f t="shared" si="140"/>
        <v>0.2</v>
      </c>
      <c r="Q1112" s="29">
        <f>IF(Dataset!K1112&lt;5,0.2,IF(Dataset!K1112&lt;10,0.45,IF(Dataset!K1112&lt;18,0.7,0.9)))</f>
        <v>0.45</v>
      </c>
      <c r="R1112" s="29">
        <f>IF(Dataset!K1112&lt;5,1,IF(Dataset!K1112&lt;10,2,IF(Dataset!K1112&lt;18,3,4)))</f>
        <v>2</v>
      </c>
      <c r="S1112" s="29">
        <f t="shared" si="141"/>
        <v>0.9</v>
      </c>
      <c r="T1112" s="29">
        <f t="shared" si="142"/>
        <v>0.94600000000000006</v>
      </c>
      <c r="U1112" s="29" t="str">
        <f t="shared" si="143"/>
        <v>Low</v>
      </c>
    </row>
    <row r="1113" spans="1:21" ht="15" customHeight="1" x14ac:dyDescent="0.25">
      <c r="A1113" s="29">
        <f>Dataset!A1113</f>
        <v>1109</v>
      </c>
      <c r="B1113" s="29">
        <f>IF(Dataset!B1113&lt;25,0.3,IF(Dataset!B1113&lt;75,0.5,IF(Dataset!B1113&lt;120,0.65,0.8)))</f>
        <v>0.5</v>
      </c>
      <c r="C1113" s="29">
        <f>IF(Dataset!B1113&lt;25,1,IF(Dataset!B1113&lt;75,2,IF(Dataset!B1113&lt;120,3,4)))</f>
        <v>2</v>
      </c>
      <c r="D1113" s="29">
        <f t="shared" si="136"/>
        <v>1</v>
      </c>
      <c r="E1113" s="29">
        <f>IF(Dataset!C1113&lt;=1,0.3,IF(Dataset!C1113=2,0.4,IF(Dataset!C1113=3,0.5,IF(Dataset!C1113=4,0.65,0.8))))</f>
        <v>0.4</v>
      </c>
      <c r="F1113" s="29">
        <f>IF(Dataset!C1113&lt;=2,1,IF(Dataset!C1113=3,2,IF(Dataset!C1113=4,3,4)))</f>
        <v>1</v>
      </c>
      <c r="G1113" s="29">
        <f t="shared" si="137"/>
        <v>0.4</v>
      </c>
      <c r="H1113" s="29">
        <f>IF(Dataset!G1113&lt;=3,0.25,IF(Dataset!G1113&lt;=6,0.45,IF(Dataset!G1113&lt;=9,0.65,0.85)))</f>
        <v>0.65</v>
      </c>
      <c r="I1113" s="29">
        <f>IF(Dataset!G1113&lt;=3,1,IF(Dataset!G1113&lt;=6,2,IF(Dataset!G1113&lt;=9,3,4)))</f>
        <v>3</v>
      </c>
      <c r="J1113" s="29">
        <f t="shared" si="138"/>
        <v>1.9500000000000002</v>
      </c>
      <c r="K1113" s="29">
        <f>IF(Dataset!H1113&lt;1,0.2,IF(Dataset!H1113&lt;1.3,0.45,IF(Dataset!H1113&lt;1.8,0.7,0.9)))</f>
        <v>0.9</v>
      </c>
      <c r="L1113" s="29">
        <f>IF(Dataset!H1113&lt;1,1,IF(Dataset!H1113&lt;1.3,2,IF(Dataset!H1113&lt;1.8,3,4)))</f>
        <v>4</v>
      </c>
      <c r="M1113" s="29">
        <f t="shared" si="139"/>
        <v>3.6</v>
      </c>
      <c r="N1113" s="29">
        <f>IF(Dataset!F1113=1,0.75,IF(Dataset!F1113=2,0.45,0.2))</f>
        <v>0.45</v>
      </c>
      <c r="O1113" s="29">
        <f>IF(Dataset!F1113=1,3,IF(Dataset!F1113=2,2,1))</f>
        <v>2</v>
      </c>
      <c r="P1113" s="29">
        <f t="shared" si="140"/>
        <v>0.9</v>
      </c>
      <c r="Q1113" s="29">
        <f>IF(Dataset!K1113&lt;5,0.2,IF(Dataset!K1113&lt;10,0.45,IF(Dataset!K1113&lt;18,0.7,0.9)))</f>
        <v>0.2</v>
      </c>
      <c r="R1113" s="29">
        <f>IF(Dataset!K1113&lt;5,1,IF(Dataset!K1113&lt;10,2,IF(Dataset!K1113&lt;18,3,4)))</f>
        <v>1</v>
      </c>
      <c r="S1113" s="29">
        <f t="shared" si="141"/>
        <v>0.2</v>
      </c>
      <c r="T1113" s="29">
        <f t="shared" si="142"/>
        <v>1.6080000000000003</v>
      </c>
      <c r="U1113" s="29" t="str">
        <f t="shared" si="143"/>
        <v>Medium</v>
      </c>
    </row>
    <row r="1114" spans="1:21" ht="15" customHeight="1" x14ac:dyDescent="0.25">
      <c r="A1114" s="29">
        <f>Dataset!A1114</f>
        <v>1110</v>
      </c>
      <c r="B1114" s="29">
        <f>IF(Dataset!B1114&lt;25,0.3,IF(Dataset!B1114&lt;75,0.5,IF(Dataset!B1114&lt;120,0.65,0.8)))</f>
        <v>0.3</v>
      </c>
      <c r="C1114" s="29">
        <f>IF(Dataset!B1114&lt;25,1,IF(Dataset!B1114&lt;75,2,IF(Dataset!B1114&lt;120,3,4)))</f>
        <v>1</v>
      </c>
      <c r="D1114" s="29">
        <f t="shared" si="136"/>
        <v>0.3</v>
      </c>
      <c r="E1114" s="29">
        <f>IF(Dataset!C1114&lt;=1,0.3,IF(Dataset!C1114=2,0.4,IF(Dataset!C1114=3,0.5,IF(Dataset!C1114=4,0.65,0.8))))</f>
        <v>0.4</v>
      </c>
      <c r="F1114" s="29">
        <f>IF(Dataset!C1114&lt;=2,1,IF(Dataset!C1114=3,2,IF(Dataset!C1114=4,3,4)))</f>
        <v>1</v>
      </c>
      <c r="G1114" s="29">
        <f t="shared" si="137"/>
        <v>0.4</v>
      </c>
      <c r="H1114" s="29">
        <f>IF(Dataset!G1114&lt;=3,0.25,IF(Dataset!G1114&lt;=6,0.45,IF(Dataset!G1114&lt;=9,0.65,0.85)))</f>
        <v>0.25</v>
      </c>
      <c r="I1114" s="29">
        <f>IF(Dataset!G1114&lt;=3,1,IF(Dataset!G1114&lt;=6,2,IF(Dataset!G1114&lt;=9,3,4)))</f>
        <v>1</v>
      </c>
      <c r="J1114" s="29">
        <f t="shared" si="138"/>
        <v>0.25</v>
      </c>
      <c r="K1114" s="29">
        <f>IF(Dataset!H1114&lt;1,0.2,IF(Dataset!H1114&lt;1.3,0.45,IF(Dataset!H1114&lt;1.8,0.7,0.9)))</f>
        <v>0.2</v>
      </c>
      <c r="L1114" s="29">
        <f>IF(Dataset!H1114&lt;1,1,IF(Dataset!H1114&lt;1.3,2,IF(Dataset!H1114&lt;1.8,3,4)))</f>
        <v>1</v>
      </c>
      <c r="M1114" s="29">
        <f t="shared" si="139"/>
        <v>0.2</v>
      </c>
      <c r="N1114" s="29">
        <f>IF(Dataset!F1114=1,0.75,IF(Dataset!F1114=2,0.45,0.2))</f>
        <v>0.75</v>
      </c>
      <c r="O1114" s="29">
        <f>IF(Dataset!F1114=1,3,IF(Dataset!F1114=2,2,1))</f>
        <v>3</v>
      </c>
      <c r="P1114" s="29">
        <f t="shared" si="140"/>
        <v>2.25</v>
      </c>
      <c r="Q1114" s="29">
        <f>IF(Dataset!K1114&lt;5,0.2,IF(Dataset!K1114&lt;10,0.45,IF(Dataset!K1114&lt;18,0.7,0.9)))</f>
        <v>0.45</v>
      </c>
      <c r="R1114" s="29">
        <f>IF(Dataset!K1114&lt;5,1,IF(Dataset!K1114&lt;10,2,IF(Dataset!K1114&lt;18,3,4)))</f>
        <v>2</v>
      </c>
      <c r="S1114" s="29">
        <f t="shared" si="141"/>
        <v>0.9</v>
      </c>
      <c r="T1114" s="29">
        <f t="shared" si="142"/>
        <v>0.55900000000000005</v>
      </c>
      <c r="U1114" s="29" t="str">
        <f t="shared" si="143"/>
        <v>Low</v>
      </c>
    </row>
    <row r="1115" spans="1:21" ht="15" customHeight="1" x14ac:dyDescent="0.25">
      <c r="A1115" s="29">
        <f>Dataset!A1115</f>
        <v>1111</v>
      </c>
      <c r="B1115" s="29">
        <f>IF(Dataset!B1115&lt;25,0.3,IF(Dataset!B1115&lt;75,0.5,IF(Dataset!B1115&lt;120,0.65,0.8)))</f>
        <v>0.65</v>
      </c>
      <c r="C1115" s="29">
        <f>IF(Dataset!B1115&lt;25,1,IF(Dataset!B1115&lt;75,2,IF(Dataset!B1115&lt;120,3,4)))</f>
        <v>3</v>
      </c>
      <c r="D1115" s="29">
        <f t="shared" si="136"/>
        <v>1.9500000000000002</v>
      </c>
      <c r="E1115" s="29">
        <f>IF(Dataset!C1115&lt;=1,0.3,IF(Dataset!C1115=2,0.4,IF(Dataset!C1115=3,0.5,IF(Dataset!C1115=4,0.65,0.8))))</f>
        <v>0.8</v>
      </c>
      <c r="F1115" s="29">
        <f>IF(Dataset!C1115&lt;=2,1,IF(Dataset!C1115=3,2,IF(Dataset!C1115=4,3,4)))</f>
        <v>4</v>
      </c>
      <c r="G1115" s="29">
        <f t="shared" si="137"/>
        <v>3.2</v>
      </c>
      <c r="H1115" s="29">
        <f>IF(Dataset!G1115&lt;=3,0.25,IF(Dataset!G1115&lt;=6,0.45,IF(Dataset!G1115&lt;=9,0.65,0.85)))</f>
        <v>0.45</v>
      </c>
      <c r="I1115" s="29">
        <f>IF(Dataset!G1115&lt;=3,1,IF(Dataset!G1115&lt;=6,2,IF(Dataset!G1115&lt;=9,3,4)))</f>
        <v>2</v>
      </c>
      <c r="J1115" s="29">
        <f t="shared" si="138"/>
        <v>0.9</v>
      </c>
      <c r="K1115" s="29">
        <f>IF(Dataset!H1115&lt;1,0.2,IF(Dataset!H1115&lt;1.3,0.45,IF(Dataset!H1115&lt;1.8,0.7,0.9)))</f>
        <v>0.7</v>
      </c>
      <c r="L1115" s="29">
        <f>IF(Dataset!H1115&lt;1,1,IF(Dataset!H1115&lt;1.3,2,IF(Dataset!H1115&lt;1.8,3,4)))</f>
        <v>3</v>
      </c>
      <c r="M1115" s="29">
        <f t="shared" si="139"/>
        <v>2.0999999999999996</v>
      </c>
      <c r="N1115" s="29">
        <f>IF(Dataset!F1115=1,0.75,IF(Dataset!F1115=2,0.45,0.2))</f>
        <v>0.75</v>
      </c>
      <c r="O1115" s="29">
        <f>IF(Dataset!F1115=1,3,IF(Dataset!F1115=2,2,1))</f>
        <v>3</v>
      </c>
      <c r="P1115" s="29">
        <f t="shared" si="140"/>
        <v>2.25</v>
      </c>
      <c r="Q1115" s="29">
        <f>IF(Dataset!K1115&lt;5,0.2,IF(Dataset!K1115&lt;10,0.45,IF(Dataset!K1115&lt;18,0.7,0.9)))</f>
        <v>0.45</v>
      </c>
      <c r="R1115" s="29">
        <f>IF(Dataset!K1115&lt;5,1,IF(Dataset!K1115&lt;10,2,IF(Dataset!K1115&lt;18,3,4)))</f>
        <v>2</v>
      </c>
      <c r="S1115" s="29">
        <f t="shared" si="141"/>
        <v>0.9</v>
      </c>
      <c r="T1115" s="29">
        <f t="shared" si="142"/>
        <v>1.8340000000000003</v>
      </c>
      <c r="U1115" s="29" t="str">
        <f t="shared" si="143"/>
        <v>High</v>
      </c>
    </row>
    <row r="1116" spans="1:21" ht="15" customHeight="1" x14ac:dyDescent="0.25">
      <c r="A1116" s="29">
        <f>Dataset!A1116</f>
        <v>1112</v>
      </c>
      <c r="B1116" s="29">
        <f>IF(Dataset!B1116&lt;25,0.3,IF(Dataset!B1116&lt;75,0.5,IF(Dataset!B1116&lt;120,0.65,0.8)))</f>
        <v>0.8</v>
      </c>
      <c r="C1116" s="29">
        <f>IF(Dataset!B1116&lt;25,1,IF(Dataset!B1116&lt;75,2,IF(Dataset!B1116&lt;120,3,4)))</f>
        <v>4</v>
      </c>
      <c r="D1116" s="29">
        <f t="shared" si="136"/>
        <v>3.2</v>
      </c>
      <c r="E1116" s="29">
        <f>IF(Dataset!C1116&lt;=1,0.3,IF(Dataset!C1116=2,0.4,IF(Dataset!C1116=3,0.5,IF(Dataset!C1116=4,0.65,0.8))))</f>
        <v>0.65</v>
      </c>
      <c r="F1116" s="29">
        <f>IF(Dataset!C1116&lt;=2,1,IF(Dataset!C1116=3,2,IF(Dataset!C1116=4,3,4)))</f>
        <v>3</v>
      </c>
      <c r="G1116" s="29">
        <f t="shared" si="137"/>
        <v>1.9500000000000002</v>
      </c>
      <c r="H1116" s="29">
        <f>IF(Dataset!G1116&lt;=3,0.25,IF(Dataset!G1116&lt;=6,0.45,IF(Dataset!G1116&lt;=9,0.65,0.85)))</f>
        <v>0.45</v>
      </c>
      <c r="I1116" s="29">
        <f>IF(Dataset!G1116&lt;=3,1,IF(Dataset!G1116&lt;=6,2,IF(Dataset!G1116&lt;=9,3,4)))</f>
        <v>2</v>
      </c>
      <c r="J1116" s="29">
        <f t="shared" si="138"/>
        <v>0.9</v>
      </c>
      <c r="K1116" s="29">
        <f>IF(Dataset!H1116&lt;1,0.2,IF(Dataset!H1116&lt;1.3,0.45,IF(Dataset!H1116&lt;1.8,0.7,0.9)))</f>
        <v>0.7</v>
      </c>
      <c r="L1116" s="29">
        <f>IF(Dataset!H1116&lt;1,1,IF(Dataset!H1116&lt;1.3,2,IF(Dataset!H1116&lt;1.8,3,4)))</f>
        <v>3</v>
      </c>
      <c r="M1116" s="29">
        <f t="shared" si="139"/>
        <v>2.0999999999999996</v>
      </c>
      <c r="N1116" s="29">
        <f>IF(Dataset!F1116=1,0.75,IF(Dataset!F1116=2,0.45,0.2))</f>
        <v>0.2</v>
      </c>
      <c r="O1116" s="29">
        <f>IF(Dataset!F1116=1,3,IF(Dataset!F1116=2,2,1))</f>
        <v>1</v>
      </c>
      <c r="P1116" s="29">
        <f t="shared" si="140"/>
        <v>0.2</v>
      </c>
      <c r="Q1116" s="29">
        <f>IF(Dataset!K1116&lt;5,0.2,IF(Dataset!K1116&lt;10,0.45,IF(Dataset!K1116&lt;18,0.7,0.9)))</f>
        <v>0.7</v>
      </c>
      <c r="R1116" s="29">
        <f>IF(Dataset!K1116&lt;5,1,IF(Dataset!K1116&lt;10,2,IF(Dataset!K1116&lt;18,3,4)))</f>
        <v>3</v>
      </c>
      <c r="S1116" s="29">
        <f t="shared" si="141"/>
        <v>2.0999999999999996</v>
      </c>
      <c r="T1116" s="29">
        <f t="shared" si="142"/>
        <v>1.847</v>
      </c>
      <c r="U1116" s="29" t="str">
        <f t="shared" si="143"/>
        <v>High</v>
      </c>
    </row>
    <row r="1117" spans="1:21" ht="15" customHeight="1" x14ac:dyDescent="0.25">
      <c r="A1117" s="29">
        <f>Dataset!A1117</f>
        <v>1113</v>
      </c>
      <c r="B1117" s="29">
        <f>IF(Dataset!B1117&lt;25,0.3,IF(Dataset!B1117&lt;75,0.5,IF(Dataset!B1117&lt;120,0.65,0.8)))</f>
        <v>0.65</v>
      </c>
      <c r="C1117" s="29">
        <f>IF(Dataset!B1117&lt;25,1,IF(Dataset!B1117&lt;75,2,IF(Dataset!B1117&lt;120,3,4)))</f>
        <v>3</v>
      </c>
      <c r="D1117" s="29">
        <f t="shared" si="136"/>
        <v>1.9500000000000002</v>
      </c>
      <c r="E1117" s="29">
        <f>IF(Dataset!C1117&lt;=1,0.3,IF(Dataset!C1117=2,0.4,IF(Dataset!C1117=3,0.5,IF(Dataset!C1117=4,0.65,0.8))))</f>
        <v>0.4</v>
      </c>
      <c r="F1117" s="29">
        <f>IF(Dataset!C1117&lt;=2,1,IF(Dataset!C1117=3,2,IF(Dataset!C1117=4,3,4)))</f>
        <v>1</v>
      </c>
      <c r="G1117" s="29">
        <f t="shared" si="137"/>
        <v>0.4</v>
      </c>
      <c r="H1117" s="29">
        <f>IF(Dataset!G1117&lt;=3,0.25,IF(Dataset!G1117&lt;=6,0.45,IF(Dataset!G1117&lt;=9,0.65,0.85)))</f>
        <v>0.65</v>
      </c>
      <c r="I1117" s="29">
        <f>IF(Dataset!G1117&lt;=3,1,IF(Dataset!G1117&lt;=6,2,IF(Dataset!G1117&lt;=9,3,4)))</f>
        <v>3</v>
      </c>
      <c r="J1117" s="29">
        <f t="shared" si="138"/>
        <v>1.9500000000000002</v>
      </c>
      <c r="K1117" s="29">
        <f>IF(Dataset!H1117&lt;1,0.2,IF(Dataset!H1117&lt;1.3,0.45,IF(Dataset!H1117&lt;1.8,0.7,0.9)))</f>
        <v>0.2</v>
      </c>
      <c r="L1117" s="29">
        <f>IF(Dataset!H1117&lt;1,1,IF(Dataset!H1117&lt;1.3,2,IF(Dataset!H1117&lt;1.8,3,4)))</f>
        <v>1</v>
      </c>
      <c r="M1117" s="29">
        <f t="shared" si="139"/>
        <v>0.2</v>
      </c>
      <c r="N1117" s="29">
        <f>IF(Dataset!F1117=1,0.75,IF(Dataset!F1117=2,0.45,0.2))</f>
        <v>0.45</v>
      </c>
      <c r="O1117" s="29">
        <f>IF(Dataset!F1117=1,3,IF(Dataset!F1117=2,2,1))</f>
        <v>2</v>
      </c>
      <c r="P1117" s="29">
        <f t="shared" si="140"/>
        <v>0.9</v>
      </c>
      <c r="Q1117" s="29">
        <f>IF(Dataset!K1117&lt;5,0.2,IF(Dataset!K1117&lt;10,0.45,IF(Dataset!K1117&lt;18,0.7,0.9)))</f>
        <v>0.2</v>
      </c>
      <c r="R1117" s="29">
        <f>IF(Dataset!K1117&lt;5,1,IF(Dataset!K1117&lt;10,2,IF(Dataset!K1117&lt;18,3,4)))</f>
        <v>1</v>
      </c>
      <c r="S1117" s="29">
        <f t="shared" si="141"/>
        <v>0.2</v>
      </c>
      <c r="T1117" s="29">
        <f t="shared" si="142"/>
        <v>0.96300000000000019</v>
      </c>
      <c r="U1117" s="29" t="str">
        <f t="shared" si="143"/>
        <v>Low</v>
      </c>
    </row>
    <row r="1118" spans="1:21" ht="15" customHeight="1" x14ac:dyDescent="0.25">
      <c r="A1118" s="29">
        <f>Dataset!A1118</f>
        <v>1114</v>
      </c>
      <c r="B1118" s="29">
        <f>IF(Dataset!B1118&lt;25,0.3,IF(Dataset!B1118&lt;75,0.5,IF(Dataset!B1118&lt;120,0.65,0.8)))</f>
        <v>0.8</v>
      </c>
      <c r="C1118" s="29">
        <f>IF(Dataset!B1118&lt;25,1,IF(Dataset!B1118&lt;75,2,IF(Dataset!B1118&lt;120,3,4)))</f>
        <v>4</v>
      </c>
      <c r="D1118" s="29">
        <f t="shared" si="136"/>
        <v>3.2</v>
      </c>
      <c r="E1118" s="29">
        <f>IF(Dataset!C1118&lt;=1,0.3,IF(Dataset!C1118=2,0.4,IF(Dataset!C1118=3,0.5,IF(Dataset!C1118=4,0.65,0.8))))</f>
        <v>0.65</v>
      </c>
      <c r="F1118" s="29">
        <f>IF(Dataset!C1118&lt;=2,1,IF(Dataset!C1118=3,2,IF(Dataset!C1118=4,3,4)))</f>
        <v>3</v>
      </c>
      <c r="G1118" s="29">
        <f t="shared" si="137"/>
        <v>1.9500000000000002</v>
      </c>
      <c r="H1118" s="29">
        <f>IF(Dataset!G1118&lt;=3,0.25,IF(Dataset!G1118&lt;=6,0.45,IF(Dataset!G1118&lt;=9,0.65,0.85)))</f>
        <v>0.45</v>
      </c>
      <c r="I1118" s="29">
        <f>IF(Dataset!G1118&lt;=3,1,IF(Dataset!G1118&lt;=6,2,IF(Dataset!G1118&lt;=9,3,4)))</f>
        <v>2</v>
      </c>
      <c r="J1118" s="29">
        <f t="shared" si="138"/>
        <v>0.9</v>
      </c>
      <c r="K1118" s="29">
        <f>IF(Dataset!H1118&lt;1,0.2,IF(Dataset!H1118&lt;1.3,0.45,IF(Dataset!H1118&lt;1.8,0.7,0.9)))</f>
        <v>0.9</v>
      </c>
      <c r="L1118" s="29">
        <f>IF(Dataset!H1118&lt;1,1,IF(Dataset!H1118&lt;1.3,2,IF(Dataset!H1118&lt;1.8,3,4)))</f>
        <v>4</v>
      </c>
      <c r="M1118" s="29">
        <f t="shared" si="139"/>
        <v>3.6</v>
      </c>
      <c r="N1118" s="29">
        <f>IF(Dataset!F1118=1,0.75,IF(Dataset!F1118=2,0.45,0.2))</f>
        <v>0.75</v>
      </c>
      <c r="O1118" s="29">
        <f>IF(Dataset!F1118=1,3,IF(Dataset!F1118=2,2,1))</f>
        <v>3</v>
      </c>
      <c r="P1118" s="29">
        <f t="shared" si="140"/>
        <v>2.25</v>
      </c>
      <c r="Q1118" s="29">
        <f>IF(Dataset!K1118&lt;5,0.2,IF(Dataset!K1118&lt;10,0.45,IF(Dataset!K1118&lt;18,0.7,0.9)))</f>
        <v>0.7</v>
      </c>
      <c r="R1118" s="29">
        <f>IF(Dataset!K1118&lt;5,1,IF(Dataset!K1118&lt;10,2,IF(Dataset!K1118&lt;18,3,4)))</f>
        <v>3</v>
      </c>
      <c r="S1118" s="29">
        <f t="shared" si="141"/>
        <v>2.0999999999999996</v>
      </c>
      <c r="T1118" s="29">
        <f t="shared" si="142"/>
        <v>2.4119999999999999</v>
      </c>
      <c r="U1118" s="29" t="str">
        <f t="shared" si="143"/>
        <v>High</v>
      </c>
    </row>
    <row r="1119" spans="1:21" ht="15" customHeight="1" x14ac:dyDescent="0.25">
      <c r="A1119" s="29">
        <f>Dataset!A1119</f>
        <v>1115</v>
      </c>
      <c r="B1119" s="29">
        <f>IF(Dataset!B1119&lt;25,0.3,IF(Dataset!B1119&lt;75,0.5,IF(Dataset!B1119&lt;120,0.65,0.8)))</f>
        <v>0.3</v>
      </c>
      <c r="C1119" s="29">
        <f>IF(Dataset!B1119&lt;25,1,IF(Dataset!B1119&lt;75,2,IF(Dataset!B1119&lt;120,3,4)))</f>
        <v>1</v>
      </c>
      <c r="D1119" s="29">
        <f t="shared" si="136"/>
        <v>0.3</v>
      </c>
      <c r="E1119" s="29">
        <f>IF(Dataset!C1119&lt;=1,0.3,IF(Dataset!C1119=2,0.4,IF(Dataset!C1119=3,0.5,IF(Dataset!C1119=4,0.65,0.8))))</f>
        <v>0.5</v>
      </c>
      <c r="F1119" s="29">
        <f>IF(Dataset!C1119&lt;=2,1,IF(Dataset!C1119=3,2,IF(Dataset!C1119=4,3,4)))</f>
        <v>2</v>
      </c>
      <c r="G1119" s="29">
        <f t="shared" si="137"/>
        <v>1</v>
      </c>
      <c r="H1119" s="29">
        <f>IF(Dataset!G1119&lt;=3,0.25,IF(Dataset!G1119&lt;=6,0.45,IF(Dataset!G1119&lt;=9,0.65,0.85)))</f>
        <v>0.85</v>
      </c>
      <c r="I1119" s="29">
        <f>IF(Dataset!G1119&lt;=3,1,IF(Dataset!G1119&lt;=6,2,IF(Dataset!G1119&lt;=9,3,4)))</f>
        <v>4</v>
      </c>
      <c r="J1119" s="29">
        <f t="shared" si="138"/>
        <v>3.4</v>
      </c>
      <c r="K1119" s="29">
        <f>IF(Dataset!H1119&lt;1,0.2,IF(Dataset!H1119&lt;1.3,0.45,IF(Dataset!H1119&lt;1.8,0.7,0.9)))</f>
        <v>0.9</v>
      </c>
      <c r="L1119" s="29">
        <f>IF(Dataset!H1119&lt;1,1,IF(Dataset!H1119&lt;1.3,2,IF(Dataset!H1119&lt;1.8,3,4)))</f>
        <v>4</v>
      </c>
      <c r="M1119" s="29">
        <f t="shared" si="139"/>
        <v>3.6</v>
      </c>
      <c r="N1119" s="29">
        <f>IF(Dataset!F1119=1,0.75,IF(Dataset!F1119=2,0.45,0.2))</f>
        <v>0.45</v>
      </c>
      <c r="O1119" s="29">
        <f>IF(Dataset!F1119=1,3,IF(Dataset!F1119=2,2,1))</f>
        <v>2</v>
      </c>
      <c r="P1119" s="29">
        <f t="shared" si="140"/>
        <v>0.9</v>
      </c>
      <c r="Q1119" s="29">
        <f>IF(Dataset!K1119&lt;5,0.2,IF(Dataset!K1119&lt;10,0.45,IF(Dataset!K1119&lt;18,0.7,0.9)))</f>
        <v>0.45</v>
      </c>
      <c r="R1119" s="29">
        <f>IF(Dataset!K1119&lt;5,1,IF(Dataset!K1119&lt;10,2,IF(Dataset!K1119&lt;18,3,4)))</f>
        <v>2</v>
      </c>
      <c r="S1119" s="29">
        <f t="shared" si="141"/>
        <v>0.9</v>
      </c>
      <c r="T1119" s="29">
        <f t="shared" si="142"/>
        <v>1.9540000000000002</v>
      </c>
      <c r="U1119" s="29" t="str">
        <f t="shared" si="143"/>
        <v>High</v>
      </c>
    </row>
    <row r="1120" spans="1:21" ht="15" customHeight="1" x14ac:dyDescent="0.25">
      <c r="A1120" s="29">
        <f>Dataset!A1120</f>
        <v>1116</v>
      </c>
      <c r="B1120" s="29">
        <f>IF(Dataset!B1120&lt;25,0.3,IF(Dataset!B1120&lt;75,0.5,IF(Dataset!B1120&lt;120,0.65,0.8)))</f>
        <v>0.5</v>
      </c>
      <c r="C1120" s="29">
        <f>IF(Dataset!B1120&lt;25,1,IF(Dataset!B1120&lt;75,2,IF(Dataset!B1120&lt;120,3,4)))</f>
        <v>2</v>
      </c>
      <c r="D1120" s="29">
        <f t="shared" si="136"/>
        <v>1</v>
      </c>
      <c r="E1120" s="29">
        <f>IF(Dataset!C1120&lt;=1,0.3,IF(Dataset!C1120=2,0.4,IF(Dataset!C1120=3,0.5,IF(Dataset!C1120=4,0.65,0.8))))</f>
        <v>0.8</v>
      </c>
      <c r="F1120" s="29">
        <f>IF(Dataset!C1120&lt;=2,1,IF(Dataset!C1120=3,2,IF(Dataset!C1120=4,3,4)))</f>
        <v>4</v>
      </c>
      <c r="G1120" s="29">
        <f t="shared" si="137"/>
        <v>3.2</v>
      </c>
      <c r="H1120" s="29">
        <f>IF(Dataset!G1120&lt;=3,0.25,IF(Dataset!G1120&lt;=6,0.45,IF(Dataset!G1120&lt;=9,0.65,0.85)))</f>
        <v>0.65</v>
      </c>
      <c r="I1120" s="29">
        <f>IF(Dataset!G1120&lt;=3,1,IF(Dataset!G1120&lt;=6,2,IF(Dataset!G1120&lt;=9,3,4)))</f>
        <v>3</v>
      </c>
      <c r="J1120" s="29">
        <f t="shared" si="138"/>
        <v>1.9500000000000002</v>
      </c>
      <c r="K1120" s="29">
        <f>IF(Dataset!H1120&lt;1,0.2,IF(Dataset!H1120&lt;1.3,0.45,IF(Dataset!H1120&lt;1.8,0.7,0.9)))</f>
        <v>0.9</v>
      </c>
      <c r="L1120" s="29">
        <f>IF(Dataset!H1120&lt;1,1,IF(Dataset!H1120&lt;1.3,2,IF(Dataset!H1120&lt;1.8,3,4)))</f>
        <v>4</v>
      </c>
      <c r="M1120" s="29">
        <f t="shared" si="139"/>
        <v>3.6</v>
      </c>
      <c r="N1120" s="29">
        <f>IF(Dataset!F1120=1,0.75,IF(Dataset!F1120=2,0.45,0.2))</f>
        <v>0.2</v>
      </c>
      <c r="O1120" s="29">
        <f>IF(Dataset!F1120=1,3,IF(Dataset!F1120=2,2,1))</f>
        <v>1</v>
      </c>
      <c r="P1120" s="29">
        <f t="shared" si="140"/>
        <v>0.2</v>
      </c>
      <c r="Q1120" s="29">
        <f>IF(Dataset!K1120&lt;5,0.2,IF(Dataset!K1120&lt;10,0.45,IF(Dataset!K1120&lt;18,0.7,0.9)))</f>
        <v>0.7</v>
      </c>
      <c r="R1120" s="29">
        <f>IF(Dataset!K1120&lt;5,1,IF(Dataset!K1120&lt;10,2,IF(Dataset!K1120&lt;18,3,4)))</f>
        <v>3</v>
      </c>
      <c r="S1120" s="29">
        <f t="shared" si="141"/>
        <v>2.0999999999999996</v>
      </c>
      <c r="T1120" s="29">
        <f t="shared" si="142"/>
        <v>2.1960000000000002</v>
      </c>
      <c r="U1120" s="29" t="str">
        <f t="shared" si="143"/>
        <v>High</v>
      </c>
    </row>
    <row r="1121" spans="1:21" ht="15" customHeight="1" x14ac:dyDescent="0.25">
      <c r="A1121" s="29">
        <f>Dataset!A1121</f>
        <v>1117</v>
      </c>
      <c r="B1121" s="29">
        <f>IF(Dataset!B1121&lt;25,0.3,IF(Dataset!B1121&lt;75,0.5,IF(Dataset!B1121&lt;120,0.65,0.8)))</f>
        <v>0.65</v>
      </c>
      <c r="C1121" s="29">
        <f>IF(Dataset!B1121&lt;25,1,IF(Dataset!B1121&lt;75,2,IF(Dataset!B1121&lt;120,3,4)))</f>
        <v>3</v>
      </c>
      <c r="D1121" s="29">
        <f t="shared" si="136"/>
        <v>1.9500000000000002</v>
      </c>
      <c r="E1121" s="29">
        <f>IF(Dataset!C1121&lt;=1,0.3,IF(Dataset!C1121=2,0.4,IF(Dataset!C1121=3,0.5,IF(Dataset!C1121=4,0.65,0.8))))</f>
        <v>0.3</v>
      </c>
      <c r="F1121" s="29">
        <f>IF(Dataset!C1121&lt;=2,1,IF(Dataset!C1121=3,2,IF(Dataset!C1121=4,3,4)))</f>
        <v>1</v>
      </c>
      <c r="G1121" s="29">
        <f t="shared" si="137"/>
        <v>0.3</v>
      </c>
      <c r="H1121" s="29">
        <f>IF(Dataset!G1121&lt;=3,0.25,IF(Dataset!G1121&lt;=6,0.45,IF(Dataset!G1121&lt;=9,0.65,0.85)))</f>
        <v>0.45</v>
      </c>
      <c r="I1121" s="29">
        <f>IF(Dataset!G1121&lt;=3,1,IF(Dataset!G1121&lt;=6,2,IF(Dataset!G1121&lt;=9,3,4)))</f>
        <v>2</v>
      </c>
      <c r="J1121" s="29">
        <f t="shared" si="138"/>
        <v>0.9</v>
      </c>
      <c r="K1121" s="29">
        <f>IF(Dataset!H1121&lt;1,0.2,IF(Dataset!H1121&lt;1.3,0.45,IF(Dataset!H1121&lt;1.8,0.7,0.9)))</f>
        <v>0.45</v>
      </c>
      <c r="L1121" s="29">
        <f>IF(Dataset!H1121&lt;1,1,IF(Dataset!H1121&lt;1.3,2,IF(Dataset!H1121&lt;1.8,3,4)))</f>
        <v>2</v>
      </c>
      <c r="M1121" s="29">
        <f t="shared" si="139"/>
        <v>0.9</v>
      </c>
      <c r="N1121" s="29">
        <f>IF(Dataset!F1121=1,0.75,IF(Dataset!F1121=2,0.45,0.2))</f>
        <v>0.45</v>
      </c>
      <c r="O1121" s="29">
        <f>IF(Dataset!F1121=1,3,IF(Dataset!F1121=2,2,1))</f>
        <v>2</v>
      </c>
      <c r="P1121" s="29">
        <f t="shared" si="140"/>
        <v>0.9</v>
      </c>
      <c r="Q1121" s="29">
        <f>IF(Dataset!K1121&lt;5,0.2,IF(Dataset!K1121&lt;10,0.45,IF(Dataset!K1121&lt;18,0.7,0.9)))</f>
        <v>0.2</v>
      </c>
      <c r="R1121" s="29">
        <f>IF(Dataset!K1121&lt;5,1,IF(Dataset!K1121&lt;10,2,IF(Dataset!K1121&lt;18,3,4)))</f>
        <v>1</v>
      </c>
      <c r="S1121" s="29">
        <f t="shared" si="141"/>
        <v>0.2</v>
      </c>
      <c r="T1121" s="29">
        <f t="shared" si="142"/>
        <v>0.90700000000000003</v>
      </c>
      <c r="U1121" s="29" t="str">
        <f t="shared" si="143"/>
        <v>Low</v>
      </c>
    </row>
    <row r="1122" spans="1:21" ht="15" customHeight="1" x14ac:dyDescent="0.25">
      <c r="A1122" s="29">
        <f>Dataset!A1122</f>
        <v>1118</v>
      </c>
      <c r="B1122" s="29">
        <f>IF(Dataset!B1122&lt;25,0.3,IF(Dataset!B1122&lt;75,0.5,IF(Dataset!B1122&lt;120,0.65,0.8)))</f>
        <v>0.65</v>
      </c>
      <c r="C1122" s="29">
        <f>IF(Dataset!B1122&lt;25,1,IF(Dataset!B1122&lt;75,2,IF(Dataset!B1122&lt;120,3,4)))</f>
        <v>3</v>
      </c>
      <c r="D1122" s="29">
        <f t="shared" si="136"/>
        <v>1.9500000000000002</v>
      </c>
      <c r="E1122" s="29">
        <f>IF(Dataset!C1122&lt;=1,0.3,IF(Dataset!C1122=2,0.4,IF(Dataset!C1122=3,0.5,IF(Dataset!C1122=4,0.65,0.8))))</f>
        <v>0.65</v>
      </c>
      <c r="F1122" s="29">
        <f>IF(Dataset!C1122&lt;=2,1,IF(Dataset!C1122=3,2,IF(Dataset!C1122=4,3,4)))</f>
        <v>3</v>
      </c>
      <c r="G1122" s="29">
        <f t="shared" si="137"/>
        <v>1.9500000000000002</v>
      </c>
      <c r="H1122" s="29">
        <f>IF(Dataset!G1122&lt;=3,0.25,IF(Dataset!G1122&lt;=6,0.45,IF(Dataset!G1122&lt;=9,0.65,0.85)))</f>
        <v>0.45</v>
      </c>
      <c r="I1122" s="29">
        <f>IF(Dataset!G1122&lt;=3,1,IF(Dataset!G1122&lt;=6,2,IF(Dataset!G1122&lt;=9,3,4)))</f>
        <v>2</v>
      </c>
      <c r="J1122" s="29">
        <f t="shared" si="138"/>
        <v>0.9</v>
      </c>
      <c r="K1122" s="29">
        <f>IF(Dataset!H1122&lt;1,0.2,IF(Dataset!H1122&lt;1.3,0.45,IF(Dataset!H1122&lt;1.8,0.7,0.9)))</f>
        <v>0.45</v>
      </c>
      <c r="L1122" s="29">
        <f>IF(Dataset!H1122&lt;1,1,IF(Dataset!H1122&lt;1.3,2,IF(Dataset!H1122&lt;1.8,3,4)))</f>
        <v>2</v>
      </c>
      <c r="M1122" s="29">
        <f t="shared" si="139"/>
        <v>0.9</v>
      </c>
      <c r="N1122" s="29">
        <f>IF(Dataset!F1122=1,0.75,IF(Dataset!F1122=2,0.45,0.2))</f>
        <v>0.2</v>
      </c>
      <c r="O1122" s="29">
        <f>IF(Dataset!F1122=1,3,IF(Dataset!F1122=2,2,1))</f>
        <v>1</v>
      </c>
      <c r="P1122" s="29">
        <f t="shared" si="140"/>
        <v>0.2</v>
      </c>
      <c r="Q1122" s="29">
        <f>IF(Dataset!K1122&lt;5,0.2,IF(Dataset!K1122&lt;10,0.45,IF(Dataset!K1122&lt;18,0.7,0.9)))</f>
        <v>0.7</v>
      </c>
      <c r="R1122" s="29">
        <f>IF(Dataset!K1122&lt;5,1,IF(Dataset!K1122&lt;10,2,IF(Dataset!K1122&lt;18,3,4)))</f>
        <v>3</v>
      </c>
      <c r="S1122" s="29">
        <f t="shared" si="141"/>
        <v>2.0999999999999996</v>
      </c>
      <c r="T1122" s="29">
        <f t="shared" si="142"/>
        <v>1.3340000000000003</v>
      </c>
      <c r="U1122" s="29" t="str">
        <f t="shared" si="143"/>
        <v>Low</v>
      </c>
    </row>
    <row r="1123" spans="1:21" ht="15" customHeight="1" x14ac:dyDescent="0.25">
      <c r="A1123" s="29">
        <f>Dataset!A1123</f>
        <v>1119</v>
      </c>
      <c r="B1123" s="29">
        <f>IF(Dataset!B1123&lt;25,0.3,IF(Dataset!B1123&lt;75,0.5,IF(Dataset!B1123&lt;120,0.65,0.8)))</f>
        <v>0.65</v>
      </c>
      <c r="C1123" s="29">
        <f>IF(Dataset!B1123&lt;25,1,IF(Dataset!B1123&lt;75,2,IF(Dataset!B1123&lt;120,3,4)))</f>
        <v>3</v>
      </c>
      <c r="D1123" s="29">
        <f t="shared" si="136"/>
        <v>1.9500000000000002</v>
      </c>
      <c r="E1123" s="29">
        <f>IF(Dataset!C1123&lt;=1,0.3,IF(Dataset!C1123=2,0.4,IF(Dataset!C1123=3,0.5,IF(Dataset!C1123=4,0.65,0.8))))</f>
        <v>0.65</v>
      </c>
      <c r="F1123" s="29">
        <f>IF(Dataset!C1123&lt;=2,1,IF(Dataset!C1123=3,2,IF(Dataset!C1123=4,3,4)))</f>
        <v>3</v>
      </c>
      <c r="G1123" s="29">
        <f t="shared" si="137"/>
        <v>1.9500000000000002</v>
      </c>
      <c r="H1123" s="29">
        <f>IF(Dataset!G1123&lt;=3,0.25,IF(Dataset!G1123&lt;=6,0.45,IF(Dataset!G1123&lt;=9,0.65,0.85)))</f>
        <v>0.45</v>
      </c>
      <c r="I1123" s="29">
        <f>IF(Dataset!G1123&lt;=3,1,IF(Dataset!G1123&lt;=6,2,IF(Dataset!G1123&lt;=9,3,4)))</f>
        <v>2</v>
      </c>
      <c r="J1123" s="29">
        <f t="shared" si="138"/>
        <v>0.9</v>
      </c>
      <c r="K1123" s="29">
        <f>IF(Dataset!H1123&lt;1,0.2,IF(Dataset!H1123&lt;1.3,0.45,IF(Dataset!H1123&lt;1.8,0.7,0.9)))</f>
        <v>0.9</v>
      </c>
      <c r="L1123" s="29">
        <f>IF(Dataset!H1123&lt;1,1,IF(Dataset!H1123&lt;1.3,2,IF(Dataset!H1123&lt;1.8,3,4)))</f>
        <v>4</v>
      </c>
      <c r="M1123" s="29">
        <f t="shared" si="139"/>
        <v>3.6</v>
      </c>
      <c r="N1123" s="29">
        <f>IF(Dataset!F1123=1,0.75,IF(Dataset!F1123=2,0.45,0.2))</f>
        <v>0.45</v>
      </c>
      <c r="O1123" s="29">
        <f>IF(Dataset!F1123=1,3,IF(Dataset!F1123=2,2,1))</f>
        <v>2</v>
      </c>
      <c r="P1123" s="29">
        <f t="shared" si="140"/>
        <v>0.9</v>
      </c>
      <c r="Q1123" s="29">
        <f>IF(Dataset!K1123&lt;5,0.2,IF(Dataset!K1123&lt;10,0.45,IF(Dataset!K1123&lt;18,0.7,0.9)))</f>
        <v>0.45</v>
      </c>
      <c r="R1123" s="29">
        <f>IF(Dataset!K1123&lt;5,1,IF(Dataset!K1123&lt;10,2,IF(Dataset!K1123&lt;18,3,4)))</f>
        <v>2</v>
      </c>
      <c r="S1123" s="29">
        <f t="shared" si="141"/>
        <v>0.9</v>
      </c>
      <c r="T1123" s="29">
        <f t="shared" si="142"/>
        <v>1.8840000000000003</v>
      </c>
      <c r="U1123" s="29" t="str">
        <f t="shared" si="143"/>
        <v>High</v>
      </c>
    </row>
    <row r="1124" spans="1:21" ht="15" customHeight="1" x14ac:dyDescent="0.25">
      <c r="A1124" s="29">
        <f>Dataset!A1124</f>
        <v>1120</v>
      </c>
      <c r="B1124" s="29">
        <f>IF(Dataset!B1124&lt;25,0.3,IF(Dataset!B1124&lt;75,0.5,IF(Dataset!B1124&lt;120,0.65,0.8)))</f>
        <v>0.65</v>
      </c>
      <c r="C1124" s="29">
        <f>IF(Dataset!B1124&lt;25,1,IF(Dataset!B1124&lt;75,2,IF(Dataset!B1124&lt;120,3,4)))</f>
        <v>3</v>
      </c>
      <c r="D1124" s="29">
        <f t="shared" si="136"/>
        <v>1.9500000000000002</v>
      </c>
      <c r="E1124" s="29">
        <f>IF(Dataset!C1124&lt;=1,0.3,IF(Dataset!C1124=2,0.4,IF(Dataset!C1124=3,0.5,IF(Dataset!C1124=4,0.65,0.8))))</f>
        <v>0.3</v>
      </c>
      <c r="F1124" s="29">
        <f>IF(Dataset!C1124&lt;=2,1,IF(Dataset!C1124=3,2,IF(Dataset!C1124=4,3,4)))</f>
        <v>1</v>
      </c>
      <c r="G1124" s="29">
        <f t="shared" si="137"/>
        <v>0.3</v>
      </c>
      <c r="H1124" s="29">
        <f>IF(Dataset!G1124&lt;=3,0.25,IF(Dataset!G1124&lt;=6,0.45,IF(Dataset!G1124&lt;=9,0.65,0.85)))</f>
        <v>0.45</v>
      </c>
      <c r="I1124" s="29">
        <f>IF(Dataset!G1124&lt;=3,1,IF(Dataset!G1124&lt;=6,2,IF(Dataset!G1124&lt;=9,3,4)))</f>
        <v>2</v>
      </c>
      <c r="J1124" s="29">
        <f t="shared" si="138"/>
        <v>0.9</v>
      </c>
      <c r="K1124" s="29">
        <f>IF(Dataset!H1124&lt;1,0.2,IF(Dataset!H1124&lt;1.3,0.45,IF(Dataset!H1124&lt;1.8,0.7,0.9)))</f>
        <v>0.7</v>
      </c>
      <c r="L1124" s="29">
        <f>IF(Dataset!H1124&lt;1,1,IF(Dataset!H1124&lt;1.3,2,IF(Dataset!H1124&lt;1.8,3,4)))</f>
        <v>3</v>
      </c>
      <c r="M1124" s="29">
        <f t="shared" si="139"/>
        <v>2.0999999999999996</v>
      </c>
      <c r="N1124" s="29">
        <f>IF(Dataset!F1124=1,0.75,IF(Dataset!F1124=2,0.45,0.2))</f>
        <v>0.2</v>
      </c>
      <c r="O1124" s="29">
        <f>IF(Dataset!F1124=1,3,IF(Dataset!F1124=2,2,1))</f>
        <v>1</v>
      </c>
      <c r="P1124" s="29">
        <f t="shared" si="140"/>
        <v>0.2</v>
      </c>
      <c r="Q1124" s="29">
        <f>IF(Dataset!K1124&lt;5,0.2,IF(Dataset!K1124&lt;10,0.45,IF(Dataset!K1124&lt;18,0.7,0.9)))</f>
        <v>0.2</v>
      </c>
      <c r="R1124" s="29">
        <f>IF(Dataset!K1124&lt;5,1,IF(Dataset!K1124&lt;10,2,IF(Dataset!K1124&lt;18,3,4)))</f>
        <v>1</v>
      </c>
      <c r="S1124" s="29">
        <f t="shared" si="141"/>
        <v>0.2</v>
      </c>
      <c r="T1124" s="29">
        <f t="shared" si="142"/>
        <v>1.125</v>
      </c>
      <c r="U1124" s="29" t="str">
        <f t="shared" si="143"/>
        <v>Low</v>
      </c>
    </row>
    <row r="1125" spans="1:21" ht="15" customHeight="1" x14ac:dyDescent="0.25">
      <c r="A1125" s="29">
        <f>Dataset!A1125</f>
        <v>1121</v>
      </c>
      <c r="B1125" s="29">
        <f>IF(Dataset!B1125&lt;25,0.3,IF(Dataset!B1125&lt;75,0.5,IF(Dataset!B1125&lt;120,0.65,0.8)))</f>
        <v>0.5</v>
      </c>
      <c r="C1125" s="29">
        <f>IF(Dataset!B1125&lt;25,1,IF(Dataset!B1125&lt;75,2,IF(Dataset!B1125&lt;120,3,4)))</f>
        <v>2</v>
      </c>
      <c r="D1125" s="29">
        <f t="shared" si="136"/>
        <v>1</v>
      </c>
      <c r="E1125" s="29">
        <f>IF(Dataset!C1125&lt;=1,0.3,IF(Dataset!C1125=2,0.4,IF(Dataset!C1125=3,0.5,IF(Dataset!C1125=4,0.65,0.8))))</f>
        <v>0.4</v>
      </c>
      <c r="F1125" s="29">
        <f>IF(Dataset!C1125&lt;=2,1,IF(Dataset!C1125=3,2,IF(Dataset!C1125=4,3,4)))</f>
        <v>1</v>
      </c>
      <c r="G1125" s="29">
        <f t="shared" si="137"/>
        <v>0.4</v>
      </c>
      <c r="H1125" s="29">
        <f>IF(Dataset!G1125&lt;=3,0.25,IF(Dataset!G1125&lt;=6,0.45,IF(Dataset!G1125&lt;=9,0.65,0.85)))</f>
        <v>0.65</v>
      </c>
      <c r="I1125" s="29">
        <f>IF(Dataset!G1125&lt;=3,1,IF(Dataset!G1125&lt;=6,2,IF(Dataset!G1125&lt;=9,3,4)))</f>
        <v>3</v>
      </c>
      <c r="J1125" s="29">
        <f t="shared" si="138"/>
        <v>1.9500000000000002</v>
      </c>
      <c r="K1125" s="29">
        <f>IF(Dataset!H1125&lt;1,0.2,IF(Dataset!H1125&lt;1.3,0.45,IF(Dataset!H1125&lt;1.8,0.7,0.9)))</f>
        <v>0.7</v>
      </c>
      <c r="L1125" s="29">
        <f>IF(Dataset!H1125&lt;1,1,IF(Dataset!H1125&lt;1.3,2,IF(Dataset!H1125&lt;1.8,3,4)))</f>
        <v>3</v>
      </c>
      <c r="M1125" s="29">
        <f t="shared" si="139"/>
        <v>2.0999999999999996</v>
      </c>
      <c r="N1125" s="29">
        <f>IF(Dataset!F1125=1,0.75,IF(Dataset!F1125=2,0.45,0.2))</f>
        <v>0.2</v>
      </c>
      <c r="O1125" s="29">
        <f>IF(Dataset!F1125=1,3,IF(Dataset!F1125=2,2,1))</f>
        <v>1</v>
      </c>
      <c r="P1125" s="29">
        <f t="shared" si="140"/>
        <v>0.2</v>
      </c>
      <c r="Q1125" s="29">
        <f>IF(Dataset!K1125&lt;5,0.2,IF(Dataset!K1125&lt;10,0.45,IF(Dataset!K1125&lt;18,0.7,0.9)))</f>
        <v>0.45</v>
      </c>
      <c r="R1125" s="29">
        <f>IF(Dataset!K1125&lt;5,1,IF(Dataset!K1125&lt;10,2,IF(Dataset!K1125&lt;18,3,4)))</f>
        <v>2</v>
      </c>
      <c r="S1125" s="29">
        <f t="shared" si="141"/>
        <v>0.9</v>
      </c>
      <c r="T1125" s="29">
        <f t="shared" si="142"/>
        <v>1.276</v>
      </c>
      <c r="U1125" s="29" t="str">
        <f t="shared" si="143"/>
        <v>Low</v>
      </c>
    </row>
    <row r="1126" spans="1:21" ht="15" customHeight="1" x14ac:dyDescent="0.25">
      <c r="A1126" s="29">
        <f>Dataset!A1126</f>
        <v>1122</v>
      </c>
      <c r="B1126" s="29">
        <f>IF(Dataset!B1126&lt;25,0.3,IF(Dataset!B1126&lt;75,0.5,IF(Dataset!B1126&lt;120,0.65,0.8)))</f>
        <v>0.3</v>
      </c>
      <c r="C1126" s="29">
        <f>IF(Dataset!B1126&lt;25,1,IF(Dataset!B1126&lt;75,2,IF(Dataset!B1126&lt;120,3,4)))</f>
        <v>1</v>
      </c>
      <c r="D1126" s="29">
        <f t="shared" si="136"/>
        <v>0.3</v>
      </c>
      <c r="E1126" s="29">
        <f>IF(Dataset!C1126&lt;=1,0.3,IF(Dataset!C1126=2,0.4,IF(Dataset!C1126=3,0.5,IF(Dataset!C1126=4,0.65,0.8))))</f>
        <v>0.5</v>
      </c>
      <c r="F1126" s="29">
        <f>IF(Dataset!C1126&lt;=2,1,IF(Dataset!C1126=3,2,IF(Dataset!C1126=4,3,4)))</f>
        <v>2</v>
      </c>
      <c r="G1126" s="29">
        <f t="shared" si="137"/>
        <v>1</v>
      </c>
      <c r="H1126" s="29">
        <f>IF(Dataset!G1126&lt;=3,0.25,IF(Dataset!G1126&lt;=6,0.45,IF(Dataset!G1126&lt;=9,0.65,0.85)))</f>
        <v>0.85</v>
      </c>
      <c r="I1126" s="29">
        <f>IF(Dataset!G1126&lt;=3,1,IF(Dataset!G1126&lt;=6,2,IF(Dataset!G1126&lt;=9,3,4)))</f>
        <v>4</v>
      </c>
      <c r="J1126" s="29">
        <f t="shared" si="138"/>
        <v>3.4</v>
      </c>
      <c r="K1126" s="29">
        <f>IF(Dataset!H1126&lt;1,0.2,IF(Dataset!H1126&lt;1.3,0.45,IF(Dataset!H1126&lt;1.8,0.7,0.9)))</f>
        <v>0.9</v>
      </c>
      <c r="L1126" s="29">
        <f>IF(Dataset!H1126&lt;1,1,IF(Dataset!H1126&lt;1.3,2,IF(Dataset!H1126&lt;1.8,3,4)))</f>
        <v>4</v>
      </c>
      <c r="M1126" s="29">
        <f t="shared" si="139"/>
        <v>3.6</v>
      </c>
      <c r="N1126" s="29">
        <f>IF(Dataset!F1126=1,0.75,IF(Dataset!F1126=2,0.45,0.2))</f>
        <v>0.75</v>
      </c>
      <c r="O1126" s="29">
        <f>IF(Dataset!F1126=1,3,IF(Dataset!F1126=2,2,1))</f>
        <v>3</v>
      </c>
      <c r="P1126" s="29">
        <f t="shared" si="140"/>
        <v>2.25</v>
      </c>
      <c r="Q1126" s="29">
        <f>IF(Dataset!K1126&lt;5,0.2,IF(Dataset!K1126&lt;10,0.45,IF(Dataset!K1126&lt;18,0.7,0.9)))</f>
        <v>0.45</v>
      </c>
      <c r="R1126" s="29">
        <f>IF(Dataset!K1126&lt;5,1,IF(Dataset!K1126&lt;10,2,IF(Dataset!K1126&lt;18,3,4)))</f>
        <v>2</v>
      </c>
      <c r="S1126" s="29">
        <f t="shared" si="141"/>
        <v>0.9</v>
      </c>
      <c r="T1126" s="29">
        <f t="shared" si="142"/>
        <v>2.089</v>
      </c>
      <c r="U1126" s="29" t="str">
        <f t="shared" si="143"/>
        <v>High</v>
      </c>
    </row>
    <row r="1127" spans="1:21" ht="15" customHeight="1" x14ac:dyDescent="0.25">
      <c r="A1127" s="29">
        <f>Dataset!A1127</f>
        <v>1123</v>
      </c>
      <c r="B1127" s="29">
        <f>IF(Dataset!B1127&lt;25,0.3,IF(Dataset!B1127&lt;75,0.5,IF(Dataset!B1127&lt;120,0.65,0.8)))</f>
        <v>0.5</v>
      </c>
      <c r="C1127" s="29">
        <f>IF(Dataset!B1127&lt;25,1,IF(Dataset!B1127&lt;75,2,IF(Dataset!B1127&lt;120,3,4)))</f>
        <v>2</v>
      </c>
      <c r="D1127" s="29">
        <f t="shared" si="136"/>
        <v>1</v>
      </c>
      <c r="E1127" s="29">
        <f>IF(Dataset!C1127&lt;=1,0.3,IF(Dataset!C1127=2,0.4,IF(Dataset!C1127=3,0.5,IF(Dataset!C1127=4,0.65,0.8))))</f>
        <v>0.8</v>
      </c>
      <c r="F1127" s="29">
        <f>IF(Dataset!C1127&lt;=2,1,IF(Dataset!C1127=3,2,IF(Dataset!C1127=4,3,4)))</f>
        <v>4</v>
      </c>
      <c r="G1127" s="29">
        <f t="shared" si="137"/>
        <v>3.2</v>
      </c>
      <c r="H1127" s="29">
        <f>IF(Dataset!G1127&lt;=3,0.25,IF(Dataset!G1127&lt;=6,0.45,IF(Dataset!G1127&lt;=9,0.65,0.85)))</f>
        <v>0.45</v>
      </c>
      <c r="I1127" s="29">
        <f>IF(Dataset!G1127&lt;=3,1,IF(Dataset!G1127&lt;=6,2,IF(Dataset!G1127&lt;=9,3,4)))</f>
        <v>2</v>
      </c>
      <c r="J1127" s="29">
        <f t="shared" si="138"/>
        <v>0.9</v>
      </c>
      <c r="K1127" s="29">
        <f>IF(Dataset!H1127&lt;1,0.2,IF(Dataset!H1127&lt;1.3,0.45,IF(Dataset!H1127&lt;1.8,0.7,0.9)))</f>
        <v>0.7</v>
      </c>
      <c r="L1127" s="29">
        <f>IF(Dataset!H1127&lt;1,1,IF(Dataset!H1127&lt;1.3,2,IF(Dataset!H1127&lt;1.8,3,4)))</f>
        <v>3</v>
      </c>
      <c r="M1127" s="29">
        <f t="shared" si="139"/>
        <v>2.0999999999999996</v>
      </c>
      <c r="N1127" s="29">
        <f>IF(Dataset!F1127=1,0.75,IF(Dataset!F1127=2,0.45,0.2))</f>
        <v>0.45</v>
      </c>
      <c r="O1127" s="29">
        <f>IF(Dataset!F1127=1,3,IF(Dataset!F1127=2,2,1))</f>
        <v>2</v>
      </c>
      <c r="P1127" s="29">
        <f t="shared" si="140"/>
        <v>0.9</v>
      </c>
      <c r="Q1127" s="29">
        <f>IF(Dataset!K1127&lt;5,0.2,IF(Dataset!K1127&lt;10,0.45,IF(Dataset!K1127&lt;18,0.7,0.9)))</f>
        <v>0.7</v>
      </c>
      <c r="R1127" s="29">
        <f>IF(Dataset!K1127&lt;5,1,IF(Dataset!K1127&lt;10,2,IF(Dataset!K1127&lt;18,3,4)))</f>
        <v>3</v>
      </c>
      <c r="S1127" s="29">
        <f t="shared" si="141"/>
        <v>2.0999999999999996</v>
      </c>
      <c r="T1127" s="29">
        <f t="shared" si="142"/>
        <v>1.6960000000000002</v>
      </c>
      <c r="U1127" s="29" t="str">
        <f t="shared" si="143"/>
        <v>Medium</v>
      </c>
    </row>
    <row r="1128" spans="1:21" ht="15" customHeight="1" x14ac:dyDescent="0.25">
      <c r="A1128" s="29">
        <f>Dataset!A1128</f>
        <v>1124</v>
      </c>
      <c r="B1128" s="29">
        <f>IF(Dataset!B1128&lt;25,0.3,IF(Dataset!B1128&lt;75,0.5,IF(Dataset!B1128&lt;120,0.65,0.8)))</f>
        <v>0.8</v>
      </c>
      <c r="C1128" s="29">
        <f>IF(Dataset!B1128&lt;25,1,IF(Dataset!B1128&lt;75,2,IF(Dataset!B1128&lt;120,3,4)))</f>
        <v>4</v>
      </c>
      <c r="D1128" s="29">
        <f t="shared" si="136"/>
        <v>3.2</v>
      </c>
      <c r="E1128" s="29">
        <f>IF(Dataset!C1128&lt;=1,0.3,IF(Dataset!C1128=2,0.4,IF(Dataset!C1128=3,0.5,IF(Dataset!C1128=4,0.65,0.8))))</f>
        <v>0.5</v>
      </c>
      <c r="F1128" s="29">
        <f>IF(Dataset!C1128&lt;=2,1,IF(Dataset!C1128=3,2,IF(Dataset!C1128=4,3,4)))</f>
        <v>2</v>
      </c>
      <c r="G1128" s="29">
        <f t="shared" si="137"/>
        <v>1</v>
      </c>
      <c r="H1128" s="29">
        <f>IF(Dataset!G1128&lt;=3,0.25,IF(Dataset!G1128&lt;=6,0.45,IF(Dataset!G1128&lt;=9,0.65,0.85)))</f>
        <v>0.25</v>
      </c>
      <c r="I1128" s="29">
        <f>IF(Dataset!G1128&lt;=3,1,IF(Dataset!G1128&lt;=6,2,IF(Dataset!G1128&lt;=9,3,4)))</f>
        <v>1</v>
      </c>
      <c r="J1128" s="29">
        <f t="shared" si="138"/>
        <v>0.25</v>
      </c>
      <c r="K1128" s="29">
        <f>IF(Dataset!H1128&lt;1,0.2,IF(Dataset!H1128&lt;1.3,0.45,IF(Dataset!H1128&lt;1.8,0.7,0.9)))</f>
        <v>0.45</v>
      </c>
      <c r="L1128" s="29">
        <f>IF(Dataset!H1128&lt;1,1,IF(Dataset!H1128&lt;1.3,2,IF(Dataset!H1128&lt;1.8,3,4)))</f>
        <v>2</v>
      </c>
      <c r="M1128" s="29">
        <f t="shared" si="139"/>
        <v>0.9</v>
      </c>
      <c r="N1128" s="29">
        <f>IF(Dataset!F1128=1,0.75,IF(Dataset!F1128=2,0.45,0.2))</f>
        <v>0.75</v>
      </c>
      <c r="O1128" s="29">
        <f>IF(Dataset!F1128=1,3,IF(Dataset!F1128=2,2,1))</f>
        <v>3</v>
      </c>
      <c r="P1128" s="29">
        <f t="shared" si="140"/>
        <v>2.25</v>
      </c>
      <c r="Q1128" s="29">
        <f>IF(Dataset!K1128&lt;5,0.2,IF(Dataset!K1128&lt;10,0.45,IF(Dataset!K1128&lt;18,0.7,0.9)))</f>
        <v>0.2</v>
      </c>
      <c r="R1128" s="29">
        <f>IF(Dataset!K1128&lt;5,1,IF(Dataset!K1128&lt;10,2,IF(Dataset!K1128&lt;18,3,4)))</f>
        <v>1</v>
      </c>
      <c r="S1128" s="29">
        <f t="shared" si="141"/>
        <v>0.2</v>
      </c>
      <c r="T1128" s="29">
        <f t="shared" si="142"/>
        <v>1.2350000000000001</v>
      </c>
      <c r="U1128" s="29" t="str">
        <f t="shared" si="143"/>
        <v>Low</v>
      </c>
    </row>
    <row r="1129" spans="1:21" ht="15" customHeight="1" x14ac:dyDescent="0.25">
      <c r="A1129" s="29">
        <f>Dataset!A1129</f>
        <v>1125</v>
      </c>
      <c r="B1129" s="29">
        <f>IF(Dataset!B1129&lt;25,0.3,IF(Dataset!B1129&lt;75,0.5,IF(Dataset!B1129&lt;120,0.65,0.8)))</f>
        <v>0.8</v>
      </c>
      <c r="C1129" s="29">
        <f>IF(Dataset!B1129&lt;25,1,IF(Dataset!B1129&lt;75,2,IF(Dataset!B1129&lt;120,3,4)))</f>
        <v>4</v>
      </c>
      <c r="D1129" s="29">
        <f t="shared" si="136"/>
        <v>3.2</v>
      </c>
      <c r="E1129" s="29">
        <f>IF(Dataset!C1129&lt;=1,0.3,IF(Dataset!C1129=2,0.4,IF(Dataset!C1129=3,0.5,IF(Dataset!C1129=4,0.65,0.8))))</f>
        <v>0.65</v>
      </c>
      <c r="F1129" s="29">
        <f>IF(Dataset!C1129&lt;=2,1,IF(Dataset!C1129=3,2,IF(Dataset!C1129=4,3,4)))</f>
        <v>3</v>
      </c>
      <c r="G1129" s="29">
        <f t="shared" si="137"/>
        <v>1.9500000000000002</v>
      </c>
      <c r="H1129" s="29">
        <f>IF(Dataset!G1129&lt;=3,0.25,IF(Dataset!G1129&lt;=6,0.45,IF(Dataset!G1129&lt;=9,0.65,0.85)))</f>
        <v>0.25</v>
      </c>
      <c r="I1129" s="29">
        <f>IF(Dataset!G1129&lt;=3,1,IF(Dataset!G1129&lt;=6,2,IF(Dataset!G1129&lt;=9,3,4)))</f>
        <v>1</v>
      </c>
      <c r="J1129" s="29">
        <f t="shared" si="138"/>
        <v>0.25</v>
      </c>
      <c r="K1129" s="29">
        <f>IF(Dataset!H1129&lt;1,0.2,IF(Dataset!H1129&lt;1.3,0.45,IF(Dataset!H1129&lt;1.8,0.7,0.9)))</f>
        <v>0.9</v>
      </c>
      <c r="L1129" s="29">
        <f>IF(Dataset!H1129&lt;1,1,IF(Dataset!H1129&lt;1.3,2,IF(Dataset!H1129&lt;1.8,3,4)))</f>
        <v>4</v>
      </c>
      <c r="M1129" s="29">
        <f t="shared" si="139"/>
        <v>3.6</v>
      </c>
      <c r="N1129" s="29">
        <f>IF(Dataset!F1129=1,0.75,IF(Dataset!F1129=2,0.45,0.2))</f>
        <v>0.2</v>
      </c>
      <c r="O1129" s="29">
        <f>IF(Dataset!F1129=1,3,IF(Dataset!F1129=2,2,1))</f>
        <v>1</v>
      </c>
      <c r="P1129" s="29">
        <f t="shared" si="140"/>
        <v>0.2</v>
      </c>
      <c r="Q1129" s="29">
        <f>IF(Dataset!K1129&lt;5,0.2,IF(Dataset!K1129&lt;10,0.45,IF(Dataset!K1129&lt;18,0.7,0.9)))</f>
        <v>0.7</v>
      </c>
      <c r="R1129" s="29">
        <f>IF(Dataset!K1129&lt;5,1,IF(Dataset!K1129&lt;10,2,IF(Dataset!K1129&lt;18,3,4)))</f>
        <v>3</v>
      </c>
      <c r="S1129" s="29">
        <f t="shared" si="141"/>
        <v>2.0999999999999996</v>
      </c>
      <c r="T1129" s="29">
        <f t="shared" si="142"/>
        <v>2.077</v>
      </c>
      <c r="U1129" s="29" t="str">
        <f t="shared" si="143"/>
        <v>High</v>
      </c>
    </row>
    <row r="1130" spans="1:21" ht="15" customHeight="1" x14ac:dyDescent="0.25">
      <c r="A1130" s="29">
        <f>Dataset!A1130</f>
        <v>1126</v>
      </c>
      <c r="B1130" s="29">
        <f>IF(Dataset!B1130&lt;25,0.3,IF(Dataset!B1130&lt;75,0.5,IF(Dataset!B1130&lt;120,0.65,0.8)))</f>
        <v>0.65</v>
      </c>
      <c r="C1130" s="29">
        <f>IF(Dataset!B1130&lt;25,1,IF(Dataset!B1130&lt;75,2,IF(Dataset!B1130&lt;120,3,4)))</f>
        <v>3</v>
      </c>
      <c r="D1130" s="29">
        <f t="shared" si="136"/>
        <v>1.9500000000000002</v>
      </c>
      <c r="E1130" s="29">
        <f>IF(Dataset!C1130&lt;=1,0.3,IF(Dataset!C1130=2,0.4,IF(Dataset!C1130=3,0.5,IF(Dataset!C1130=4,0.65,0.8))))</f>
        <v>0.65</v>
      </c>
      <c r="F1130" s="29">
        <f>IF(Dataset!C1130&lt;=2,1,IF(Dataset!C1130=3,2,IF(Dataset!C1130=4,3,4)))</f>
        <v>3</v>
      </c>
      <c r="G1130" s="29">
        <f t="shared" si="137"/>
        <v>1.9500000000000002</v>
      </c>
      <c r="H1130" s="29">
        <f>IF(Dataset!G1130&lt;=3,0.25,IF(Dataset!G1130&lt;=6,0.45,IF(Dataset!G1130&lt;=9,0.65,0.85)))</f>
        <v>0.45</v>
      </c>
      <c r="I1130" s="29">
        <f>IF(Dataset!G1130&lt;=3,1,IF(Dataset!G1130&lt;=6,2,IF(Dataset!G1130&lt;=9,3,4)))</f>
        <v>2</v>
      </c>
      <c r="J1130" s="29">
        <f t="shared" si="138"/>
        <v>0.9</v>
      </c>
      <c r="K1130" s="29">
        <f>IF(Dataset!H1130&lt;1,0.2,IF(Dataset!H1130&lt;1.3,0.45,IF(Dataset!H1130&lt;1.8,0.7,0.9)))</f>
        <v>0.45</v>
      </c>
      <c r="L1130" s="29">
        <f>IF(Dataset!H1130&lt;1,1,IF(Dataset!H1130&lt;1.3,2,IF(Dataset!H1130&lt;1.8,3,4)))</f>
        <v>2</v>
      </c>
      <c r="M1130" s="29">
        <f t="shared" si="139"/>
        <v>0.9</v>
      </c>
      <c r="N1130" s="29">
        <f>IF(Dataset!F1130=1,0.75,IF(Dataset!F1130=2,0.45,0.2))</f>
        <v>0.75</v>
      </c>
      <c r="O1130" s="29">
        <f>IF(Dataset!F1130=1,3,IF(Dataset!F1130=2,2,1))</f>
        <v>3</v>
      </c>
      <c r="P1130" s="29">
        <f t="shared" si="140"/>
        <v>2.25</v>
      </c>
      <c r="Q1130" s="29">
        <f>IF(Dataset!K1130&lt;5,0.2,IF(Dataset!K1130&lt;10,0.45,IF(Dataset!K1130&lt;18,0.7,0.9)))</f>
        <v>0.45</v>
      </c>
      <c r="R1130" s="29">
        <f>IF(Dataset!K1130&lt;5,1,IF(Dataset!K1130&lt;10,2,IF(Dataset!K1130&lt;18,3,4)))</f>
        <v>2</v>
      </c>
      <c r="S1130" s="29">
        <f t="shared" si="141"/>
        <v>0.9</v>
      </c>
      <c r="T1130" s="29">
        <f t="shared" si="142"/>
        <v>1.3710000000000004</v>
      </c>
      <c r="U1130" s="29" t="str">
        <f t="shared" si="143"/>
        <v>Medium</v>
      </c>
    </row>
    <row r="1131" spans="1:21" ht="15" customHeight="1" x14ac:dyDescent="0.25">
      <c r="A1131" s="29">
        <f>Dataset!A1131</f>
        <v>1127</v>
      </c>
      <c r="B1131" s="29">
        <f>IF(Dataset!B1131&lt;25,0.3,IF(Dataset!B1131&lt;75,0.5,IF(Dataset!B1131&lt;120,0.65,0.8)))</f>
        <v>0.65</v>
      </c>
      <c r="C1131" s="29">
        <f>IF(Dataset!B1131&lt;25,1,IF(Dataset!B1131&lt;75,2,IF(Dataset!B1131&lt;120,3,4)))</f>
        <v>3</v>
      </c>
      <c r="D1131" s="29">
        <f t="shared" si="136"/>
        <v>1.9500000000000002</v>
      </c>
      <c r="E1131" s="29">
        <f>IF(Dataset!C1131&lt;=1,0.3,IF(Dataset!C1131=2,0.4,IF(Dataset!C1131=3,0.5,IF(Dataset!C1131=4,0.65,0.8))))</f>
        <v>0.65</v>
      </c>
      <c r="F1131" s="29">
        <f>IF(Dataset!C1131&lt;=2,1,IF(Dataset!C1131=3,2,IF(Dataset!C1131=4,3,4)))</f>
        <v>3</v>
      </c>
      <c r="G1131" s="29">
        <f t="shared" si="137"/>
        <v>1.9500000000000002</v>
      </c>
      <c r="H1131" s="29">
        <f>IF(Dataset!G1131&lt;=3,0.25,IF(Dataset!G1131&lt;=6,0.45,IF(Dataset!G1131&lt;=9,0.65,0.85)))</f>
        <v>0.65</v>
      </c>
      <c r="I1131" s="29">
        <f>IF(Dataset!G1131&lt;=3,1,IF(Dataset!G1131&lt;=6,2,IF(Dataset!G1131&lt;=9,3,4)))</f>
        <v>3</v>
      </c>
      <c r="J1131" s="29">
        <f t="shared" si="138"/>
        <v>1.9500000000000002</v>
      </c>
      <c r="K1131" s="29">
        <f>IF(Dataset!H1131&lt;1,0.2,IF(Dataset!H1131&lt;1.3,0.45,IF(Dataset!H1131&lt;1.8,0.7,0.9)))</f>
        <v>0.7</v>
      </c>
      <c r="L1131" s="29">
        <f>IF(Dataset!H1131&lt;1,1,IF(Dataset!H1131&lt;1.3,2,IF(Dataset!H1131&lt;1.8,3,4)))</f>
        <v>3</v>
      </c>
      <c r="M1131" s="29">
        <f t="shared" si="139"/>
        <v>2.0999999999999996</v>
      </c>
      <c r="N1131" s="29">
        <f>IF(Dataset!F1131=1,0.75,IF(Dataset!F1131=2,0.45,0.2))</f>
        <v>0.45</v>
      </c>
      <c r="O1131" s="29">
        <f>IF(Dataset!F1131=1,3,IF(Dataset!F1131=2,2,1))</f>
        <v>2</v>
      </c>
      <c r="P1131" s="29">
        <f t="shared" si="140"/>
        <v>0.9</v>
      </c>
      <c r="Q1131" s="29">
        <f>IF(Dataset!K1131&lt;5,0.2,IF(Dataset!K1131&lt;10,0.45,IF(Dataset!K1131&lt;18,0.7,0.9)))</f>
        <v>0.45</v>
      </c>
      <c r="R1131" s="29">
        <f>IF(Dataset!K1131&lt;5,1,IF(Dataset!K1131&lt;10,2,IF(Dataset!K1131&lt;18,3,4)))</f>
        <v>2</v>
      </c>
      <c r="S1131" s="29">
        <f t="shared" si="141"/>
        <v>0.9</v>
      </c>
      <c r="T1131" s="29">
        <f t="shared" si="142"/>
        <v>1.7340000000000004</v>
      </c>
      <c r="U1131" s="29" t="str">
        <f t="shared" si="143"/>
        <v>Medium</v>
      </c>
    </row>
    <row r="1132" spans="1:21" ht="15" customHeight="1" x14ac:dyDescent="0.25">
      <c r="A1132" s="29">
        <f>Dataset!A1132</f>
        <v>1128</v>
      </c>
      <c r="B1132" s="29">
        <f>IF(Dataset!B1132&lt;25,0.3,IF(Dataset!B1132&lt;75,0.5,IF(Dataset!B1132&lt;120,0.65,0.8)))</f>
        <v>0.8</v>
      </c>
      <c r="C1132" s="29">
        <f>IF(Dataset!B1132&lt;25,1,IF(Dataset!B1132&lt;75,2,IF(Dataset!B1132&lt;120,3,4)))</f>
        <v>4</v>
      </c>
      <c r="D1132" s="29">
        <f t="shared" si="136"/>
        <v>3.2</v>
      </c>
      <c r="E1132" s="29">
        <f>IF(Dataset!C1132&lt;=1,0.3,IF(Dataset!C1132=2,0.4,IF(Dataset!C1132=3,0.5,IF(Dataset!C1132=4,0.65,0.8))))</f>
        <v>0.5</v>
      </c>
      <c r="F1132" s="29">
        <f>IF(Dataset!C1132&lt;=2,1,IF(Dataset!C1132=3,2,IF(Dataset!C1132=4,3,4)))</f>
        <v>2</v>
      </c>
      <c r="G1132" s="29">
        <f t="shared" si="137"/>
        <v>1</v>
      </c>
      <c r="H1132" s="29">
        <f>IF(Dataset!G1132&lt;=3,0.25,IF(Dataset!G1132&lt;=6,0.45,IF(Dataset!G1132&lt;=9,0.65,0.85)))</f>
        <v>0.65</v>
      </c>
      <c r="I1132" s="29">
        <f>IF(Dataset!G1132&lt;=3,1,IF(Dataset!G1132&lt;=6,2,IF(Dataset!G1132&lt;=9,3,4)))</f>
        <v>3</v>
      </c>
      <c r="J1132" s="29">
        <f t="shared" si="138"/>
        <v>1.9500000000000002</v>
      </c>
      <c r="K1132" s="29">
        <f>IF(Dataset!H1132&lt;1,0.2,IF(Dataset!H1132&lt;1.3,0.45,IF(Dataset!H1132&lt;1.8,0.7,0.9)))</f>
        <v>0.9</v>
      </c>
      <c r="L1132" s="29">
        <f>IF(Dataset!H1132&lt;1,1,IF(Dataset!H1132&lt;1.3,2,IF(Dataset!H1132&lt;1.8,3,4)))</f>
        <v>4</v>
      </c>
      <c r="M1132" s="29">
        <f t="shared" si="139"/>
        <v>3.6</v>
      </c>
      <c r="N1132" s="29">
        <f>IF(Dataset!F1132=1,0.75,IF(Dataset!F1132=2,0.45,0.2))</f>
        <v>0.2</v>
      </c>
      <c r="O1132" s="29">
        <f>IF(Dataset!F1132=1,3,IF(Dataset!F1132=2,2,1))</f>
        <v>1</v>
      </c>
      <c r="P1132" s="29">
        <f t="shared" si="140"/>
        <v>0.2</v>
      </c>
      <c r="Q1132" s="29">
        <f>IF(Dataset!K1132&lt;5,0.2,IF(Dataset!K1132&lt;10,0.45,IF(Dataset!K1132&lt;18,0.7,0.9)))</f>
        <v>0.45</v>
      </c>
      <c r="R1132" s="29">
        <f>IF(Dataset!K1132&lt;5,1,IF(Dataset!K1132&lt;10,2,IF(Dataset!K1132&lt;18,3,4)))</f>
        <v>2</v>
      </c>
      <c r="S1132" s="29">
        <f t="shared" si="141"/>
        <v>0.9</v>
      </c>
      <c r="T1132" s="29">
        <f t="shared" si="142"/>
        <v>2.1160000000000001</v>
      </c>
      <c r="U1132" s="29" t="str">
        <f t="shared" si="143"/>
        <v>High</v>
      </c>
    </row>
    <row r="1133" spans="1:21" ht="15" customHeight="1" x14ac:dyDescent="0.25">
      <c r="A1133" s="29">
        <f>Dataset!A1133</f>
        <v>1129</v>
      </c>
      <c r="B1133" s="29">
        <f>IF(Dataset!B1133&lt;25,0.3,IF(Dataset!B1133&lt;75,0.5,IF(Dataset!B1133&lt;120,0.65,0.8)))</f>
        <v>0.65</v>
      </c>
      <c r="C1133" s="29">
        <f>IF(Dataset!B1133&lt;25,1,IF(Dataset!B1133&lt;75,2,IF(Dataset!B1133&lt;120,3,4)))</f>
        <v>3</v>
      </c>
      <c r="D1133" s="29">
        <f t="shared" si="136"/>
        <v>1.9500000000000002</v>
      </c>
      <c r="E1133" s="29">
        <f>IF(Dataset!C1133&lt;=1,0.3,IF(Dataset!C1133=2,0.4,IF(Dataset!C1133=3,0.5,IF(Dataset!C1133=4,0.65,0.8))))</f>
        <v>0.5</v>
      </c>
      <c r="F1133" s="29">
        <f>IF(Dataset!C1133&lt;=2,1,IF(Dataset!C1133=3,2,IF(Dataset!C1133=4,3,4)))</f>
        <v>2</v>
      </c>
      <c r="G1133" s="29">
        <f t="shared" si="137"/>
        <v>1</v>
      </c>
      <c r="H1133" s="29">
        <f>IF(Dataset!G1133&lt;=3,0.25,IF(Dataset!G1133&lt;=6,0.45,IF(Dataset!G1133&lt;=9,0.65,0.85)))</f>
        <v>0.45</v>
      </c>
      <c r="I1133" s="29">
        <f>IF(Dataset!G1133&lt;=3,1,IF(Dataset!G1133&lt;=6,2,IF(Dataset!G1133&lt;=9,3,4)))</f>
        <v>2</v>
      </c>
      <c r="J1133" s="29">
        <f t="shared" si="138"/>
        <v>0.9</v>
      </c>
      <c r="K1133" s="29">
        <f>IF(Dataset!H1133&lt;1,0.2,IF(Dataset!H1133&lt;1.3,0.45,IF(Dataset!H1133&lt;1.8,0.7,0.9)))</f>
        <v>0.9</v>
      </c>
      <c r="L1133" s="29">
        <f>IF(Dataset!H1133&lt;1,1,IF(Dataset!H1133&lt;1.3,2,IF(Dataset!H1133&lt;1.8,3,4)))</f>
        <v>4</v>
      </c>
      <c r="M1133" s="29">
        <f t="shared" si="139"/>
        <v>3.6</v>
      </c>
      <c r="N1133" s="29">
        <f>IF(Dataset!F1133=1,0.75,IF(Dataset!F1133=2,0.45,0.2))</f>
        <v>0.75</v>
      </c>
      <c r="O1133" s="29">
        <f>IF(Dataset!F1133=1,3,IF(Dataset!F1133=2,2,1))</f>
        <v>3</v>
      </c>
      <c r="P1133" s="29">
        <f t="shared" si="140"/>
        <v>2.25</v>
      </c>
      <c r="Q1133" s="29">
        <f>IF(Dataset!K1133&lt;5,0.2,IF(Dataset!K1133&lt;10,0.45,IF(Dataset!K1133&lt;18,0.7,0.9)))</f>
        <v>0.45</v>
      </c>
      <c r="R1133" s="29">
        <f>IF(Dataset!K1133&lt;5,1,IF(Dataset!K1133&lt;10,2,IF(Dataset!K1133&lt;18,3,4)))</f>
        <v>2</v>
      </c>
      <c r="S1133" s="29">
        <f t="shared" si="141"/>
        <v>0.9</v>
      </c>
      <c r="T1133" s="29">
        <f t="shared" si="142"/>
        <v>1.8860000000000003</v>
      </c>
      <c r="U1133" s="29" t="str">
        <f t="shared" si="143"/>
        <v>High</v>
      </c>
    </row>
    <row r="1134" spans="1:21" ht="15" customHeight="1" x14ac:dyDescent="0.25">
      <c r="A1134" s="29">
        <f>Dataset!A1134</f>
        <v>1130</v>
      </c>
      <c r="B1134" s="29">
        <f>IF(Dataset!B1134&lt;25,0.3,IF(Dataset!B1134&lt;75,0.5,IF(Dataset!B1134&lt;120,0.65,0.8)))</f>
        <v>0.8</v>
      </c>
      <c r="C1134" s="29">
        <f>IF(Dataset!B1134&lt;25,1,IF(Dataset!B1134&lt;75,2,IF(Dataset!B1134&lt;120,3,4)))</f>
        <v>4</v>
      </c>
      <c r="D1134" s="29">
        <f t="shared" si="136"/>
        <v>3.2</v>
      </c>
      <c r="E1134" s="29">
        <f>IF(Dataset!C1134&lt;=1,0.3,IF(Dataset!C1134=2,0.4,IF(Dataset!C1134=3,0.5,IF(Dataset!C1134=4,0.65,0.8))))</f>
        <v>0.65</v>
      </c>
      <c r="F1134" s="29">
        <f>IF(Dataset!C1134&lt;=2,1,IF(Dataset!C1134=3,2,IF(Dataset!C1134=4,3,4)))</f>
        <v>3</v>
      </c>
      <c r="G1134" s="29">
        <f t="shared" si="137"/>
        <v>1.9500000000000002</v>
      </c>
      <c r="H1134" s="29">
        <f>IF(Dataset!G1134&lt;=3,0.25,IF(Dataset!G1134&lt;=6,0.45,IF(Dataset!G1134&lt;=9,0.65,0.85)))</f>
        <v>0.45</v>
      </c>
      <c r="I1134" s="29">
        <f>IF(Dataset!G1134&lt;=3,1,IF(Dataset!G1134&lt;=6,2,IF(Dataset!G1134&lt;=9,3,4)))</f>
        <v>2</v>
      </c>
      <c r="J1134" s="29">
        <f t="shared" si="138"/>
        <v>0.9</v>
      </c>
      <c r="K1134" s="29">
        <f>IF(Dataset!H1134&lt;1,0.2,IF(Dataset!H1134&lt;1.3,0.45,IF(Dataset!H1134&lt;1.8,0.7,0.9)))</f>
        <v>0.2</v>
      </c>
      <c r="L1134" s="29">
        <f>IF(Dataset!H1134&lt;1,1,IF(Dataset!H1134&lt;1.3,2,IF(Dataset!H1134&lt;1.8,3,4)))</f>
        <v>1</v>
      </c>
      <c r="M1134" s="29">
        <f t="shared" si="139"/>
        <v>0.2</v>
      </c>
      <c r="N1134" s="29">
        <f>IF(Dataset!F1134=1,0.75,IF(Dataset!F1134=2,0.45,0.2))</f>
        <v>0.2</v>
      </c>
      <c r="O1134" s="29">
        <f>IF(Dataset!F1134=1,3,IF(Dataset!F1134=2,2,1))</f>
        <v>1</v>
      </c>
      <c r="P1134" s="29">
        <f t="shared" si="140"/>
        <v>0.2</v>
      </c>
      <c r="Q1134" s="29">
        <f>IF(Dataset!K1134&lt;5,0.2,IF(Dataset!K1134&lt;10,0.45,IF(Dataset!K1134&lt;18,0.7,0.9)))</f>
        <v>0.45</v>
      </c>
      <c r="R1134" s="29">
        <f>IF(Dataset!K1134&lt;5,1,IF(Dataset!K1134&lt;10,2,IF(Dataset!K1134&lt;18,3,4)))</f>
        <v>2</v>
      </c>
      <c r="S1134" s="29">
        <f t="shared" si="141"/>
        <v>0.9</v>
      </c>
      <c r="T1134" s="29">
        <f t="shared" si="142"/>
        <v>1.2230000000000001</v>
      </c>
      <c r="U1134" s="29" t="str">
        <f t="shared" si="143"/>
        <v>Low</v>
      </c>
    </row>
    <row r="1135" spans="1:21" ht="15" customHeight="1" x14ac:dyDescent="0.25">
      <c r="A1135" s="29">
        <f>Dataset!A1135</f>
        <v>1131</v>
      </c>
      <c r="B1135" s="29">
        <f>IF(Dataset!B1135&lt;25,0.3,IF(Dataset!B1135&lt;75,0.5,IF(Dataset!B1135&lt;120,0.65,0.8)))</f>
        <v>0.8</v>
      </c>
      <c r="C1135" s="29">
        <f>IF(Dataset!B1135&lt;25,1,IF(Dataset!B1135&lt;75,2,IF(Dataset!B1135&lt;120,3,4)))</f>
        <v>4</v>
      </c>
      <c r="D1135" s="29">
        <f t="shared" si="136"/>
        <v>3.2</v>
      </c>
      <c r="E1135" s="29">
        <f>IF(Dataset!C1135&lt;=1,0.3,IF(Dataset!C1135=2,0.4,IF(Dataset!C1135=3,0.5,IF(Dataset!C1135=4,0.65,0.8))))</f>
        <v>0.5</v>
      </c>
      <c r="F1135" s="29">
        <f>IF(Dataset!C1135&lt;=2,1,IF(Dataset!C1135=3,2,IF(Dataset!C1135=4,3,4)))</f>
        <v>2</v>
      </c>
      <c r="G1135" s="29">
        <f t="shared" si="137"/>
        <v>1</v>
      </c>
      <c r="H1135" s="29">
        <f>IF(Dataset!G1135&lt;=3,0.25,IF(Dataset!G1135&lt;=6,0.45,IF(Dataset!G1135&lt;=9,0.65,0.85)))</f>
        <v>0.65</v>
      </c>
      <c r="I1135" s="29">
        <f>IF(Dataset!G1135&lt;=3,1,IF(Dataset!G1135&lt;=6,2,IF(Dataset!G1135&lt;=9,3,4)))</f>
        <v>3</v>
      </c>
      <c r="J1135" s="29">
        <f t="shared" si="138"/>
        <v>1.9500000000000002</v>
      </c>
      <c r="K1135" s="29">
        <f>IF(Dataset!H1135&lt;1,0.2,IF(Dataset!H1135&lt;1.3,0.45,IF(Dataset!H1135&lt;1.8,0.7,0.9)))</f>
        <v>0.2</v>
      </c>
      <c r="L1135" s="29">
        <f>IF(Dataset!H1135&lt;1,1,IF(Dataset!H1135&lt;1.3,2,IF(Dataset!H1135&lt;1.8,3,4)))</f>
        <v>1</v>
      </c>
      <c r="M1135" s="29">
        <f t="shared" si="139"/>
        <v>0.2</v>
      </c>
      <c r="N1135" s="29">
        <f>IF(Dataset!F1135=1,0.75,IF(Dataset!F1135=2,0.45,0.2))</f>
        <v>0.75</v>
      </c>
      <c r="O1135" s="29">
        <f>IF(Dataset!F1135=1,3,IF(Dataset!F1135=2,2,1))</f>
        <v>3</v>
      </c>
      <c r="P1135" s="29">
        <f t="shared" si="140"/>
        <v>2.25</v>
      </c>
      <c r="Q1135" s="29">
        <f>IF(Dataset!K1135&lt;5,0.2,IF(Dataset!K1135&lt;10,0.45,IF(Dataset!K1135&lt;18,0.7,0.9)))</f>
        <v>0.45</v>
      </c>
      <c r="R1135" s="29">
        <f>IF(Dataset!K1135&lt;5,1,IF(Dataset!K1135&lt;10,2,IF(Dataset!K1135&lt;18,3,4)))</f>
        <v>2</v>
      </c>
      <c r="S1135" s="29">
        <f t="shared" si="141"/>
        <v>0.9</v>
      </c>
      <c r="T1135" s="29">
        <f t="shared" si="142"/>
        <v>1.5050000000000003</v>
      </c>
      <c r="U1135" s="29" t="str">
        <f t="shared" si="143"/>
        <v>Medium</v>
      </c>
    </row>
    <row r="1136" spans="1:21" ht="15" customHeight="1" x14ac:dyDescent="0.25">
      <c r="A1136" s="29">
        <f>Dataset!A1136</f>
        <v>1132</v>
      </c>
      <c r="B1136" s="29">
        <f>IF(Dataset!B1136&lt;25,0.3,IF(Dataset!B1136&lt;75,0.5,IF(Dataset!B1136&lt;120,0.65,0.8)))</f>
        <v>0.8</v>
      </c>
      <c r="C1136" s="29">
        <f>IF(Dataset!B1136&lt;25,1,IF(Dataset!B1136&lt;75,2,IF(Dataset!B1136&lt;120,3,4)))</f>
        <v>4</v>
      </c>
      <c r="D1136" s="29">
        <f t="shared" si="136"/>
        <v>3.2</v>
      </c>
      <c r="E1136" s="29">
        <f>IF(Dataset!C1136&lt;=1,0.3,IF(Dataset!C1136=2,0.4,IF(Dataset!C1136=3,0.5,IF(Dataset!C1136=4,0.65,0.8))))</f>
        <v>0.8</v>
      </c>
      <c r="F1136" s="29">
        <f>IF(Dataset!C1136&lt;=2,1,IF(Dataset!C1136=3,2,IF(Dataset!C1136=4,3,4)))</f>
        <v>4</v>
      </c>
      <c r="G1136" s="29">
        <f t="shared" si="137"/>
        <v>3.2</v>
      </c>
      <c r="H1136" s="29">
        <f>IF(Dataset!G1136&lt;=3,0.25,IF(Dataset!G1136&lt;=6,0.45,IF(Dataset!G1136&lt;=9,0.65,0.85)))</f>
        <v>0.45</v>
      </c>
      <c r="I1136" s="29">
        <f>IF(Dataset!G1136&lt;=3,1,IF(Dataset!G1136&lt;=6,2,IF(Dataset!G1136&lt;=9,3,4)))</f>
        <v>2</v>
      </c>
      <c r="J1136" s="29">
        <f t="shared" si="138"/>
        <v>0.9</v>
      </c>
      <c r="K1136" s="29">
        <f>IF(Dataset!H1136&lt;1,0.2,IF(Dataset!H1136&lt;1.3,0.45,IF(Dataset!H1136&lt;1.8,0.7,0.9)))</f>
        <v>0.2</v>
      </c>
      <c r="L1136" s="29">
        <f>IF(Dataset!H1136&lt;1,1,IF(Dataset!H1136&lt;1.3,2,IF(Dataset!H1136&lt;1.8,3,4)))</f>
        <v>1</v>
      </c>
      <c r="M1136" s="29">
        <f t="shared" si="139"/>
        <v>0.2</v>
      </c>
      <c r="N1136" s="29">
        <f>IF(Dataset!F1136=1,0.75,IF(Dataset!F1136=2,0.45,0.2))</f>
        <v>0.45</v>
      </c>
      <c r="O1136" s="29">
        <f>IF(Dataset!F1136=1,3,IF(Dataset!F1136=2,2,1))</f>
        <v>2</v>
      </c>
      <c r="P1136" s="29">
        <f t="shared" si="140"/>
        <v>0.9</v>
      </c>
      <c r="Q1136" s="29">
        <f>IF(Dataset!K1136&lt;5,0.2,IF(Dataset!K1136&lt;10,0.45,IF(Dataset!K1136&lt;18,0.7,0.9)))</f>
        <v>0.7</v>
      </c>
      <c r="R1136" s="29">
        <f>IF(Dataset!K1136&lt;5,1,IF(Dataset!K1136&lt;10,2,IF(Dataset!K1136&lt;18,3,4)))</f>
        <v>3</v>
      </c>
      <c r="S1136" s="29">
        <f t="shared" si="141"/>
        <v>2.0999999999999996</v>
      </c>
      <c r="T1136" s="29">
        <f t="shared" si="142"/>
        <v>1.6360000000000001</v>
      </c>
      <c r="U1136" s="29" t="str">
        <f t="shared" si="143"/>
        <v>Medium</v>
      </c>
    </row>
    <row r="1137" spans="1:21" ht="15" customHeight="1" x14ac:dyDescent="0.25">
      <c r="A1137" s="29">
        <f>Dataset!A1137</f>
        <v>1133</v>
      </c>
      <c r="B1137" s="29">
        <f>IF(Dataset!B1137&lt;25,0.3,IF(Dataset!B1137&lt;75,0.5,IF(Dataset!B1137&lt;120,0.65,0.8)))</f>
        <v>0.5</v>
      </c>
      <c r="C1137" s="29">
        <f>IF(Dataset!B1137&lt;25,1,IF(Dataset!B1137&lt;75,2,IF(Dataset!B1137&lt;120,3,4)))</f>
        <v>2</v>
      </c>
      <c r="D1137" s="29">
        <f t="shared" si="136"/>
        <v>1</v>
      </c>
      <c r="E1137" s="29">
        <f>IF(Dataset!C1137&lt;=1,0.3,IF(Dataset!C1137=2,0.4,IF(Dataset!C1137=3,0.5,IF(Dataset!C1137=4,0.65,0.8))))</f>
        <v>0.3</v>
      </c>
      <c r="F1137" s="29">
        <f>IF(Dataset!C1137&lt;=2,1,IF(Dataset!C1137=3,2,IF(Dataset!C1137=4,3,4)))</f>
        <v>1</v>
      </c>
      <c r="G1137" s="29">
        <f t="shared" si="137"/>
        <v>0.3</v>
      </c>
      <c r="H1137" s="29">
        <f>IF(Dataset!G1137&lt;=3,0.25,IF(Dataset!G1137&lt;=6,0.45,IF(Dataset!G1137&lt;=9,0.65,0.85)))</f>
        <v>0.25</v>
      </c>
      <c r="I1137" s="29">
        <f>IF(Dataset!G1137&lt;=3,1,IF(Dataset!G1137&lt;=6,2,IF(Dataset!G1137&lt;=9,3,4)))</f>
        <v>1</v>
      </c>
      <c r="J1137" s="29">
        <f t="shared" si="138"/>
        <v>0.25</v>
      </c>
      <c r="K1137" s="29">
        <f>IF(Dataset!H1137&lt;1,0.2,IF(Dataset!H1137&lt;1.3,0.45,IF(Dataset!H1137&lt;1.8,0.7,0.9)))</f>
        <v>0.9</v>
      </c>
      <c r="L1137" s="29">
        <f>IF(Dataset!H1137&lt;1,1,IF(Dataset!H1137&lt;1.3,2,IF(Dataset!H1137&lt;1.8,3,4)))</f>
        <v>4</v>
      </c>
      <c r="M1137" s="29">
        <f t="shared" si="139"/>
        <v>3.6</v>
      </c>
      <c r="N1137" s="29">
        <f>IF(Dataset!F1137=1,0.75,IF(Dataset!F1137=2,0.45,0.2))</f>
        <v>0.45</v>
      </c>
      <c r="O1137" s="29">
        <f>IF(Dataset!F1137=1,3,IF(Dataset!F1137=2,2,1))</f>
        <v>2</v>
      </c>
      <c r="P1137" s="29">
        <f t="shared" si="140"/>
        <v>0.9</v>
      </c>
      <c r="Q1137" s="29">
        <f>IF(Dataset!K1137&lt;5,0.2,IF(Dataset!K1137&lt;10,0.45,IF(Dataset!K1137&lt;18,0.7,0.9)))</f>
        <v>0.2</v>
      </c>
      <c r="R1137" s="29">
        <f>IF(Dataset!K1137&lt;5,1,IF(Dataset!K1137&lt;10,2,IF(Dataset!K1137&lt;18,3,4)))</f>
        <v>1</v>
      </c>
      <c r="S1137" s="29">
        <f t="shared" si="141"/>
        <v>0.2</v>
      </c>
      <c r="T1137" s="29">
        <f t="shared" si="142"/>
        <v>1.2540000000000002</v>
      </c>
      <c r="U1137" s="29" t="str">
        <f t="shared" si="143"/>
        <v>Low</v>
      </c>
    </row>
    <row r="1138" spans="1:21" ht="15" customHeight="1" x14ac:dyDescent="0.25">
      <c r="A1138" s="29">
        <f>Dataset!A1138</f>
        <v>1134</v>
      </c>
      <c r="B1138" s="29">
        <f>IF(Dataset!B1138&lt;25,0.3,IF(Dataset!B1138&lt;75,0.5,IF(Dataset!B1138&lt;120,0.65,0.8)))</f>
        <v>0.5</v>
      </c>
      <c r="C1138" s="29">
        <f>IF(Dataset!B1138&lt;25,1,IF(Dataset!B1138&lt;75,2,IF(Dataset!B1138&lt;120,3,4)))</f>
        <v>2</v>
      </c>
      <c r="D1138" s="29">
        <f t="shared" si="136"/>
        <v>1</v>
      </c>
      <c r="E1138" s="29">
        <f>IF(Dataset!C1138&lt;=1,0.3,IF(Dataset!C1138=2,0.4,IF(Dataset!C1138=3,0.5,IF(Dataset!C1138=4,0.65,0.8))))</f>
        <v>0.4</v>
      </c>
      <c r="F1138" s="29">
        <f>IF(Dataset!C1138&lt;=2,1,IF(Dataset!C1138=3,2,IF(Dataset!C1138=4,3,4)))</f>
        <v>1</v>
      </c>
      <c r="G1138" s="29">
        <f t="shared" si="137"/>
        <v>0.4</v>
      </c>
      <c r="H1138" s="29">
        <f>IF(Dataset!G1138&lt;=3,0.25,IF(Dataset!G1138&lt;=6,0.45,IF(Dataset!G1138&lt;=9,0.65,0.85)))</f>
        <v>0.85</v>
      </c>
      <c r="I1138" s="29">
        <f>IF(Dataset!G1138&lt;=3,1,IF(Dataset!G1138&lt;=6,2,IF(Dataset!G1138&lt;=9,3,4)))</f>
        <v>4</v>
      </c>
      <c r="J1138" s="29">
        <f t="shared" si="138"/>
        <v>3.4</v>
      </c>
      <c r="K1138" s="29">
        <f>IF(Dataset!H1138&lt;1,0.2,IF(Dataset!H1138&lt;1.3,0.45,IF(Dataset!H1138&lt;1.8,0.7,0.9)))</f>
        <v>0.2</v>
      </c>
      <c r="L1138" s="29">
        <f>IF(Dataset!H1138&lt;1,1,IF(Dataset!H1138&lt;1.3,2,IF(Dataset!H1138&lt;1.8,3,4)))</f>
        <v>1</v>
      </c>
      <c r="M1138" s="29">
        <f t="shared" si="139"/>
        <v>0.2</v>
      </c>
      <c r="N1138" s="29">
        <f>IF(Dataset!F1138=1,0.75,IF(Dataset!F1138=2,0.45,0.2))</f>
        <v>0.45</v>
      </c>
      <c r="O1138" s="29">
        <f>IF(Dataset!F1138=1,3,IF(Dataset!F1138=2,2,1))</f>
        <v>2</v>
      </c>
      <c r="P1138" s="29">
        <f t="shared" si="140"/>
        <v>0.9</v>
      </c>
      <c r="Q1138" s="29">
        <f>IF(Dataset!K1138&lt;5,0.2,IF(Dataset!K1138&lt;10,0.45,IF(Dataset!K1138&lt;18,0.7,0.9)))</f>
        <v>0.45</v>
      </c>
      <c r="R1138" s="29">
        <f>IF(Dataset!K1138&lt;5,1,IF(Dataset!K1138&lt;10,2,IF(Dataset!K1138&lt;18,3,4)))</f>
        <v>2</v>
      </c>
      <c r="S1138" s="29">
        <f t="shared" si="141"/>
        <v>0.9</v>
      </c>
      <c r="T1138" s="29">
        <f t="shared" si="142"/>
        <v>1.1800000000000002</v>
      </c>
      <c r="U1138" s="29" t="str">
        <f t="shared" si="143"/>
        <v>Low</v>
      </c>
    </row>
    <row r="1139" spans="1:21" ht="15" customHeight="1" x14ac:dyDescent="0.25">
      <c r="A1139" s="29">
        <f>Dataset!A1139</f>
        <v>1135</v>
      </c>
      <c r="B1139" s="29">
        <f>IF(Dataset!B1139&lt;25,0.3,IF(Dataset!B1139&lt;75,0.5,IF(Dataset!B1139&lt;120,0.65,0.8)))</f>
        <v>0.65</v>
      </c>
      <c r="C1139" s="29">
        <f>IF(Dataset!B1139&lt;25,1,IF(Dataset!B1139&lt;75,2,IF(Dataset!B1139&lt;120,3,4)))</f>
        <v>3</v>
      </c>
      <c r="D1139" s="29">
        <f t="shared" si="136"/>
        <v>1.9500000000000002</v>
      </c>
      <c r="E1139" s="29">
        <f>IF(Dataset!C1139&lt;=1,0.3,IF(Dataset!C1139=2,0.4,IF(Dataset!C1139=3,0.5,IF(Dataset!C1139=4,0.65,0.8))))</f>
        <v>0.65</v>
      </c>
      <c r="F1139" s="29">
        <f>IF(Dataset!C1139&lt;=2,1,IF(Dataset!C1139=3,2,IF(Dataset!C1139=4,3,4)))</f>
        <v>3</v>
      </c>
      <c r="G1139" s="29">
        <f t="shared" si="137"/>
        <v>1.9500000000000002</v>
      </c>
      <c r="H1139" s="29">
        <f>IF(Dataset!G1139&lt;=3,0.25,IF(Dataset!G1139&lt;=6,0.45,IF(Dataset!G1139&lt;=9,0.65,0.85)))</f>
        <v>0.25</v>
      </c>
      <c r="I1139" s="29">
        <f>IF(Dataset!G1139&lt;=3,1,IF(Dataset!G1139&lt;=6,2,IF(Dataset!G1139&lt;=9,3,4)))</f>
        <v>1</v>
      </c>
      <c r="J1139" s="29">
        <f t="shared" si="138"/>
        <v>0.25</v>
      </c>
      <c r="K1139" s="29">
        <f>IF(Dataset!H1139&lt;1,0.2,IF(Dataset!H1139&lt;1.3,0.45,IF(Dataset!H1139&lt;1.8,0.7,0.9)))</f>
        <v>0.9</v>
      </c>
      <c r="L1139" s="29">
        <f>IF(Dataset!H1139&lt;1,1,IF(Dataset!H1139&lt;1.3,2,IF(Dataset!H1139&lt;1.8,3,4)))</f>
        <v>4</v>
      </c>
      <c r="M1139" s="29">
        <f t="shared" si="139"/>
        <v>3.6</v>
      </c>
      <c r="N1139" s="29">
        <f>IF(Dataset!F1139=1,0.75,IF(Dataset!F1139=2,0.45,0.2))</f>
        <v>0.45</v>
      </c>
      <c r="O1139" s="29">
        <f>IF(Dataset!F1139=1,3,IF(Dataset!F1139=2,2,1))</f>
        <v>2</v>
      </c>
      <c r="P1139" s="29">
        <f t="shared" si="140"/>
        <v>0.9</v>
      </c>
      <c r="Q1139" s="29">
        <f>IF(Dataset!K1139&lt;5,0.2,IF(Dataset!K1139&lt;10,0.45,IF(Dataset!K1139&lt;18,0.7,0.9)))</f>
        <v>0.45</v>
      </c>
      <c r="R1139" s="29">
        <f>IF(Dataset!K1139&lt;5,1,IF(Dataset!K1139&lt;10,2,IF(Dataset!K1139&lt;18,3,4)))</f>
        <v>2</v>
      </c>
      <c r="S1139" s="29">
        <f t="shared" si="141"/>
        <v>0.9</v>
      </c>
      <c r="T1139" s="29">
        <f t="shared" si="142"/>
        <v>1.7540000000000004</v>
      </c>
      <c r="U1139" s="29" t="str">
        <f t="shared" si="143"/>
        <v>Medium</v>
      </c>
    </row>
    <row r="1140" spans="1:21" ht="15" customHeight="1" x14ac:dyDescent="0.25">
      <c r="A1140" s="29">
        <f>Dataset!A1140</f>
        <v>1136</v>
      </c>
      <c r="B1140" s="29">
        <f>IF(Dataset!B1140&lt;25,0.3,IF(Dataset!B1140&lt;75,0.5,IF(Dataset!B1140&lt;120,0.65,0.8)))</f>
        <v>0.8</v>
      </c>
      <c r="C1140" s="29">
        <f>IF(Dataset!B1140&lt;25,1,IF(Dataset!B1140&lt;75,2,IF(Dataset!B1140&lt;120,3,4)))</f>
        <v>4</v>
      </c>
      <c r="D1140" s="29">
        <f t="shared" si="136"/>
        <v>3.2</v>
      </c>
      <c r="E1140" s="29">
        <f>IF(Dataset!C1140&lt;=1,0.3,IF(Dataset!C1140=2,0.4,IF(Dataset!C1140=3,0.5,IF(Dataset!C1140=4,0.65,0.8))))</f>
        <v>0.5</v>
      </c>
      <c r="F1140" s="29">
        <f>IF(Dataset!C1140&lt;=2,1,IF(Dataset!C1140=3,2,IF(Dataset!C1140=4,3,4)))</f>
        <v>2</v>
      </c>
      <c r="G1140" s="29">
        <f t="shared" si="137"/>
        <v>1</v>
      </c>
      <c r="H1140" s="29">
        <f>IF(Dataset!G1140&lt;=3,0.25,IF(Dataset!G1140&lt;=6,0.45,IF(Dataset!G1140&lt;=9,0.65,0.85)))</f>
        <v>0.65</v>
      </c>
      <c r="I1140" s="29">
        <f>IF(Dataset!G1140&lt;=3,1,IF(Dataset!G1140&lt;=6,2,IF(Dataset!G1140&lt;=9,3,4)))</f>
        <v>3</v>
      </c>
      <c r="J1140" s="29">
        <f t="shared" si="138"/>
        <v>1.9500000000000002</v>
      </c>
      <c r="K1140" s="29">
        <f>IF(Dataset!H1140&lt;1,0.2,IF(Dataset!H1140&lt;1.3,0.45,IF(Dataset!H1140&lt;1.8,0.7,0.9)))</f>
        <v>0.9</v>
      </c>
      <c r="L1140" s="29">
        <f>IF(Dataset!H1140&lt;1,1,IF(Dataset!H1140&lt;1.3,2,IF(Dataset!H1140&lt;1.8,3,4)))</f>
        <v>4</v>
      </c>
      <c r="M1140" s="29">
        <f t="shared" si="139"/>
        <v>3.6</v>
      </c>
      <c r="N1140" s="29">
        <f>IF(Dataset!F1140=1,0.75,IF(Dataset!F1140=2,0.45,0.2))</f>
        <v>0.2</v>
      </c>
      <c r="O1140" s="29">
        <f>IF(Dataset!F1140=1,3,IF(Dataset!F1140=2,2,1))</f>
        <v>1</v>
      </c>
      <c r="P1140" s="29">
        <f t="shared" si="140"/>
        <v>0.2</v>
      </c>
      <c r="Q1140" s="29">
        <f>IF(Dataset!K1140&lt;5,0.2,IF(Dataset!K1140&lt;10,0.45,IF(Dataset!K1140&lt;18,0.7,0.9)))</f>
        <v>0.2</v>
      </c>
      <c r="R1140" s="29">
        <f>IF(Dataset!K1140&lt;5,1,IF(Dataset!K1140&lt;10,2,IF(Dataset!K1140&lt;18,3,4)))</f>
        <v>1</v>
      </c>
      <c r="S1140" s="29">
        <f t="shared" si="141"/>
        <v>0.2</v>
      </c>
      <c r="T1140" s="29">
        <f t="shared" si="142"/>
        <v>2.0180000000000002</v>
      </c>
      <c r="U1140" s="29" t="str">
        <f t="shared" si="143"/>
        <v>High</v>
      </c>
    </row>
    <row r="1141" spans="1:21" ht="15" customHeight="1" x14ac:dyDescent="0.25">
      <c r="A1141" s="29">
        <f>Dataset!A1141</f>
        <v>1137</v>
      </c>
      <c r="B1141" s="29">
        <f>IF(Dataset!B1141&lt;25,0.3,IF(Dataset!B1141&lt;75,0.5,IF(Dataset!B1141&lt;120,0.65,0.8)))</f>
        <v>0.8</v>
      </c>
      <c r="C1141" s="29">
        <f>IF(Dataset!B1141&lt;25,1,IF(Dataset!B1141&lt;75,2,IF(Dataset!B1141&lt;120,3,4)))</f>
        <v>4</v>
      </c>
      <c r="D1141" s="29">
        <f t="shared" si="136"/>
        <v>3.2</v>
      </c>
      <c r="E1141" s="29">
        <f>IF(Dataset!C1141&lt;=1,0.3,IF(Dataset!C1141=2,0.4,IF(Dataset!C1141=3,0.5,IF(Dataset!C1141=4,0.65,0.8))))</f>
        <v>0.4</v>
      </c>
      <c r="F1141" s="29">
        <f>IF(Dataset!C1141&lt;=2,1,IF(Dataset!C1141=3,2,IF(Dataset!C1141=4,3,4)))</f>
        <v>1</v>
      </c>
      <c r="G1141" s="29">
        <f t="shared" si="137"/>
        <v>0.4</v>
      </c>
      <c r="H1141" s="29">
        <f>IF(Dataset!G1141&lt;=3,0.25,IF(Dataset!G1141&lt;=6,0.45,IF(Dataset!G1141&lt;=9,0.65,0.85)))</f>
        <v>0.45</v>
      </c>
      <c r="I1141" s="29">
        <f>IF(Dataset!G1141&lt;=3,1,IF(Dataset!G1141&lt;=6,2,IF(Dataset!G1141&lt;=9,3,4)))</f>
        <v>2</v>
      </c>
      <c r="J1141" s="29">
        <f t="shared" si="138"/>
        <v>0.9</v>
      </c>
      <c r="K1141" s="29">
        <f>IF(Dataset!H1141&lt;1,0.2,IF(Dataset!H1141&lt;1.3,0.45,IF(Dataset!H1141&lt;1.8,0.7,0.9)))</f>
        <v>0.45</v>
      </c>
      <c r="L1141" s="29">
        <f>IF(Dataset!H1141&lt;1,1,IF(Dataset!H1141&lt;1.3,2,IF(Dataset!H1141&lt;1.8,3,4)))</f>
        <v>2</v>
      </c>
      <c r="M1141" s="29">
        <f t="shared" si="139"/>
        <v>0.9</v>
      </c>
      <c r="N1141" s="29">
        <f>IF(Dataset!F1141=1,0.75,IF(Dataset!F1141=2,0.45,0.2))</f>
        <v>0.45</v>
      </c>
      <c r="O1141" s="29">
        <f>IF(Dataset!F1141=1,3,IF(Dataset!F1141=2,2,1))</f>
        <v>2</v>
      </c>
      <c r="P1141" s="29">
        <f t="shared" si="140"/>
        <v>0.9</v>
      </c>
      <c r="Q1141" s="29">
        <f>IF(Dataset!K1141&lt;5,0.2,IF(Dataset!K1141&lt;10,0.45,IF(Dataset!K1141&lt;18,0.7,0.9)))</f>
        <v>0.45</v>
      </c>
      <c r="R1141" s="29">
        <f>IF(Dataset!K1141&lt;5,1,IF(Dataset!K1141&lt;10,2,IF(Dataset!K1141&lt;18,3,4)))</f>
        <v>2</v>
      </c>
      <c r="S1141" s="29">
        <f t="shared" si="141"/>
        <v>0.9</v>
      </c>
      <c r="T1141" s="29">
        <f t="shared" si="142"/>
        <v>1.2440000000000002</v>
      </c>
      <c r="U1141" s="29" t="str">
        <f t="shared" si="143"/>
        <v>Low</v>
      </c>
    </row>
    <row r="1142" spans="1:21" ht="15" customHeight="1" x14ac:dyDescent="0.25">
      <c r="A1142" s="29">
        <f>Dataset!A1142</f>
        <v>1138</v>
      </c>
      <c r="B1142" s="29">
        <f>IF(Dataset!B1142&lt;25,0.3,IF(Dataset!B1142&lt;75,0.5,IF(Dataset!B1142&lt;120,0.65,0.8)))</f>
        <v>0.65</v>
      </c>
      <c r="C1142" s="29">
        <f>IF(Dataset!B1142&lt;25,1,IF(Dataset!B1142&lt;75,2,IF(Dataset!B1142&lt;120,3,4)))</f>
        <v>3</v>
      </c>
      <c r="D1142" s="29">
        <f t="shared" si="136"/>
        <v>1.9500000000000002</v>
      </c>
      <c r="E1142" s="29">
        <f>IF(Dataset!C1142&lt;=1,0.3,IF(Dataset!C1142=2,0.4,IF(Dataset!C1142=3,0.5,IF(Dataset!C1142=4,0.65,0.8))))</f>
        <v>0.4</v>
      </c>
      <c r="F1142" s="29">
        <f>IF(Dataset!C1142&lt;=2,1,IF(Dataset!C1142=3,2,IF(Dataset!C1142=4,3,4)))</f>
        <v>1</v>
      </c>
      <c r="G1142" s="29">
        <f t="shared" si="137"/>
        <v>0.4</v>
      </c>
      <c r="H1142" s="29">
        <f>IF(Dataset!G1142&lt;=3,0.25,IF(Dataset!G1142&lt;=6,0.45,IF(Dataset!G1142&lt;=9,0.65,0.85)))</f>
        <v>0.45</v>
      </c>
      <c r="I1142" s="29">
        <f>IF(Dataset!G1142&lt;=3,1,IF(Dataset!G1142&lt;=6,2,IF(Dataset!G1142&lt;=9,3,4)))</f>
        <v>2</v>
      </c>
      <c r="J1142" s="29">
        <f t="shared" si="138"/>
        <v>0.9</v>
      </c>
      <c r="K1142" s="29">
        <f>IF(Dataset!H1142&lt;1,0.2,IF(Dataset!H1142&lt;1.3,0.45,IF(Dataset!H1142&lt;1.8,0.7,0.9)))</f>
        <v>0.2</v>
      </c>
      <c r="L1142" s="29">
        <f>IF(Dataset!H1142&lt;1,1,IF(Dataset!H1142&lt;1.3,2,IF(Dataset!H1142&lt;1.8,3,4)))</f>
        <v>1</v>
      </c>
      <c r="M1142" s="29">
        <f t="shared" si="139"/>
        <v>0.2</v>
      </c>
      <c r="N1142" s="29">
        <f>IF(Dataset!F1142=1,0.75,IF(Dataset!F1142=2,0.45,0.2))</f>
        <v>0.45</v>
      </c>
      <c r="O1142" s="29">
        <f>IF(Dataset!F1142=1,3,IF(Dataset!F1142=2,2,1))</f>
        <v>2</v>
      </c>
      <c r="P1142" s="29">
        <f t="shared" si="140"/>
        <v>0.9</v>
      </c>
      <c r="Q1142" s="29">
        <f>IF(Dataset!K1142&lt;5,0.2,IF(Dataset!K1142&lt;10,0.45,IF(Dataset!K1142&lt;18,0.7,0.9)))</f>
        <v>0.45</v>
      </c>
      <c r="R1142" s="29">
        <f>IF(Dataset!K1142&lt;5,1,IF(Dataset!K1142&lt;10,2,IF(Dataset!K1142&lt;18,3,4)))</f>
        <v>2</v>
      </c>
      <c r="S1142" s="29">
        <f t="shared" si="141"/>
        <v>0.9</v>
      </c>
      <c r="T1142" s="29">
        <f t="shared" si="142"/>
        <v>0.85100000000000009</v>
      </c>
      <c r="U1142" s="29" t="str">
        <f t="shared" si="143"/>
        <v>Low</v>
      </c>
    </row>
    <row r="1143" spans="1:21" ht="15" customHeight="1" x14ac:dyDescent="0.25">
      <c r="A1143" s="29">
        <f>Dataset!A1143</f>
        <v>1139</v>
      </c>
      <c r="B1143" s="29">
        <f>IF(Dataset!B1143&lt;25,0.3,IF(Dataset!B1143&lt;75,0.5,IF(Dataset!B1143&lt;120,0.65,0.8)))</f>
        <v>0.8</v>
      </c>
      <c r="C1143" s="29">
        <f>IF(Dataset!B1143&lt;25,1,IF(Dataset!B1143&lt;75,2,IF(Dataset!B1143&lt;120,3,4)))</f>
        <v>4</v>
      </c>
      <c r="D1143" s="29">
        <f t="shared" si="136"/>
        <v>3.2</v>
      </c>
      <c r="E1143" s="29">
        <f>IF(Dataset!C1143&lt;=1,0.3,IF(Dataset!C1143=2,0.4,IF(Dataset!C1143=3,0.5,IF(Dataset!C1143=4,0.65,0.8))))</f>
        <v>0.5</v>
      </c>
      <c r="F1143" s="29">
        <f>IF(Dataset!C1143&lt;=2,1,IF(Dataset!C1143=3,2,IF(Dataset!C1143=4,3,4)))</f>
        <v>2</v>
      </c>
      <c r="G1143" s="29">
        <f t="shared" si="137"/>
        <v>1</v>
      </c>
      <c r="H1143" s="29">
        <f>IF(Dataset!G1143&lt;=3,0.25,IF(Dataset!G1143&lt;=6,0.45,IF(Dataset!G1143&lt;=9,0.65,0.85)))</f>
        <v>0.45</v>
      </c>
      <c r="I1143" s="29">
        <f>IF(Dataset!G1143&lt;=3,1,IF(Dataset!G1143&lt;=6,2,IF(Dataset!G1143&lt;=9,3,4)))</f>
        <v>2</v>
      </c>
      <c r="J1143" s="29">
        <f t="shared" si="138"/>
        <v>0.9</v>
      </c>
      <c r="K1143" s="29">
        <f>IF(Dataset!H1143&lt;1,0.2,IF(Dataset!H1143&lt;1.3,0.45,IF(Dataset!H1143&lt;1.8,0.7,0.9)))</f>
        <v>0.7</v>
      </c>
      <c r="L1143" s="29">
        <f>IF(Dataset!H1143&lt;1,1,IF(Dataset!H1143&lt;1.3,2,IF(Dataset!H1143&lt;1.8,3,4)))</f>
        <v>3</v>
      </c>
      <c r="M1143" s="29">
        <f t="shared" si="139"/>
        <v>2.0999999999999996</v>
      </c>
      <c r="N1143" s="29">
        <f>IF(Dataset!F1143=1,0.75,IF(Dataset!F1143=2,0.45,0.2))</f>
        <v>0.2</v>
      </c>
      <c r="O1143" s="29">
        <f>IF(Dataset!F1143=1,3,IF(Dataset!F1143=2,2,1))</f>
        <v>1</v>
      </c>
      <c r="P1143" s="29">
        <f t="shared" si="140"/>
        <v>0.2</v>
      </c>
      <c r="Q1143" s="29">
        <f>IF(Dataset!K1143&lt;5,0.2,IF(Dataset!K1143&lt;10,0.45,IF(Dataset!K1143&lt;18,0.7,0.9)))</f>
        <v>0.45</v>
      </c>
      <c r="R1143" s="29">
        <f>IF(Dataset!K1143&lt;5,1,IF(Dataset!K1143&lt;10,2,IF(Dataset!K1143&lt;18,3,4)))</f>
        <v>2</v>
      </c>
      <c r="S1143" s="29">
        <f t="shared" si="141"/>
        <v>0.9</v>
      </c>
      <c r="T1143" s="29">
        <f t="shared" si="142"/>
        <v>1.546</v>
      </c>
      <c r="U1143" s="29" t="str">
        <f t="shared" si="143"/>
        <v>Medium</v>
      </c>
    </row>
    <row r="1144" spans="1:21" ht="15" customHeight="1" x14ac:dyDescent="0.25">
      <c r="A1144" s="29">
        <f>Dataset!A1144</f>
        <v>1140</v>
      </c>
      <c r="B1144" s="29">
        <f>IF(Dataset!B1144&lt;25,0.3,IF(Dataset!B1144&lt;75,0.5,IF(Dataset!B1144&lt;120,0.65,0.8)))</f>
        <v>0.65</v>
      </c>
      <c r="C1144" s="29">
        <f>IF(Dataset!B1144&lt;25,1,IF(Dataset!B1144&lt;75,2,IF(Dataset!B1144&lt;120,3,4)))</f>
        <v>3</v>
      </c>
      <c r="D1144" s="29">
        <f t="shared" si="136"/>
        <v>1.9500000000000002</v>
      </c>
      <c r="E1144" s="29">
        <f>IF(Dataset!C1144&lt;=1,0.3,IF(Dataset!C1144=2,0.4,IF(Dataset!C1144=3,0.5,IF(Dataset!C1144=4,0.65,0.8))))</f>
        <v>0.65</v>
      </c>
      <c r="F1144" s="29">
        <f>IF(Dataset!C1144&lt;=2,1,IF(Dataset!C1144=3,2,IF(Dataset!C1144=4,3,4)))</f>
        <v>3</v>
      </c>
      <c r="G1144" s="29">
        <f t="shared" si="137"/>
        <v>1.9500000000000002</v>
      </c>
      <c r="H1144" s="29">
        <f>IF(Dataset!G1144&lt;=3,0.25,IF(Dataset!G1144&lt;=6,0.45,IF(Dataset!G1144&lt;=9,0.65,0.85)))</f>
        <v>0.45</v>
      </c>
      <c r="I1144" s="29">
        <f>IF(Dataset!G1144&lt;=3,1,IF(Dataset!G1144&lt;=6,2,IF(Dataset!G1144&lt;=9,3,4)))</f>
        <v>2</v>
      </c>
      <c r="J1144" s="29">
        <f t="shared" si="138"/>
        <v>0.9</v>
      </c>
      <c r="K1144" s="29">
        <f>IF(Dataset!H1144&lt;1,0.2,IF(Dataset!H1144&lt;1.3,0.45,IF(Dataset!H1144&lt;1.8,0.7,0.9)))</f>
        <v>0.7</v>
      </c>
      <c r="L1144" s="29">
        <f>IF(Dataset!H1144&lt;1,1,IF(Dataset!H1144&lt;1.3,2,IF(Dataset!H1144&lt;1.8,3,4)))</f>
        <v>3</v>
      </c>
      <c r="M1144" s="29">
        <f t="shared" si="139"/>
        <v>2.0999999999999996</v>
      </c>
      <c r="N1144" s="29">
        <f>IF(Dataset!F1144=1,0.75,IF(Dataset!F1144=2,0.45,0.2))</f>
        <v>0.2</v>
      </c>
      <c r="O1144" s="29">
        <f>IF(Dataset!F1144=1,3,IF(Dataset!F1144=2,2,1))</f>
        <v>1</v>
      </c>
      <c r="P1144" s="29">
        <f t="shared" si="140"/>
        <v>0.2</v>
      </c>
      <c r="Q1144" s="29">
        <f>IF(Dataset!K1144&lt;5,0.2,IF(Dataset!K1144&lt;10,0.45,IF(Dataset!K1144&lt;18,0.7,0.9)))</f>
        <v>0.45</v>
      </c>
      <c r="R1144" s="29">
        <f>IF(Dataset!K1144&lt;5,1,IF(Dataset!K1144&lt;10,2,IF(Dataset!K1144&lt;18,3,4)))</f>
        <v>2</v>
      </c>
      <c r="S1144" s="29">
        <f t="shared" si="141"/>
        <v>0.9</v>
      </c>
      <c r="T1144" s="29">
        <f t="shared" si="142"/>
        <v>1.4540000000000002</v>
      </c>
      <c r="U1144" s="29" t="str">
        <f t="shared" si="143"/>
        <v>Medium</v>
      </c>
    </row>
    <row r="1145" spans="1:21" ht="15" customHeight="1" x14ac:dyDescent="0.25">
      <c r="A1145" s="29">
        <f>Dataset!A1145</f>
        <v>1141</v>
      </c>
      <c r="B1145" s="29">
        <f>IF(Dataset!B1145&lt;25,0.3,IF(Dataset!B1145&lt;75,0.5,IF(Dataset!B1145&lt;120,0.65,0.8)))</f>
        <v>0.5</v>
      </c>
      <c r="C1145" s="29">
        <f>IF(Dataset!B1145&lt;25,1,IF(Dataset!B1145&lt;75,2,IF(Dataset!B1145&lt;120,3,4)))</f>
        <v>2</v>
      </c>
      <c r="D1145" s="29">
        <f t="shared" si="136"/>
        <v>1</v>
      </c>
      <c r="E1145" s="29">
        <f>IF(Dataset!C1145&lt;=1,0.3,IF(Dataset!C1145=2,0.4,IF(Dataset!C1145=3,0.5,IF(Dataset!C1145=4,0.65,0.8))))</f>
        <v>0.3</v>
      </c>
      <c r="F1145" s="29">
        <f>IF(Dataset!C1145&lt;=2,1,IF(Dataset!C1145=3,2,IF(Dataset!C1145=4,3,4)))</f>
        <v>1</v>
      </c>
      <c r="G1145" s="29">
        <f t="shared" si="137"/>
        <v>0.3</v>
      </c>
      <c r="H1145" s="29">
        <f>IF(Dataset!G1145&lt;=3,0.25,IF(Dataset!G1145&lt;=6,0.45,IF(Dataset!G1145&lt;=9,0.65,0.85)))</f>
        <v>0.65</v>
      </c>
      <c r="I1145" s="29">
        <f>IF(Dataset!G1145&lt;=3,1,IF(Dataset!G1145&lt;=6,2,IF(Dataset!G1145&lt;=9,3,4)))</f>
        <v>3</v>
      </c>
      <c r="J1145" s="29">
        <f t="shared" si="138"/>
        <v>1.9500000000000002</v>
      </c>
      <c r="K1145" s="29">
        <f>IF(Dataset!H1145&lt;1,0.2,IF(Dataset!H1145&lt;1.3,0.45,IF(Dataset!H1145&lt;1.8,0.7,0.9)))</f>
        <v>0.9</v>
      </c>
      <c r="L1145" s="29">
        <f>IF(Dataset!H1145&lt;1,1,IF(Dataset!H1145&lt;1.3,2,IF(Dataset!H1145&lt;1.8,3,4)))</f>
        <v>4</v>
      </c>
      <c r="M1145" s="29">
        <f t="shared" si="139"/>
        <v>3.6</v>
      </c>
      <c r="N1145" s="29">
        <f>IF(Dataset!F1145=1,0.75,IF(Dataset!F1145=2,0.45,0.2))</f>
        <v>0.75</v>
      </c>
      <c r="O1145" s="29">
        <f>IF(Dataset!F1145=1,3,IF(Dataset!F1145=2,2,1))</f>
        <v>3</v>
      </c>
      <c r="P1145" s="29">
        <f t="shared" si="140"/>
        <v>2.25</v>
      </c>
      <c r="Q1145" s="29">
        <f>IF(Dataset!K1145&lt;5,0.2,IF(Dataset!K1145&lt;10,0.45,IF(Dataset!K1145&lt;18,0.7,0.9)))</f>
        <v>0.2</v>
      </c>
      <c r="R1145" s="29">
        <f>IF(Dataset!K1145&lt;5,1,IF(Dataset!K1145&lt;10,2,IF(Dataset!K1145&lt;18,3,4)))</f>
        <v>1</v>
      </c>
      <c r="S1145" s="29">
        <f t="shared" si="141"/>
        <v>0.2</v>
      </c>
      <c r="T1145" s="29">
        <f t="shared" si="142"/>
        <v>1.7290000000000001</v>
      </c>
      <c r="U1145" s="29" t="str">
        <f t="shared" si="143"/>
        <v>Medium</v>
      </c>
    </row>
    <row r="1146" spans="1:21" ht="15" customHeight="1" x14ac:dyDescent="0.25">
      <c r="A1146" s="29">
        <f>Dataset!A1146</f>
        <v>1142</v>
      </c>
      <c r="B1146" s="29">
        <f>IF(Dataset!B1146&lt;25,0.3,IF(Dataset!B1146&lt;75,0.5,IF(Dataset!B1146&lt;120,0.65,0.8)))</f>
        <v>0.8</v>
      </c>
      <c r="C1146" s="29">
        <f>IF(Dataset!B1146&lt;25,1,IF(Dataset!B1146&lt;75,2,IF(Dataset!B1146&lt;120,3,4)))</f>
        <v>4</v>
      </c>
      <c r="D1146" s="29">
        <f t="shared" si="136"/>
        <v>3.2</v>
      </c>
      <c r="E1146" s="29">
        <f>IF(Dataset!C1146&lt;=1,0.3,IF(Dataset!C1146=2,0.4,IF(Dataset!C1146=3,0.5,IF(Dataset!C1146=4,0.65,0.8))))</f>
        <v>0.3</v>
      </c>
      <c r="F1146" s="29">
        <f>IF(Dataset!C1146&lt;=2,1,IF(Dataset!C1146=3,2,IF(Dataset!C1146=4,3,4)))</f>
        <v>1</v>
      </c>
      <c r="G1146" s="29">
        <f t="shared" si="137"/>
        <v>0.3</v>
      </c>
      <c r="H1146" s="29">
        <f>IF(Dataset!G1146&lt;=3,0.25,IF(Dataset!G1146&lt;=6,0.45,IF(Dataset!G1146&lt;=9,0.65,0.85)))</f>
        <v>0.45</v>
      </c>
      <c r="I1146" s="29">
        <f>IF(Dataset!G1146&lt;=3,1,IF(Dataset!G1146&lt;=6,2,IF(Dataset!G1146&lt;=9,3,4)))</f>
        <v>2</v>
      </c>
      <c r="J1146" s="29">
        <f t="shared" si="138"/>
        <v>0.9</v>
      </c>
      <c r="K1146" s="29">
        <f>IF(Dataset!H1146&lt;1,0.2,IF(Dataset!H1146&lt;1.3,0.45,IF(Dataset!H1146&lt;1.8,0.7,0.9)))</f>
        <v>0.9</v>
      </c>
      <c r="L1146" s="29">
        <f>IF(Dataset!H1146&lt;1,1,IF(Dataset!H1146&lt;1.3,2,IF(Dataset!H1146&lt;1.8,3,4)))</f>
        <v>4</v>
      </c>
      <c r="M1146" s="29">
        <f t="shared" si="139"/>
        <v>3.6</v>
      </c>
      <c r="N1146" s="29">
        <f>IF(Dataset!F1146=1,0.75,IF(Dataset!F1146=2,0.45,0.2))</f>
        <v>0.2</v>
      </c>
      <c r="O1146" s="29">
        <f>IF(Dataset!F1146=1,3,IF(Dataset!F1146=2,2,1))</f>
        <v>1</v>
      </c>
      <c r="P1146" s="29">
        <f t="shared" si="140"/>
        <v>0.2</v>
      </c>
      <c r="Q1146" s="29">
        <f>IF(Dataset!K1146&lt;5,0.2,IF(Dataset!K1146&lt;10,0.45,IF(Dataset!K1146&lt;18,0.7,0.9)))</f>
        <v>0.2</v>
      </c>
      <c r="R1146" s="29">
        <f>IF(Dataset!K1146&lt;5,1,IF(Dataset!K1146&lt;10,2,IF(Dataset!K1146&lt;18,3,4)))</f>
        <v>1</v>
      </c>
      <c r="S1146" s="29">
        <f t="shared" si="141"/>
        <v>0.2</v>
      </c>
      <c r="T1146" s="29">
        <f t="shared" si="142"/>
        <v>1.71</v>
      </c>
      <c r="U1146" s="29" t="str">
        <f t="shared" si="143"/>
        <v>Medium</v>
      </c>
    </row>
    <row r="1147" spans="1:21" ht="15" customHeight="1" x14ac:dyDescent="0.25">
      <c r="A1147" s="29">
        <f>Dataset!A1147</f>
        <v>1143</v>
      </c>
      <c r="B1147" s="29">
        <f>IF(Dataset!B1147&lt;25,0.3,IF(Dataset!B1147&lt;75,0.5,IF(Dataset!B1147&lt;120,0.65,0.8)))</f>
        <v>0.65</v>
      </c>
      <c r="C1147" s="29">
        <f>IF(Dataset!B1147&lt;25,1,IF(Dataset!B1147&lt;75,2,IF(Dataset!B1147&lt;120,3,4)))</f>
        <v>3</v>
      </c>
      <c r="D1147" s="29">
        <f t="shared" si="136"/>
        <v>1.9500000000000002</v>
      </c>
      <c r="E1147" s="29">
        <f>IF(Dataset!C1147&lt;=1,0.3,IF(Dataset!C1147=2,0.4,IF(Dataset!C1147=3,0.5,IF(Dataset!C1147=4,0.65,0.8))))</f>
        <v>0.5</v>
      </c>
      <c r="F1147" s="29">
        <f>IF(Dataset!C1147&lt;=2,1,IF(Dataset!C1147=3,2,IF(Dataset!C1147=4,3,4)))</f>
        <v>2</v>
      </c>
      <c r="G1147" s="29">
        <f t="shared" si="137"/>
        <v>1</v>
      </c>
      <c r="H1147" s="29">
        <f>IF(Dataset!G1147&lt;=3,0.25,IF(Dataset!G1147&lt;=6,0.45,IF(Dataset!G1147&lt;=9,0.65,0.85)))</f>
        <v>0.45</v>
      </c>
      <c r="I1147" s="29">
        <f>IF(Dataset!G1147&lt;=3,1,IF(Dataset!G1147&lt;=6,2,IF(Dataset!G1147&lt;=9,3,4)))</f>
        <v>2</v>
      </c>
      <c r="J1147" s="29">
        <f t="shared" si="138"/>
        <v>0.9</v>
      </c>
      <c r="K1147" s="29">
        <f>IF(Dataset!H1147&lt;1,0.2,IF(Dataset!H1147&lt;1.3,0.45,IF(Dataset!H1147&lt;1.8,0.7,0.9)))</f>
        <v>0.7</v>
      </c>
      <c r="L1147" s="29">
        <f>IF(Dataset!H1147&lt;1,1,IF(Dataset!H1147&lt;1.3,2,IF(Dataset!H1147&lt;1.8,3,4)))</f>
        <v>3</v>
      </c>
      <c r="M1147" s="29">
        <f t="shared" si="139"/>
        <v>2.0999999999999996</v>
      </c>
      <c r="N1147" s="29">
        <f>IF(Dataset!F1147=1,0.75,IF(Dataset!F1147=2,0.45,0.2))</f>
        <v>0.75</v>
      </c>
      <c r="O1147" s="29">
        <f>IF(Dataset!F1147=1,3,IF(Dataset!F1147=2,2,1))</f>
        <v>3</v>
      </c>
      <c r="P1147" s="29">
        <f t="shared" si="140"/>
        <v>2.25</v>
      </c>
      <c r="Q1147" s="29">
        <f>IF(Dataset!K1147&lt;5,0.2,IF(Dataset!K1147&lt;10,0.45,IF(Dataset!K1147&lt;18,0.7,0.9)))</f>
        <v>0.45</v>
      </c>
      <c r="R1147" s="29">
        <f>IF(Dataset!K1147&lt;5,1,IF(Dataset!K1147&lt;10,2,IF(Dataset!K1147&lt;18,3,4)))</f>
        <v>2</v>
      </c>
      <c r="S1147" s="29">
        <f t="shared" si="141"/>
        <v>0.9</v>
      </c>
      <c r="T1147" s="29">
        <f t="shared" si="142"/>
        <v>1.526</v>
      </c>
      <c r="U1147" s="29" t="str">
        <f t="shared" si="143"/>
        <v>Medium</v>
      </c>
    </row>
    <row r="1148" spans="1:21" ht="15" customHeight="1" x14ac:dyDescent="0.25">
      <c r="A1148" s="29">
        <f>Dataset!A1148</f>
        <v>1144</v>
      </c>
      <c r="B1148" s="29">
        <f>IF(Dataset!B1148&lt;25,0.3,IF(Dataset!B1148&lt;75,0.5,IF(Dataset!B1148&lt;120,0.65,0.8)))</f>
        <v>0.8</v>
      </c>
      <c r="C1148" s="29">
        <f>IF(Dataset!B1148&lt;25,1,IF(Dataset!B1148&lt;75,2,IF(Dataset!B1148&lt;120,3,4)))</f>
        <v>4</v>
      </c>
      <c r="D1148" s="29">
        <f t="shared" si="136"/>
        <v>3.2</v>
      </c>
      <c r="E1148" s="29">
        <f>IF(Dataset!C1148&lt;=1,0.3,IF(Dataset!C1148=2,0.4,IF(Dataset!C1148=3,0.5,IF(Dataset!C1148=4,0.65,0.8))))</f>
        <v>0.8</v>
      </c>
      <c r="F1148" s="29">
        <f>IF(Dataset!C1148&lt;=2,1,IF(Dataset!C1148=3,2,IF(Dataset!C1148=4,3,4)))</f>
        <v>4</v>
      </c>
      <c r="G1148" s="29">
        <f t="shared" si="137"/>
        <v>3.2</v>
      </c>
      <c r="H1148" s="29">
        <f>IF(Dataset!G1148&lt;=3,0.25,IF(Dataset!G1148&lt;=6,0.45,IF(Dataset!G1148&lt;=9,0.65,0.85)))</f>
        <v>0.45</v>
      </c>
      <c r="I1148" s="29">
        <f>IF(Dataset!G1148&lt;=3,1,IF(Dataset!G1148&lt;=6,2,IF(Dataset!G1148&lt;=9,3,4)))</f>
        <v>2</v>
      </c>
      <c r="J1148" s="29">
        <f t="shared" si="138"/>
        <v>0.9</v>
      </c>
      <c r="K1148" s="29">
        <f>IF(Dataset!H1148&lt;1,0.2,IF(Dataset!H1148&lt;1.3,0.45,IF(Dataset!H1148&lt;1.8,0.7,0.9)))</f>
        <v>0.7</v>
      </c>
      <c r="L1148" s="29">
        <f>IF(Dataset!H1148&lt;1,1,IF(Dataset!H1148&lt;1.3,2,IF(Dataset!H1148&lt;1.8,3,4)))</f>
        <v>3</v>
      </c>
      <c r="M1148" s="29">
        <f t="shared" si="139"/>
        <v>2.0999999999999996</v>
      </c>
      <c r="N1148" s="29">
        <f>IF(Dataset!F1148=1,0.75,IF(Dataset!F1148=2,0.45,0.2))</f>
        <v>0.45</v>
      </c>
      <c r="O1148" s="29">
        <f>IF(Dataset!F1148=1,3,IF(Dataset!F1148=2,2,1))</f>
        <v>2</v>
      </c>
      <c r="P1148" s="29">
        <f t="shared" si="140"/>
        <v>0.9</v>
      </c>
      <c r="Q1148" s="29">
        <f>IF(Dataset!K1148&lt;5,0.2,IF(Dataset!K1148&lt;10,0.45,IF(Dataset!K1148&lt;18,0.7,0.9)))</f>
        <v>0.7</v>
      </c>
      <c r="R1148" s="29">
        <f>IF(Dataset!K1148&lt;5,1,IF(Dataset!K1148&lt;10,2,IF(Dataset!K1148&lt;18,3,4)))</f>
        <v>3</v>
      </c>
      <c r="S1148" s="29">
        <f t="shared" si="141"/>
        <v>2.0999999999999996</v>
      </c>
      <c r="T1148" s="29">
        <f t="shared" si="142"/>
        <v>2.0919999999999996</v>
      </c>
      <c r="U1148" s="29" t="str">
        <f t="shared" si="143"/>
        <v>High</v>
      </c>
    </row>
    <row r="1149" spans="1:21" ht="15" customHeight="1" x14ac:dyDescent="0.25">
      <c r="A1149" s="29">
        <f>Dataset!A1149</f>
        <v>1145</v>
      </c>
      <c r="B1149" s="29">
        <f>IF(Dataset!B1149&lt;25,0.3,IF(Dataset!B1149&lt;75,0.5,IF(Dataset!B1149&lt;120,0.65,0.8)))</f>
        <v>0.3</v>
      </c>
      <c r="C1149" s="29">
        <f>IF(Dataset!B1149&lt;25,1,IF(Dataset!B1149&lt;75,2,IF(Dataset!B1149&lt;120,3,4)))</f>
        <v>1</v>
      </c>
      <c r="D1149" s="29">
        <f t="shared" si="136"/>
        <v>0.3</v>
      </c>
      <c r="E1149" s="29">
        <f>IF(Dataset!C1149&lt;=1,0.3,IF(Dataset!C1149=2,0.4,IF(Dataset!C1149=3,0.5,IF(Dataset!C1149=4,0.65,0.8))))</f>
        <v>0.5</v>
      </c>
      <c r="F1149" s="29">
        <f>IF(Dataset!C1149&lt;=2,1,IF(Dataset!C1149=3,2,IF(Dataset!C1149=4,3,4)))</f>
        <v>2</v>
      </c>
      <c r="G1149" s="29">
        <f t="shared" si="137"/>
        <v>1</v>
      </c>
      <c r="H1149" s="29">
        <f>IF(Dataset!G1149&lt;=3,0.25,IF(Dataset!G1149&lt;=6,0.45,IF(Dataset!G1149&lt;=9,0.65,0.85)))</f>
        <v>0.25</v>
      </c>
      <c r="I1149" s="29">
        <f>IF(Dataset!G1149&lt;=3,1,IF(Dataset!G1149&lt;=6,2,IF(Dataset!G1149&lt;=9,3,4)))</f>
        <v>1</v>
      </c>
      <c r="J1149" s="29">
        <f t="shared" si="138"/>
        <v>0.25</v>
      </c>
      <c r="K1149" s="29">
        <f>IF(Dataset!H1149&lt;1,0.2,IF(Dataset!H1149&lt;1.3,0.45,IF(Dataset!H1149&lt;1.8,0.7,0.9)))</f>
        <v>0.9</v>
      </c>
      <c r="L1149" s="29">
        <f>IF(Dataset!H1149&lt;1,1,IF(Dataset!H1149&lt;1.3,2,IF(Dataset!H1149&lt;1.8,3,4)))</f>
        <v>4</v>
      </c>
      <c r="M1149" s="29">
        <f t="shared" si="139"/>
        <v>3.6</v>
      </c>
      <c r="N1149" s="29">
        <f>IF(Dataset!F1149=1,0.75,IF(Dataset!F1149=2,0.45,0.2))</f>
        <v>0.45</v>
      </c>
      <c r="O1149" s="29">
        <f>IF(Dataset!F1149=1,3,IF(Dataset!F1149=2,2,1))</f>
        <v>2</v>
      </c>
      <c r="P1149" s="29">
        <f t="shared" si="140"/>
        <v>0.9</v>
      </c>
      <c r="Q1149" s="29">
        <f>IF(Dataset!K1149&lt;5,0.2,IF(Dataset!K1149&lt;10,0.45,IF(Dataset!K1149&lt;18,0.7,0.9)))</f>
        <v>0.45</v>
      </c>
      <c r="R1149" s="29">
        <f>IF(Dataset!K1149&lt;5,1,IF(Dataset!K1149&lt;10,2,IF(Dataset!K1149&lt;18,3,4)))</f>
        <v>2</v>
      </c>
      <c r="S1149" s="29">
        <f t="shared" si="141"/>
        <v>0.9</v>
      </c>
      <c r="T1149" s="29">
        <f t="shared" si="142"/>
        <v>1.3240000000000003</v>
      </c>
      <c r="U1149" s="29" t="str">
        <f t="shared" si="143"/>
        <v>Low</v>
      </c>
    </row>
    <row r="1150" spans="1:21" ht="15" customHeight="1" x14ac:dyDescent="0.25">
      <c r="A1150" s="29">
        <f>Dataset!A1150</f>
        <v>1146</v>
      </c>
      <c r="B1150" s="29">
        <f>IF(Dataset!B1150&lt;25,0.3,IF(Dataset!B1150&lt;75,0.5,IF(Dataset!B1150&lt;120,0.65,0.8)))</f>
        <v>0.3</v>
      </c>
      <c r="C1150" s="29">
        <f>IF(Dataset!B1150&lt;25,1,IF(Dataset!B1150&lt;75,2,IF(Dataset!B1150&lt;120,3,4)))</f>
        <v>1</v>
      </c>
      <c r="D1150" s="29">
        <f t="shared" si="136"/>
        <v>0.3</v>
      </c>
      <c r="E1150" s="29">
        <f>IF(Dataset!C1150&lt;=1,0.3,IF(Dataset!C1150=2,0.4,IF(Dataset!C1150=3,0.5,IF(Dataset!C1150=4,0.65,0.8))))</f>
        <v>0.8</v>
      </c>
      <c r="F1150" s="29">
        <f>IF(Dataset!C1150&lt;=2,1,IF(Dataset!C1150=3,2,IF(Dataset!C1150=4,3,4)))</f>
        <v>4</v>
      </c>
      <c r="G1150" s="29">
        <f t="shared" si="137"/>
        <v>3.2</v>
      </c>
      <c r="H1150" s="29">
        <f>IF(Dataset!G1150&lt;=3,0.25,IF(Dataset!G1150&lt;=6,0.45,IF(Dataset!G1150&lt;=9,0.65,0.85)))</f>
        <v>0.65</v>
      </c>
      <c r="I1150" s="29">
        <f>IF(Dataset!G1150&lt;=3,1,IF(Dataset!G1150&lt;=6,2,IF(Dataset!G1150&lt;=9,3,4)))</f>
        <v>3</v>
      </c>
      <c r="J1150" s="29">
        <f t="shared" si="138"/>
        <v>1.9500000000000002</v>
      </c>
      <c r="K1150" s="29">
        <f>IF(Dataset!H1150&lt;1,0.2,IF(Dataset!H1150&lt;1.3,0.45,IF(Dataset!H1150&lt;1.8,0.7,0.9)))</f>
        <v>0.7</v>
      </c>
      <c r="L1150" s="29">
        <f>IF(Dataset!H1150&lt;1,1,IF(Dataset!H1150&lt;1.3,2,IF(Dataset!H1150&lt;1.8,3,4)))</f>
        <v>3</v>
      </c>
      <c r="M1150" s="29">
        <f t="shared" si="139"/>
        <v>2.0999999999999996</v>
      </c>
      <c r="N1150" s="29">
        <f>IF(Dataset!F1150=1,0.75,IF(Dataset!F1150=2,0.45,0.2))</f>
        <v>0.2</v>
      </c>
      <c r="O1150" s="29">
        <f>IF(Dataset!F1150=1,3,IF(Dataset!F1150=2,2,1))</f>
        <v>1</v>
      </c>
      <c r="P1150" s="29">
        <f t="shared" si="140"/>
        <v>0.2</v>
      </c>
      <c r="Q1150" s="29">
        <f>IF(Dataset!K1150&lt;5,0.2,IF(Dataset!K1150&lt;10,0.45,IF(Dataset!K1150&lt;18,0.7,0.9)))</f>
        <v>0.7</v>
      </c>
      <c r="R1150" s="29">
        <f>IF(Dataset!K1150&lt;5,1,IF(Dataset!K1150&lt;10,2,IF(Dataset!K1150&lt;18,3,4)))</f>
        <v>3</v>
      </c>
      <c r="S1150" s="29">
        <f t="shared" si="141"/>
        <v>2.0999999999999996</v>
      </c>
      <c r="T1150" s="29">
        <f t="shared" si="142"/>
        <v>1.71</v>
      </c>
      <c r="U1150" s="29" t="str">
        <f t="shared" si="143"/>
        <v>Medium</v>
      </c>
    </row>
    <row r="1151" spans="1:21" ht="15" customHeight="1" x14ac:dyDescent="0.25">
      <c r="A1151" s="29">
        <f>Dataset!A1151</f>
        <v>1147</v>
      </c>
      <c r="B1151" s="29">
        <f>IF(Dataset!B1151&lt;25,0.3,IF(Dataset!B1151&lt;75,0.5,IF(Dataset!B1151&lt;120,0.65,0.8)))</f>
        <v>0.5</v>
      </c>
      <c r="C1151" s="29">
        <f>IF(Dataset!B1151&lt;25,1,IF(Dataset!B1151&lt;75,2,IF(Dataset!B1151&lt;120,3,4)))</f>
        <v>2</v>
      </c>
      <c r="D1151" s="29">
        <f t="shared" si="136"/>
        <v>1</v>
      </c>
      <c r="E1151" s="29">
        <f>IF(Dataset!C1151&lt;=1,0.3,IF(Dataset!C1151=2,0.4,IF(Dataset!C1151=3,0.5,IF(Dataset!C1151=4,0.65,0.8))))</f>
        <v>0.8</v>
      </c>
      <c r="F1151" s="29">
        <f>IF(Dataset!C1151&lt;=2,1,IF(Dataset!C1151=3,2,IF(Dataset!C1151=4,3,4)))</f>
        <v>4</v>
      </c>
      <c r="G1151" s="29">
        <f t="shared" si="137"/>
        <v>3.2</v>
      </c>
      <c r="H1151" s="29">
        <f>IF(Dataset!G1151&lt;=3,0.25,IF(Dataset!G1151&lt;=6,0.45,IF(Dataset!G1151&lt;=9,0.65,0.85)))</f>
        <v>0.45</v>
      </c>
      <c r="I1151" s="29">
        <f>IF(Dataset!G1151&lt;=3,1,IF(Dataset!G1151&lt;=6,2,IF(Dataset!G1151&lt;=9,3,4)))</f>
        <v>2</v>
      </c>
      <c r="J1151" s="29">
        <f t="shared" si="138"/>
        <v>0.9</v>
      </c>
      <c r="K1151" s="29">
        <f>IF(Dataset!H1151&lt;1,0.2,IF(Dataset!H1151&lt;1.3,0.45,IF(Dataset!H1151&lt;1.8,0.7,0.9)))</f>
        <v>0.9</v>
      </c>
      <c r="L1151" s="29">
        <f>IF(Dataset!H1151&lt;1,1,IF(Dataset!H1151&lt;1.3,2,IF(Dataset!H1151&lt;1.8,3,4)))</f>
        <v>4</v>
      </c>
      <c r="M1151" s="29">
        <f t="shared" si="139"/>
        <v>3.6</v>
      </c>
      <c r="N1151" s="29">
        <f>IF(Dataset!F1151=1,0.75,IF(Dataset!F1151=2,0.45,0.2))</f>
        <v>0.75</v>
      </c>
      <c r="O1151" s="29">
        <f>IF(Dataset!F1151=1,3,IF(Dataset!F1151=2,2,1))</f>
        <v>3</v>
      </c>
      <c r="P1151" s="29">
        <f t="shared" si="140"/>
        <v>2.25</v>
      </c>
      <c r="Q1151" s="29">
        <f>IF(Dataset!K1151&lt;5,0.2,IF(Dataset!K1151&lt;10,0.45,IF(Dataset!K1151&lt;18,0.7,0.9)))</f>
        <v>0.9</v>
      </c>
      <c r="R1151" s="29">
        <f>IF(Dataset!K1151&lt;5,1,IF(Dataset!K1151&lt;10,2,IF(Dataset!K1151&lt;18,3,4)))</f>
        <v>4</v>
      </c>
      <c r="S1151" s="29">
        <f t="shared" si="141"/>
        <v>3.6</v>
      </c>
      <c r="T1151" s="29">
        <f t="shared" si="142"/>
        <v>2.4010000000000002</v>
      </c>
      <c r="U1151" s="29" t="str">
        <f t="shared" si="143"/>
        <v>High</v>
      </c>
    </row>
    <row r="1152" spans="1:21" ht="15" customHeight="1" x14ac:dyDescent="0.25">
      <c r="A1152" s="29">
        <f>Dataset!A1152</f>
        <v>1148</v>
      </c>
      <c r="B1152" s="29">
        <f>IF(Dataset!B1152&lt;25,0.3,IF(Dataset!B1152&lt;75,0.5,IF(Dataset!B1152&lt;120,0.65,0.8)))</f>
        <v>0.5</v>
      </c>
      <c r="C1152" s="29">
        <f>IF(Dataset!B1152&lt;25,1,IF(Dataset!B1152&lt;75,2,IF(Dataset!B1152&lt;120,3,4)))</f>
        <v>2</v>
      </c>
      <c r="D1152" s="29">
        <f t="shared" si="136"/>
        <v>1</v>
      </c>
      <c r="E1152" s="29">
        <f>IF(Dataset!C1152&lt;=1,0.3,IF(Dataset!C1152=2,0.4,IF(Dataset!C1152=3,0.5,IF(Dataset!C1152=4,0.65,0.8))))</f>
        <v>0.5</v>
      </c>
      <c r="F1152" s="29">
        <f>IF(Dataset!C1152&lt;=2,1,IF(Dataset!C1152=3,2,IF(Dataset!C1152=4,3,4)))</f>
        <v>2</v>
      </c>
      <c r="G1152" s="29">
        <f t="shared" si="137"/>
        <v>1</v>
      </c>
      <c r="H1152" s="29">
        <f>IF(Dataset!G1152&lt;=3,0.25,IF(Dataset!G1152&lt;=6,0.45,IF(Dataset!G1152&lt;=9,0.65,0.85)))</f>
        <v>0.85</v>
      </c>
      <c r="I1152" s="29">
        <f>IF(Dataset!G1152&lt;=3,1,IF(Dataset!G1152&lt;=6,2,IF(Dataset!G1152&lt;=9,3,4)))</f>
        <v>4</v>
      </c>
      <c r="J1152" s="29">
        <f t="shared" si="138"/>
        <v>3.4</v>
      </c>
      <c r="K1152" s="29">
        <f>IF(Dataset!H1152&lt;1,0.2,IF(Dataset!H1152&lt;1.3,0.45,IF(Dataset!H1152&lt;1.8,0.7,0.9)))</f>
        <v>0.2</v>
      </c>
      <c r="L1152" s="29">
        <f>IF(Dataset!H1152&lt;1,1,IF(Dataset!H1152&lt;1.3,2,IF(Dataset!H1152&lt;1.8,3,4)))</f>
        <v>1</v>
      </c>
      <c r="M1152" s="29">
        <f t="shared" si="139"/>
        <v>0.2</v>
      </c>
      <c r="N1152" s="29">
        <f>IF(Dataset!F1152=1,0.75,IF(Dataset!F1152=2,0.45,0.2))</f>
        <v>0.75</v>
      </c>
      <c r="O1152" s="29">
        <f>IF(Dataset!F1152=1,3,IF(Dataset!F1152=2,2,1))</f>
        <v>3</v>
      </c>
      <c r="P1152" s="29">
        <f t="shared" si="140"/>
        <v>2.25</v>
      </c>
      <c r="Q1152" s="29">
        <f>IF(Dataset!K1152&lt;5,0.2,IF(Dataset!K1152&lt;10,0.45,IF(Dataset!K1152&lt;18,0.7,0.9)))</f>
        <v>0.45</v>
      </c>
      <c r="R1152" s="29">
        <f>IF(Dataset!K1152&lt;5,1,IF(Dataset!K1152&lt;10,2,IF(Dataset!K1152&lt;18,3,4)))</f>
        <v>2</v>
      </c>
      <c r="S1152" s="29">
        <f t="shared" si="141"/>
        <v>0.9</v>
      </c>
      <c r="T1152" s="29">
        <f t="shared" si="142"/>
        <v>1.3990000000000002</v>
      </c>
      <c r="U1152" s="29" t="str">
        <f t="shared" si="143"/>
        <v>Medium</v>
      </c>
    </row>
    <row r="1153" spans="1:21" ht="15" customHeight="1" x14ac:dyDescent="0.25">
      <c r="A1153" s="29">
        <f>Dataset!A1153</f>
        <v>1149</v>
      </c>
      <c r="B1153" s="29">
        <f>IF(Dataset!B1153&lt;25,0.3,IF(Dataset!B1153&lt;75,0.5,IF(Dataset!B1153&lt;120,0.65,0.8)))</f>
        <v>0.65</v>
      </c>
      <c r="C1153" s="29">
        <f>IF(Dataset!B1153&lt;25,1,IF(Dataset!B1153&lt;75,2,IF(Dataset!B1153&lt;120,3,4)))</f>
        <v>3</v>
      </c>
      <c r="D1153" s="29">
        <f t="shared" si="136"/>
        <v>1.9500000000000002</v>
      </c>
      <c r="E1153" s="29">
        <f>IF(Dataset!C1153&lt;=1,0.3,IF(Dataset!C1153=2,0.4,IF(Dataset!C1153=3,0.5,IF(Dataset!C1153=4,0.65,0.8))))</f>
        <v>0.65</v>
      </c>
      <c r="F1153" s="29">
        <f>IF(Dataset!C1153&lt;=2,1,IF(Dataset!C1153=3,2,IF(Dataset!C1153=4,3,4)))</f>
        <v>3</v>
      </c>
      <c r="G1153" s="29">
        <f t="shared" si="137"/>
        <v>1.9500000000000002</v>
      </c>
      <c r="H1153" s="29">
        <f>IF(Dataset!G1153&lt;=3,0.25,IF(Dataset!G1153&lt;=6,0.45,IF(Dataset!G1153&lt;=9,0.65,0.85)))</f>
        <v>0.45</v>
      </c>
      <c r="I1153" s="29">
        <f>IF(Dataset!G1153&lt;=3,1,IF(Dataset!G1153&lt;=6,2,IF(Dataset!G1153&lt;=9,3,4)))</f>
        <v>2</v>
      </c>
      <c r="J1153" s="29">
        <f t="shared" si="138"/>
        <v>0.9</v>
      </c>
      <c r="K1153" s="29">
        <f>IF(Dataset!H1153&lt;1,0.2,IF(Dataset!H1153&lt;1.3,0.45,IF(Dataset!H1153&lt;1.8,0.7,0.9)))</f>
        <v>0.7</v>
      </c>
      <c r="L1153" s="29">
        <f>IF(Dataset!H1153&lt;1,1,IF(Dataset!H1153&lt;1.3,2,IF(Dataset!H1153&lt;1.8,3,4)))</f>
        <v>3</v>
      </c>
      <c r="M1153" s="29">
        <f t="shared" si="139"/>
        <v>2.0999999999999996</v>
      </c>
      <c r="N1153" s="29">
        <f>IF(Dataset!F1153=1,0.75,IF(Dataset!F1153=2,0.45,0.2))</f>
        <v>0.2</v>
      </c>
      <c r="O1153" s="29">
        <f>IF(Dataset!F1153=1,3,IF(Dataset!F1153=2,2,1))</f>
        <v>1</v>
      </c>
      <c r="P1153" s="29">
        <f t="shared" si="140"/>
        <v>0.2</v>
      </c>
      <c r="Q1153" s="29">
        <f>IF(Dataset!K1153&lt;5,0.2,IF(Dataset!K1153&lt;10,0.45,IF(Dataset!K1153&lt;18,0.7,0.9)))</f>
        <v>0.7</v>
      </c>
      <c r="R1153" s="29">
        <f>IF(Dataset!K1153&lt;5,1,IF(Dataset!K1153&lt;10,2,IF(Dataset!K1153&lt;18,3,4)))</f>
        <v>3</v>
      </c>
      <c r="S1153" s="29">
        <f t="shared" si="141"/>
        <v>2.0999999999999996</v>
      </c>
      <c r="T1153" s="29">
        <f t="shared" si="142"/>
        <v>1.6220000000000001</v>
      </c>
      <c r="U1153" s="29" t="str">
        <f t="shared" si="143"/>
        <v>Medium</v>
      </c>
    </row>
    <row r="1154" spans="1:21" ht="15" customHeight="1" x14ac:dyDescent="0.25">
      <c r="A1154" s="29">
        <f>Dataset!A1154</f>
        <v>1150</v>
      </c>
      <c r="B1154" s="29">
        <f>IF(Dataset!B1154&lt;25,0.3,IF(Dataset!B1154&lt;75,0.5,IF(Dataset!B1154&lt;120,0.65,0.8)))</f>
        <v>0.5</v>
      </c>
      <c r="C1154" s="29">
        <f>IF(Dataset!B1154&lt;25,1,IF(Dataset!B1154&lt;75,2,IF(Dataset!B1154&lt;120,3,4)))</f>
        <v>2</v>
      </c>
      <c r="D1154" s="29">
        <f t="shared" si="136"/>
        <v>1</v>
      </c>
      <c r="E1154" s="29">
        <f>IF(Dataset!C1154&lt;=1,0.3,IF(Dataset!C1154=2,0.4,IF(Dataset!C1154=3,0.5,IF(Dataset!C1154=4,0.65,0.8))))</f>
        <v>0.65</v>
      </c>
      <c r="F1154" s="29">
        <f>IF(Dataset!C1154&lt;=2,1,IF(Dataset!C1154=3,2,IF(Dataset!C1154=4,3,4)))</f>
        <v>3</v>
      </c>
      <c r="G1154" s="29">
        <f t="shared" si="137"/>
        <v>1.9500000000000002</v>
      </c>
      <c r="H1154" s="29">
        <f>IF(Dataset!G1154&lt;=3,0.25,IF(Dataset!G1154&lt;=6,0.45,IF(Dataset!G1154&lt;=9,0.65,0.85)))</f>
        <v>0.85</v>
      </c>
      <c r="I1154" s="29">
        <f>IF(Dataset!G1154&lt;=3,1,IF(Dataset!G1154&lt;=6,2,IF(Dataset!G1154&lt;=9,3,4)))</f>
        <v>4</v>
      </c>
      <c r="J1154" s="29">
        <f t="shared" si="138"/>
        <v>3.4</v>
      </c>
      <c r="K1154" s="29">
        <f>IF(Dataset!H1154&lt;1,0.2,IF(Dataset!H1154&lt;1.3,0.45,IF(Dataset!H1154&lt;1.8,0.7,0.9)))</f>
        <v>0.9</v>
      </c>
      <c r="L1154" s="29">
        <f>IF(Dataset!H1154&lt;1,1,IF(Dataset!H1154&lt;1.3,2,IF(Dataset!H1154&lt;1.8,3,4)))</f>
        <v>4</v>
      </c>
      <c r="M1154" s="29">
        <f t="shared" si="139"/>
        <v>3.6</v>
      </c>
      <c r="N1154" s="29">
        <f>IF(Dataset!F1154=1,0.75,IF(Dataset!F1154=2,0.45,0.2))</f>
        <v>0.75</v>
      </c>
      <c r="O1154" s="29">
        <f>IF(Dataset!F1154=1,3,IF(Dataset!F1154=2,2,1))</f>
        <v>3</v>
      </c>
      <c r="P1154" s="29">
        <f t="shared" si="140"/>
        <v>2.25</v>
      </c>
      <c r="Q1154" s="29">
        <f>IF(Dataset!K1154&lt;5,0.2,IF(Dataset!K1154&lt;10,0.45,IF(Dataset!K1154&lt;18,0.7,0.9)))</f>
        <v>0.7</v>
      </c>
      <c r="R1154" s="29">
        <f>IF(Dataset!K1154&lt;5,1,IF(Dataset!K1154&lt;10,2,IF(Dataset!K1154&lt;18,3,4)))</f>
        <v>3</v>
      </c>
      <c r="S1154" s="29">
        <f t="shared" si="141"/>
        <v>2.0999999999999996</v>
      </c>
      <c r="T1154" s="29">
        <f t="shared" si="142"/>
        <v>2.516</v>
      </c>
      <c r="U1154" s="29" t="str">
        <f t="shared" si="143"/>
        <v>High</v>
      </c>
    </row>
    <row r="1155" spans="1:21" ht="15" customHeight="1" x14ac:dyDescent="0.25">
      <c r="A1155" s="29">
        <f>Dataset!A1155</f>
        <v>1151</v>
      </c>
      <c r="B1155" s="29">
        <f>IF(Dataset!B1155&lt;25,0.3,IF(Dataset!B1155&lt;75,0.5,IF(Dataset!B1155&lt;120,0.65,0.8)))</f>
        <v>0.8</v>
      </c>
      <c r="C1155" s="29">
        <f>IF(Dataset!B1155&lt;25,1,IF(Dataset!B1155&lt;75,2,IF(Dataset!B1155&lt;120,3,4)))</f>
        <v>4</v>
      </c>
      <c r="D1155" s="29">
        <f t="shared" si="136"/>
        <v>3.2</v>
      </c>
      <c r="E1155" s="29">
        <f>IF(Dataset!C1155&lt;=1,0.3,IF(Dataset!C1155=2,0.4,IF(Dataset!C1155=3,0.5,IF(Dataset!C1155=4,0.65,0.8))))</f>
        <v>0.5</v>
      </c>
      <c r="F1155" s="29">
        <f>IF(Dataset!C1155&lt;=2,1,IF(Dataset!C1155=3,2,IF(Dataset!C1155=4,3,4)))</f>
        <v>2</v>
      </c>
      <c r="G1155" s="29">
        <f t="shared" si="137"/>
        <v>1</v>
      </c>
      <c r="H1155" s="29">
        <f>IF(Dataset!G1155&lt;=3,0.25,IF(Dataset!G1155&lt;=6,0.45,IF(Dataset!G1155&lt;=9,0.65,0.85)))</f>
        <v>0.65</v>
      </c>
      <c r="I1155" s="29">
        <f>IF(Dataset!G1155&lt;=3,1,IF(Dataset!G1155&lt;=6,2,IF(Dataset!G1155&lt;=9,3,4)))</f>
        <v>3</v>
      </c>
      <c r="J1155" s="29">
        <f t="shared" si="138"/>
        <v>1.9500000000000002</v>
      </c>
      <c r="K1155" s="29">
        <f>IF(Dataset!H1155&lt;1,0.2,IF(Dataset!H1155&lt;1.3,0.45,IF(Dataset!H1155&lt;1.8,0.7,0.9)))</f>
        <v>0.9</v>
      </c>
      <c r="L1155" s="29">
        <f>IF(Dataset!H1155&lt;1,1,IF(Dataset!H1155&lt;1.3,2,IF(Dataset!H1155&lt;1.8,3,4)))</f>
        <v>4</v>
      </c>
      <c r="M1155" s="29">
        <f t="shared" si="139"/>
        <v>3.6</v>
      </c>
      <c r="N1155" s="29">
        <f>IF(Dataset!F1155=1,0.75,IF(Dataset!F1155=2,0.45,0.2))</f>
        <v>0.45</v>
      </c>
      <c r="O1155" s="29">
        <f>IF(Dataset!F1155=1,3,IF(Dataset!F1155=2,2,1))</f>
        <v>2</v>
      </c>
      <c r="P1155" s="29">
        <f t="shared" si="140"/>
        <v>0.9</v>
      </c>
      <c r="Q1155" s="29">
        <f>IF(Dataset!K1155&lt;5,0.2,IF(Dataset!K1155&lt;10,0.45,IF(Dataset!K1155&lt;18,0.7,0.9)))</f>
        <v>0.45</v>
      </c>
      <c r="R1155" s="29">
        <f>IF(Dataset!K1155&lt;5,1,IF(Dataset!K1155&lt;10,2,IF(Dataset!K1155&lt;18,3,4)))</f>
        <v>2</v>
      </c>
      <c r="S1155" s="29">
        <f t="shared" si="141"/>
        <v>0.9</v>
      </c>
      <c r="T1155" s="29">
        <f t="shared" si="142"/>
        <v>2.1859999999999999</v>
      </c>
      <c r="U1155" s="29" t="str">
        <f t="shared" si="143"/>
        <v>High</v>
      </c>
    </row>
    <row r="1156" spans="1:21" ht="15" customHeight="1" x14ac:dyDescent="0.25">
      <c r="A1156" s="29">
        <f>Dataset!A1156</f>
        <v>1152</v>
      </c>
      <c r="B1156" s="29">
        <f>IF(Dataset!B1156&lt;25,0.3,IF(Dataset!B1156&lt;75,0.5,IF(Dataset!B1156&lt;120,0.65,0.8)))</f>
        <v>0.8</v>
      </c>
      <c r="C1156" s="29">
        <f>IF(Dataset!B1156&lt;25,1,IF(Dataset!B1156&lt;75,2,IF(Dataset!B1156&lt;120,3,4)))</f>
        <v>4</v>
      </c>
      <c r="D1156" s="29">
        <f t="shared" si="136"/>
        <v>3.2</v>
      </c>
      <c r="E1156" s="29">
        <f>IF(Dataset!C1156&lt;=1,0.3,IF(Dataset!C1156=2,0.4,IF(Dataset!C1156=3,0.5,IF(Dataset!C1156=4,0.65,0.8))))</f>
        <v>0.5</v>
      </c>
      <c r="F1156" s="29">
        <f>IF(Dataset!C1156&lt;=2,1,IF(Dataset!C1156=3,2,IF(Dataset!C1156=4,3,4)))</f>
        <v>2</v>
      </c>
      <c r="G1156" s="29">
        <f t="shared" si="137"/>
        <v>1</v>
      </c>
      <c r="H1156" s="29">
        <f>IF(Dataset!G1156&lt;=3,0.25,IF(Dataset!G1156&lt;=6,0.45,IF(Dataset!G1156&lt;=9,0.65,0.85)))</f>
        <v>0.45</v>
      </c>
      <c r="I1156" s="29">
        <f>IF(Dataset!G1156&lt;=3,1,IF(Dataset!G1156&lt;=6,2,IF(Dataset!G1156&lt;=9,3,4)))</f>
        <v>2</v>
      </c>
      <c r="J1156" s="29">
        <f t="shared" si="138"/>
        <v>0.9</v>
      </c>
      <c r="K1156" s="29">
        <f>IF(Dataset!H1156&lt;1,0.2,IF(Dataset!H1156&lt;1.3,0.45,IF(Dataset!H1156&lt;1.8,0.7,0.9)))</f>
        <v>0.9</v>
      </c>
      <c r="L1156" s="29">
        <f>IF(Dataset!H1156&lt;1,1,IF(Dataset!H1156&lt;1.3,2,IF(Dataset!H1156&lt;1.8,3,4)))</f>
        <v>4</v>
      </c>
      <c r="M1156" s="29">
        <f t="shared" si="139"/>
        <v>3.6</v>
      </c>
      <c r="N1156" s="29">
        <f>IF(Dataset!F1156=1,0.75,IF(Dataset!F1156=2,0.45,0.2))</f>
        <v>0.45</v>
      </c>
      <c r="O1156" s="29">
        <f>IF(Dataset!F1156=1,3,IF(Dataset!F1156=2,2,1))</f>
        <v>2</v>
      </c>
      <c r="P1156" s="29">
        <f t="shared" si="140"/>
        <v>0.9</v>
      </c>
      <c r="Q1156" s="29">
        <f>IF(Dataset!K1156&lt;5,0.2,IF(Dataset!K1156&lt;10,0.45,IF(Dataset!K1156&lt;18,0.7,0.9)))</f>
        <v>0.45</v>
      </c>
      <c r="R1156" s="29">
        <f>IF(Dataset!K1156&lt;5,1,IF(Dataset!K1156&lt;10,2,IF(Dataset!K1156&lt;18,3,4)))</f>
        <v>2</v>
      </c>
      <c r="S1156" s="29">
        <f t="shared" si="141"/>
        <v>0.9</v>
      </c>
      <c r="T1156" s="29">
        <f t="shared" si="142"/>
        <v>1.9760000000000002</v>
      </c>
      <c r="U1156" s="29" t="str">
        <f t="shared" si="143"/>
        <v>High</v>
      </c>
    </row>
    <row r="1157" spans="1:21" ht="15" customHeight="1" x14ac:dyDescent="0.25">
      <c r="A1157" s="29">
        <f>Dataset!A1157</f>
        <v>1153</v>
      </c>
      <c r="B1157" s="29">
        <f>IF(Dataset!B1157&lt;25,0.3,IF(Dataset!B1157&lt;75,0.5,IF(Dataset!B1157&lt;120,0.65,0.8)))</f>
        <v>0.8</v>
      </c>
      <c r="C1157" s="29">
        <f>IF(Dataset!B1157&lt;25,1,IF(Dataset!B1157&lt;75,2,IF(Dataset!B1157&lt;120,3,4)))</f>
        <v>4</v>
      </c>
      <c r="D1157" s="29">
        <f t="shared" ref="D1157:D1220" si="144">B1157*C1157</f>
        <v>3.2</v>
      </c>
      <c r="E1157" s="29">
        <f>IF(Dataset!C1157&lt;=1,0.3,IF(Dataset!C1157=2,0.4,IF(Dataset!C1157=3,0.5,IF(Dataset!C1157=4,0.65,0.8))))</f>
        <v>0.65</v>
      </c>
      <c r="F1157" s="29">
        <f>IF(Dataset!C1157&lt;=2,1,IF(Dataset!C1157=3,2,IF(Dataset!C1157=4,3,4)))</f>
        <v>3</v>
      </c>
      <c r="G1157" s="29">
        <f t="shared" ref="G1157:G1220" si="145">E1157*F1157</f>
        <v>1.9500000000000002</v>
      </c>
      <c r="H1157" s="29">
        <f>IF(Dataset!G1157&lt;=3,0.25,IF(Dataset!G1157&lt;=6,0.45,IF(Dataset!G1157&lt;=9,0.65,0.85)))</f>
        <v>0.45</v>
      </c>
      <c r="I1157" s="29">
        <f>IF(Dataset!G1157&lt;=3,1,IF(Dataset!G1157&lt;=6,2,IF(Dataset!G1157&lt;=9,3,4)))</f>
        <v>2</v>
      </c>
      <c r="J1157" s="29">
        <f t="shared" ref="J1157:J1220" si="146">H1157*I1157</f>
        <v>0.9</v>
      </c>
      <c r="K1157" s="29">
        <f>IF(Dataset!H1157&lt;1,0.2,IF(Dataset!H1157&lt;1.3,0.45,IF(Dataset!H1157&lt;1.8,0.7,0.9)))</f>
        <v>0.45</v>
      </c>
      <c r="L1157" s="29">
        <f>IF(Dataset!H1157&lt;1,1,IF(Dataset!H1157&lt;1.3,2,IF(Dataset!H1157&lt;1.8,3,4)))</f>
        <v>2</v>
      </c>
      <c r="M1157" s="29">
        <f t="shared" ref="M1157:M1220" si="147">K1157*L1157</f>
        <v>0.9</v>
      </c>
      <c r="N1157" s="29">
        <f>IF(Dataset!F1157=1,0.75,IF(Dataset!F1157=2,0.45,0.2))</f>
        <v>0.45</v>
      </c>
      <c r="O1157" s="29">
        <f>IF(Dataset!F1157=1,3,IF(Dataset!F1157=2,2,1))</f>
        <v>2</v>
      </c>
      <c r="P1157" s="29">
        <f t="shared" ref="P1157:P1220" si="148">N1157*O1157</f>
        <v>0.9</v>
      </c>
      <c r="Q1157" s="29">
        <f>IF(Dataset!K1157&lt;5,0.2,IF(Dataset!K1157&lt;10,0.45,IF(Dataset!K1157&lt;18,0.7,0.9)))</f>
        <v>0.7</v>
      </c>
      <c r="R1157" s="29">
        <f>IF(Dataset!K1157&lt;5,1,IF(Dataset!K1157&lt;10,2,IF(Dataset!K1157&lt;18,3,4)))</f>
        <v>3</v>
      </c>
      <c r="S1157" s="29">
        <f t="shared" ref="S1157:S1220" si="149">Q1157*R1157</f>
        <v>2.0999999999999996</v>
      </c>
      <c r="T1157" s="29">
        <f t="shared" ref="T1157:T1220" si="150">$Y$6*D1157+$Y$7*G1157+$Y$8*J1157+$Y$9*M1157+$Y$10*P1157+$Y$11*S1157</f>
        <v>1.629</v>
      </c>
      <c r="U1157" s="29" t="str">
        <f t="shared" ref="U1157:U1220" si="151">IF(T1157&lt;=$Y$15,"Low",IF(T1157&lt;=$Y$16,"Medium","High"))</f>
        <v>Medium</v>
      </c>
    </row>
    <row r="1158" spans="1:21" ht="15" customHeight="1" x14ac:dyDescent="0.25">
      <c r="A1158" s="29">
        <f>Dataset!A1158</f>
        <v>1154</v>
      </c>
      <c r="B1158" s="29">
        <f>IF(Dataset!B1158&lt;25,0.3,IF(Dataset!B1158&lt;75,0.5,IF(Dataset!B1158&lt;120,0.65,0.8)))</f>
        <v>0.3</v>
      </c>
      <c r="C1158" s="29">
        <f>IF(Dataset!B1158&lt;25,1,IF(Dataset!B1158&lt;75,2,IF(Dataset!B1158&lt;120,3,4)))</f>
        <v>1</v>
      </c>
      <c r="D1158" s="29">
        <f t="shared" si="144"/>
        <v>0.3</v>
      </c>
      <c r="E1158" s="29">
        <f>IF(Dataset!C1158&lt;=1,0.3,IF(Dataset!C1158=2,0.4,IF(Dataset!C1158=3,0.5,IF(Dataset!C1158=4,0.65,0.8))))</f>
        <v>0.65</v>
      </c>
      <c r="F1158" s="29">
        <f>IF(Dataset!C1158&lt;=2,1,IF(Dataset!C1158=3,2,IF(Dataset!C1158=4,3,4)))</f>
        <v>3</v>
      </c>
      <c r="G1158" s="29">
        <f t="shared" si="145"/>
        <v>1.9500000000000002</v>
      </c>
      <c r="H1158" s="29">
        <f>IF(Dataset!G1158&lt;=3,0.25,IF(Dataset!G1158&lt;=6,0.45,IF(Dataset!G1158&lt;=9,0.65,0.85)))</f>
        <v>0.45</v>
      </c>
      <c r="I1158" s="29">
        <f>IF(Dataset!G1158&lt;=3,1,IF(Dataset!G1158&lt;=6,2,IF(Dataset!G1158&lt;=9,3,4)))</f>
        <v>2</v>
      </c>
      <c r="J1158" s="29">
        <f t="shared" si="146"/>
        <v>0.9</v>
      </c>
      <c r="K1158" s="29">
        <f>IF(Dataset!H1158&lt;1,0.2,IF(Dataset!H1158&lt;1.3,0.45,IF(Dataset!H1158&lt;1.8,0.7,0.9)))</f>
        <v>0.2</v>
      </c>
      <c r="L1158" s="29">
        <f>IF(Dataset!H1158&lt;1,1,IF(Dataset!H1158&lt;1.3,2,IF(Dataset!H1158&lt;1.8,3,4)))</f>
        <v>1</v>
      </c>
      <c r="M1158" s="29">
        <f t="shared" si="147"/>
        <v>0.2</v>
      </c>
      <c r="N1158" s="29">
        <f>IF(Dataset!F1158=1,0.75,IF(Dataset!F1158=2,0.45,0.2))</f>
        <v>0.75</v>
      </c>
      <c r="O1158" s="29">
        <f>IF(Dataset!F1158=1,3,IF(Dataset!F1158=2,2,1))</f>
        <v>3</v>
      </c>
      <c r="P1158" s="29">
        <f t="shared" si="148"/>
        <v>2.25</v>
      </c>
      <c r="Q1158" s="29">
        <f>IF(Dataset!K1158&lt;5,0.2,IF(Dataset!K1158&lt;10,0.45,IF(Dataset!K1158&lt;18,0.7,0.9)))</f>
        <v>0.45</v>
      </c>
      <c r="R1158" s="29">
        <f>IF(Dataset!K1158&lt;5,1,IF(Dataset!K1158&lt;10,2,IF(Dataset!K1158&lt;18,3,4)))</f>
        <v>2</v>
      </c>
      <c r="S1158" s="29">
        <f t="shared" si="149"/>
        <v>0.9</v>
      </c>
      <c r="T1158" s="29">
        <f t="shared" si="150"/>
        <v>0.90600000000000014</v>
      </c>
      <c r="U1158" s="29" t="str">
        <f t="shared" si="151"/>
        <v>Low</v>
      </c>
    </row>
    <row r="1159" spans="1:21" ht="15" customHeight="1" x14ac:dyDescent="0.25">
      <c r="A1159" s="29">
        <f>Dataset!A1159</f>
        <v>1155</v>
      </c>
      <c r="B1159" s="29">
        <f>IF(Dataset!B1159&lt;25,0.3,IF(Dataset!B1159&lt;75,0.5,IF(Dataset!B1159&lt;120,0.65,0.8)))</f>
        <v>0.65</v>
      </c>
      <c r="C1159" s="29">
        <f>IF(Dataset!B1159&lt;25,1,IF(Dataset!B1159&lt;75,2,IF(Dataset!B1159&lt;120,3,4)))</f>
        <v>3</v>
      </c>
      <c r="D1159" s="29">
        <f t="shared" si="144"/>
        <v>1.9500000000000002</v>
      </c>
      <c r="E1159" s="29">
        <f>IF(Dataset!C1159&lt;=1,0.3,IF(Dataset!C1159=2,0.4,IF(Dataset!C1159=3,0.5,IF(Dataset!C1159=4,0.65,0.8))))</f>
        <v>0.65</v>
      </c>
      <c r="F1159" s="29">
        <f>IF(Dataset!C1159&lt;=2,1,IF(Dataset!C1159=3,2,IF(Dataset!C1159=4,3,4)))</f>
        <v>3</v>
      </c>
      <c r="G1159" s="29">
        <f t="shared" si="145"/>
        <v>1.9500000000000002</v>
      </c>
      <c r="H1159" s="29">
        <f>IF(Dataset!G1159&lt;=3,0.25,IF(Dataset!G1159&lt;=6,0.45,IF(Dataset!G1159&lt;=9,0.65,0.85)))</f>
        <v>0.85</v>
      </c>
      <c r="I1159" s="29">
        <f>IF(Dataset!G1159&lt;=3,1,IF(Dataset!G1159&lt;=6,2,IF(Dataset!G1159&lt;=9,3,4)))</f>
        <v>4</v>
      </c>
      <c r="J1159" s="29">
        <f t="shared" si="146"/>
        <v>3.4</v>
      </c>
      <c r="K1159" s="29">
        <f>IF(Dataset!H1159&lt;1,0.2,IF(Dataset!H1159&lt;1.3,0.45,IF(Dataset!H1159&lt;1.8,0.7,0.9)))</f>
        <v>0.9</v>
      </c>
      <c r="L1159" s="29">
        <f>IF(Dataset!H1159&lt;1,1,IF(Dataset!H1159&lt;1.3,2,IF(Dataset!H1159&lt;1.8,3,4)))</f>
        <v>4</v>
      </c>
      <c r="M1159" s="29">
        <f t="shared" si="147"/>
        <v>3.6</v>
      </c>
      <c r="N1159" s="29">
        <f>IF(Dataset!F1159=1,0.75,IF(Dataset!F1159=2,0.45,0.2))</f>
        <v>0.45</v>
      </c>
      <c r="O1159" s="29">
        <f>IF(Dataset!F1159=1,3,IF(Dataset!F1159=2,2,1))</f>
        <v>2</v>
      </c>
      <c r="P1159" s="29">
        <f t="shared" si="148"/>
        <v>0.9</v>
      </c>
      <c r="Q1159" s="29">
        <f>IF(Dataset!K1159&lt;5,0.2,IF(Dataset!K1159&lt;10,0.45,IF(Dataset!K1159&lt;18,0.7,0.9)))</f>
        <v>0.7</v>
      </c>
      <c r="R1159" s="29">
        <f>IF(Dataset!K1159&lt;5,1,IF(Dataset!K1159&lt;10,2,IF(Dataset!K1159&lt;18,3,4)))</f>
        <v>3</v>
      </c>
      <c r="S1159" s="29">
        <f t="shared" si="149"/>
        <v>2.0999999999999996</v>
      </c>
      <c r="T1159" s="29">
        <f t="shared" si="150"/>
        <v>2.552</v>
      </c>
      <c r="U1159" s="29" t="str">
        <f t="shared" si="151"/>
        <v>High</v>
      </c>
    </row>
    <row r="1160" spans="1:21" ht="15" customHeight="1" x14ac:dyDescent="0.25">
      <c r="A1160" s="29">
        <f>Dataset!A1160</f>
        <v>1156</v>
      </c>
      <c r="B1160" s="29">
        <f>IF(Dataset!B1160&lt;25,0.3,IF(Dataset!B1160&lt;75,0.5,IF(Dataset!B1160&lt;120,0.65,0.8)))</f>
        <v>0.5</v>
      </c>
      <c r="C1160" s="29">
        <f>IF(Dataset!B1160&lt;25,1,IF(Dataset!B1160&lt;75,2,IF(Dataset!B1160&lt;120,3,4)))</f>
        <v>2</v>
      </c>
      <c r="D1160" s="29">
        <f t="shared" si="144"/>
        <v>1</v>
      </c>
      <c r="E1160" s="29">
        <f>IF(Dataset!C1160&lt;=1,0.3,IF(Dataset!C1160=2,0.4,IF(Dataset!C1160=3,0.5,IF(Dataset!C1160=4,0.65,0.8))))</f>
        <v>0.8</v>
      </c>
      <c r="F1160" s="29">
        <f>IF(Dataset!C1160&lt;=2,1,IF(Dataset!C1160=3,2,IF(Dataset!C1160=4,3,4)))</f>
        <v>4</v>
      </c>
      <c r="G1160" s="29">
        <f t="shared" si="145"/>
        <v>3.2</v>
      </c>
      <c r="H1160" s="29">
        <f>IF(Dataset!G1160&lt;=3,0.25,IF(Dataset!G1160&lt;=6,0.45,IF(Dataset!G1160&lt;=9,0.65,0.85)))</f>
        <v>0.25</v>
      </c>
      <c r="I1160" s="29">
        <f>IF(Dataset!G1160&lt;=3,1,IF(Dataset!G1160&lt;=6,2,IF(Dataset!G1160&lt;=9,3,4)))</f>
        <v>1</v>
      </c>
      <c r="J1160" s="29">
        <f t="shared" si="146"/>
        <v>0.25</v>
      </c>
      <c r="K1160" s="29">
        <f>IF(Dataset!H1160&lt;1,0.2,IF(Dataset!H1160&lt;1.3,0.45,IF(Dataset!H1160&lt;1.8,0.7,0.9)))</f>
        <v>0.7</v>
      </c>
      <c r="L1160" s="29">
        <f>IF(Dataset!H1160&lt;1,1,IF(Dataset!H1160&lt;1.3,2,IF(Dataset!H1160&lt;1.8,3,4)))</f>
        <v>3</v>
      </c>
      <c r="M1160" s="29">
        <f t="shared" si="147"/>
        <v>2.0999999999999996</v>
      </c>
      <c r="N1160" s="29">
        <f>IF(Dataset!F1160=1,0.75,IF(Dataset!F1160=2,0.45,0.2))</f>
        <v>0.2</v>
      </c>
      <c r="O1160" s="29">
        <f>IF(Dataset!F1160=1,3,IF(Dataset!F1160=2,2,1))</f>
        <v>1</v>
      </c>
      <c r="P1160" s="29">
        <f t="shared" si="148"/>
        <v>0.2</v>
      </c>
      <c r="Q1160" s="29">
        <f>IF(Dataset!K1160&lt;5,0.2,IF(Dataset!K1160&lt;10,0.45,IF(Dataset!K1160&lt;18,0.7,0.9)))</f>
        <v>0.7</v>
      </c>
      <c r="R1160" s="29">
        <f>IF(Dataset!K1160&lt;5,1,IF(Dataset!K1160&lt;10,2,IF(Dataset!K1160&lt;18,3,4)))</f>
        <v>3</v>
      </c>
      <c r="S1160" s="29">
        <f t="shared" si="149"/>
        <v>2.0999999999999996</v>
      </c>
      <c r="T1160" s="29">
        <f t="shared" si="150"/>
        <v>1.496</v>
      </c>
      <c r="U1160" s="29" t="str">
        <f t="shared" si="151"/>
        <v>Medium</v>
      </c>
    </row>
    <row r="1161" spans="1:21" ht="15" customHeight="1" x14ac:dyDescent="0.25">
      <c r="A1161" s="29">
        <f>Dataset!A1161</f>
        <v>1157</v>
      </c>
      <c r="B1161" s="29">
        <f>IF(Dataset!B1161&lt;25,0.3,IF(Dataset!B1161&lt;75,0.5,IF(Dataset!B1161&lt;120,0.65,0.8)))</f>
        <v>0.8</v>
      </c>
      <c r="C1161" s="29">
        <f>IF(Dataset!B1161&lt;25,1,IF(Dataset!B1161&lt;75,2,IF(Dataset!B1161&lt;120,3,4)))</f>
        <v>4</v>
      </c>
      <c r="D1161" s="29">
        <f t="shared" si="144"/>
        <v>3.2</v>
      </c>
      <c r="E1161" s="29">
        <f>IF(Dataset!C1161&lt;=1,0.3,IF(Dataset!C1161=2,0.4,IF(Dataset!C1161=3,0.5,IF(Dataset!C1161=4,0.65,0.8))))</f>
        <v>0.5</v>
      </c>
      <c r="F1161" s="29">
        <f>IF(Dataset!C1161&lt;=2,1,IF(Dataset!C1161=3,2,IF(Dataset!C1161=4,3,4)))</f>
        <v>2</v>
      </c>
      <c r="G1161" s="29">
        <f t="shared" si="145"/>
        <v>1</v>
      </c>
      <c r="H1161" s="29">
        <f>IF(Dataset!G1161&lt;=3,0.25,IF(Dataset!G1161&lt;=6,0.45,IF(Dataset!G1161&lt;=9,0.65,0.85)))</f>
        <v>0.45</v>
      </c>
      <c r="I1161" s="29">
        <f>IF(Dataset!G1161&lt;=3,1,IF(Dataset!G1161&lt;=6,2,IF(Dataset!G1161&lt;=9,3,4)))</f>
        <v>2</v>
      </c>
      <c r="J1161" s="29">
        <f t="shared" si="146"/>
        <v>0.9</v>
      </c>
      <c r="K1161" s="29">
        <f>IF(Dataset!H1161&lt;1,0.2,IF(Dataset!H1161&lt;1.3,0.45,IF(Dataset!H1161&lt;1.8,0.7,0.9)))</f>
        <v>0.9</v>
      </c>
      <c r="L1161" s="29">
        <f>IF(Dataset!H1161&lt;1,1,IF(Dataset!H1161&lt;1.3,2,IF(Dataset!H1161&lt;1.8,3,4)))</f>
        <v>4</v>
      </c>
      <c r="M1161" s="29">
        <f t="shared" si="147"/>
        <v>3.6</v>
      </c>
      <c r="N1161" s="29">
        <f>IF(Dataset!F1161=1,0.75,IF(Dataset!F1161=2,0.45,0.2))</f>
        <v>0.45</v>
      </c>
      <c r="O1161" s="29">
        <f>IF(Dataset!F1161=1,3,IF(Dataset!F1161=2,2,1))</f>
        <v>2</v>
      </c>
      <c r="P1161" s="29">
        <f t="shared" si="148"/>
        <v>0.9</v>
      </c>
      <c r="Q1161" s="29">
        <f>IF(Dataset!K1161&lt;5,0.2,IF(Dataset!K1161&lt;10,0.45,IF(Dataset!K1161&lt;18,0.7,0.9)))</f>
        <v>0.2</v>
      </c>
      <c r="R1161" s="29">
        <f>IF(Dataset!K1161&lt;5,1,IF(Dataset!K1161&lt;10,2,IF(Dataset!K1161&lt;18,3,4)))</f>
        <v>1</v>
      </c>
      <c r="S1161" s="29">
        <f t="shared" si="149"/>
        <v>0.2</v>
      </c>
      <c r="T1161" s="29">
        <f t="shared" si="150"/>
        <v>1.8780000000000001</v>
      </c>
      <c r="U1161" s="29" t="str">
        <f t="shared" si="151"/>
        <v>High</v>
      </c>
    </row>
    <row r="1162" spans="1:21" ht="15" customHeight="1" x14ac:dyDescent="0.25">
      <c r="A1162" s="29">
        <f>Dataset!A1162</f>
        <v>1158</v>
      </c>
      <c r="B1162" s="29">
        <f>IF(Dataset!B1162&lt;25,0.3,IF(Dataset!B1162&lt;75,0.5,IF(Dataset!B1162&lt;120,0.65,0.8)))</f>
        <v>0.65</v>
      </c>
      <c r="C1162" s="29">
        <f>IF(Dataset!B1162&lt;25,1,IF(Dataset!B1162&lt;75,2,IF(Dataset!B1162&lt;120,3,4)))</f>
        <v>3</v>
      </c>
      <c r="D1162" s="29">
        <f t="shared" si="144"/>
        <v>1.9500000000000002</v>
      </c>
      <c r="E1162" s="29">
        <f>IF(Dataset!C1162&lt;=1,0.3,IF(Dataset!C1162=2,0.4,IF(Dataset!C1162=3,0.5,IF(Dataset!C1162=4,0.65,0.8))))</f>
        <v>0.65</v>
      </c>
      <c r="F1162" s="29">
        <f>IF(Dataset!C1162&lt;=2,1,IF(Dataset!C1162=3,2,IF(Dataset!C1162=4,3,4)))</f>
        <v>3</v>
      </c>
      <c r="G1162" s="29">
        <f t="shared" si="145"/>
        <v>1.9500000000000002</v>
      </c>
      <c r="H1162" s="29">
        <f>IF(Dataset!G1162&lt;=3,0.25,IF(Dataset!G1162&lt;=6,0.45,IF(Dataset!G1162&lt;=9,0.65,0.85)))</f>
        <v>0.65</v>
      </c>
      <c r="I1162" s="29">
        <f>IF(Dataset!G1162&lt;=3,1,IF(Dataset!G1162&lt;=6,2,IF(Dataset!G1162&lt;=9,3,4)))</f>
        <v>3</v>
      </c>
      <c r="J1162" s="29">
        <f t="shared" si="146"/>
        <v>1.9500000000000002</v>
      </c>
      <c r="K1162" s="29">
        <f>IF(Dataset!H1162&lt;1,0.2,IF(Dataset!H1162&lt;1.3,0.45,IF(Dataset!H1162&lt;1.8,0.7,0.9)))</f>
        <v>0.9</v>
      </c>
      <c r="L1162" s="29">
        <f>IF(Dataset!H1162&lt;1,1,IF(Dataset!H1162&lt;1.3,2,IF(Dataset!H1162&lt;1.8,3,4)))</f>
        <v>4</v>
      </c>
      <c r="M1162" s="29">
        <f t="shared" si="147"/>
        <v>3.6</v>
      </c>
      <c r="N1162" s="29">
        <f>IF(Dataset!F1162=1,0.75,IF(Dataset!F1162=2,0.45,0.2))</f>
        <v>0.75</v>
      </c>
      <c r="O1162" s="29">
        <f>IF(Dataset!F1162=1,3,IF(Dataset!F1162=2,2,1))</f>
        <v>3</v>
      </c>
      <c r="P1162" s="29">
        <f t="shared" si="148"/>
        <v>2.25</v>
      </c>
      <c r="Q1162" s="29">
        <f>IF(Dataset!K1162&lt;5,0.2,IF(Dataset!K1162&lt;10,0.45,IF(Dataset!K1162&lt;18,0.7,0.9)))</f>
        <v>0.45</v>
      </c>
      <c r="R1162" s="29">
        <f>IF(Dataset!K1162&lt;5,1,IF(Dataset!K1162&lt;10,2,IF(Dataset!K1162&lt;18,3,4)))</f>
        <v>2</v>
      </c>
      <c r="S1162" s="29">
        <f t="shared" si="149"/>
        <v>0.9</v>
      </c>
      <c r="T1162" s="29">
        <f t="shared" si="150"/>
        <v>2.2290000000000001</v>
      </c>
      <c r="U1162" s="29" t="str">
        <f t="shared" si="151"/>
        <v>High</v>
      </c>
    </row>
    <row r="1163" spans="1:21" ht="15" customHeight="1" x14ac:dyDescent="0.25">
      <c r="A1163" s="29">
        <f>Dataset!A1163</f>
        <v>1159</v>
      </c>
      <c r="B1163" s="29">
        <f>IF(Dataset!B1163&lt;25,0.3,IF(Dataset!B1163&lt;75,0.5,IF(Dataset!B1163&lt;120,0.65,0.8)))</f>
        <v>0.5</v>
      </c>
      <c r="C1163" s="29">
        <f>IF(Dataset!B1163&lt;25,1,IF(Dataset!B1163&lt;75,2,IF(Dataset!B1163&lt;120,3,4)))</f>
        <v>2</v>
      </c>
      <c r="D1163" s="29">
        <f t="shared" si="144"/>
        <v>1</v>
      </c>
      <c r="E1163" s="29">
        <f>IF(Dataset!C1163&lt;=1,0.3,IF(Dataset!C1163=2,0.4,IF(Dataset!C1163=3,0.5,IF(Dataset!C1163=4,0.65,0.8))))</f>
        <v>0.8</v>
      </c>
      <c r="F1163" s="29">
        <f>IF(Dataset!C1163&lt;=2,1,IF(Dataset!C1163=3,2,IF(Dataset!C1163=4,3,4)))</f>
        <v>4</v>
      </c>
      <c r="G1163" s="29">
        <f t="shared" si="145"/>
        <v>3.2</v>
      </c>
      <c r="H1163" s="29">
        <f>IF(Dataset!G1163&lt;=3,0.25,IF(Dataset!G1163&lt;=6,0.45,IF(Dataset!G1163&lt;=9,0.65,0.85)))</f>
        <v>0.85</v>
      </c>
      <c r="I1163" s="29">
        <f>IF(Dataset!G1163&lt;=3,1,IF(Dataset!G1163&lt;=6,2,IF(Dataset!G1163&lt;=9,3,4)))</f>
        <v>4</v>
      </c>
      <c r="J1163" s="29">
        <f t="shared" si="146"/>
        <v>3.4</v>
      </c>
      <c r="K1163" s="29">
        <f>IF(Dataset!H1163&lt;1,0.2,IF(Dataset!H1163&lt;1.3,0.45,IF(Dataset!H1163&lt;1.8,0.7,0.9)))</f>
        <v>0.2</v>
      </c>
      <c r="L1163" s="29">
        <f>IF(Dataset!H1163&lt;1,1,IF(Dataset!H1163&lt;1.3,2,IF(Dataset!H1163&lt;1.8,3,4)))</f>
        <v>1</v>
      </c>
      <c r="M1163" s="29">
        <f t="shared" si="147"/>
        <v>0.2</v>
      </c>
      <c r="N1163" s="29">
        <f>IF(Dataset!F1163=1,0.75,IF(Dataset!F1163=2,0.45,0.2))</f>
        <v>0.75</v>
      </c>
      <c r="O1163" s="29">
        <f>IF(Dataset!F1163=1,3,IF(Dataset!F1163=2,2,1))</f>
        <v>3</v>
      </c>
      <c r="P1163" s="29">
        <f t="shared" si="148"/>
        <v>2.25</v>
      </c>
      <c r="Q1163" s="29">
        <f>IF(Dataset!K1163&lt;5,0.2,IF(Dataset!K1163&lt;10,0.45,IF(Dataset!K1163&lt;18,0.7,0.9)))</f>
        <v>0.9</v>
      </c>
      <c r="R1163" s="29">
        <f>IF(Dataset!K1163&lt;5,1,IF(Dataset!K1163&lt;10,2,IF(Dataset!K1163&lt;18,3,4)))</f>
        <v>4</v>
      </c>
      <c r="S1163" s="29">
        <f t="shared" si="149"/>
        <v>3.6</v>
      </c>
      <c r="T1163" s="29">
        <f t="shared" si="150"/>
        <v>2.0850000000000004</v>
      </c>
      <c r="U1163" s="29" t="str">
        <f t="shared" si="151"/>
        <v>High</v>
      </c>
    </row>
    <row r="1164" spans="1:21" ht="15" customHeight="1" x14ac:dyDescent="0.25">
      <c r="A1164" s="29">
        <f>Dataset!A1164</f>
        <v>1160</v>
      </c>
      <c r="B1164" s="29">
        <f>IF(Dataset!B1164&lt;25,0.3,IF(Dataset!B1164&lt;75,0.5,IF(Dataset!B1164&lt;120,0.65,0.8)))</f>
        <v>0.3</v>
      </c>
      <c r="C1164" s="29">
        <f>IF(Dataset!B1164&lt;25,1,IF(Dataset!B1164&lt;75,2,IF(Dataset!B1164&lt;120,3,4)))</f>
        <v>1</v>
      </c>
      <c r="D1164" s="29">
        <f t="shared" si="144"/>
        <v>0.3</v>
      </c>
      <c r="E1164" s="29">
        <f>IF(Dataset!C1164&lt;=1,0.3,IF(Dataset!C1164=2,0.4,IF(Dataset!C1164=3,0.5,IF(Dataset!C1164=4,0.65,0.8))))</f>
        <v>0.4</v>
      </c>
      <c r="F1164" s="29">
        <f>IF(Dataset!C1164&lt;=2,1,IF(Dataset!C1164=3,2,IF(Dataset!C1164=4,3,4)))</f>
        <v>1</v>
      </c>
      <c r="G1164" s="29">
        <f t="shared" si="145"/>
        <v>0.4</v>
      </c>
      <c r="H1164" s="29">
        <f>IF(Dataset!G1164&lt;=3,0.25,IF(Dataset!G1164&lt;=6,0.45,IF(Dataset!G1164&lt;=9,0.65,0.85)))</f>
        <v>0.45</v>
      </c>
      <c r="I1164" s="29">
        <f>IF(Dataset!G1164&lt;=3,1,IF(Dataset!G1164&lt;=6,2,IF(Dataset!G1164&lt;=9,3,4)))</f>
        <v>2</v>
      </c>
      <c r="J1164" s="29">
        <f t="shared" si="146"/>
        <v>0.9</v>
      </c>
      <c r="K1164" s="29">
        <f>IF(Dataset!H1164&lt;1,0.2,IF(Dataset!H1164&lt;1.3,0.45,IF(Dataset!H1164&lt;1.8,0.7,0.9)))</f>
        <v>0.9</v>
      </c>
      <c r="L1164" s="29">
        <f>IF(Dataset!H1164&lt;1,1,IF(Dataset!H1164&lt;1.3,2,IF(Dataset!H1164&lt;1.8,3,4)))</f>
        <v>4</v>
      </c>
      <c r="M1164" s="29">
        <f t="shared" si="147"/>
        <v>3.6</v>
      </c>
      <c r="N1164" s="29">
        <f>IF(Dataset!F1164=1,0.75,IF(Dataset!F1164=2,0.45,0.2))</f>
        <v>0.45</v>
      </c>
      <c r="O1164" s="29">
        <f>IF(Dataset!F1164=1,3,IF(Dataset!F1164=2,2,1))</f>
        <v>2</v>
      </c>
      <c r="P1164" s="29">
        <f t="shared" si="148"/>
        <v>0.9</v>
      </c>
      <c r="Q1164" s="29">
        <f>IF(Dataset!K1164&lt;5,0.2,IF(Dataset!K1164&lt;10,0.45,IF(Dataset!K1164&lt;18,0.7,0.9)))</f>
        <v>0.2</v>
      </c>
      <c r="R1164" s="29">
        <f>IF(Dataset!K1164&lt;5,1,IF(Dataset!K1164&lt;10,2,IF(Dataset!K1164&lt;18,3,4)))</f>
        <v>1</v>
      </c>
      <c r="S1164" s="29">
        <f t="shared" si="149"/>
        <v>0.2</v>
      </c>
      <c r="T1164" s="29">
        <f t="shared" si="150"/>
        <v>1.272</v>
      </c>
      <c r="U1164" s="29" t="str">
        <f t="shared" si="151"/>
        <v>Low</v>
      </c>
    </row>
    <row r="1165" spans="1:21" ht="15" customHeight="1" x14ac:dyDescent="0.25">
      <c r="A1165" s="29">
        <f>Dataset!A1165</f>
        <v>1161</v>
      </c>
      <c r="B1165" s="29">
        <f>IF(Dataset!B1165&lt;25,0.3,IF(Dataset!B1165&lt;75,0.5,IF(Dataset!B1165&lt;120,0.65,0.8)))</f>
        <v>0.5</v>
      </c>
      <c r="C1165" s="29">
        <f>IF(Dataset!B1165&lt;25,1,IF(Dataset!B1165&lt;75,2,IF(Dataset!B1165&lt;120,3,4)))</f>
        <v>2</v>
      </c>
      <c r="D1165" s="29">
        <f t="shared" si="144"/>
        <v>1</v>
      </c>
      <c r="E1165" s="29">
        <f>IF(Dataset!C1165&lt;=1,0.3,IF(Dataset!C1165=2,0.4,IF(Dataset!C1165=3,0.5,IF(Dataset!C1165=4,0.65,0.8))))</f>
        <v>0.3</v>
      </c>
      <c r="F1165" s="29">
        <f>IF(Dataset!C1165&lt;=2,1,IF(Dataset!C1165=3,2,IF(Dataset!C1165=4,3,4)))</f>
        <v>1</v>
      </c>
      <c r="G1165" s="29">
        <f t="shared" si="145"/>
        <v>0.3</v>
      </c>
      <c r="H1165" s="29">
        <f>IF(Dataset!G1165&lt;=3,0.25,IF(Dataset!G1165&lt;=6,0.45,IF(Dataset!G1165&lt;=9,0.65,0.85)))</f>
        <v>0.65</v>
      </c>
      <c r="I1165" s="29">
        <f>IF(Dataset!G1165&lt;=3,1,IF(Dataset!G1165&lt;=6,2,IF(Dataset!G1165&lt;=9,3,4)))</f>
        <v>3</v>
      </c>
      <c r="J1165" s="29">
        <f t="shared" si="146"/>
        <v>1.9500000000000002</v>
      </c>
      <c r="K1165" s="29">
        <f>IF(Dataset!H1165&lt;1,0.2,IF(Dataset!H1165&lt;1.3,0.45,IF(Dataset!H1165&lt;1.8,0.7,0.9)))</f>
        <v>0.45</v>
      </c>
      <c r="L1165" s="29">
        <f>IF(Dataset!H1165&lt;1,1,IF(Dataset!H1165&lt;1.3,2,IF(Dataset!H1165&lt;1.8,3,4)))</f>
        <v>2</v>
      </c>
      <c r="M1165" s="29">
        <f t="shared" si="147"/>
        <v>0.9</v>
      </c>
      <c r="N1165" s="29">
        <f>IF(Dataset!F1165=1,0.75,IF(Dataset!F1165=2,0.45,0.2))</f>
        <v>0.2</v>
      </c>
      <c r="O1165" s="29">
        <f>IF(Dataset!F1165=1,3,IF(Dataset!F1165=2,2,1))</f>
        <v>1</v>
      </c>
      <c r="P1165" s="29">
        <f t="shared" si="148"/>
        <v>0.2</v>
      </c>
      <c r="Q1165" s="29">
        <f>IF(Dataset!K1165&lt;5,0.2,IF(Dataset!K1165&lt;10,0.45,IF(Dataset!K1165&lt;18,0.7,0.9)))</f>
        <v>0.2</v>
      </c>
      <c r="R1165" s="29">
        <f>IF(Dataset!K1165&lt;5,1,IF(Dataset!K1165&lt;10,2,IF(Dataset!K1165&lt;18,3,4)))</f>
        <v>1</v>
      </c>
      <c r="S1165" s="29">
        <f t="shared" si="149"/>
        <v>0.2</v>
      </c>
      <c r="T1165" s="29">
        <f t="shared" si="150"/>
        <v>0.87600000000000011</v>
      </c>
      <c r="U1165" s="29" t="str">
        <f t="shared" si="151"/>
        <v>Low</v>
      </c>
    </row>
    <row r="1166" spans="1:21" ht="15" customHeight="1" x14ac:dyDescent="0.25">
      <c r="A1166" s="29">
        <f>Dataset!A1166</f>
        <v>1162</v>
      </c>
      <c r="B1166" s="29">
        <f>IF(Dataset!B1166&lt;25,0.3,IF(Dataset!B1166&lt;75,0.5,IF(Dataset!B1166&lt;120,0.65,0.8)))</f>
        <v>0.8</v>
      </c>
      <c r="C1166" s="29">
        <f>IF(Dataset!B1166&lt;25,1,IF(Dataset!B1166&lt;75,2,IF(Dataset!B1166&lt;120,3,4)))</f>
        <v>4</v>
      </c>
      <c r="D1166" s="29">
        <f t="shared" si="144"/>
        <v>3.2</v>
      </c>
      <c r="E1166" s="29">
        <f>IF(Dataset!C1166&lt;=1,0.3,IF(Dataset!C1166=2,0.4,IF(Dataset!C1166=3,0.5,IF(Dataset!C1166=4,0.65,0.8))))</f>
        <v>0.5</v>
      </c>
      <c r="F1166" s="29">
        <f>IF(Dataset!C1166&lt;=2,1,IF(Dataset!C1166=3,2,IF(Dataset!C1166=4,3,4)))</f>
        <v>2</v>
      </c>
      <c r="G1166" s="29">
        <f t="shared" si="145"/>
        <v>1</v>
      </c>
      <c r="H1166" s="29">
        <f>IF(Dataset!G1166&lt;=3,0.25,IF(Dataset!G1166&lt;=6,0.45,IF(Dataset!G1166&lt;=9,0.65,0.85)))</f>
        <v>0.45</v>
      </c>
      <c r="I1166" s="29">
        <f>IF(Dataset!G1166&lt;=3,1,IF(Dataset!G1166&lt;=6,2,IF(Dataset!G1166&lt;=9,3,4)))</f>
        <v>2</v>
      </c>
      <c r="J1166" s="29">
        <f t="shared" si="146"/>
        <v>0.9</v>
      </c>
      <c r="K1166" s="29">
        <f>IF(Dataset!H1166&lt;1,0.2,IF(Dataset!H1166&lt;1.3,0.45,IF(Dataset!H1166&lt;1.8,0.7,0.9)))</f>
        <v>0.7</v>
      </c>
      <c r="L1166" s="29">
        <f>IF(Dataset!H1166&lt;1,1,IF(Dataset!H1166&lt;1.3,2,IF(Dataset!H1166&lt;1.8,3,4)))</f>
        <v>3</v>
      </c>
      <c r="M1166" s="29">
        <f t="shared" si="147"/>
        <v>2.0999999999999996</v>
      </c>
      <c r="N1166" s="29">
        <f>IF(Dataset!F1166=1,0.75,IF(Dataset!F1166=2,0.45,0.2))</f>
        <v>0.45</v>
      </c>
      <c r="O1166" s="29">
        <f>IF(Dataset!F1166=1,3,IF(Dataset!F1166=2,2,1))</f>
        <v>2</v>
      </c>
      <c r="P1166" s="29">
        <f t="shared" si="148"/>
        <v>0.9</v>
      </c>
      <c r="Q1166" s="29">
        <f>IF(Dataset!K1166&lt;5,0.2,IF(Dataset!K1166&lt;10,0.45,IF(Dataset!K1166&lt;18,0.7,0.9)))</f>
        <v>0.2</v>
      </c>
      <c r="R1166" s="29">
        <f>IF(Dataset!K1166&lt;5,1,IF(Dataset!K1166&lt;10,2,IF(Dataset!K1166&lt;18,3,4)))</f>
        <v>1</v>
      </c>
      <c r="S1166" s="29">
        <f t="shared" si="149"/>
        <v>0.2</v>
      </c>
      <c r="T1166" s="29">
        <f t="shared" si="150"/>
        <v>1.518</v>
      </c>
      <c r="U1166" s="29" t="str">
        <f t="shared" si="151"/>
        <v>Medium</v>
      </c>
    </row>
    <row r="1167" spans="1:21" ht="15" customHeight="1" x14ac:dyDescent="0.25">
      <c r="A1167" s="29">
        <f>Dataset!A1167</f>
        <v>1163</v>
      </c>
      <c r="B1167" s="29">
        <f>IF(Dataset!B1167&lt;25,0.3,IF(Dataset!B1167&lt;75,0.5,IF(Dataset!B1167&lt;120,0.65,0.8)))</f>
        <v>0.5</v>
      </c>
      <c r="C1167" s="29">
        <f>IF(Dataset!B1167&lt;25,1,IF(Dataset!B1167&lt;75,2,IF(Dataset!B1167&lt;120,3,4)))</f>
        <v>2</v>
      </c>
      <c r="D1167" s="29">
        <f t="shared" si="144"/>
        <v>1</v>
      </c>
      <c r="E1167" s="29">
        <f>IF(Dataset!C1167&lt;=1,0.3,IF(Dataset!C1167=2,0.4,IF(Dataset!C1167=3,0.5,IF(Dataset!C1167=4,0.65,0.8))))</f>
        <v>0.8</v>
      </c>
      <c r="F1167" s="29">
        <f>IF(Dataset!C1167&lt;=2,1,IF(Dataset!C1167=3,2,IF(Dataset!C1167=4,3,4)))</f>
        <v>4</v>
      </c>
      <c r="G1167" s="29">
        <f t="shared" si="145"/>
        <v>3.2</v>
      </c>
      <c r="H1167" s="29">
        <f>IF(Dataset!G1167&lt;=3,0.25,IF(Dataset!G1167&lt;=6,0.45,IF(Dataset!G1167&lt;=9,0.65,0.85)))</f>
        <v>0.65</v>
      </c>
      <c r="I1167" s="29">
        <f>IF(Dataset!G1167&lt;=3,1,IF(Dataset!G1167&lt;=6,2,IF(Dataset!G1167&lt;=9,3,4)))</f>
        <v>3</v>
      </c>
      <c r="J1167" s="29">
        <f t="shared" si="146"/>
        <v>1.9500000000000002</v>
      </c>
      <c r="K1167" s="29">
        <f>IF(Dataset!H1167&lt;1,0.2,IF(Dataset!H1167&lt;1.3,0.45,IF(Dataset!H1167&lt;1.8,0.7,0.9)))</f>
        <v>0.7</v>
      </c>
      <c r="L1167" s="29">
        <f>IF(Dataset!H1167&lt;1,1,IF(Dataset!H1167&lt;1.3,2,IF(Dataset!H1167&lt;1.8,3,4)))</f>
        <v>3</v>
      </c>
      <c r="M1167" s="29">
        <f t="shared" si="147"/>
        <v>2.0999999999999996</v>
      </c>
      <c r="N1167" s="29">
        <f>IF(Dataset!F1167=1,0.75,IF(Dataset!F1167=2,0.45,0.2))</f>
        <v>0.75</v>
      </c>
      <c r="O1167" s="29">
        <f>IF(Dataset!F1167=1,3,IF(Dataset!F1167=2,2,1))</f>
        <v>3</v>
      </c>
      <c r="P1167" s="29">
        <f t="shared" si="148"/>
        <v>2.25</v>
      </c>
      <c r="Q1167" s="29">
        <f>IF(Dataset!K1167&lt;5,0.2,IF(Dataset!K1167&lt;10,0.45,IF(Dataset!K1167&lt;18,0.7,0.9)))</f>
        <v>0.9</v>
      </c>
      <c r="R1167" s="29">
        <f>IF(Dataset!K1167&lt;5,1,IF(Dataset!K1167&lt;10,2,IF(Dataset!K1167&lt;18,3,4)))</f>
        <v>4</v>
      </c>
      <c r="S1167" s="29">
        <f t="shared" si="149"/>
        <v>3.6</v>
      </c>
      <c r="T1167" s="29">
        <f t="shared" si="150"/>
        <v>2.2510000000000003</v>
      </c>
      <c r="U1167" s="29" t="str">
        <f t="shared" si="151"/>
        <v>High</v>
      </c>
    </row>
    <row r="1168" spans="1:21" ht="15" customHeight="1" x14ac:dyDescent="0.25">
      <c r="A1168" s="29">
        <f>Dataset!A1168</f>
        <v>1164</v>
      </c>
      <c r="B1168" s="29">
        <f>IF(Dataset!B1168&lt;25,0.3,IF(Dataset!B1168&lt;75,0.5,IF(Dataset!B1168&lt;120,0.65,0.8)))</f>
        <v>0.8</v>
      </c>
      <c r="C1168" s="29">
        <f>IF(Dataset!B1168&lt;25,1,IF(Dataset!B1168&lt;75,2,IF(Dataset!B1168&lt;120,3,4)))</f>
        <v>4</v>
      </c>
      <c r="D1168" s="29">
        <f t="shared" si="144"/>
        <v>3.2</v>
      </c>
      <c r="E1168" s="29">
        <f>IF(Dataset!C1168&lt;=1,0.3,IF(Dataset!C1168=2,0.4,IF(Dataset!C1168=3,0.5,IF(Dataset!C1168=4,0.65,0.8))))</f>
        <v>0.5</v>
      </c>
      <c r="F1168" s="29">
        <f>IF(Dataset!C1168&lt;=2,1,IF(Dataset!C1168=3,2,IF(Dataset!C1168=4,3,4)))</f>
        <v>2</v>
      </c>
      <c r="G1168" s="29">
        <f t="shared" si="145"/>
        <v>1</v>
      </c>
      <c r="H1168" s="29">
        <f>IF(Dataset!G1168&lt;=3,0.25,IF(Dataset!G1168&lt;=6,0.45,IF(Dataset!G1168&lt;=9,0.65,0.85)))</f>
        <v>0.65</v>
      </c>
      <c r="I1168" s="29">
        <f>IF(Dataset!G1168&lt;=3,1,IF(Dataset!G1168&lt;=6,2,IF(Dataset!G1168&lt;=9,3,4)))</f>
        <v>3</v>
      </c>
      <c r="J1168" s="29">
        <f t="shared" si="146"/>
        <v>1.9500000000000002</v>
      </c>
      <c r="K1168" s="29">
        <f>IF(Dataset!H1168&lt;1,0.2,IF(Dataset!H1168&lt;1.3,0.45,IF(Dataset!H1168&lt;1.8,0.7,0.9)))</f>
        <v>0.2</v>
      </c>
      <c r="L1168" s="29">
        <f>IF(Dataset!H1168&lt;1,1,IF(Dataset!H1168&lt;1.3,2,IF(Dataset!H1168&lt;1.8,3,4)))</f>
        <v>1</v>
      </c>
      <c r="M1168" s="29">
        <f t="shared" si="147"/>
        <v>0.2</v>
      </c>
      <c r="N1168" s="29">
        <f>IF(Dataset!F1168=1,0.75,IF(Dataset!F1168=2,0.45,0.2))</f>
        <v>0.45</v>
      </c>
      <c r="O1168" s="29">
        <f>IF(Dataset!F1168=1,3,IF(Dataset!F1168=2,2,1))</f>
        <v>2</v>
      </c>
      <c r="P1168" s="29">
        <f t="shared" si="148"/>
        <v>0.9</v>
      </c>
      <c r="Q1168" s="29">
        <f>IF(Dataset!K1168&lt;5,0.2,IF(Dataset!K1168&lt;10,0.45,IF(Dataset!K1168&lt;18,0.7,0.9)))</f>
        <v>0.45</v>
      </c>
      <c r="R1168" s="29">
        <f>IF(Dataset!K1168&lt;5,1,IF(Dataset!K1168&lt;10,2,IF(Dataset!K1168&lt;18,3,4)))</f>
        <v>2</v>
      </c>
      <c r="S1168" s="29">
        <f t="shared" si="149"/>
        <v>0.9</v>
      </c>
      <c r="T1168" s="29">
        <f t="shared" si="150"/>
        <v>1.3700000000000003</v>
      </c>
      <c r="U1168" s="29" t="str">
        <f t="shared" si="151"/>
        <v>Medium</v>
      </c>
    </row>
    <row r="1169" spans="1:21" ht="15" customHeight="1" x14ac:dyDescent="0.25">
      <c r="A1169" s="29">
        <f>Dataset!A1169</f>
        <v>1165</v>
      </c>
      <c r="B1169" s="29">
        <f>IF(Dataset!B1169&lt;25,0.3,IF(Dataset!B1169&lt;75,0.5,IF(Dataset!B1169&lt;120,0.65,0.8)))</f>
        <v>0.8</v>
      </c>
      <c r="C1169" s="29">
        <f>IF(Dataset!B1169&lt;25,1,IF(Dataset!B1169&lt;75,2,IF(Dataset!B1169&lt;120,3,4)))</f>
        <v>4</v>
      </c>
      <c r="D1169" s="29">
        <f t="shared" si="144"/>
        <v>3.2</v>
      </c>
      <c r="E1169" s="29">
        <f>IF(Dataset!C1169&lt;=1,0.3,IF(Dataset!C1169=2,0.4,IF(Dataset!C1169=3,0.5,IF(Dataset!C1169=4,0.65,0.8))))</f>
        <v>0.65</v>
      </c>
      <c r="F1169" s="29">
        <f>IF(Dataset!C1169&lt;=2,1,IF(Dataset!C1169=3,2,IF(Dataset!C1169=4,3,4)))</f>
        <v>3</v>
      </c>
      <c r="G1169" s="29">
        <f t="shared" si="145"/>
        <v>1.9500000000000002</v>
      </c>
      <c r="H1169" s="29">
        <f>IF(Dataset!G1169&lt;=3,0.25,IF(Dataset!G1169&lt;=6,0.45,IF(Dataset!G1169&lt;=9,0.65,0.85)))</f>
        <v>0.65</v>
      </c>
      <c r="I1169" s="29">
        <f>IF(Dataset!G1169&lt;=3,1,IF(Dataset!G1169&lt;=6,2,IF(Dataset!G1169&lt;=9,3,4)))</f>
        <v>3</v>
      </c>
      <c r="J1169" s="29">
        <f t="shared" si="146"/>
        <v>1.9500000000000002</v>
      </c>
      <c r="K1169" s="29">
        <f>IF(Dataset!H1169&lt;1,0.2,IF(Dataset!H1169&lt;1.3,0.45,IF(Dataset!H1169&lt;1.8,0.7,0.9)))</f>
        <v>0.45</v>
      </c>
      <c r="L1169" s="29">
        <f>IF(Dataset!H1169&lt;1,1,IF(Dataset!H1169&lt;1.3,2,IF(Dataset!H1169&lt;1.8,3,4)))</f>
        <v>2</v>
      </c>
      <c r="M1169" s="29">
        <f t="shared" si="147"/>
        <v>0.9</v>
      </c>
      <c r="N1169" s="29">
        <f>IF(Dataset!F1169=1,0.75,IF(Dataset!F1169=2,0.45,0.2))</f>
        <v>0.75</v>
      </c>
      <c r="O1169" s="29">
        <f>IF(Dataset!F1169=1,3,IF(Dataset!F1169=2,2,1))</f>
        <v>3</v>
      </c>
      <c r="P1169" s="29">
        <f t="shared" si="148"/>
        <v>2.25</v>
      </c>
      <c r="Q1169" s="29">
        <f>IF(Dataset!K1169&lt;5,0.2,IF(Dataset!K1169&lt;10,0.45,IF(Dataset!K1169&lt;18,0.7,0.9)))</f>
        <v>0.7</v>
      </c>
      <c r="R1169" s="29">
        <f>IF(Dataset!K1169&lt;5,1,IF(Dataset!K1169&lt;10,2,IF(Dataset!K1169&lt;18,3,4)))</f>
        <v>3</v>
      </c>
      <c r="S1169" s="29">
        <f t="shared" si="149"/>
        <v>2.0999999999999996</v>
      </c>
      <c r="T1169" s="29">
        <f t="shared" si="150"/>
        <v>1.9740000000000002</v>
      </c>
      <c r="U1169" s="29" t="str">
        <f t="shared" si="151"/>
        <v>High</v>
      </c>
    </row>
    <row r="1170" spans="1:21" ht="15" customHeight="1" x14ac:dyDescent="0.25">
      <c r="A1170" s="29">
        <f>Dataset!A1170</f>
        <v>1166</v>
      </c>
      <c r="B1170" s="29">
        <f>IF(Dataset!B1170&lt;25,0.3,IF(Dataset!B1170&lt;75,0.5,IF(Dataset!B1170&lt;120,0.65,0.8)))</f>
        <v>0.5</v>
      </c>
      <c r="C1170" s="29">
        <f>IF(Dataset!B1170&lt;25,1,IF(Dataset!B1170&lt;75,2,IF(Dataset!B1170&lt;120,3,4)))</f>
        <v>2</v>
      </c>
      <c r="D1170" s="29">
        <f t="shared" si="144"/>
        <v>1</v>
      </c>
      <c r="E1170" s="29">
        <f>IF(Dataset!C1170&lt;=1,0.3,IF(Dataset!C1170=2,0.4,IF(Dataset!C1170=3,0.5,IF(Dataset!C1170=4,0.65,0.8))))</f>
        <v>0.3</v>
      </c>
      <c r="F1170" s="29">
        <f>IF(Dataset!C1170&lt;=2,1,IF(Dataset!C1170=3,2,IF(Dataset!C1170=4,3,4)))</f>
        <v>1</v>
      </c>
      <c r="G1170" s="29">
        <f t="shared" si="145"/>
        <v>0.3</v>
      </c>
      <c r="H1170" s="29">
        <f>IF(Dataset!G1170&lt;=3,0.25,IF(Dataset!G1170&lt;=6,0.45,IF(Dataset!G1170&lt;=9,0.65,0.85)))</f>
        <v>0.45</v>
      </c>
      <c r="I1170" s="29">
        <f>IF(Dataset!G1170&lt;=3,1,IF(Dataset!G1170&lt;=6,2,IF(Dataset!G1170&lt;=9,3,4)))</f>
        <v>2</v>
      </c>
      <c r="J1170" s="29">
        <f t="shared" si="146"/>
        <v>0.9</v>
      </c>
      <c r="K1170" s="29">
        <f>IF(Dataset!H1170&lt;1,0.2,IF(Dataset!H1170&lt;1.3,0.45,IF(Dataset!H1170&lt;1.8,0.7,0.9)))</f>
        <v>0.9</v>
      </c>
      <c r="L1170" s="29">
        <f>IF(Dataset!H1170&lt;1,1,IF(Dataset!H1170&lt;1.3,2,IF(Dataset!H1170&lt;1.8,3,4)))</f>
        <v>4</v>
      </c>
      <c r="M1170" s="29">
        <f t="shared" si="147"/>
        <v>3.6</v>
      </c>
      <c r="N1170" s="29">
        <f>IF(Dataset!F1170=1,0.75,IF(Dataset!F1170=2,0.45,0.2))</f>
        <v>0.75</v>
      </c>
      <c r="O1170" s="29">
        <f>IF(Dataset!F1170=1,3,IF(Dataset!F1170=2,2,1))</f>
        <v>3</v>
      </c>
      <c r="P1170" s="29">
        <f t="shared" si="148"/>
        <v>2.25</v>
      </c>
      <c r="Q1170" s="29">
        <f>IF(Dataset!K1170&lt;5,0.2,IF(Dataset!K1170&lt;10,0.45,IF(Dataset!K1170&lt;18,0.7,0.9)))</f>
        <v>0.2</v>
      </c>
      <c r="R1170" s="29">
        <f>IF(Dataset!K1170&lt;5,1,IF(Dataset!K1170&lt;10,2,IF(Dataset!K1170&lt;18,3,4)))</f>
        <v>1</v>
      </c>
      <c r="S1170" s="29">
        <f t="shared" si="149"/>
        <v>0.2</v>
      </c>
      <c r="T1170" s="29">
        <f t="shared" si="150"/>
        <v>1.5190000000000001</v>
      </c>
      <c r="U1170" s="29" t="str">
        <f t="shared" si="151"/>
        <v>Medium</v>
      </c>
    </row>
    <row r="1171" spans="1:21" ht="15" customHeight="1" x14ac:dyDescent="0.25">
      <c r="A1171" s="29">
        <f>Dataset!A1171</f>
        <v>1167</v>
      </c>
      <c r="B1171" s="29">
        <f>IF(Dataset!B1171&lt;25,0.3,IF(Dataset!B1171&lt;75,0.5,IF(Dataset!B1171&lt;120,0.65,0.8)))</f>
        <v>0.3</v>
      </c>
      <c r="C1171" s="29">
        <f>IF(Dataset!B1171&lt;25,1,IF(Dataset!B1171&lt;75,2,IF(Dataset!B1171&lt;120,3,4)))</f>
        <v>1</v>
      </c>
      <c r="D1171" s="29">
        <f t="shared" si="144"/>
        <v>0.3</v>
      </c>
      <c r="E1171" s="29">
        <f>IF(Dataset!C1171&lt;=1,0.3,IF(Dataset!C1171=2,0.4,IF(Dataset!C1171=3,0.5,IF(Dataset!C1171=4,0.65,0.8))))</f>
        <v>0.5</v>
      </c>
      <c r="F1171" s="29">
        <f>IF(Dataset!C1171&lt;=2,1,IF(Dataset!C1171=3,2,IF(Dataset!C1171=4,3,4)))</f>
        <v>2</v>
      </c>
      <c r="G1171" s="29">
        <f t="shared" si="145"/>
        <v>1</v>
      </c>
      <c r="H1171" s="29">
        <f>IF(Dataset!G1171&lt;=3,0.25,IF(Dataset!G1171&lt;=6,0.45,IF(Dataset!G1171&lt;=9,0.65,0.85)))</f>
        <v>0.65</v>
      </c>
      <c r="I1171" s="29">
        <f>IF(Dataset!G1171&lt;=3,1,IF(Dataset!G1171&lt;=6,2,IF(Dataset!G1171&lt;=9,3,4)))</f>
        <v>3</v>
      </c>
      <c r="J1171" s="29">
        <f t="shared" si="146"/>
        <v>1.9500000000000002</v>
      </c>
      <c r="K1171" s="29">
        <f>IF(Dataset!H1171&lt;1,0.2,IF(Dataset!H1171&lt;1.3,0.45,IF(Dataset!H1171&lt;1.8,0.7,0.9)))</f>
        <v>0.9</v>
      </c>
      <c r="L1171" s="29">
        <f>IF(Dataset!H1171&lt;1,1,IF(Dataset!H1171&lt;1.3,2,IF(Dataset!H1171&lt;1.8,3,4)))</f>
        <v>4</v>
      </c>
      <c r="M1171" s="29">
        <f t="shared" si="147"/>
        <v>3.6</v>
      </c>
      <c r="N1171" s="29">
        <f>IF(Dataset!F1171=1,0.75,IF(Dataset!F1171=2,0.45,0.2))</f>
        <v>0.2</v>
      </c>
      <c r="O1171" s="29">
        <f>IF(Dataset!F1171=1,3,IF(Dataset!F1171=2,2,1))</f>
        <v>1</v>
      </c>
      <c r="P1171" s="29">
        <f t="shared" si="148"/>
        <v>0.2</v>
      </c>
      <c r="Q1171" s="29">
        <f>IF(Dataset!K1171&lt;5,0.2,IF(Dataset!K1171&lt;10,0.45,IF(Dataset!K1171&lt;18,0.7,0.9)))</f>
        <v>0.45</v>
      </c>
      <c r="R1171" s="29">
        <f>IF(Dataset!K1171&lt;5,1,IF(Dataset!K1171&lt;10,2,IF(Dataset!K1171&lt;18,3,4)))</f>
        <v>2</v>
      </c>
      <c r="S1171" s="29">
        <f t="shared" si="149"/>
        <v>0.9</v>
      </c>
      <c r="T1171" s="29">
        <f t="shared" si="150"/>
        <v>1.5940000000000001</v>
      </c>
      <c r="U1171" s="29" t="str">
        <f t="shared" si="151"/>
        <v>Medium</v>
      </c>
    </row>
    <row r="1172" spans="1:21" ht="15" customHeight="1" x14ac:dyDescent="0.25">
      <c r="A1172" s="29">
        <f>Dataset!A1172</f>
        <v>1168</v>
      </c>
      <c r="B1172" s="29">
        <f>IF(Dataset!B1172&lt;25,0.3,IF(Dataset!B1172&lt;75,0.5,IF(Dataset!B1172&lt;120,0.65,0.8)))</f>
        <v>0.5</v>
      </c>
      <c r="C1172" s="29">
        <f>IF(Dataset!B1172&lt;25,1,IF(Dataset!B1172&lt;75,2,IF(Dataset!B1172&lt;120,3,4)))</f>
        <v>2</v>
      </c>
      <c r="D1172" s="29">
        <f t="shared" si="144"/>
        <v>1</v>
      </c>
      <c r="E1172" s="29">
        <f>IF(Dataset!C1172&lt;=1,0.3,IF(Dataset!C1172=2,0.4,IF(Dataset!C1172=3,0.5,IF(Dataset!C1172=4,0.65,0.8))))</f>
        <v>0.65</v>
      </c>
      <c r="F1172" s="29">
        <f>IF(Dataset!C1172&lt;=2,1,IF(Dataset!C1172=3,2,IF(Dataset!C1172=4,3,4)))</f>
        <v>3</v>
      </c>
      <c r="G1172" s="29">
        <f t="shared" si="145"/>
        <v>1.9500000000000002</v>
      </c>
      <c r="H1172" s="29">
        <f>IF(Dataset!G1172&lt;=3,0.25,IF(Dataset!G1172&lt;=6,0.45,IF(Dataset!G1172&lt;=9,0.65,0.85)))</f>
        <v>0.45</v>
      </c>
      <c r="I1172" s="29">
        <f>IF(Dataset!G1172&lt;=3,1,IF(Dataset!G1172&lt;=6,2,IF(Dataset!G1172&lt;=9,3,4)))</f>
        <v>2</v>
      </c>
      <c r="J1172" s="29">
        <f t="shared" si="146"/>
        <v>0.9</v>
      </c>
      <c r="K1172" s="29">
        <f>IF(Dataset!H1172&lt;1,0.2,IF(Dataset!H1172&lt;1.3,0.45,IF(Dataset!H1172&lt;1.8,0.7,0.9)))</f>
        <v>0.2</v>
      </c>
      <c r="L1172" s="29">
        <f>IF(Dataset!H1172&lt;1,1,IF(Dataset!H1172&lt;1.3,2,IF(Dataset!H1172&lt;1.8,3,4)))</f>
        <v>1</v>
      </c>
      <c r="M1172" s="29">
        <f t="shared" si="147"/>
        <v>0.2</v>
      </c>
      <c r="N1172" s="29">
        <f>IF(Dataset!F1172=1,0.75,IF(Dataset!F1172=2,0.45,0.2))</f>
        <v>0.45</v>
      </c>
      <c r="O1172" s="29">
        <f>IF(Dataset!F1172=1,3,IF(Dataset!F1172=2,2,1))</f>
        <v>2</v>
      </c>
      <c r="P1172" s="29">
        <f t="shared" si="148"/>
        <v>0.9</v>
      </c>
      <c r="Q1172" s="29">
        <f>IF(Dataset!K1172&lt;5,0.2,IF(Dataset!K1172&lt;10,0.45,IF(Dataset!K1172&lt;18,0.7,0.9)))</f>
        <v>0.45</v>
      </c>
      <c r="R1172" s="29">
        <f>IF(Dataset!K1172&lt;5,1,IF(Dataset!K1172&lt;10,2,IF(Dataset!K1172&lt;18,3,4)))</f>
        <v>2</v>
      </c>
      <c r="S1172" s="29">
        <f t="shared" si="149"/>
        <v>0.9</v>
      </c>
      <c r="T1172" s="29">
        <f t="shared" si="150"/>
        <v>0.89700000000000013</v>
      </c>
      <c r="U1172" s="29" t="str">
        <f t="shared" si="151"/>
        <v>Low</v>
      </c>
    </row>
    <row r="1173" spans="1:21" ht="15" customHeight="1" x14ac:dyDescent="0.25">
      <c r="A1173" s="29">
        <f>Dataset!A1173</f>
        <v>1169</v>
      </c>
      <c r="B1173" s="29">
        <f>IF(Dataset!B1173&lt;25,0.3,IF(Dataset!B1173&lt;75,0.5,IF(Dataset!B1173&lt;120,0.65,0.8)))</f>
        <v>0.5</v>
      </c>
      <c r="C1173" s="29">
        <f>IF(Dataset!B1173&lt;25,1,IF(Dataset!B1173&lt;75,2,IF(Dataset!B1173&lt;120,3,4)))</f>
        <v>2</v>
      </c>
      <c r="D1173" s="29">
        <f t="shared" si="144"/>
        <v>1</v>
      </c>
      <c r="E1173" s="29">
        <f>IF(Dataset!C1173&lt;=1,0.3,IF(Dataset!C1173=2,0.4,IF(Dataset!C1173=3,0.5,IF(Dataset!C1173=4,0.65,0.8))))</f>
        <v>0.4</v>
      </c>
      <c r="F1173" s="29">
        <f>IF(Dataset!C1173&lt;=2,1,IF(Dataset!C1173=3,2,IF(Dataset!C1173=4,3,4)))</f>
        <v>1</v>
      </c>
      <c r="G1173" s="29">
        <f t="shared" si="145"/>
        <v>0.4</v>
      </c>
      <c r="H1173" s="29">
        <f>IF(Dataset!G1173&lt;=3,0.25,IF(Dataset!G1173&lt;=6,0.45,IF(Dataset!G1173&lt;=9,0.65,0.85)))</f>
        <v>0.45</v>
      </c>
      <c r="I1173" s="29">
        <f>IF(Dataset!G1173&lt;=3,1,IF(Dataset!G1173&lt;=6,2,IF(Dataset!G1173&lt;=9,3,4)))</f>
        <v>2</v>
      </c>
      <c r="J1173" s="29">
        <f t="shared" si="146"/>
        <v>0.9</v>
      </c>
      <c r="K1173" s="29">
        <f>IF(Dataset!H1173&lt;1,0.2,IF(Dataset!H1173&lt;1.3,0.45,IF(Dataset!H1173&lt;1.8,0.7,0.9)))</f>
        <v>0.9</v>
      </c>
      <c r="L1173" s="29">
        <f>IF(Dataset!H1173&lt;1,1,IF(Dataset!H1173&lt;1.3,2,IF(Dataset!H1173&lt;1.8,3,4)))</f>
        <v>4</v>
      </c>
      <c r="M1173" s="29">
        <f t="shared" si="147"/>
        <v>3.6</v>
      </c>
      <c r="N1173" s="29">
        <f>IF(Dataset!F1173=1,0.75,IF(Dataset!F1173=2,0.45,0.2))</f>
        <v>0.75</v>
      </c>
      <c r="O1173" s="29">
        <f>IF(Dataset!F1173=1,3,IF(Dataset!F1173=2,2,1))</f>
        <v>3</v>
      </c>
      <c r="P1173" s="29">
        <f t="shared" si="148"/>
        <v>2.25</v>
      </c>
      <c r="Q1173" s="29">
        <f>IF(Dataset!K1173&lt;5,0.2,IF(Dataset!K1173&lt;10,0.45,IF(Dataset!K1173&lt;18,0.7,0.9)))</f>
        <v>0.2</v>
      </c>
      <c r="R1173" s="29">
        <f>IF(Dataset!K1173&lt;5,1,IF(Dataset!K1173&lt;10,2,IF(Dataset!K1173&lt;18,3,4)))</f>
        <v>1</v>
      </c>
      <c r="S1173" s="29">
        <f t="shared" si="149"/>
        <v>0.2</v>
      </c>
      <c r="T1173" s="29">
        <f t="shared" si="150"/>
        <v>1.5330000000000001</v>
      </c>
      <c r="U1173" s="29" t="str">
        <f t="shared" si="151"/>
        <v>Medium</v>
      </c>
    </row>
    <row r="1174" spans="1:21" ht="15" customHeight="1" x14ac:dyDescent="0.25">
      <c r="A1174" s="29">
        <f>Dataset!A1174</f>
        <v>1170</v>
      </c>
      <c r="B1174" s="29">
        <f>IF(Dataset!B1174&lt;25,0.3,IF(Dataset!B1174&lt;75,0.5,IF(Dataset!B1174&lt;120,0.65,0.8)))</f>
        <v>0.65</v>
      </c>
      <c r="C1174" s="29">
        <f>IF(Dataset!B1174&lt;25,1,IF(Dataset!B1174&lt;75,2,IF(Dataset!B1174&lt;120,3,4)))</f>
        <v>3</v>
      </c>
      <c r="D1174" s="29">
        <f t="shared" si="144"/>
        <v>1.9500000000000002</v>
      </c>
      <c r="E1174" s="29">
        <f>IF(Dataset!C1174&lt;=1,0.3,IF(Dataset!C1174=2,0.4,IF(Dataset!C1174=3,0.5,IF(Dataset!C1174=4,0.65,0.8))))</f>
        <v>0.8</v>
      </c>
      <c r="F1174" s="29">
        <f>IF(Dataset!C1174&lt;=2,1,IF(Dataset!C1174=3,2,IF(Dataset!C1174=4,3,4)))</f>
        <v>4</v>
      </c>
      <c r="G1174" s="29">
        <f t="shared" si="145"/>
        <v>3.2</v>
      </c>
      <c r="H1174" s="29">
        <f>IF(Dataset!G1174&lt;=3,0.25,IF(Dataset!G1174&lt;=6,0.45,IF(Dataset!G1174&lt;=9,0.65,0.85)))</f>
        <v>0.45</v>
      </c>
      <c r="I1174" s="29">
        <f>IF(Dataset!G1174&lt;=3,1,IF(Dataset!G1174&lt;=6,2,IF(Dataset!G1174&lt;=9,3,4)))</f>
        <v>2</v>
      </c>
      <c r="J1174" s="29">
        <f t="shared" si="146"/>
        <v>0.9</v>
      </c>
      <c r="K1174" s="29">
        <f>IF(Dataset!H1174&lt;1,0.2,IF(Dataset!H1174&lt;1.3,0.45,IF(Dataset!H1174&lt;1.8,0.7,0.9)))</f>
        <v>0.9</v>
      </c>
      <c r="L1174" s="29">
        <f>IF(Dataset!H1174&lt;1,1,IF(Dataset!H1174&lt;1.3,2,IF(Dataset!H1174&lt;1.8,3,4)))</f>
        <v>4</v>
      </c>
      <c r="M1174" s="29">
        <f t="shared" si="147"/>
        <v>3.6</v>
      </c>
      <c r="N1174" s="29">
        <f>IF(Dataset!F1174=1,0.75,IF(Dataset!F1174=2,0.45,0.2))</f>
        <v>0.45</v>
      </c>
      <c r="O1174" s="29">
        <f>IF(Dataset!F1174=1,3,IF(Dataset!F1174=2,2,1))</f>
        <v>2</v>
      </c>
      <c r="P1174" s="29">
        <f t="shared" si="148"/>
        <v>0.9</v>
      </c>
      <c r="Q1174" s="29">
        <f>IF(Dataset!K1174&lt;5,0.2,IF(Dataset!K1174&lt;10,0.45,IF(Dataset!K1174&lt;18,0.7,0.9)))</f>
        <v>0.9</v>
      </c>
      <c r="R1174" s="29">
        <f>IF(Dataset!K1174&lt;5,1,IF(Dataset!K1174&lt;10,2,IF(Dataset!K1174&lt;18,3,4)))</f>
        <v>4</v>
      </c>
      <c r="S1174" s="29">
        <f t="shared" si="149"/>
        <v>3.6</v>
      </c>
      <c r="T1174" s="29">
        <f t="shared" si="150"/>
        <v>2.4370000000000003</v>
      </c>
      <c r="U1174" s="29" t="str">
        <f t="shared" si="151"/>
        <v>High</v>
      </c>
    </row>
    <row r="1175" spans="1:21" ht="15" customHeight="1" x14ac:dyDescent="0.25">
      <c r="A1175" s="29">
        <f>Dataset!A1175</f>
        <v>1171</v>
      </c>
      <c r="B1175" s="29">
        <f>IF(Dataset!B1175&lt;25,0.3,IF(Dataset!B1175&lt;75,0.5,IF(Dataset!B1175&lt;120,0.65,0.8)))</f>
        <v>0.5</v>
      </c>
      <c r="C1175" s="29">
        <f>IF(Dataset!B1175&lt;25,1,IF(Dataset!B1175&lt;75,2,IF(Dataset!B1175&lt;120,3,4)))</f>
        <v>2</v>
      </c>
      <c r="D1175" s="29">
        <f t="shared" si="144"/>
        <v>1</v>
      </c>
      <c r="E1175" s="29">
        <f>IF(Dataset!C1175&lt;=1,0.3,IF(Dataset!C1175=2,0.4,IF(Dataset!C1175=3,0.5,IF(Dataset!C1175=4,0.65,0.8))))</f>
        <v>0.4</v>
      </c>
      <c r="F1175" s="29">
        <f>IF(Dataset!C1175&lt;=2,1,IF(Dataset!C1175=3,2,IF(Dataset!C1175=4,3,4)))</f>
        <v>1</v>
      </c>
      <c r="G1175" s="29">
        <f t="shared" si="145"/>
        <v>0.4</v>
      </c>
      <c r="H1175" s="29">
        <f>IF(Dataset!G1175&lt;=3,0.25,IF(Dataset!G1175&lt;=6,0.45,IF(Dataset!G1175&lt;=9,0.65,0.85)))</f>
        <v>0.45</v>
      </c>
      <c r="I1175" s="29">
        <f>IF(Dataset!G1175&lt;=3,1,IF(Dataset!G1175&lt;=6,2,IF(Dataset!G1175&lt;=9,3,4)))</f>
        <v>2</v>
      </c>
      <c r="J1175" s="29">
        <f t="shared" si="146"/>
        <v>0.9</v>
      </c>
      <c r="K1175" s="29">
        <f>IF(Dataset!H1175&lt;1,0.2,IF(Dataset!H1175&lt;1.3,0.45,IF(Dataset!H1175&lt;1.8,0.7,0.9)))</f>
        <v>0.7</v>
      </c>
      <c r="L1175" s="29">
        <f>IF(Dataset!H1175&lt;1,1,IF(Dataset!H1175&lt;1.3,2,IF(Dataset!H1175&lt;1.8,3,4)))</f>
        <v>3</v>
      </c>
      <c r="M1175" s="29">
        <f t="shared" si="147"/>
        <v>2.0999999999999996</v>
      </c>
      <c r="N1175" s="29">
        <f>IF(Dataset!F1175=1,0.75,IF(Dataset!F1175=2,0.45,0.2))</f>
        <v>0.75</v>
      </c>
      <c r="O1175" s="29">
        <f>IF(Dataset!F1175=1,3,IF(Dataset!F1175=2,2,1))</f>
        <v>3</v>
      </c>
      <c r="P1175" s="29">
        <f t="shared" si="148"/>
        <v>2.25</v>
      </c>
      <c r="Q1175" s="29">
        <f>IF(Dataset!K1175&lt;5,0.2,IF(Dataset!K1175&lt;10,0.45,IF(Dataset!K1175&lt;18,0.7,0.9)))</f>
        <v>0.2</v>
      </c>
      <c r="R1175" s="29">
        <f>IF(Dataset!K1175&lt;5,1,IF(Dataset!K1175&lt;10,2,IF(Dataset!K1175&lt;18,3,4)))</f>
        <v>1</v>
      </c>
      <c r="S1175" s="29">
        <f t="shared" si="149"/>
        <v>0.2</v>
      </c>
      <c r="T1175" s="29">
        <f t="shared" si="150"/>
        <v>1.173</v>
      </c>
      <c r="U1175" s="29" t="str">
        <f t="shared" si="151"/>
        <v>Low</v>
      </c>
    </row>
    <row r="1176" spans="1:21" ht="15" customHeight="1" x14ac:dyDescent="0.25">
      <c r="A1176" s="29">
        <f>Dataset!A1176</f>
        <v>1172</v>
      </c>
      <c r="B1176" s="29">
        <f>IF(Dataset!B1176&lt;25,0.3,IF(Dataset!B1176&lt;75,0.5,IF(Dataset!B1176&lt;120,0.65,0.8)))</f>
        <v>0.5</v>
      </c>
      <c r="C1176" s="29">
        <f>IF(Dataset!B1176&lt;25,1,IF(Dataset!B1176&lt;75,2,IF(Dataset!B1176&lt;120,3,4)))</f>
        <v>2</v>
      </c>
      <c r="D1176" s="29">
        <f t="shared" si="144"/>
        <v>1</v>
      </c>
      <c r="E1176" s="29">
        <f>IF(Dataset!C1176&lt;=1,0.3,IF(Dataset!C1176=2,0.4,IF(Dataset!C1176=3,0.5,IF(Dataset!C1176=4,0.65,0.8))))</f>
        <v>0.8</v>
      </c>
      <c r="F1176" s="29">
        <f>IF(Dataset!C1176&lt;=2,1,IF(Dataset!C1176=3,2,IF(Dataset!C1176=4,3,4)))</f>
        <v>4</v>
      </c>
      <c r="G1176" s="29">
        <f t="shared" si="145"/>
        <v>3.2</v>
      </c>
      <c r="H1176" s="29">
        <f>IF(Dataset!G1176&lt;=3,0.25,IF(Dataset!G1176&lt;=6,0.45,IF(Dataset!G1176&lt;=9,0.65,0.85)))</f>
        <v>0.65</v>
      </c>
      <c r="I1176" s="29">
        <f>IF(Dataset!G1176&lt;=3,1,IF(Dataset!G1176&lt;=6,2,IF(Dataset!G1176&lt;=9,3,4)))</f>
        <v>3</v>
      </c>
      <c r="J1176" s="29">
        <f t="shared" si="146"/>
        <v>1.9500000000000002</v>
      </c>
      <c r="K1176" s="29">
        <f>IF(Dataset!H1176&lt;1,0.2,IF(Dataset!H1176&lt;1.3,0.45,IF(Dataset!H1176&lt;1.8,0.7,0.9)))</f>
        <v>0.9</v>
      </c>
      <c r="L1176" s="29">
        <f>IF(Dataset!H1176&lt;1,1,IF(Dataset!H1176&lt;1.3,2,IF(Dataset!H1176&lt;1.8,3,4)))</f>
        <v>4</v>
      </c>
      <c r="M1176" s="29">
        <f t="shared" si="147"/>
        <v>3.6</v>
      </c>
      <c r="N1176" s="29">
        <f>IF(Dataset!F1176=1,0.75,IF(Dataset!F1176=2,0.45,0.2))</f>
        <v>0.75</v>
      </c>
      <c r="O1176" s="29">
        <f>IF(Dataset!F1176=1,3,IF(Dataset!F1176=2,2,1))</f>
        <v>3</v>
      </c>
      <c r="P1176" s="29">
        <f t="shared" si="148"/>
        <v>2.25</v>
      </c>
      <c r="Q1176" s="29">
        <f>IF(Dataset!K1176&lt;5,0.2,IF(Dataset!K1176&lt;10,0.45,IF(Dataset!K1176&lt;18,0.7,0.9)))</f>
        <v>0.9</v>
      </c>
      <c r="R1176" s="29">
        <f>IF(Dataset!K1176&lt;5,1,IF(Dataset!K1176&lt;10,2,IF(Dataset!K1176&lt;18,3,4)))</f>
        <v>4</v>
      </c>
      <c r="S1176" s="29">
        <f t="shared" si="149"/>
        <v>3.6</v>
      </c>
      <c r="T1176" s="29">
        <f t="shared" si="150"/>
        <v>2.6110000000000002</v>
      </c>
      <c r="U1176" s="29" t="str">
        <f t="shared" si="151"/>
        <v>High</v>
      </c>
    </row>
    <row r="1177" spans="1:21" ht="15" customHeight="1" x14ac:dyDescent="0.25">
      <c r="A1177" s="29">
        <f>Dataset!A1177</f>
        <v>1173</v>
      </c>
      <c r="B1177" s="29">
        <f>IF(Dataset!B1177&lt;25,0.3,IF(Dataset!B1177&lt;75,0.5,IF(Dataset!B1177&lt;120,0.65,0.8)))</f>
        <v>0.3</v>
      </c>
      <c r="C1177" s="29">
        <f>IF(Dataset!B1177&lt;25,1,IF(Dataset!B1177&lt;75,2,IF(Dataset!B1177&lt;120,3,4)))</f>
        <v>1</v>
      </c>
      <c r="D1177" s="29">
        <f t="shared" si="144"/>
        <v>0.3</v>
      </c>
      <c r="E1177" s="29">
        <f>IF(Dataset!C1177&lt;=1,0.3,IF(Dataset!C1177=2,0.4,IF(Dataset!C1177=3,0.5,IF(Dataset!C1177=4,0.65,0.8))))</f>
        <v>0.4</v>
      </c>
      <c r="F1177" s="29">
        <f>IF(Dataset!C1177&lt;=2,1,IF(Dataset!C1177=3,2,IF(Dataset!C1177=4,3,4)))</f>
        <v>1</v>
      </c>
      <c r="G1177" s="29">
        <f t="shared" si="145"/>
        <v>0.4</v>
      </c>
      <c r="H1177" s="29">
        <f>IF(Dataset!G1177&lt;=3,0.25,IF(Dataset!G1177&lt;=6,0.45,IF(Dataset!G1177&lt;=9,0.65,0.85)))</f>
        <v>0.45</v>
      </c>
      <c r="I1177" s="29">
        <f>IF(Dataset!G1177&lt;=3,1,IF(Dataset!G1177&lt;=6,2,IF(Dataset!G1177&lt;=9,3,4)))</f>
        <v>2</v>
      </c>
      <c r="J1177" s="29">
        <f t="shared" si="146"/>
        <v>0.9</v>
      </c>
      <c r="K1177" s="29">
        <f>IF(Dataset!H1177&lt;1,0.2,IF(Dataset!H1177&lt;1.3,0.45,IF(Dataset!H1177&lt;1.8,0.7,0.9)))</f>
        <v>0.2</v>
      </c>
      <c r="L1177" s="29">
        <f>IF(Dataset!H1177&lt;1,1,IF(Dataset!H1177&lt;1.3,2,IF(Dataset!H1177&lt;1.8,3,4)))</f>
        <v>1</v>
      </c>
      <c r="M1177" s="29">
        <f t="shared" si="147"/>
        <v>0.2</v>
      </c>
      <c r="N1177" s="29">
        <f>IF(Dataset!F1177=1,0.75,IF(Dataset!F1177=2,0.45,0.2))</f>
        <v>0.45</v>
      </c>
      <c r="O1177" s="29">
        <f>IF(Dataset!F1177=1,3,IF(Dataset!F1177=2,2,1))</f>
        <v>2</v>
      </c>
      <c r="P1177" s="29">
        <f t="shared" si="148"/>
        <v>0.9</v>
      </c>
      <c r="Q1177" s="29">
        <f>IF(Dataset!K1177&lt;5,0.2,IF(Dataset!K1177&lt;10,0.45,IF(Dataset!K1177&lt;18,0.7,0.9)))</f>
        <v>0.2</v>
      </c>
      <c r="R1177" s="29">
        <f>IF(Dataset!K1177&lt;5,1,IF(Dataset!K1177&lt;10,2,IF(Dataset!K1177&lt;18,3,4)))</f>
        <v>1</v>
      </c>
      <c r="S1177" s="29">
        <f t="shared" si="149"/>
        <v>0.2</v>
      </c>
      <c r="T1177" s="29">
        <f t="shared" si="150"/>
        <v>0.45600000000000007</v>
      </c>
      <c r="U1177" s="29" t="str">
        <f t="shared" si="151"/>
        <v>Low</v>
      </c>
    </row>
    <row r="1178" spans="1:21" ht="15" customHeight="1" x14ac:dyDescent="0.25">
      <c r="A1178" s="29">
        <f>Dataset!A1178</f>
        <v>1174</v>
      </c>
      <c r="B1178" s="29">
        <f>IF(Dataset!B1178&lt;25,0.3,IF(Dataset!B1178&lt;75,0.5,IF(Dataset!B1178&lt;120,0.65,0.8)))</f>
        <v>0.65</v>
      </c>
      <c r="C1178" s="29">
        <f>IF(Dataset!B1178&lt;25,1,IF(Dataset!B1178&lt;75,2,IF(Dataset!B1178&lt;120,3,4)))</f>
        <v>3</v>
      </c>
      <c r="D1178" s="29">
        <f t="shared" si="144"/>
        <v>1.9500000000000002</v>
      </c>
      <c r="E1178" s="29">
        <f>IF(Dataset!C1178&lt;=1,0.3,IF(Dataset!C1178=2,0.4,IF(Dataset!C1178=3,0.5,IF(Dataset!C1178=4,0.65,0.8))))</f>
        <v>0.8</v>
      </c>
      <c r="F1178" s="29">
        <f>IF(Dataset!C1178&lt;=2,1,IF(Dataset!C1178=3,2,IF(Dataset!C1178=4,3,4)))</f>
        <v>4</v>
      </c>
      <c r="G1178" s="29">
        <f t="shared" si="145"/>
        <v>3.2</v>
      </c>
      <c r="H1178" s="29">
        <f>IF(Dataset!G1178&lt;=3,0.25,IF(Dataset!G1178&lt;=6,0.45,IF(Dataset!G1178&lt;=9,0.65,0.85)))</f>
        <v>0.45</v>
      </c>
      <c r="I1178" s="29">
        <f>IF(Dataset!G1178&lt;=3,1,IF(Dataset!G1178&lt;=6,2,IF(Dataset!G1178&lt;=9,3,4)))</f>
        <v>2</v>
      </c>
      <c r="J1178" s="29">
        <f t="shared" si="146"/>
        <v>0.9</v>
      </c>
      <c r="K1178" s="29">
        <f>IF(Dataset!H1178&lt;1,0.2,IF(Dataset!H1178&lt;1.3,0.45,IF(Dataset!H1178&lt;1.8,0.7,0.9)))</f>
        <v>0.9</v>
      </c>
      <c r="L1178" s="29">
        <f>IF(Dataset!H1178&lt;1,1,IF(Dataset!H1178&lt;1.3,2,IF(Dataset!H1178&lt;1.8,3,4)))</f>
        <v>4</v>
      </c>
      <c r="M1178" s="29">
        <f t="shared" si="147"/>
        <v>3.6</v>
      </c>
      <c r="N1178" s="29">
        <f>IF(Dataset!F1178=1,0.75,IF(Dataset!F1178=2,0.45,0.2))</f>
        <v>0.45</v>
      </c>
      <c r="O1178" s="29">
        <f>IF(Dataset!F1178=1,3,IF(Dataset!F1178=2,2,1))</f>
        <v>2</v>
      </c>
      <c r="P1178" s="29">
        <f t="shared" si="148"/>
        <v>0.9</v>
      </c>
      <c r="Q1178" s="29">
        <f>IF(Dataset!K1178&lt;5,0.2,IF(Dataset!K1178&lt;10,0.45,IF(Dataset!K1178&lt;18,0.7,0.9)))</f>
        <v>0.9</v>
      </c>
      <c r="R1178" s="29">
        <f>IF(Dataset!K1178&lt;5,1,IF(Dataset!K1178&lt;10,2,IF(Dataset!K1178&lt;18,3,4)))</f>
        <v>4</v>
      </c>
      <c r="S1178" s="29">
        <f t="shared" si="149"/>
        <v>3.6</v>
      </c>
      <c r="T1178" s="29">
        <f t="shared" si="150"/>
        <v>2.4370000000000003</v>
      </c>
      <c r="U1178" s="29" t="str">
        <f t="shared" si="151"/>
        <v>High</v>
      </c>
    </row>
    <row r="1179" spans="1:21" ht="15" customHeight="1" x14ac:dyDescent="0.25">
      <c r="A1179" s="29">
        <f>Dataset!A1179</f>
        <v>1175</v>
      </c>
      <c r="B1179" s="29">
        <f>IF(Dataset!B1179&lt;25,0.3,IF(Dataset!B1179&lt;75,0.5,IF(Dataset!B1179&lt;120,0.65,0.8)))</f>
        <v>0.3</v>
      </c>
      <c r="C1179" s="29">
        <f>IF(Dataset!B1179&lt;25,1,IF(Dataset!B1179&lt;75,2,IF(Dataset!B1179&lt;120,3,4)))</f>
        <v>1</v>
      </c>
      <c r="D1179" s="29">
        <f t="shared" si="144"/>
        <v>0.3</v>
      </c>
      <c r="E1179" s="29">
        <f>IF(Dataset!C1179&lt;=1,0.3,IF(Dataset!C1179=2,0.4,IF(Dataset!C1179=3,0.5,IF(Dataset!C1179=4,0.65,0.8))))</f>
        <v>0.65</v>
      </c>
      <c r="F1179" s="29">
        <f>IF(Dataset!C1179&lt;=2,1,IF(Dataset!C1179=3,2,IF(Dataset!C1179=4,3,4)))</f>
        <v>3</v>
      </c>
      <c r="G1179" s="29">
        <f t="shared" si="145"/>
        <v>1.9500000000000002</v>
      </c>
      <c r="H1179" s="29">
        <f>IF(Dataset!G1179&lt;=3,0.25,IF(Dataset!G1179&lt;=6,0.45,IF(Dataset!G1179&lt;=9,0.65,0.85)))</f>
        <v>0.45</v>
      </c>
      <c r="I1179" s="29">
        <f>IF(Dataset!G1179&lt;=3,1,IF(Dataset!G1179&lt;=6,2,IF(Dataset!G1179&lt;=9,3,4)))</f>
        <v>2</v>
      </c>
      <c r="J1179" s="29">
        <f t="shared" si="146"/>
        <v>0.9</v>
      </c>
      <c r="K1179" s="29">
        <f>IF(Dataset!H1179&lt;1,0.2,IF(Dataset!H1179&lt;1.3,0.45,IF(Dataset!H1179&lt;1.8,0.7,0.9)))</f>
        <v>0.45</v>
      </c>
      <c r="L1179" s="29">
        <f>IF(Dataset!H1179&lt;1,1,IF(Dataset!H1179&lt;1.3,2,IF(Dataset!H1179&lt;1.8,3,4)))</f>
        <v>2</v>
      </c>
      <c r="M1179" s="29">
        <f t="shared" si="147"/>
        <v>0.9</v>
      </c>
      <c r="N1179" s="29">
        <f>IF(Dataset!F1179=1,0.75,IF(Dataset!F1179=2,0.45,0.2))</f>
        <v>0.45</v>
      </c>
      <c r="O1179" s="29">
        <f>IF(Dataset!F1179=1,3,IF(Dataset!F1179=2,2,1))</f>
        <v>2</v>
      </c>
      <c r="P1179" s="29">
        <f t="shared" si="148"/>
        <v>0.9</v>
      </c>
      <c r="Q1179" s="29">
        <f>IF(Dataset!K1179&lt;5,0.2,IF(Dataset!K1179&lt;10,0.45,IF(Dataset!K1179&lt;18,0.7,0.9)))</f>
        <v>0.45</v>
      </c>
      <c r="R1179" s="29">
        <f>IF(Dataset!K1179&lt;5,1,IF(Dataset!K1179&lt;10,2,IF(Dataset!K1179&lt;18,3,4)))</f>
        <v>2</v>
      </c>
      <c r="S1179" s="29">
        <f t="shared" si="149"/>
        <v>0.9</v>
      </c>
      <c r="T1179" s="29">
        <f t="shared" si="150"/>
        <v>0.93900000000000006</v>
      </c>
      <c r="U1179" s="29" t="str">
        <f t="shared" si="151"/>
        <v>Low</v>
      </c>
    </row>
    <row r="1180" spans="1:21" ht="15" customHeight="1" x14ac:dyDescent="0.25">
      <c r="A1180" s="29">
        <f>Dataset!A1180</f>
        <v>1176</v>
      </c>
      <c r="B1180" s="29">
        <f>IF(Dataset!B1180&lt;25,0.3,IF(Dataset!B1180&lt;75,0.5,IF(Dataset!B1180&lt;120,0.65,0.8)))</f>
        <v>0.8</v>
      </c>
      <c r="C1180" s="29">
        <f>IF(Dataset!B1180&lt;25,1,IF(Dataset!B1180&lt;75,2,IF(Dataset!B1180&lt;120,3,4)))</f>
        <v>4</v>
      </c>
      <c r="D1180" s="29">
        <f t="shared" si="144"/>
        <v>3.2</v>
      </c>
      <c r="E1180" s="29">
        <f>IF(Dataset!C1180&lt;=1,0.3,IF(Dataset!C1180=2,0.4,IF(Dataset!C1180=3,0.5,IF(Dataset!C1180=4,0.65,0.8))))</f>
        <v>0.4</v>
      </c>
      <c r="F1180" s="29">
        <f>IF(Dataset!C1180&lt;=2,1,IF(Dataset!C1180=3,2,IF(Dataset!C1180=4,3,4)))</f>
        <v>1</v>
      </c>
      <c r="G1180" s="29">
        <f t="shared" si="145"/>
        <v>0.4</v>
      </c>
      <c r="H1180" s="29">
        <f>IF(Dataset!G1180&lt;=3,0.25,IF(Dataset!G1180&lt;=6,0.45,IF(Dataset!G1180&lt;=9,0.65,0.85)))</f>
        <v>0.65</v>
      </c>
      <c r="I1180" s="29">
        <f>IF(Dataset!G1180&lt;=3,1,IF(Dataset!G1180&lt;=6,2,IF(Dataset!G1180&lt;=9,3,4)))</f>
        <v>3</v>
      </c>
      <c r="J1180" s="29">
        <f t="shared" si="146"/>
        <v>1.9500000000000002</v>
      </c>
      <c r="K1180" s="29">
        <f>IF(Dataset!H1180&lt;1,0.2,IF(Dataset!H1180&lt;1.3,0.45,IF(Dataset!H1180&lt;1.8,0.7,0.9)))</f>
        <v>0.7</v>
      </c>
      <c r="L1180" s="29">
        <f>IF(Dataset!H1180&lt;1,1,IF(Dataset!H1180&lt;1.3,2,IF(Dataset!H1180&lt;1.8,3,4)))</f>
        <v>3</v>
      </c>
      <c r="M1180" s="29">
        <f t="shared" si="147"/>
        <v>2.0999999999999996</v>
      </c>
      <c r="N1180" s="29">
        <f>IF(Dataset!F1180=1,0.75,IF(Dataset!F1180=2,0.45,0.2))</f>
        <v>0.2</v>
      </c>
      <c r="O1180" s="29">
        <f>IF(Dataset!F1180=1,3,IF(Dataset!F1180=2,2,1))</f>
        <v>1</v>
      </c>
      <c r="P1180" s="29">
        <f t="shared" si="148"/>
        <v>0.2</v>
      </c>
      <c r="Q1180" s="29">
        <f>IF(Dataset!K1180&lt;5,0.2,IF(Dataset!K1180&lt;10,0.45,IF(Dataset!K1180&lt;18,0.7,0.9)))</f>
        <v>0.45</v>
      </c>
      <c r="R1180" s="29">
        <f>IF(Dataset!K1180&lt;5,1,IF(Dataset!K1180&lt;10,2,IF(Dataset!K1180&lt;18,3,4)))</f>
        <v>2</v>
      </c>
      <c r="S1180" s="29">
        <f t="shared" si="149"/>
        <v>0.9</v>
      </c>
      <c r="T1180" s="29">
        <f t="shared" si="150"/>
        <v>1.6719999999999999</v>
      </c>
      <c r="U1180" s="29" t="str">
        <f t="shared" si="151"/>
        <v>Medium</v>
      </c>
    </row>
    <row r="1181" spans="1:21" ht="15" customHeight="1" x14ac:dyDescent="0.25">
      <c r="A1181" s="29">
        <f>Dataset!A1181</f>
        <v>1177</v>
      </c>
      <c r="B1181" s="29">
        <f>IF(Dataset!B1181&lt;25,0.3,IF(Dataset!B1181&lt;75,0.5,IF(Dataset!B1181&lt;120,0.65,0.8)))</f>
        <v>0.3</v>
      </c>
      <c r="C1181" s="29">
        <f>IF(Dataset!B1181&lt;25,1,IF(Dataset!B1181&lt;75,2,IF(Dataset!B1181&lt;120,3,4)))</f>
        <v>1</v>
      </c>
      <c r="D1181" s="29">
        <f t="shared" si="144"/>
        <v>0.3</v>
      </c>
      <c r="E1181" s="29">
        <f>IF(Dataset!C1181&lt;=1,0.3,IF(Dataset!C1181=2,0.4,IF(Dataset!C1181=3,0.5,IF(Dataset!C1181=4,0.65,0.8))))</f>
        <v>0.3</v>
      </c>
      <c r="F1181" s="29">
        <f>IF(Dataset!C1181&lt;=2,1,IF(Dataset!C1181=3,2,IF(Dataset!C1181=4,3,4)))</f>
        <v>1</v>
      </c>
      <c r="G1181" s="29">
        <f t="shared" si="145"/>
        <v>0.3</v>
      </c>
      <c r="H1181" s="29">
        <f>IF(Dataset!G1181&lt;=3,0.25,IF(Dataset!G1181&lt;=6,0.45,IF(Dataset!G1181&lt;=9,0.65,0.85)))</f>
        <v>0.25</v>
      </c>
      <c r="I1181" s="29">
        <f>IF(Dataset!G1181&lt;=3,1,IF(Dataset!G1181&lt;=6,2,IF(Dataset!G1181&lt;=9,3,4)))</f>
        <v>1</v>
      </c>
      <c r="J1181" s="29">
        <f t="shared" si="146"/>
        <v>0.25</v>
      </c>
      <c r="K1181" s="29">
        <f>IF(Dataset!H1181&lt;1,0.2,IF(Dataset!H1181&lt;1.3,0.45,IF(Dataset!H1181&lt;1.8,0.7,0.9)))</f>
        <v>0.9</v>
      </c>
      <c r="L1181" s="29">
        <f>IF(Dataset!H1181&lt;1,1,IF(Dataset!H1181&lt;1.3,2,IF(Dataset!H1181&lt;1.8,3,4)))</f>
        <v>4</v>
      </c>
      <c r="M1181" s="29">
        <f t="shared" si="147"/>
        <v>3.6</v>
      </c>
      <c r="N1181" s="29">
        <f>IF(Dataset!F1181=1,0.75,IF(Dataset!F1181=2,0.45,0.2))</f>
        <v>0.75</v>
      </c>
      <c r="O1181" s="29">
        <f>IF(Dataset!F1181=1,3,IF(Dataset!F1181=2,2,1))</f>
        <v>3</v>
      </c>
      <c r="P1181" s="29">
        <f t="shared" si="148"/>
        <v>2.25</v>
      </c>
      <c r="Q1181" s="29">
        <f>IF(Dataset!K1181&lt;5,0.2,IF(Dataset!K1181&lt;10,0.45,IF(Dataset!K1181&lt;18,0.7,0.9)))</f>
        <v>0.2</v>
      </c>
      <c r="R1181" s="29">
        <f>IF(Dataset!K1181&lt;5,1,IF(Dataset!K1181&lt;10,2,IF(Dataset!K1181&lt;18,3,4)))</f>
        <v>1</v>
      </c>
      <c r="S1181" s="29">
        <f t="shared" si="149"/>
        <v>0.2</v>
      </c>
      <c r="T1181" s="29">
        <f t="shared" si="150"/>
        <v>1.2630000000000001</v>
      </c>
      <c r="U1181" s="29" t="str">
        <f t="shared" si="151"/>
        <v>Low</v>
      </c>
    </row>
    <row r="1182" spans="1:21" ht="15" customHeight="1" x14ac:dyDescent="0.25">
      <c r="A1182" s="29">
        <f>Dataset!A1182</f>
        <v>1178</v>
      </c>
      <c r="B1182" s="29">
        <f>IF(Dataset!B1182&lt;25,0.3,IF(Dataset!B1182&lt;75,0.5,IF(Dataset!B1182&lt;120,0.65,0.8)))</f>
        <v>0.3</v>
      </c>
      <c r="C1182" s="29">
        <f>IF(Dataset!B1182&lt;25,1,IF(Dataset!B1182&lt;75,2,IF(Dataset!B1182&lt;120,3,4)))</f>
        <v>1</v>
      </c>
      <c r="D1182" s="29">
        <f t="shared" si="144"/>
        <v>0.3</v>
      </c>
      <c r="E1182" s="29">
        <f>IF(Dataset!C1182&lt;=1,0.3,IF(Dataset!C1182=2,0.4,IF(Dataset!C1182=3,0.5,IF(Dataset!C1182=4,0.65,0.8))))</f>
        <v>0.3</v>
      </c>
      <c r="F1182" s="29">
        <f>IF(Dataset!C1182&lt;=2,1,IF(Dataset!C1182=3,2,IF(Dataset!C1182=4,3,4)))</f>
        <v>1</v>
      </c>
      <c r="G1182" s="29">
        <f t="shared" si="145"/>
        <v>0.3</v>
      </c>
      <c r="H1182" s="29">
        <f>IF(Dataset!G1182&lt;=3,0.25,IF(Dataset!G1182&lt;=6,0.45,IF(Dataset!G1182&lt;=9,0.65,0.85)))</f>
        <v>0.45</v>
      </c>
      <c r="I1182" s="29">
        <f>IF(Dataset!G1182&lt;=3,1,IF(Dataset!G1182&lt;=6,2,IF(Dataset!G1182&lt;=9,3,4)))</f>
        <v>2</v>
      </c>
      <c r="J1182" s="29">
        <f t="shared" si="146"/>
        <v>0.9</v>
      </c>
      <c r="K1182" s="29">
        <f>IF(Dataset!H1182&lt;1,0.2,IF(Dataset!H1182&lt;1.3,0.45,IF(Dataset!H1182&lt;1.8,0.7,0.9)))</f>
        <v>0.9</v>
      </c>
      <c r="L1182" s="29">
        <f>IF(Dataset!H1182&lt;1,1,IF(Dataset!H1182&lt;1.3,2,IF(Dataset!H1182&lt;1.8,3,4)))</f>
        <v>4</v>
      </c>
      <c r="M1182" s="29">
        <f t="shared" si="147"/>
        <v>3.6</v>
      </c>
      <c r="N1182" s="29">
        <f>IF(Dataset!F1182=1,0.75,IF(Dataset!F1182=2,0.45,0.2))</f>
        <v>0.2</v>
      </c>
      <c r="O1182" s="29">
        <f>IF(Dataset!F1182=1,3,IF(Dataset!F1182=2,2,1))</f>
        <v>1</v>
      </c>
      <c r="P1182" s="29">
        <f t="shared" si="148"/>
        <v>0.2</v>
      </c>
      <c r="Q1182" s="29">
        <f>IF(Dataset!K1182&lt;5,0.2,IF(Dataset!K1182&lt;10,0.45,IF(Dataset!K1182&lt;18,0.7,0.9)))</f>
        <v>0.2</v>
      </c>
      <c r="R1182" s="29">
        <f>IF(Dataset!K1182&lt;5,1,IF(Dataset!K1182&lt;10,2,IF(Dataset!K1182&lt;18,3,4)))</f>
        <v>1</v>
      </c>
      <c r="S1182" s="29">
        <f t="shared" si="149"/>
        <v>0.2</v>
      </c>
      <c r="T1182" s="29">
        <f t="shared" si="150"/>
        <v>1.1880000000000002</v>
      </c>
      <c r="U1182" s="29" t="str">
        <f t="shared" si="151"/>
        <v>Low</v>
      </c>
    </row>
    <row r="1183" spans="1:21" ht="15" customHeight="1" x14ac:dyDescent="0.25">
      <c r="A1183" s="29">
        <f>Dataset!A1183</f>
        <v>1179</v>
      </c>
      <c r="B1183" s="29">
        <f>IF(Dataset!B1183&lt;25,0.3,IF(Dataset!B1183&lt;75,0.5,IF(Dataset!B1183&lt;120,0.65,0.8)))</f>
        <v>0.5</v>
      </c>
      <c r="C1183" s="29">
        <f>IF(Dataset!B1183&lt;25,1,IF(Dataset!B1183&lt;75,2,IF(Dataset!B1183&lt;120,3,4)))</f>
        <v>2</v>
      </c>
      <c r="D1183" s="29">
        <f t="shared" si="144"/>
        <v>1</v>
      </c>
      <c r="E1183" s="29">
        <f>IF(Dataset!C1183&lt;=1,0.3,IF(Dataset!C1183=2,0.4,IF(Dataset!C1183=3,0.5,IF(Dataset!C1183=4,0.65,0.8))))</f>
        <v>0.65</v>
      </c>
      <c r="F1183" s="29">
        <f>IF(Dataset!C1183&lt;=2,1,IF(Dataset!C1183=3,2,IF(Dataset!C1183=4,3,4)))</f>
        <v>3</v>
      </c>
      <c r="G1183" s="29">
        <f t="shared" si="145"/>
        <v>1.9500000000000002</v>
      </c>
      <c r="H1183" s="29">
        <f>IF(Dataset!G1183&lt;=3,0.25,IF(Dataset!G1183&lt;=6,0.45,IF(Dataset!G1183&lt;=9,0.65,0.85)))</f>
        <v>0.45</v>
      </c>
      <c r="I1183" s="29">
        <f>IF(Dataset!G1183&lt;=3,1,IF(Dataset!G1183&lt;=6,2,IF(Dataset!G1183&lt;=9,3,4)))</f>
        <v>2</v>
      </c>
      <c r="J1183" s="29">
        <f t="shared" si="146"/>
        <v>0.9</v>
      </c>
      <c r="K1183" s="29">
        <f>IF(Dataset!H1183&lt;1,0.2,IF(Dataset!H1183&lt;1.3,0.45,IF(Dataset!H1183&lt;1.8,0.7,0.9)))</f>
        <v>0.7</v>
      </c>
      <c r="L1183" s="29">
        <f>IF(Dataset!H1183&lt;1,1,IF(Dataset!H1183&lt;1.3,2,IF(Dataset!H1183&lt;1.8,3,4)))</f>
        <v>3</v>
      </c>
      <c r="M1183" s="29">
        <f t="shared" si="147"/>
        <v>2.0999999999999996</v>
      </c>
      <c r="N1183" s="29">
        <f>IF(Dataset!F1183=1,0.75,IF(Dataset!F1183=2,0.45,0.2))</f>
        <v>0.45</v>
      </c>
      <c r="O1183" s="29">
        <f>IF(Dataset!F1183=1,3,IF(Dataset!F1183=2,2,1))</f>
        <v>2</v>
      </c>
      <c r="P1183" s="29">
        <f t="shared" si="148"/>
        <v>0.9</v>
      </c>
      <c r="Q1183" s="29">
        <f>IF(Dataset!K1183&lt;5,0.2,IF(Dataset!K1183&lt;10,0.45,IF(Dataset!K1183&lt;18,0.7,0.9)))</f>
        <v>0.45</v>
      </c>
      <c r="R1183" s="29">
        <f>IF(Dataset!K1183&lt;5,1,IF(Dataset!K1183&lt;10,2,IF(Dataset!K1183&lt;18,3,4)))</f>
        <v>2</v>
      </c>
      <c r="S1183" s="29">
        <f t="shared" si="149"/>
        <v>0.9</v>
      </c>
      <c r="T1183" s="29">
        <f t="shared" si="150"/>
        <v>1.3530000000000002</v>
      </c>
      <c r="U1183" s="29" t="str">
        <f t="shared" si="151"/>
        <v>Low</v>
      </c>
    </row>
    <row r="1184" spans="1:21" ht="15" customHeight="1" x14ac:dyDescent="0.25">
      <c r="A1184" s="29">
        <f>Dataset!A1184</f>
        <v>1180</v>
      </c>
      <c r="B1184" s="29">
        <f>IF(Dataset!B1184&lt;25,0.3,IF(Dataset!B1184&lt;75,0.5,IF(Dataset!B1184&lt;120,0.65,0.8)))</f>
        <v>0.5</v>
      </c>
      <c r="C1184" s="29">
        <f>IF(Dataset!B1184&lt;25,1,IF(Dataset!B1184&lt;75,2,IF(Dataset!B1184&lt;120,3,4)))</f>
        <v>2</v>
      </c>
      <c r="D1184" s="29">
        <f t="shared" si="144"/>
        <v>1</v>
      </c>
      <c r="E1184" s="29">
        <f>IF(Dataset!C1184&lt;=1,0.3,IF(Dataset!C1184=2,0.4,IF(Dataset!C1184=3,0.5,IF(Dataset!C1184=4,0.65,0.8))))</f>
        <v>0.65</v>
      </c>
      <c r="F1184" s="29">
        <f>IF(Dataset!C1184&lt;=2,1,IF(Dataset!C1184=3,2,IF(Dataset!C1184=4,3,4)))</f>
        <v>3</v>
      </c>
      <c r="G1184" s="29">
        <f t="shared" si="145"/>
        <v>1.9500000000000002</v>
      </c>
      <c r="H1184" s="29">
        <f>IF(Dataset!G1184&lt;=3,0.25,IF(Dataset!G1184&lt;=6,0.45,IF(Dataset!G1184&lt;=9,0.65,0.85)))</f>
        <v>0.65</v>
      </c>
      <c r="I1184" s="29">
        <f>IF(Dataset!G1184&lt;=3,1,IF(Dataset!G1184&lt;=6,2,IF(Dataset!G1184&lt;=9,3,4)))</f>
        <v>3</v>
      </c>
      <c r="J1184" s="29">
        <f t="shared" si="146"/>
        <v>1.9500000000000002</v>
      </c>
      <c r="K1184" s="29">
        <f>IF(Dataset!H1184&lt;1,0.2,IF(Dataset!H1184&lt;1.3,0.45,IF(Dataset!H1184&lt;1.8,0.7,0.9)))</f>
        <v>0.9</v>
      </c>
      <c r="L1184" s="29">
        <f>IF(Dataset!H1184&lt;1,1,IF(Dataset!H1184&lt;1.3,2,IF(Dataset!H1184&lt;1.8,3,4)))</f>
        <v>4</v>
      </c>
      <c r="M1184" s="29">
        <f t="shared" si="147"/>
        <v>3.6</v>
      </c>
      <c r="N1184" s="29">
        <f>IF(Dataset!F1184=1,0.75,IF(Dataset!F1184=2,0.45,0.2))</f>
        <v>0.75</v>
      </c>
      <c r="O1184" s="29">
        <f>IF(Dataset!F1184=1,3,IF(Dataset!F1184=2,2,1))</f>
        <v>3</v>
      </c>
      <c r="P1184" s="29">
        <f t="shared" si="148"/>
        <v>2.25</v>
      </c>
      <c r="Q1184" s="29">
        <f>IF(Dataset!K1184&lt;5,0.2,IF(Dataset!K1184&lt;10,0.45,IF(Dataset!K1184&lt;18,0.7,0.9)))</f>
        <v>0.45</v>
      </c>
      <c r="R1184" s="29">
        <f>IF(Dataset!K1184&lt;5,1,IF(Dataset!K1184&lt;10,2,IF(Dataset!K1184&lt;18,3,4)))</f>
        <v>2</v>
      </c>
      <c r="S1184" s="29">
        <f t="shared" si="149"/>
        <v>0.9</v>
      </c>
      <c r="T1184" s="29">
        <f t="shared" si="150"/>
        <v>2.0580000000000003</v>
      </c>
      <c r="U1184" s="29" t="str">
        <f t="shared" si="151"/>
        <v>High</v>
      </c>
    </row>
    <row r="1185" spans="1:21" ht="15" customHeight="1" x14ac:dyDescent="0.25">
      <c r="A1185" s="29">
        <f>Dataset!A1185</f>
        <v>1181</v>
      </c>
      <c r="B1185" s="29">
        <f>IF(Dataset!B1185&lt;25,0.3,IF(Dataset!B1185&lt;75,0.5,IF(Dataset!B1185&lt;120,0.65,0.8)))</f>
        <v>0.5</v>
      </c>
      <c r="C1185" s="29">
        <f>IF(Dataset!B1185&lt;25,1,IF(Dataset!B1185&lt;75,2,IF(Dataset!B1185&lt;120,3,4)))</f>
        <v>2</v>
      </c>
      <c r="D1185" s="29">
        <f t="shared" si="144"/>
        <v>1</v>
      </c>
      <c r="E1185" s="29">
        <f>IF(Dataset!C1185&lt;=1,0.3,IF(Dataset!C1185=2,0.4,IF(Dataset!C1185=3,0.5,IF(Dataset!C1185=4,0.65,0.8))))</f>
        <v>0.5</v>
      </c>
      <c r="F1185" s="29">
        <f>IF(Dataset!C1185&lt;=2,1,IF(Dataset!C1185=3,2,IF(Dataset!C1185=4,3,4)))</f>
        <v>2</v>
      </c>
      <c r="G1185" s="29">
        <f t="shared" si="145"/>
        <v>1</v>
      </c>
      <c r="H1185" s="29">
        <f>IF(Dataset!G1185&lt;=3,0.25,IF(Dataset!G1185&lt;=6,0.45,IF(Dataset!G1185&lt;=9,0.65,0.85)))</f>
        <v>0.45</v>
      </c>
      <c r="I1185" s="29">
        <f>IF(Dataset!G1185&lt;=3,1,IF(Dataset!G1185&lt;=6,2,IF(Dataset!G1185&lt;=9,3,4)))</f>
        <v>2</v>
      </c>
      <c r="J1185" s="29">
        <f t="shared" si="146"/>
        <v>0.9</v>
      </c>
      <c r="K1185" s="29">
        <f>IF(Dataset!H1185&lt;1,0.2,IF(Dataset!H1185&lt;1.3,0.45,IF(Dataset!H1185&lt;1.8,0.7,0.9)))</f>
        <v>0.7</v>
      </c>
      <c r="L1185" s="29">
        <f>IF(Dataset!H1185&lt;1,1,IF(Dataset!H1185&lt;1.3,2,IF(Dataset!H1185&lt;1.8,3,4)))</f>
        <v>3</v>
      </c>
      <c r="M1185" s="29">
        <f t="shared" si="147"/>
        <v>2.0999999999999996</v>
      </c>
      <c r="N1185" s="29">
        <f>IF(Dataset!F1185=1,0.75,IF(Dataset!F1185=2,0.45,0.2))</f>
        <v>0.2</v>
      </c>
      <c r="O1185" s="29">
        <f>IF(Dataset!F1185=1,3,IF(Dataset!F1185=2,2,1))</f>
        <v>1</v>
      </c>
      <c r="P1185" s="29">
        <f t="shared" si="148"/>
        <v>0.2</v>
      </c>
      <c r="Q1185" s="29">
        <f>IF(Dataset!K1185&lt;5,0.2,IF(Dataset!K1185&lt;10,0.45,IF(Dataset!K1185&lt;18,0.7,0.9)))</f>
        <v>0.45</v>
      </c>
      <c r="R1185" s="29">
        <f>IF(Dataset!K1185&lt;5,1,IF(Dataset!K1185&lt;10,2,IF(Dataset!K1185&lt;18,3,4)))</f>
        <v>2</v>
      </c>
      <c r="S1185" s="29">
        <f t="shared" si="149"/>
        <v>0.9</v>
      </c>
      <c r="T1185" s="29">
        <f t="shared" si="150"/>
        <v>1.1500000000000001</v>
      </c>
      <c r="U1185" s="29" t="str">
        <f t="shared" si="151"/>
        <v>Low</v>
      </c>
    </row>
    <row r="1186" spans="1:21" ht="15" customHeight="1" x14ac:dyDescent="0.25">
      <c r="A1186" s="29">
        <f>Dataset!A1186</f>
        <v>1182</v>
      </c>
      <c r="B1186" s="29">
        <f>IF(Dataset!B1186&lt;25,0.3,IF(Dataset!B1186&lt;75,0.5,IF(Dataset!B1186&lt;120,0.65,0.8)))</f>
        <v>0.5</v>
      </c>
      <c r="C1186" s="29">
        <f>IF(Dataset!B1186&lt;25,1,IF(Dataset!B1186&lt;75,2,IF(Dataset!B1186&lt;120,3,4)))</f>
        <v>2</v>
      </c>
      <c r="D1186" s="29">
        <f t="shared" si="144"/>
        <v>1</v>
      </c>
      <c r="E1186" s="29">
        <f>IF(Dataset!C1186&lt;=1,0.3,IF(Dataset!C1186=2,0.4,IF(Dataset!C1186=3,0.5,IF(Dataset!C1186=4,0.65,0.8))))</f>
        <v>0.5</v>
      </c>
      <c r="F1186" s="29">
        <f>IF(Dataset!C1186&lt;=2,1,IF(Dataset!C1186=3,2,IF(Dataset!C1186=4,3,4)))</f>
        <v>2</v>
      </c>
      <c r="G1186" s="29">
        <f t="shared" si="145"/>
        <v>1</v>
      </c>
      <c r="H1186" s="29">
        <f>IF(Dataset!G1186&lt;=3,0.25,IF(Dataset!G1186&lt;=6,0.45,IF(Dataset!G1186&lt;=9,0.65,0.85)))</f>
        <v>0.65</v>
      </c>
      <c r="I1186" s="29">
        <f>IF(Dataset!G1186&lt;=3,1,IF(Dataset!G1186&lt;=6,2,IF(Dataset!G1186&lt;=9,3,4)))</f>
        <v>3</v>
      </c>
      <c r="J1186" s="29">
        <f t="shared" si="146"/>
        <v>1.9500000000000002</v>
      </c>
      <c r="K1186" s="29">
        <f>IF(Dataset!H1186&lt;1,0.2,IF(Dataset!H1186&lt;1.3,0.45,IF(Dataset!H1186&lt;1.8,0.7,0.9)))</f>
        <v>0.7</v>
      </c>
      <c r="L1186" s="29">
        <f>IF(Dataset!H1186&lt;1,1,IF(Dataset!H1186&lt;1.3,2,IF(Dataset!H1186&lt;1.8,3,4)))</f>
        <v>3</v>
      </c>
      <c r="M1186" s="29">
        <f t="shared" si="147"/>
        <v>2.0999999999999996</v>
      </c>
      <c r="N1186" s="29">
        <f>IF(Dataset!F1186=1,0.75,IF(Dataset!F1186=2,0.45,0.2))</f>
        <v>0.75</v>
      </c>
      <c r="O1186" s="29">
        <f>IF(Dataset!F1186=1,3,IF(Dataset!F1186=2,2,1))</f>
        <v>3</v>
      </c>
      <c r="P1186" s="29">
        <f t="shared" si="148"/>
        <v>2.25</v>
      </c>
      <c r="Q1186" s="29">
        <f>IF(Dataset!K1186&lt;5,0.2,IF(Dataset!K1186&lt;10,0.45,IF(Dataset!K1186&lt;18,0.7,0.9)))</f>
        <v>0.45</v>
      </c>
      <c r="R1186" s="29">
        <f>IF(Dataset!K1186&lt;5,1,IF(Dataset!K1186&lt;10,2,IF(Dataset!K1186&lt;18,3,4)))</f>
        <v>2</v>
      </c>
      <c r="S1186" s="29">
        <f t="shared" si="149"/>
        <v>0.9</v>
      </c>
      <c r="T1186" s="29">
        <f t="shared" si="150"/>
        <v>1.5650000000000002</v>
      </c>
      <c r="U1186" s="29" t="str">
        <f t="shared" si="151"/>
        <v>Medium</v>
      </c>
    </row>
    <row r="1187" spans="1:21" ht="15" customHeight="1" x14ac:dyDescent="0.25">
      <c r="A1187" s="29">
        <f>Dataset!A1187</f>
        <v>1183</v>
      </c>
      <c r="B1187" s="29">
        <f>IF(Dataset!B1187&lt;25,0.3,IF(Dataset!B1187&lt;75,0.5,IF(Dataset!B1187&lt;120,0.65,0.8)))</f>
        <v>0.65</v>
      </c>
      <c r="C1187" s="29">
        <f>IF(Dataset!B1187&lt;25,1,IF(Dataset!B1187&lt;75,2,IF(Dataset!B1187&lt;120,3,4)))</f>
        <v>3</v>
      </c>
      <c r="D1187" s="29">
        <f t="shared" si="144"/>
        <v>1.9500000000000002</v>
      </c>
      <c r="E1187" s="29">
        <f>IF(Dataset!C1187&lt;=1,0.3,IF(Dataset!C1187=2,0.4,IF(Dataset!C1187=3,0.5,IF(Dataset!C1187=4,0.65,0.8))))</f>
        <v>0.65</v>
      </c>
      <c r="F1187" s="29">
        <f>IF(Dataset!C1187&lt;=2,1,IF(Dataset!C1187=3,2,IF(Dataset!C1187=4,3,4)))</f>
        <v>3</v>
      </c>
      <c r="G1187" s="29">
        <f t="shared" si="145"/>
        <v>1.9500000000000002</v>
      </c>
      <c r="H1187" s="29">
        <f>IF(Dataset!G1187&lt;=3,0.25,IF(Dataset!G1187&lt;=6,0.45,IF(Dataset!G1187&lt;=9,0.65,0.85)))</f>
        <v>0.65</v>
      </c>
      <c r="I1187" s="29">
        <f>IF(Dataset!G1187&lt;=3,1,IF(Dataset!G1187&lt;=6,2,IF(Dataset!G1187&lt;=9,3,4)))</f>
        <v>3</v>
      </c>
      <c r="J1187" s="29">
        <f t="shared" si="146"/>
        <v>1.9500000000000002</v>
      </c>
      <c r="K1187" s="29">
        <f>IF(Dataset!H1187&lt;1,0.2,IF(Dataset!H1187&lt;1.3,0.45,IF(Dataset!H1187&lt;1.8,0.7,0.9)))</f>
        <v>0.45</v>
      </c>
      <c r="L1187" s="29">
        <f>IF(Dataset!H1187&lt;1,1,IF(Dataset!H1187&lt;1.3,2,IF(Dataset!H1187&lt;1.8,3,4)))</f>
        <v>2</v>
      </c>
      <c r="M1187" s="29">
        <f t="shared" si="147"/>
        <v>0.9</v>
      </c>
      <c r="N1187" s="29">
        <f>IF(Dataset!F1187=1,0.75,IF(Dataset!F1187=2,0.45,0.2))</f>
        <v>0.45</v>
      </c>
      <c r="O1187" s="29">
        <f>IF(Dataset!F1187=1,3,IF(Dataset!F1187=2,2,1))</f>
        <v>2</v>
      </c>
      <c r="P1187" s="29">
        <f t="shared" si="148"/>
        <v>0.9</v>
      </c>
      <c r="Q1187" s="29">
        <f>IF(Dataset!K1187&lt;5,0.2,IF(Dataset!K1187&lt;10,0.45,IF(Dataset!K1187&lt;18,0.7,0.9)))</f>
        <v>0.7</v>
      </c>
      <c r="R1187" s="29">
        <f>IF(Dataset!K1187&lt;5,1,IF(Dataset!K1187&lt;10,2,IF(Dataset!K1187&lt;18,3,4)))</f>
        <v>3</v>
      </c>
      <c r="S1187" s="29">
        <f t="shared" si="149"/>
        <v>2.0999999999999996</v>
      </c>
      <c r="T1187" s="29">
        <f t="shared" si="150"/>
        <v>1.6140000000000003</v>
      </c>
      <c r="U1187" s="29" t="str">
        <f t="shared" si="151"/>
        <v>Medium</v>
      </c>
    </row>
    <row r="1188" spans="1:21" ht="15" customHeight="1" x14ac:dyDescent="0.25">
      <c r="A1188" s="29">
        <f>Dataset!A1188</f>
        <v>1184</v>
      </c>
      <c r="B1188" s="29">
        <f>IF(Dataset!B1188&lt;25,0.3,IF(Dataset!B1188&lt;75,0.5,IF(Dataset!B1188&lt;120,0.65,0.8)))</f>
        <v>0.5</v>
      </c>
      <c r="C1188" s="29">
        <f>IF(Dataset!B1188&lt;25,1,IF(Dataset!B1188&lt;75,2,IF(Dataset!B1188&lt;120,3,4)))</f>
        <v>2</v>
      </c>
      <c r="D1188" s="29">
        <f t="shared" si="144"/>
        <v>1</v>
      </c>
      <c r="E1188" s="29">
        <f>IF(Dataset!C1188&lt;=1,0.3,IF(Dataset!C1188=2,0.4,IF(Dataset!C1188=3,0.5,IF(Dataset!C1188=4,0.65,0.8))))</f>
        <v>0.5</v>
      </c>
      <c r="F1188" s="29">
        <f>IF(Dataset!C1188&lt;=2,1,IF(Dataset!C1188=3,2,IF(Dataset!C1188=4,3,4)))</f>
        <v>2</v>
      </c>
      <c r="G1188" s="29">
        <f t="shared" si="145"/>
        <v>1</v>
      </c>
      <c r="H1188" s="29">
        <f>IF(Dataset!G1188&lt;=3,0.25,IF(Dataset!G1188&lt;=6,0.45,IF(Dataset!G1188&lt;=9,0.65,0.85)))</f>
        <v>0.85</v>
      </c>
      <c r="I1188" s="29">
        <f>IF(Dataset!G1188&lt;=3,1,IF(Dataset!G1188&lt;=6,2,IF(Dataset!G1188&lt;=9,3,4)))</f>
        <v>4</v>
      </c>
      <c r="J1188" s="29">
        <f t="shared" si="146"/>
        <v>3.4</v>
      </c>
      <c r="K1188" s="29">
        <f>IF(Dataset!H1188&lt;1,0.2,IF(Dataset!H1188&lt;1.3,0.45,IF(Dataset!H1188&lt;1.8,0.7,0.9)))</f>
        <v>0.7</v>
      </c>
      <c r="L1188" s="29">
        <f>IF(Dataset!H1188&lt;1,1,IF(Dataset!H1188&lt;1.3,2,IF(Dataset!H1188&lt;1.8,3,4)))</f>
        <v>3</v>
      </c>
      <c r="M1188" s="29">
        <f t="shared" si="147"/>
        <v>2.0999999999999996</v>
      </c>
      <c r="N1188" s="29">
        <f>IF(Dataset!F1188=1,0.75,IF(Dataset!F1188=2,0.45,0.2))</f>
        <v>0.45</v>
      </c>
      <c r="O1188" s="29">
        <f>IF(Dataset!F1188=1,3,IF(Dataset!F1188=2,2,1))</f>
        <v>2</v>
      </c>
      <c r="P1188" s="29">
        <f t="shared" si="148"/>
        <v>0.9</v>
      </c>
      <c r="Q1188" s="29">
        <f>IF(Dataset!K1188&lt;5,0.2,IF(Dataset!K1188&lt;10,0.45,IF(Dataset!K1188&lt;18,0.7,0.9)))</f>
        <v>0.45</v>
      </c>
      <c r="R1188" s="29">
        <f>IF(Dataset!K1188&lt;5,1,IF(Dataset!K1188&lt;10,2,IF(Dataset!K1188&lt;18,3,4)))</f>
        <v>2</v>
      </c>
      <c r="S1188" s="29">
        <f t="shared" si="149"/>
        <v>0.9</v>
      </c>
      <c r="T1188" s="29">
        <f t="shared" si="150"/>
        <v>1.7200000000000002</v>
      </c>
      <c r="U1188" s="29" t="str">
        <f t="shared" si="151"/>
        <v>Medium</v>
      </c>
    </row>
    <row r="1189" spans="1:21" ht="15" customHeight="1" x14ac:dyDescent="0.25">
      <c r="A1189" s="29">
        <f>Dataset!A1189</f>
        <v>1185</v>
      </c>
      <c r="B1189" s="29">
        <f>IF(Dataset!B1189&lt;25,0.3,IF(Dataset!B1189&lt;75,0.5,IF(Dataset!B1189&lt;120,0.65,0.8)))</f>
        <v>0.65</v>
      </c>
      <c r="C1189" s="29">
        <f>IF(Dataset!B1189&lt;25,1,IF(Dataset!B1189&lt;75,2,IF(Dataset!B1189&lt;120,3,4)))</f>
        <v>3</v>
      </c>
      <c r="D1189" s="29">
        <f t="shared" si="144"/>
        <v>1.9500000000000002</v>
      </c>
      <c r="E1189" s="29">
        <f>IF(Dataset!C1189&lt;=1,0.3,IF(Dataset!C1189=2,0.4,IF(Dataset!C1189=3,0.5,IF(Dataset!C1189=4,0.65,0.8))))</f>
        <v>0.65</v>
      </c>
      <c r="F1189" s="29">
        <f>IF(Dataset!C1189&lt;=2,1,IF(Dataset!C1189=3,2,IF(Dataset!C1189=4,3,4)))</f>
        <v>3</v>
      </c>
      <c r="G1189" s="29">
        <f t="shared" si="145"/>
        <v>1.9500000000000002</v>
      </c>
      <c r="H1189" s="29">
        <f>IF(Dataset!G1189&lt;=3,0.25,IF(Dataset!G1189&lt;=6,0.45,IF(Dataset!G1189&lt;=9,0.65,0.85)))</f>
        <v>0.45</v>
      </c>
      <c r="I1189" s="29">
        <f>IF(Dataset!G1189&lt;=3,1,IF(Dataset!G1189&lt;=6,2,IF(Dataset!G1189&lt;=9,3,4)))</f>
        <v>2</v>
      </c>
      <c r="J1189" s="29">
        <f t="shared" si="146"/>
        <v>0.9</v>
      </c>
      <c r="K1189" s="29">
        <f>IF(Dataset!H1189&lt;1,0.2,IF(Dataset!H1189&lt;1.3,0.45,IF(Dataset!H1189&lt;1.8,0.7,0.9)))</f>
        <v>0.9</v>
      </c>
      <c r="L1189" s="29">
        <f>IF(Dataset!H1189&lt;1,1,IF(Dataset!H1189&lt;1.3,2,IF(Dataset!H1189&lt;1.8,3,4)))</f>
        <v>4</v>
      </c>
      <c r="M1189" s="29">
        <f t="shared" si="147"/>
        <v>3.6</v>
      </c>
      <c r="N1189" s="29">
        <f>IF(Dataset!F1189=1,0.75,IF(Dataset!F1189=2,0.45,0.2))</f>
        <v>0.75</v>
      </c>
      <c r="O1189" s="29">
        <f>IF(Dataset!F1189=1,3,IF(Dataset!F1189=2,2,1))</f>
        <v>3</v>
      </c>
      <c r="P1189" s="29">
        <f t="shared" si="148"/>
        <v>2.25</v>
      </c>
      <c r="Q1189" s="29">
        <f>IF(Dataset!K1189&lt;5,0.2,IF(Dataset!K1189&lt;10,0.45,IF(Dataset!K1189&lt;18,0.7,0.9)))</f>
        <v>0.7</v>
      </c>
      <c r="R1189" s="29">
        <f>IF(Dataset!K1189&lt;5,1,IF(Dataset!K1189&lt;10,2,IF(Dataset!K1189&lt;18,3,4)))</f>
        <v>3</v>
      </c>
      <c r="S1189" s="29">
        <f t="shared" si="149"/>
        <v>2.0999999999999996</v>
      </c>
      <c r="T1189" s="29">
        <f t="shared" si="150"/>
        <v>2.1870000000000003</v>
      </c>
      <c r="U1189" s="29" t="str">
        <f t="shared" si="151"/>
        <v>High</v>
      </c>
    </row>
    <row r="1190" spans="1:21" ht="15" customHeight="1" x14ac:dyDescent="0.25">
      <c r="A1190" s="29">
        <f>Dataset!A1190</f>
        <v>1186</v>
      </c>
      <c r="B1190" s="29">
        <f>IF(Dataset!B1190&lt;25,0.3,IF(Dataset!B1190&lt;75,0.5,IF(Dataset!B1190&lt;120,0.65,0.8)))</f>
        <v>0.5</v>
      </c>
      <c r="C1190" s="29">
        <f>IF(Dataset!B1190&lt;25,1,IF(Dataset!B1190&lt;75,2,IF(Dataset!B1190&lt;120,3,4)))</f>
        <v>2</v>
      </c>
      <c r="D1190" s="29">
        <f t="shared" si="144"/>
        <v>1</v>
      </c>
      <c r="E1190" s="29">
        <f>IF(Dataset!C1190&lt;=1,0.3,IF(Dataset!C1190=2,0.4,IF(Dataset!C1190=3,0.5,IF(Dataset!C1190=4,0.65,0.8))))</f>
        <v>0.5</v>
      </c>
      <c r="F1190" s="29">
        <f>IF(Dataset!C1190&lt;=2,1,IF(Dataset!C1190=3,2,IF(Dataset!C1190=4,3,4)))</f>
        <v>2</v>
      </c>
      <c r="G1190" s="29">
        <f t="shared" si="145"/>
        <v>1</v>
      </c>
      <c r="H1190" s="29">
        <f>IF(Dataset!G1190&lt;=3,0.25,IF(Dataset!G1190&lt;=6,0.45,IF(Dataset!G1190&lt;=9,0.65,0.85)))</f>
        <v>0.25</v>
      </c>
      <c r="I1190" s="29">
        <f>IF(Dataset!G1190&lt;=3,1,IF(Dataset!G1190&lt;=6,2,IF(Dataset!G1190&lt;=9,3,4)))</f>
        <v>1</v>
      </c>
      <c r="J1190" s="29">
        <f t="shared" si="146"/>
        <v>0.25</v>
      </c>
      <c r="K1190" s="29">
        <f>IF(Dataset!H1190&lt;1,0.2,IF(Dataset!H1190&lt;1.3,0.45,IF(Dataset!H1190&lt;1.8,0.7,0.9)))</f>
        <v>0.9</v>
      </c>
      <c r="L1190" s="29">
        <f>IF(Dataset!H1190&lt;1,1,IF(Dataset!H1190&lt;1.3,2,IF(Dataset!H1190&lt;1.8,3,4)))</f>
        <v>4</v>
      </c>
      <c r="M1190" s="29">
        <f t="shared" si="147"/>
        <v>3.6</v>
      </c>
      <c r="N1190" s="29">
        <f>IF(Dataset!F1190=1,0.75,IF(Dataset!F1190=2,0.45,0.2))</f>
        <v>0.2</v>
      </c>
      <c r="O1190" s="29">
        <f>IF(Dataset!F1190=1,3,IF(Dataset!F1190=2,2,1))</f>
        <v>1</v>
      </c>
      <c r="P1190" s="29">
        <f t="shared" si="148"/>
        <v>0.2</v>
      </c>
      <c r="Q1190" s="29">
        <f>IF(Dataset!K1190&lt;5,0.2,IF(Dataset!K1190&lt;10,0.45,IF(Dataset!K1190&lt;18,0.7,0.9)))</f>
        <v>0.45</v>
      </c>
      <c r="R1190" s="29">
        <f>IF(Dataset!K1190&lt;5,1,IF(Dataset!K1190&lt;10,2,IF(Dataset!K1190&lt;18,3,4)))</f>
        <v>2</v>
      </c>
      <c r="S1190" s="29">
        <f t="shared" si="149"/>
        <v>0.9</v>
      </c>
      <c r="T1190" s="29">
        <f t="shared" si="150"/>
        <v>1.3800000000000001</v>
      </c>
      <c r="U1190" s="29" t="str">
        <f t="shared" si="151"/>
        <v>Medium</v>
      </c>
    </row>
    <row r="1191" spans="1:21" ht="15" customHeight="1" x14ac:dyDescent="0.25">
      <c r="A1191" s="29">
        <f>Dataset!A1191</f>
        <v>1187</v>
      </c>
      <c r="B1191" s="29">
        <f>IF(Dataset!B1191&lt;25,0.3,IF(Dataset!B1191&lt;75,0.5,IF(Dataset!B1191&lt;120,0.65,0.8)))</f>
        <v>0.3</v>
      </c>
      <c r="C1191" s="29">
        <f>IF(Dataset!B1191&lt;25,1,IF(Dataset!B1191&lt;75,2,IF(Dataset!B1191&lt;120,3,4)))</f>
        <v>1</v>
      </c>
      <c r="D1191" s="29">
        <f t="shared" si="144"/>
        <v>0.3</v>
      </c>
      <c r="E1191" s="29">
        <f>IF(Dataset!C1191&lt;=1,0.3,IF(Dataset!C1191=2,0.4,IF(Dataset!C1191=3,0.5,IF(Dataset!C1191=4,0.65,0.8))))</f>
        <v>0.65</v>
      </c>
      <c r="F1191" s="29">
        <f>IF(Dataset!C1191&lt;=2,1,IF(Dataset!C1191=3,2,IF(Dataset!C1191=4,3,4)))</f>
        <v>3</v>
      </c>
      <c r="G1191" s="29">
        <f t="shared" si="145"/>
        <v>1.9500000000000002</v>
      </c>
      <c r="H1191" s="29">
        <f>IF(Dataset!G1191&lt;=3,0.25,IF(Dataset!G1191&lt;=6,0.45,IF(Dataset!G1191&lt;=9,0.65,0.85)))</f>
        <v>0.45</v>
      </c>
      <c r="I1191" s="29">
        <f>IF(Dataset!G1191&lt;=3,1,IF(Dataset!G1191&lt;=6,2,IF(Dataset!G1191&lt;=9,3,4)))</f>
        <v>2</v>
      </c>
      <c r="J1191" s="29">
        <f t="shared" si="146"/>
        <v>0.9</v>
      </c>
      <c r="K1191" s="29">
        <f>IF(Dataset!H1191&lt;1,0.2,IF(Dataset!H1191&lt;1.3,0.45,IF(Dataset!H1191&lt;1.8,0.7,0.9)))</f>
        <v>0.9</v>
      </c>
      <c r="L1191" s="29">
        <f>IF(Dataset!H1191&lt;1,1,IF(Dataset!H1191&lt;1.3,2,IF(Dataset!H1191&lt;1.8,3,4)))</f>
        <v>4</v>
      </c>
      <c r="M1191" s="29">
        <f t="shared" si="147"/>
        <v>3.6</v>
      </c>
      <c r="N1191" s="29">
        <f>IF(Dataset!F1191=1,0.75,IF(Dataset!F1191=2,0.45,0.2))</f>
        <v>0.75</v>
      </c>
      <c r="O1191" s="29">
        <f>IF(Dataset!F1191=1,3,IF(Dataset!F1191=2,2,1))</f>
        <v>3</v>
      </c>
      <c r="P1191" s="29">
        <f t="shared" si="148"/>
        <v>2.25</v>
      </c>
      <c r="Q1191" s="29">
        <f>IF(Dataset!K1191&lt;5,0.2,IF(Dataset!K1191&lt;10,0.45,IF(Dataset!K1191&lt;18,0.7,0.9)))</f>
        <v>0.7</v>
      </c>
      <c r="R1191" s="29">
        <f>IF(Dataset!K1191&lt;5,1,IF(Dataset!K1191&lt;10,2,IF(Dataset!K1191&lt;18,3,4)))</f>
        <v>3</v>
      </c>
      <c r="S1191" s="29">
        <f t="shared" si="149"/>
        <v>2.0999999999999996</v>
      </c>
      <c r="T1191" s="29">
        <f t="shared" si="150"/>
        <v>1.8900000000000001</v>
      </c>
      <c r="U1191" s="29" t="str">
        <f t="shared" si="151"/>
        <v>High</v>
      </c>
    </row>
    <row r="1192" spans="1:21" ht="15" customHeight="1" x14ac:dyDescent="0.25">
      <c r="A1192" s="29">
        <f>Dataset!A1192</f>
        <v>1188</v>
      </c>
      <c r="B1192" s="29">
        <f>IF(Dataset!B1192&lt;25,0.3,IF(Dataset!B1192&lt;75,0.5,IF(Dataset!B1192&lt;120,0.65,0.8)))</f>
        <v>0.8</v>
      </c>
      <c r="C1192" s="29">
        <f>IF(Dataset!B1192&lt;25,1,IF(Dataset!B1192&lt;75,2,IF(Dataset!B1192&lt;120,3,4)))</f>
        <v>4</v>
      </c>
      <c r="D1192" s="29">
        <f t="shared" si="144"/>
        <v>3.2</v>
      </c>
      <c r="E1192" s="29">
        <f>IF(Dataset!C1192&lt;=1,0.3,IF(Dataset!C1192=2,0.4,IF(Dataset!C1192=3,0.5,IF(Dataset!C1192=4,0.65,0.8))))</f>
        <v>0.8</v>
      </c>
      <c r="F1192" s="29">
        <f>IF(Dataset!C1192&lt;=2,1,IF(Dataset!C1192=3,2,IF(Dataset!C1192=4,3,4)))</f>
        <v>4</v>
      </c>
      <c r="G1192" s="29">
        <f t="shared" si="145"/>
        <v>3.2</v>
      </c>
      <c r="H1192" s="29">
        <f>IF(Dataset!G1192&lt;=3,0.25,IF(Dataset!G1192&lt;=6,0.45,IF(Dataset!G1192&lt;=9,0.65,0.85)))</f>
        <v>0.45</v>
      </c>
      <c r="I1192" s="29">
        <f>IF(Dataset!G1192&lt;=3,1,IF(Dataset!G1192&lt;=6,2,IF(Dataset!G1192&lt;=9,3,4)))</f>
        <v>2</v>
      </c>
      <c r="J1192" s="29">
        <f t="shared" si="146"/>
        <v>0.9</v>
      </c>
      <c r="K1192" s="29">
        <f>IF(Dataset!H1192&lt;1,0.2,IF(Dataset!H1192&lt;1.3,0.45,IF(Dataset!H1192&lt;1.8,0.7,0.9)))</f>
        <v>0.7</v>
      </c>
      <c r="L1192" s="29">
        <f>IF(Dataset!H1192&lt;1,1,IF(Dataset!H1192&lt;1.3,2,IF(Dataset!H1192&lt;1.8,3,4)))</f>
        <v>3</v>
      </c>
      <c r="M1192" s="29">
        <f t="shared" si="147"/>
        <v>2.0999999999999996</v>
      </c>
      <c r="N1192" s="29">
        <f>IF(Dataset!F1192=1,0.75,IF(Dataset!F1192=2,0.45,0.2))</f>
        <v>0.2</v>
      </c>
      <c r="O1192" s="29">
        <f>IF(Dataset!F1192=1,3,IF(Dataset!F1192=2,2,1))</f>
        <v>1</v>
      </c>
      <c r="P1192" s="29">
        <f t="shared" si="148"/>
        <v>0.2</v>
      </c>
      <c r="Q1192" s="29">
        <f>IF(Dataset!K1192&lt;5,0.2,IF(Dataset!K1192&lt;10,0.45,IF(Dataset!K1192&lt;18,0.7,0.9)))</f>
        <v>0.7</v>
      </c>
      <c r="R1192" s="29">
        <f>IF(Dataset!K1192&lt;5,1,IF(Dataset!K1192&lt;10,2,IF(Dataset!K1192&lt;18,3,4)))</f>
        <v>3</v>
      </c>
      <c r="S1192" s="29">
        <f t="shared" si="149"/>
        <v>2.0999999999999996</v>
      </c>
      <c r="T1192" s="29">
        <f t="shared" si="150"/>
        <v>2.0219999999999998</v>
      </c>
      <c r="U1192" s="29" t="str">
        <f t="shared" si="151"/>
        <v>High</v>
      </c>
    </row>
    <row r="1193" spans="1:21" ht="15" customHeight="1" x14ac:dyDescent="0.25">
      <c r="A1193" s="29">
        <f>Dataset!A1193</f>
        <v>1189</v>
      </c>
      <c r="B1193" s="29">
        <f>IF(Dataset!B1193&lt;25,0.3,IF(Dataset!B1193&lt;75,0.5,IF(Dataset!B1193&lt;120,0.65,0.8)))</f>
        <v>0.5</v>
      </c>
      <c r="C1193" s="29">
        <f>IF(Dataset!B1193&lt;25,1,IF(Dataset!B1193&lt;75,2,IF(Dataset!B1193&lt;120,3,4)))</f>
        <v>2</v>
      </c>
      <c r="D1193" s="29">
        <f t="shared" si="144"/>
        <v>1</v>
      </c>
      <c r="E1193" s="29">
        <f>IF(Dataset!C1193&lt;=1,0.3,IF(Dataset!C1193=2,0.4,IF(Dataset!C1193=3,0.5,IF(Dataset!C1193=4,0.65,0.8))))</f>
        <v>0.5</v>
      </c>
      <c r="F1193" s="29">
        <f>IF(Dataset!C1193&lt;=2,1,IF(Dataset!C1193=3,2,IF(Dataset!C1193=4,3,4)))</f>
        <v>2</v>
      </c>
      <c r="G1193" s="29">
        <f t="shared" si="145"/>
        <v>1</v>
      </c>
      <c r="H1193" s="29">
        <f>IF(Dataset!G1193&lt;=3,0.25,IF(Dataset!G1193&lt;=6,0.45,IF(Dataset!G1193&lt;=9,0.65,0.85)))</f>
        <v>0.25</v>
      </c>
      <c r="I1193" s="29">
        <f>IF(Dataset!G1193&lt;=3,1,IF(Dataset!G1193&lt;=6,2,IF(Dataset!G1193&lt;=9,3,4)))</f>
        <v>1</v>
      </c>
      <c r="J1193" s="29">
        <f t="shared" si="146"/>
        <v>0.25</v>
      </c>
      <c r="K1193" s="29">
        <f>IF(Dataset!H1193&lt;1,0.2,IF(Dataset!H1193&lt;1.3,0.45,IF(Dataset!H1193&lt;1.8,0.7,0.9)))</f>
        <v>0.9</v>
      </c>
      <c r="L1193" s="29">
        <f>IF(Dataset!H1193&lt;1,1,IF(Dataset!H1193&lt;1.3,2,IF(Dataset!H1193&lt;1.8,3,4)))</f>
        <v>4</v>
      </c>
      <c r="M1193" s="29">
        <f t="shared" si="147"/>
        <v>3.6</v>
      </c>
      <c r="N1193" s="29">
        <f>IF(Dataset!F1193=1,0.75,IF(Dataset!F1193=2,0.45,0.2))</f>
        <v>0.75</v>
      </c>
      <c r="O1193" s="29">
        <f>IF(Dataset!F1193=1,3,IF(Dataset!F1193=2,2,1))</f>
        <v>3</v>
      </c>
      <c r="P1193" s="29">
        <f t="shared" si="148"/>
        <v>2.25</v>
      </c>
      <c r="Q1193" s="29">
        <f>IF(Dataset!K1193&lt;5,0.2,IF(Dataset!K1193&lt;10,0.45,IF(Dataset!K1193&lt;18,0.7,0.9)))</f>
        <v>0.2</v>
      </c>
      <c r="R1193" s="29">
        <f>IF(Dataset!K1193&lt;5,1,IF(Dataset!K1193&lt;10,2,IF(Dataset!K1193&lt;18,3,4)))</f>
        <v>1</v>
      </c>
      <c r="S1193" s="29">
        <f t="shared" si="149"/>
        <v>0.2</v>
      </c>
      <c r="T1193" s="29">
        <f t="shared" si="150"/>
        <v>1.4870000000000001</v>
      </c>
      <c r="U1193" s="29" t="str">
        <f t="shared" si="151"/>
        <v>Medium</v>
      </c>
    </row>
    <row r="1194" spans="1:21" ht="15" customHeight="1" x14ac:dyDescent="0.25">
      <c r="A1194" s="29">
        <f>Dataset!A1194</f>
        <v>1190</v>
      </c>
      <c r="B1194" s="29">
        <f>IF(Dataset!B1194&lt;25,0.3,IF(Dataset!B1194&lt;75,0.5,IF(Dataset!B1194&lt;120,0.65,0.8)))</f>
        <v>0.65</v>
      </c>
      <c r="C1194" s="29">
        <f>IF(Dataset!B1194&lt;25,1,IF(Dataset!B1194&lt;75,2,IF(Dataset!B1194&lt;120,3,4)))</f>
        <v>3</v>
      </c>
      <c r="D1194" s="29">
        <f t="shared" si="144"/>
        <v>1.9500000000000002</v>
      </c>
      <c r="E1194" s="29">
        <f>IF(Dataset!C1194&lt;=1,0.3,IF(Dataset!C1194=2,0.4,IF(Dataset!C1194=3,0.5,IF(Dataset!C1194=4,0.65,0.8))))</f>
        <v>0.3</v>
      </c>
      <c r="F1194" s="29">
        <f>IF(Dataset!C1194&lt;=2,1,IF(Dataset!C1194=3,2,IF(Dataset!C1194=4,3,4)))</f>
        <v>1</v>
      </c>
      <c r="G1194" s="29">
        <f t="shared" si="145"/>
        <v>0.3</v>
      </c>
      <c r="H1194" s="29">
        <f>IF(Dataset!G1194&lt;=3,0.25,IF(Dataset!G1194&lt;=6,0.45,IF(Dataset!G1194&lt;=9,0.65,0.85)))</f>
        <v>0.25</v>
      </c>
      <c r="I1194" s="29">
        <f>IF(Dataset!G1194&lt;=3,1,IF(Dataset!G1194&lt;=6,2,IF(Dataset!G1194&lt;=9,3,4)))</f>
        <v>1</v>
      </c>
      <c r="J1194" s="29">
        <f t="shared" si="146"/>
        <v>0.25</v>
      </c>
      <c r="K1194" s="29">
        <f>IF(Dataset!H1194&lt;1,0.2,IF(Dataset!H1194&lt;1.3,0.45,IF(Dataset!H1194&lt;1.8,0.7,0.9)))</f>
        <v>0.7</v>
      </c>
      <c r="L1194" s="29">
        <f>IF(Dataset!H1194&lt;1,1,IF(Dataset!H1194&lt;1.3,2,IF(Dataset!H1194&lt;1.8,3,4)))</f>
        <v>3</v>
      </c>
      <c r="M1194" s="29">
        <f t="shared" si="147"/>
        <v>2.0999999999999996</v>
      </c>
      <c r="N1194" s="29">
        <f>IF(Dataset!F1194=1,0.75,IF(Dataset!F1194=2,0.45,0.2))</f>
        <v>0.75</v>
      </c>
      <c r="O1194" s="29">
        <f>IF(Dataset!F1194=1,3,IF(Dataset!F1194=2,2,1))</f>
        <v>3</v>
      </c>
      <c r="P1194" s="29">
        <f t="shared" si="148"/>
        <v>2.25</v>
      </c>
      <c r="Q1194" s="29">
        <f>IF(Dataset!K1194&lt;5,0.2,IF(Dataset!K1194&lt;10,0.45,IF(Dataset!K1194&lt;18,0.7,0.9)))</f>
        <v>0.2</v>
      </c>
      <c r="R1194" s="29">
        <f>IF(Dataset!K1194&lt;5,1,IF(Dataset!K1194&lt;10,2,IF(Dataset!K1194&lt;18,3,4)))</f>
        <v>1</v>
      </c>
      <c r="S1194" s="29">
        <f t="shared" si="149"/>
        <v>0.2</v>
      </c>
      <c r="T1194" s="29">
        <f t="shared" si="150"/>
        <v>1.2</v>
      </c>
      <c r="U1194" s="29" t="str">
        <f t="shared" si="151"/>
        <v>Low</v>
      </c>
    </row>
    <row r="1195" spans="1:21" ht="15" customHeight="1" x14ac:dyDescent="0.25">
      <c r="A1195" s="29">
        <f>Dataset!A1195</f>
        <v>1191</v>
      </c>
      <c r="B1195" s="29">
        <f>IF(Dataset!B1195&lt;25,0.3,IF(Dataset!B1195&lt;75,0.5,IF(Dataset!B1195&lt;120,0.65,0.8)))</f>
        <v>0.3</v>
      </c>
      <c r="C1195" s="29">
        <f>IF(Dataset!B1195&lt;25,1,IF(Dataset!B1195&lt;75,2,IF(Dataset!B1195&lt;120,3,4)))</f>
        <v>1</v>
      </c>
      <c r="D1195" s="29">
        <f t="shared" si="144"/>
        <v>0.3</v>
      </c>
      <c r="E1195" s="29">
        <f>IF(Dataset!C1195&lt;=1,0.3,IF(Dataset!C1195=2,0.4,IF(Dataset!C1195=3,0.5,IF(Dataset!C1195=4,0.65,0.8))))</f>
        <v>0.4</v>
      </c>
      <c r="F1195" s="29">
        <f>IF(Dataset!C1195&lt;=2,1,IF(Dataset!C1195=3,2,IF(Dataset!C1195=4,3,4)))</f>
        <v>1</v>
      </c>
      <c r="G1195" s="29">
        <f t="shared" si="145"/>
        <v>0.4</v>
      </c>
      <c r="H1195" s="29">
        <f>IF(Dataset!G1195&lt;=3,0.25,IF(Dataset!G1195&lt;=6,0.45,IF(Dataset!G1195&lt;=9,0.65,0.85)))</f>
        <v>0.85</v>
      </c>
      <c r="I1195" s="29">
        <f>IF(Dataset!G1195&lt;=3,1,IF(Dataset!G1195&lt;=6,2,IF(Dataset!G1195&lt;=9,3,4)))</f>
        <v>4</v>
      </c>
      <c r="J1195" s="29">
        <f t="shared" si="146"/>
        <v>3.4</v>
      </c>
      <c r="K1195" s="29">
        <f>IF(Dataset!H1195&lt;1,0.2,IF(Dataset!H1195&lt;1.3,0.45,IF(Dataset!H1195&lt;1.8,0.7,0.9)))</f>
        <v>0.7</v>
      </c>
      <c r="L1195" s="29">
        <f>IF(Dataset!H1195&lt;1,1,IF(Dataset!H1195&lt;1.3,2,IF(Dataset!H1195&lt;1.8,3,4)))</f>
        <v>3</v>
      </c>
      <c r="M1195" s="29">
        <f t="shared" si="147"/>
        <v>2.0999999999999996</v>
      </c>
      <c r="N1195" s="29">
        <f>IF(Dataset!F1195=1,0.75,IF(Dataset!F1195=2,0.45,0.2))</f>
        <v>0.45</v>
      </c>
      <c r="O1195" s="29">
        <f>IF(Dataset!F1195=1,3,IF(Dataset!F1195=2,2,1))</f>
        <v>2</v>
      </c>
      <c r="P1195" s="29">
        <f t="shared" si="148"/>
        <v>0.9</v>
      </c>
      <c r="Q1195" s="29">
        <f>IF(Dataset!K1195&lt;5,0.2,IF(Dataset!K1195&lt;10,0.45,IF(Dataset!K1195&lt;18,0.7,0.9)))</f>
        <v>0.2</v>
      </c>
      <c r="R1195" s="29">
        <f>IF(Dataset!K1195&lt;5,1,IF(Dataset!K1195&lt;10,2,IF(Dataset!K1195&lt;18,3,4)))</f>
        <v>1</v>
      </c>
      <c r="S1195" s="29">
        <f t="shared" si="149"/>
        <v>0.2</v>
      </c>
      <c r="T1195" s="29">
        <f t="shared" si="150"/>
        <v>1.4120000000000001</v>
      </c>
      <c r="U1195" s="29" t="str">
        <f t="shared" si="151"/>
        <v>Medium</v>
      </c>
    </row>
    <row r="1196" spans="1:21" ht="15" customHeight="1" x14ac:dyDescent="0.25">
      <c r="A1196" s="29">
        <f>Dataset!A1196</f>
        <v>1192</v>
      </c>
      <c r="B1196" s="29">
        <f>IF(Dataset!B1196&lt;25,0.3,IF(Dataset!B1196&lt;75,0.5,IF(Dataset!B1196&lt;120,0.65,0.8)))</f>
        <v>0.8</v>
      </c>
      <c r="C1196" s="29">
        <f>IF(Dataset!B1196&lt;25,1,IF(Dataset!B1196&lt;75,2,IF(Dataset!B1196&lt;120,3,4)))</f>
        <v>4</v>
      </c>
      <c r="D1196" s="29">
        <f t="shared" si="144"/>
        <v>3.2</v>
      </c>
      <c r="E1196" s="29">
        <f>IF(Dataset!C1196&lt;=1,0.3,IF(Dataset!C1196=2,0.4,IF(Dataset!C1196=3,0.5,IF(Dataset!C1196=4,0.65,0.8))))</f>
        <v>0.65</v>
      </c>
      <c r="F1196" s="29">
        <f>IF(Dataset!C1196&lt;=2,1,IF(Dataset!C1196=3,2,IF(Dataset!C1196=4,3,4)))</f>
        <v>3</v>
      </c>
      <c r="G1196" s="29">
        <f t="shared" si="145"/>
        <v>1.9500000000000002</v>
      </c>
      <c r="H1196" s="29">
        <f>IF(Dataset!G1196&lt;=3,0.25,IF(Dataset!G1196&lt;=6,0.45,IF(Dataset!G1196&lt;=9,0.65,0.85)))</f>
        <v>0.45</v>
      </c>
      <c r="I1196" s="29">
        <f>IF(Dataset!G1196&lt;=3,1,IF(Dataset!G1196&lt;=6,2,IF(Dataset!G1196&lt;=9,3,4)))</f>
        <v>2</v>
      </c>
      <c r="J1196" s="29">
        <f t="shared" si="146"/>
        <v>0.9</v>
      </c>
      <c r="K1196" s="29">
        <f>IF(Dataset!H1196&lt;1,0.2,IF(Dataset!H1196&lt;1.3,0.45,IF(Dataset!H1196&lt;1.8,0.7,0.9)))</f>
        <v>0.45</v>
      </c>
      <c r="L1196" s="29">
        <f>IF(Dataset!H1196&lt;1,1,IF(Dataset!H1196&lt;1.3,2,IF(Dataset!H1196&lt;1.8,3,4)))</f>
        <v>2</v>
      </c>
      <c r="M1196" s="29">
        <f t="shared" si="147"/>
        <v>0.9</v>
      </c>
      <c r="N1196" s="29">
        <f>IF(Dataset!F1196=1,0.75,IF(Dataset!F1196=2,0.45,0.2))</f>
        <v>0.2</v>
      </c>
      <c r="O1196" s="29">
        <f>IF(Dataset!F1196=1,3,IF(Dataset!F1196=2,2,1))</f>
        <v>1</v>
      </c>
      <c r="P1196" s="29">
        <f t="shared" si="148"/>
        <v>0.2</v>
      </c>
      <c r="Q1196" s="29">
        <f>IF(Dataset!K1196&lt;5,0.2,IF(Dataset!K1196&lt;10,0.45,IF(Dataset!K1196&lt;18,0.7,0.9)))</f>
        <v>0.45</v>
      </c>
      <c r="R1196" s="29">
        <f>IF(Dataset!K1196&lt;5,1,IF(Dataset!K1196&lt;10,2,IF(Dataset!K1196&lt;18,3,4)))</f>
        <v>2</v>
      </c>
      <c r="S1196" s="29">
        <f t="shared" si="149"/>
        <v>0.9</v>
      </c>
      <c r="T1196" s="29">
        <f t="shared" si="150"/>
        <v>1.391</v>
      </c>
      <c r="U1196" s="29" t="str">
        <f t="shared" si="151"/>
        <v>Medium</v>
      </c>
    </row>
    <row r="1197" spans="1:21" ht="15" customHeight="1" x14ac:dyDescent="0.25">
      <c r="A1197" s="29">
        <f>Dataset!A1197</f>
        <v>1193</v>
      </c>
      <c r="B1197" s="29">
        <f>IF(Dataset!B1197&lt;25,0.3,IF(Dataset!B1197&lt;75,0.5,IF(Dataset!B1197&lt;120,0.65,0.8)))</f>
        <v>0.5</v>
      </c>
      <c r="C1197" s="29">
        <f>IF(Dataset!B1197&lt;25,1,IF(Dataset!B1197&lt;75,2,IF(Dataset!B1197&lt;120,3,4)))</f>
        <v>2</v>
      </c>
      <c r="D1197" s="29">
        <f t="shared" si="144"/>
        <v>1</v>
      </c>
      <c r="E1197" s="29">
        <f>IF(Dataset!C1197&lt;=1,0.3,IF(Dataset!C1197=2,0.4,IF(Dataset!C1197=3,0.5,IF(Dataset!C1197=4,0.65,0.8))))</f>
        <v>0.5</v>
      </c>
      <c r="F1197" s="29">
        <f>IF(Dataset!C1197&lt;=2,1,IF(Dataset!C1197=3,2,IF(Dataset!C1197=4,3,4)))</f>
        <v>2</v>
      </c>
      <c r="G1197" s="29">
        <f t="shared" si="145"/>
        <v>1</v>
      </c>
      <c r="H1197" s="29">
        <f>IF(Dataset!G1197&lt;=3,0.25,IF(Dataset!G1197&lt;=6,0.45,IF(Dataset!G1197&lt;=9,0.65,0.85)))</f>
        <v>0.45</v>
      </c>
      <c r="I1197" s="29">
        <f>IF(Dataset!G1197&lt;=3,1,IF(Dataset!G1197&lt;=6,2,IF(Dataset!G1197&lt;=9,3,4)))</f>
        <v>2</v>
      </c>
      <c r="J1197" s="29">
        <f t="shared" si="146"/>
        <v>0.9</v>
      </c>
      <c r="K1197" s="29">
        <f>IF(Dataset!H1197&lt;1,0.2,IF(Dataset!H1197&lt;1.3,0.45,IF(Dataset!H1197&lt;1.8,0.7,0.9)))</f>
        <v>0.9</v>
      </c>
      <c r="L1197" s="29">
        <f>IF(Dataset!H1197&lt;1,1,IF(Dataset!H1197&lt;1.3,2,IF(Dataset!H1197&lt;1.8,3,4)))</f>
        <v>4</v>
      </c>
      <c r="M1197" s="29">
        <f t="shared" si="147"/>
        <v>3.6</v>
      </c>
      <c r="N1197" s="29">
        <f>IF(Dataset!F1197=1,0.75,IF(Dataset!F1197=2,0.45,0.2))</f>
        <v>0.75</v>
      </c>
      <c r="O1197" s="29">
        <f>IF(Dataset!F1197=1,3,IF(Dataset!F1197=2,2,1))</f>
        <v>3</v>
      </c>
      <c r="P1197" s="29">
        <f t="shared" si="148"/>
        <v>2.25</v>
      </c>
      <c r="Q1197" s="29">
        <f>IF(Dataset!K1197&lt;5,0.2,IF(Dataset!K1197&lt;10,0.45,IF(Dataset!K1197&lt;18,0.7,0.9)))</f>
        <v>0.45</v>
      </c>
      <c r="R1197" s="29">
        <f>IF(Dataset!K1197&lt;5,1,IF(Dataset!K1197&lt;10,2,IF(Dataset!K1197&lt;18,3,4)))</f>
        <v>2</v>
      </c>
      <c r="S1197" s="29">
        <f t="shared" si="149"/>
        <v>0.9</v>
      </c>
      <c r="T1197" s="29">
        <f t="shared" si="150"/>
        <v>1.7150000000000001</v>
      </c>
      <c r="U1197" s="29" t="str">
        <f t="shared" si="151"/>
        <v>Medium</v>
      </c>
    </row>
    <row r="1198" spans="1:21" ht="15" customHeight="1" x14ac:dyDescent="0.25">
      <c r="A1198" s="29">
        <f>Dataset!A1198</f>
        <v>1194</v>
      </c>
      <c r="B1198" s="29">
        <f>IF(Dataset!B1198&lt;25,0.3,IF(Dataset!B1198&lt;75,0.5,IF(Dataset!B1198&lt;120,0.65,0.8)))</f>
        <v>0.5</v>
      </c>
      <c r="C1198" s="29">
        <f>IF(Dataset!B1198&lt;25,1,IF(Dataset!B1198&lt;75,2,IF(Dataset!B1198&lt;120,3,4)))</f>
        <v>2</v>
      </c>
      <c r="D1198" s="29">
        <f t="shared" si="144"/>
        <v>1</v>
      </c>
      <c r="E1198" s="29">
        <f>IF(Dataset!C1198&lt;=1,0.3,IF(Dataset!C1198=2,0.4,IF(Dataset!C1198=3,0.5,IF(Dataset!C1198=4,0.65,0.8))))</f>
        <v>0.8</v>
      </c>
      <c r="F1198" s="29">
        <f>IF(Dataset!C1198&lt;=2,1,IF(Dataset!C1198=3,2,IF(Dataset!C1198=4,3,4)))</f>
        <v>4</v>
      </c>
      <c r="G1198" s="29">
        <f t="shared" si="145"/>
        <v>3.2</v>
      </c>
      <c r="H1198" s="29">
        <f>IF(Dataset!G1198&lt;=3,0.25,IF(Dataset!G1198&lt;=6,0.45,IF(Dataset!G1198&lt;=9,0.65,0.85)))</f>
        <v>0.25</v>
      </c>
      <c r="I1198" s="29">
        <f>IF(Dataset!G1198&lt;=3,1,IF(Dataset!G1198&lt;=6,2,IF(Dataset!G1198&lt;=9,3,4)))</f>
        <v>1</v>
      </c>
      <c r="J1198" s="29">
        <f t="shared" si="146"/>
        <v>0.25</v>
      </c>
      <c r="K1198" s="29">
        <f>IF(Dataset!H1198&lt;1,0.2,IF(Dataset!H1198&lt;1.3,0.45,IF(Dataset!H1198&lt;1.8,0.7,0.9)))</f>
        <v>0.7</v>
      </c>
      <c r="L1198" s="29">
        <f>IF(Dataset!H1198&lt;1,1,IF(Dataset!H1198&lt;1.3,2,IF(Dataset!H1198&lt;1.8,3,4)))</f>
        <v>3</v>
      </c>
      <c r="M1198" s="29">
        <f t="shared" si="147"/>
        <v>2.0999999999999996</v>
      </c>
      <c r="N1198" s="29">
        <f>IF(Dataset!F1198=1,0.75,IF(Dataset!F1198=2,0.45,0.2))</f>
        <v>0.2</v>
      </c>
      <c r="O1198" s="29">
        <f>IF(Dataset!F1198=1,3,IF(Dataset!F1198=2,2,1))</f>
        <v>1</v>
      </c>
      <c r="P1198" s="29">
        <f t="shared" si="148"/>
        <v>0.2</v>
      </c>
      <c r="Q1198" s="29">
        <f>IF(Dataset!K1198&lt;5,0.2,IF(Dataset!K1198&lt;10,0.45,IF(Dataset!K1198&lt;18,0.7,0.9)))</f>
        <v>0.7</v>
      </c>
      <c r="R1198" s="29">
        <f>IF(Dataset!K1198&lt;5,1,IF(Dataset!K1198&lt;10,2,IF(Dataset!K1198&lt;18,3,4)))</f>
        <v>3</v>
      </c>
      <c r="S1198" s="29">
        <f t="shared" si="149"/>
        <v>2.0999999999999996</v>
      </c>
      <c r="T1198" s="29">
        <f t="shared" si="150"/>
        <v>1.496</v>
      </c>
      <c r="U1198" s="29" t="str">
        <f t="shared" si="151"/>
        <v>Medium</v>
      </c>
    </row>
    <row r="1199" spans="1:21" ht="15" customHeight="1" x14ac:dyDescent="0.25">
      <c r="A1199" s="29">
        <f>Dataset!A1199</f>
        <v>1195</v>
      </c>
      <c r="B1199" s="29">
        <f>IF(Dataset!B1199&lt;25,0.3,IF(Dataset!B1199&lt;75,0.5,IF(Dataset!B1199&lt;120,0.65,0.8)))</f>
        <v>0.3</v>
      </c>
      <c r="C1199" s="29">
        <f>IF(Dataset!B1199&lt;25,1,IF(Dataset!B1199&lt;75,2,IF(Dataset!B1199&lt;120,3,4)))</f>
        <v>1</v>
      </c>
      <c r="D1199" s="29">
        <f t="shared" si="144"/>
        <v>0.3</v>
      </c>
      <c r="E1199" s="29">
        <f>IF(Dataset!C1199&lt;=1,0.3,IF(Dataset!C1199=2,0.4,IF(Dataset!C1199=3,0.5,IF(Dataset!C1199=4,0.65,0.8))))</f>
        <v>0.65</v>
      </c>
      <c r="F1199" s="29">
        <f>IF(Dataset!C1199&lt;=2,1,IF(Dataset!C1199=3,2,IF(Dataset!C1199=4,3,4)))</f>
        <v>3</v>
      </c>
      <c r="G1199" s="29">
        <f t="shared" si="145"/>
        <v>1.9500000000000002</v>
      </c>
      <c r="H1199" s="29">
        <f>IF(Dataset!G1199&lt;=3,0.25,IF(Dataset!G1199&lt;=6,0.45,IF(Dataset!G1199&lt;=9,0.65,0.85)))</f>
        <v>0.65</v>
      </c>
      <c r="I1199" s="29">
        <f>IF(Dataset!G1199&lt;=3,1,IF(Dataset!G1199&lt;=6,2,IF(Dataset!G1199&lt;=9,3,4)))</f>
        <v>3</v>
      </c>
      <c r="J1199" s="29">
        <f t="shared" si="146"/>
        <v>1.9500000000000002</v>
      </c>
      <c r="K1199" s="29">
        <f>IF(Dataset!H1199&lt;1,0.2,IF(Dataset!H1199&lt;1.3,0.45,IF(Dataset!H1199&lt;1.8,0.7,0.9)))</f>
        <v>0.7</v>
      </c>
      <c r="L1199" s="29">
        <f>IF(Dataset!H1199&lt;1,1,IF(Dataset!H1199&lt;1.3,2,IF(Dataset!H1199&lt;1.8,3,4)))</f>
        <v>3</v>
      </c>
      <c r="M1199" s="29">
        <f t="shared" si="147"/>
        <v>2.0999999999999996</v>
      </c>
      <c r="N1199" s="29">
        <f>IF(Dataset!F1199=1,0.75,IF(Dataset!F1199=2,0.45,0.2))</f>
        <v>0.75</v>
      </c>
      <c r="O1199" s="29">
        <f>IF(Dataset!F1199=1,3,IF(Dataset!F1199=2,2,1))</f>
        <v>3</v>
      </c>
      <c r="P1199" s="29">
        <f t="shared" si="148"/>
        <v>2.25</v>
      </c>
      <c r="Q1199" s="29">
        <f>IF(Dataset!K1199&lt;5,0.2,IF(Dataset!K1199&lt;10,0.45,IF(Dataset!K1199&lt;18,0.7,0.9)))</f>
        <v>0.45</v>
      </c>
      <c r="R1199" s="29">
        <f>IF(Dataset!K1199&lt;5,1,IF(Dataset!K1199&lt;10,2,IF(Dataset!K1199&lt;18,3,4)))</f>
        <v>2</v>
      </c>
      <c r="S1199" s="29">
        <f t="shared" si="149"/>
        <v>0.9</v>
      </c>
      <c r="T1199" s="29">
        <f t="shared" si="150"/>
        <v>1.5720000000000003</v>
      </c>
      <c r="U1199" s="29" t="str">
        <f t="shared" si="151"/>
        <v>Medium</v>
      </c>
    </row>
    <row r="1200" spans="1:21" ht="15" customHeight="1" x14ac:dyDescent="0.25">
      <c r="A1200" s="29">
        <f>Dataset!A1200</f>
        <v>1196</v>
      </c>
      <c r="B1200" s="29">
        <f>IF(Dataset!B1200&lt;25,0.3,IF(Dataset!B1200&lt;75,0.5,IF(Dataset!B1200&lt;120,0.65,0.8)))</f>
        <v>0.3</v>
      </c>
      <c r="C1200" s="29">
        <f>IF(Dataset!B1200&lt;25,1,IF(Dataset!B1200&lt;75,2,IF(Dataset!B1200&lt;120,3,4)))</f>
        <v>1</v>
      </c>
      <c r="D1200" s="29">
        <f t="shared" si="144"/>
        <v>0.3</v>
      </c>
      <c r="E1200" s="29">
        <f>IF(Dataset!C1200&lt;=1,0.3,IF(Dataset!C1200=2,0.4,IF(Dataset!C1200=3,0.5,IF(Dataset!C1200=4,0.65,0.8))))</f>
        <v>0.5</v>
      </c>
      <c r="F1200" s="29">
        <f>IF(Dataset!C1200&lt;=2,1,IF(Dataset!C1200=3,2,IF(Dataset!C1200=4,3,4)))</f>
        <v>2</v>
      </c>
      <c r="G1200" s="29">
        <f t="shared" si="145"/>
        <v>1</v>
      </c>
      <c r="H1200" s="29">
        <f>IF(Dataset!G1200&lt;=3,0.25,IF(Dataset!G1200&lt;=6,0.45,IF(Dataset!G1200&lt;=9,0.65,0.85)))</f>
        <v>0.65</v>
      </c>
      <c r="I1200" s="29">
        <f>IF(Dataset!G1200&lt;=3,1,IF(Dataset!G1200&lt;=6,2,IF(Dataset!G1200&lt;=9,3,4)))</f>
        <v>3</v>
      </c>
      <c r="J1200" s="29">
        <f t="shared" si="146"/>
        <v>1.9500000000000002</v>
      </c>
      <c r="K1200" s="29">
        <f>IF(Dataset!H1200&lt;1,0.2,IF(Dataset!H1200&lt;1.3,0.45,IF(Dataset!H1200&lt;1.8,0.7,0.9)))</f>
        <v>0.2</v>
      </c>
      <c r="L1200" s="29">
        <f>IF(Dataset!H1200&lt;1,1,IF(Dataset!H1200&lt;1.3,2,IF(Dataset!H1200&lt;1.8,3,4)))</f>
        <v>1</v>
      </c>
      <c r="M1200" s="29">
        <f t="shared" si="147"/>
        <v>0.2</v>
      </c>
      <c r="N1200" s="29">
        <f>IF(Dataset!F1200=1,0.75,IF(Dataset!F1200=2,0.45,0.2))</f>
        <v>0.45</v>
      </c>
      <c r="O1200" s="29">
        <f>IF(Dataset!F1200=1,3,IF(Dataset!F1200=2,2,1))</f>
        <v>2</v>
      </c>
      <c r="P1200" s="29">
        <f t="shared" si="148"/>
        <v>0.9</v>
      </c>
      <c r="Q1200" s="29">
        <f>IF(Dataset!K1200&lt;5,0.2,IF(Dataset!K1200&lt;10,0.45,IF(Dataset!K1200&lt;18,0.7,0.9)))</f>
        <v>0.2</v>
      </c>
      <c r="R1200" s="29">
        <f>IF(Dataset!K1200&lt;5,1,IF(Dataset!K1200&lt;10,2,IF(Dataset!K1200&lt;18,3,4)))</f>
        <v>1</v>
      </c>
      <c r="S1200" s="29">
        <f t="shared" si="149"/>
        <v>0.2</v>
      </c>
      <c r="T1200" s="29">
        <f t="shared" si="150"/>
        <v>0.75000000000000011</v>
      </c>
      <c r="U1200" s="29" t="str">
        <f t="shared" si="151"/>
        <v>Low</v>
      </c>
    </row>
    <row r="1201" spans="1:21" ht="15" customHeight="1" x14ac:dyDescent="0.25">
      <c r="A1201" s="29">
        <f>Dataset!A1201</f>
        <v>1197</v>
      </c>
      <c r="B1201" s="29">
        <f>IF(Dataset!B1201&lt;25,0.3,IF(Dataset!B1201&lt;75,0.5,IF(Dataset!B1201&lt;120,0.65,0.8)))</f>
        <v>0.5</v>
      </c>
      <c r="C1201" s="29">
        <f>IF(Dataset!B1201&lt;25,1,IF(Dataset!B1201&lt;75,2,IF(Dataset!B1201&lt;120,3,4)))</f>
        <v>2</v>
      </c>
      <c r="D1201" s="29">
        <f t="shared" si="144"/>
        <v>1</v>
      </c>
      <c r="E1201" s="29">
        <f>IF(Dataset!C1201&lt;=1,0.3,IF(Dataset!C1201=2,0.4,IF(Dataset!C1201=3,0.5,IF(Dataset!C1201=4,0.65,0.8))))</f>
        <v>0.65</v>
      </c>
      <c r="F1201" s="29">
        <f>IF(Dataset!C1201&lt;=2,1,IF(Dataset!C1201=3,2,IF(Dataset!C1201=4,3,4)))</f>
        <v>3</v>
      </c>
      <c r="G1201" s="29">
        <f t="shared" si="145"/>
        <v>1.9500000000000002</v>
      </c>
      <c r="H1201" s="29">
        <f>IF(Dataset!G1201&lt;=3,0.25,IF(Dataset!G1201&lt;=6,0.45,IF(Dataset!G1201&lt;=9,0.65,0.85)))</f>
        <v>0.45</v>
      </c>
      <c r="I1201" s="29">
        <f>IF(Dataset!G1201&lt;=3,1,IF(Dataset!G1201&lt;=6,2,IF(Dataset!G1201&lt;=9,3,4)))</f>
        <v>2</v>
      </c>
      <c r="J1201" s="29">
        <f t="shared" si="146"/>
        <v>0.9</v>
      </c>
      <c r="K1201" s="29">
        <f>IF(Dataset!H1201&lt;1,0.2,IF(Dataset!H1201&lt;1.3,0.45,IF(Dataset!H1201&lt;1.8,0.7,0.9)))</f>
        <v>0.2</v>
      </c>
      <c r="L1201" s="29">
        <f>IF(Dataset!H1201&lt;1,1,IF(Dataset!H1201&lt;1.3,2,IF(Dataset!H1201&lt;1.8,3,4)))</f>
        <v>1</v>
      </c>
      <c r="M1201" s="29">
        <f t="shared" si="147"/>
        <v>0.2</v>
      </c>
      <c r="N1201" s="29">
        <f>IF(Dataset!F1201=1,0.75,IF(Dataset!F1201=2,0.45,0.2))</f>
        <v>0.45</v>
      </c>
      <c r="O1201" s="29">
        <f>IF(Dataset!F1201=1,3,IF(Dataset!F1201=2,2,1))</f>
        <v>2</v>
      </c>
      <c r="P1201" s="29">
        <f t="shared" si="148"/>
        <v>0.9</v>
      </c>
      <c r="Q1201" s="29">
        <f>IF(Dataset!K1201&lt;5,0.2,IF(Dataset!K1201&lt;10,0.45,IF(Dataset!K1201&lt;18,0.7,0.9)))</f>
        <v>0.7</v>
      </c>
      <c r="R1201" s="29">
        <f>IF(Dataset!K1201&lt;5,1,IF(Dataset!K1201&lt;10,2,IF(Dataset!K1201&lt;18,3,4)))</f>
        <v>3</v>
      </c>
      <c r="S1201" s="29">
        <f t="shared" si="149"/>
        <v>2.0999999999999996</v>
      </c>
      <c r="T1201" s="29">
        <f t="shared" si="150"/>
        <v>1.0650000000000002</v>
      </c>
      <c r="U1201" s="29" t="str">
        <f t="shared" si="151"/>
        <v>Low</v>
      </c>
    </row>
    <row r="1202" spans="1:21" ht="15" customHeight="1" x14ac:dyDescent="0.25">
      <c r="A1202" s="29">
        <f>Dataset!A1202</f>
        <v>1198</v>
      </c>
      <c r="B1202" s="29">
        <f>IF(Dataset!B1202&lt;25,0.3,IF(Dataset!B1202&lt;75,0.5,IF(Dataset!B1202&lt;120,0.65,0.8)))</f>
        <v>0.3</v>
      </c>
      <c r="C1202" s="29">
        <f>IF(Dataset!B1202&lt;25,1,IF(Dataset!B1202&lt;75,2,IF(Dataset!B1202&lt;120,3,4)))</f>
        <v>1</v>
      </c>
      <c r="D1202" s="29">
        <f t="shared" si="144"/>
        <v>0.3</v>
      </c>
      <c r="E1202" s="29">
        <f>IF(Dataset!C1202&lt;=1,0.3,IF(Dataset!C1202=2,0.4,IF(Dataset!C1202=3,0.5,IF(Dataset!C1202=4,0.65,0.8))))</f>
        <v>0.5</v>
      </c>
      <c r="F1202" s="29">
        <f>IF(Dataset!C1202&lt;=2,1,IF(Dataset!C1202=3,2,IF(Dataset!C1202=4,3,4)))</f>
        <v>2</v>
      </c>
      <c r="G1202" s="29">
        <f t="shared" si="145"/>
        <v>1</v>
      </c>
      <c r="H1202" s="29">
        <f>IF(Dataset!G1202&lt;=3,0.25,IF(Dataset!G1202&lt;=6,0.45,IF(Dataset!G1202&lt;=9,0.65,0.85)))</f>
        <v>0.45</v>
      </c>
      <c r="I1202" s="29">
        <f>IF(Dataset!G1202&lt;=3,1,IF(Dataset!G1202&lt;=6,2,IF(Dataset!G1202&lt;=9,3,4)))</f>
        <v>2</v>
      </c>
      <c r="J1202" s="29">
        <f t="shared" si="146"/>
        <v>0.9</v>
      </c>
      <c r="K1202" s="29">
        <f>IF(Dataset!H1202&lt;1,0.2,IF(Dataset!H1202&lt;1.3,0.45,IF(Dataset!H1202&lt;1.8,0.7,0.9)))</f>
        <v>0.9</v>
      </c>
      <c r="L1202" s="29">
        <f>IF(Dataset!H1202&lt;1,1,IF(Dataset!H1202&lt;1.3,2,IF(Dataset!H1202&lt;1.8,3,4)))</f>
        <v>4</v>
      </c>
      <c r="M1202" s="29">
        <f t="shared" si="147"/>
        <v>3.6</v>
      </c>
      <c r="N1202" s="29">
        <f>IF(Dataset!F1202=1,0.75,IF(Dataset!F1202=2,0.45,0.2))</f>
        <v>0.75</v>
      </c>
      <c r="O1202" s="29">
        <f>IF(Dataset!F1202=1,3,IF(Dataset!F1202=2,2,1))</f>
        <v>3</v>
      </c>
      <c r="P1202" s="29">
        <f t="shared" si="148"/>
        <v>2.25</v>
      </c>
      <c r="Q1202" s="29">
        <f>IF(Dataset!K1202&lt;5,0.2,IF(Dataset!K1202&lt;10,0.45,IF(Dataset!K1202&lt;18,0.7,0.9)))</f>
        <v>0.45</v>
      </c>
      <c r="R1202" s="29">
        <f>IF(Dataset!K1202&lt;5,1,IF(Dataset!K1202&lt;10,2,IF(Dataset!K1202&lt;18,3,4)))</f>
        <v>2</v>
      </c>
      <c r="S1202" s="29">
        <f t="shared" si="149"/>
        <v>0.9</v>
      </c>
      <c r="T1202" s="29">
        <f t="shared" si="150"/>
        <v>1.5890000000000002</v>
      </c>
      <c r="U1202" s="29" t="str">
        <f t="shared" si="151"/>
        <v>Medium</v>
      </c>
    </row>
    <row r="1203" spans="1:21" ht="15" customHeight="1" x14ac:dyDescent="0.25">
      <c r="A1203" s="29">
        <f>Dataset!A1203</f>
        <v>1199</v>
      </c>
      <c r="B1203" s="29">
        <f>IF(Dataset!B1203&lt;25,0.3,IF(Dataset!B1203&lt;75,0.5,IF(Dataset!B1203&lt;120,0.65,0.8)))</f>
        <v>0.8</v>
      </c>
      <c r="C1203" s="29">
        <f>IF(Dataset!B1203&lt;25,1,IF(Dataset!B1203&lt;75,2,IF(Dataset!B1203&lt;120,3,4)))</f>
        <v>4</v>
      </c>
      <c r="D1203" s="29">
        <f t="shared" si="144"/>
        <v>3.2</v>
      </c>
      <c r="E1203" s="29">
        <f>IF(Dataset!C1203&lt;=1,0.3,IF(Dataset!C1203=2,0.4,IF(Dataset!C1203=3,0.5,IF(Dataset!C1203=4,0.65,0.8))))</f>
        <v>0.65</v>
      </c>
      <c r="F1203" s="29">
        <f>IF(Dataset!C1203&lt;=2,1,IF(Dataset!C1203=3,2,IF(Dataset!C1203=4,3,4)))</f>
        <v>3</v>
      </c>
      <c r="G1203" s="29">
        <f t="shared" si="145"/>
        <v>1.9500000000000002</v>
      </c>
      <c r="H1203" s="29">
        <f>IF(Dataset!G1203&lt;=3,0.25,IF(Dataset!G1203&lt;=6,0.45,IF(Dataset!G1203&lt;=9,0.65,0.85)))</f>
        <v>0.25</v>
      </c>
      <c r="I1203" s="29">
        <f>IF(Dataset!G1203&lt;=3,1,IF(Dataset!G1203&lt;=6,2,IF(Dataset!G1203&lt;=9,3,4)))</f>
        <v>1</v>
      </c>
      <c r="J1203" s="29">
        <f t="shared" si="146"/>
        <v>0.25</v>
      </c>
      <c r="K1203" s="29">
        <f>IF(Dataset!H1203&lt;1,0.2,IF(Dataset!H1203&lt;1.3,0.45,IF(Dataset!H1203&lt;1.8,0.7,0.9)))</f>
        <v>0.9</v>
      </c>
      <c r="L1203" s="29">
        <f>IF(Dataset!H1203&lt;1,1,IF(Dataset!H1203&lt;1.3,2,IF(Dataset!H1203&lt;1.8,3,4)))</f>
        <v>4</v>
      </c>
      <c r="M1203" s="29">
        <f t="shared" si="147"/>
        <v>3.6</v>
      </c>
      <c r="N1203" s="29">
        <f>IF(Dataset!F1203=1,0.75,IF(Dataset!F1203=2,0.45,0.2))</f>
        <v>0.2</v>
      </c>
      <c r="O1203" s="29">
        <f>IF(Dataset!F1203=1,3,IF(Dataset!F1203=2,2,1))</f>
        <v>1</v>
      </c>
      <c r="P1203" s="29">
        <f t="shared" si="148"/>
        <v>0.2</v>
      </c>
      <c r="Q1203" s="29">
        <f>IF(Dataset!K1203&lt;5,0.2,IF(Dataset!K1203&lt;10,0.45,IF(Dataset!K1203&lt;18,0.7,0.9)))</f>
        <v>0.7</v>
      </c>
      <c r="R1203" s="29">
        <f>IF(Dataset!K1203&lt;5,1,IF(Dataset!K1203&lt;10,2,IF(Dataset!K1203&lt;18,3,4)))</f>
        <v>3</v>
      </c>
      <c r="S1203" s="29">
        <f t="shared" si="149"/>
        <v>2.0999999999999996</v>
      </c>
      <c r="T1203" s="29">
        <f t="shared" si="150"/>
        <v>2.077</v>
      </c>
      <c r="U1203" s="29" t="str">
        <f t="shared" si="151"/>
        <v>High</v>
      </c>
    </row>
    <row r="1204" spans="1:21" ht="15" customHeight="1" x14ac:dyDescent="0.25">
      <c r="A1204" s="29">
        <f>Dataset!A1204</f>
        <v>1200</v>
      </c>
      <c r="B1204" s="29">
        <f>IF(Dataset!B1204&lt;25,0.3,IF(Dataset!B1204&lt;75,0.5,IF(Dataset!B1204&lt;120,0.65,0.8)))</f>
        <v>0.5</v>
      </c>
      <c r="C1204" s="29">
        <f>IF(Dataset!B1204&lt;25,1,IF(Dataset!B1204&lt;75,2,IF(Dataset!B1204&lt;120,3,4)))</f>
        <v>2</v>
      </c>
      <c r="D1204" s="29">
        <f t="shared" si="144"/>
        <v>1</v>
      </c>
      <c r="E1204" s="29">
        <f>IF(Dataset!C1204&lt;=1,0.3,IF(Dataset!C1204=2,0.4,IF(Dataset!C1204=3,0.5,IF(Dataset!C1204=4,0.65,0.8))))</f>
        <v>0.3</v>
      </c>
      <c r="F1204" s="29">
        <f>IF(Dataset!C1204&lt;=2,1,IF(Dataset!C1204=3,2,IF(Dataset!C1204=4,3,4)))</f>
        <v>1</v>
      </c>
      <c r="G1204" s="29">
        <f t="shared" si="145"/>
        <v>0.3</v>
      </c>
      <c r="H1204" s="29">
        <f>IF(Dataset!G1204&lt;=3,0.25,IF(Dataset!G1204&lt;=6,0.45,IF(Dataset!G1204&lt;=9,0.65,0.85)))</f>
        <v>0.25</v>
      </c>
      <c r="I1204" s="29">
        <f>IF(Dataset!G1204&lt;=3,1,IF(Dataset!G1204&lt;=6,2,IF(Dataset!G1204&lt;=9,3,4)))</f>
        <v>1</v>
      </c>
      <c r="J1204" s="29">
        <f t="shared" si="146"/>
        <v>0.25</v>
      </c>
      <c r="K1204" s="29">
        <f>IF(Dataset!H1204&lt;1,0.2,IF(Dataset!H1204&lt;1.3,0.45,IF(Dataset!H1204&lt;1.8,0.7,0.9)))</f>
        <v>0.7</v>
      </c>
      <c r="L1204" s="29">
        <f>IF(Dataset!H1204&lt;1,1,IF(Dataset!H1204&lt;1.3,2,IF(Dataset!H1204&lt;1.8,3,4)))</f>
        <v>3</v>
      </c>
      <c r="M1204" s="29">
        <f t="shared" si="147"/>
        <v>2.0999999999999996</v>
      </c>
      <c r="N1204" s="29">
        <f>IF(Dataset!F1204=1,0.75,IF(Dataset!F1204=2,0.45,0.2))</f>
        <v>0.45</v>
      </c>
      <c r="O1204" s="29">
        <f>IF(Dataset!F1204=1,3,IF(Dataset!F1204=2,2,1))</f>
        <v>2</v>
      </c>
      <c r="P1204" s="29">
        <f t="shared" si="148"/>
        <v>0.9</v>
      </c>
      <c r="Q1204" s="29">
        <f>IF(Dataset!K1204&lt;5,0.2,IF(Dataset!K1204&lt;10,0.45,IF(Dataset!K1204&lt;18,0.7,0.9)))</f>
        <v>0.2</v>
      </c>
      <c r="R1204" s="29">
        <f>IF(Dataset!K1204&lt;5,1,IF(Dataset!K1204&lt;10,2,IF(Dataset!K1204&lt;18,3,4)))</f>
        <v>1</v>
      </c>
      <c r="S1204" s="29">
        <f t="shared" si="149"/>
        <v>0.2</v>
      </c>
      <c r="T1204" s="29">
        <f t="shared" si="150"/>
        <v>0.89399999999999991</v>
      </c>
      <c r="U1204" s="29" t="str">
        <f t="shared" si="151"/>
        <v>Low</v>
      </c>
    </row>
    <row r="1205" spans="1:21" ht="15" customHeight="1" x14ac:dyDescent="0.25">
      <c r="A1205" s="29">
        <f>Dataset!A1205</f>
        <v>1201</v>
      </c>
      <c r="B1205" s="29">
        <f>IF(Dataset!B1205&lt;25,0.3,IF(Dataset!B1205&lt;75,0.5,IF(Dataset!B1205&lt;120,0.65,0.8)))</f>
        <v>0.3</v>
      </c>
      <c r="C1205" s="29">
        <f>IF(Dataset!B1205&lt;25,1,IF(Dataset!B1205&lt;75,2,IF(Dataset!B1205&lt;120,3,4)))</f>
        <v>1</v>
      </c>
      <c r="D1205" s="29">
        <f t="shared" si="144"/>
        <v>0.3</v>
      </c>
      <c r="E1205" s="29">
        <f>IF(Dataset!C1205&lt;=1,0.3,IF(Dataset!C1205=2,0.4,IF(Dataset!C1205=3,0.5,IF(Dataset!C1205=4,0.65,0.8))))</f>
        <v>0.65</v>
      </c>
      <c r="F1205" s="29">
        <f>IF(Dataset!C1205&lt;=2,1,IF(Dataset!C1205=3,2,IF(Dataset!C1205=4,3,4)))</f>
        <v>3</v>
      </c>
      <c r="G1205" s="29">
        <f t="shared" si="145"/>
        <v>1.9500000000000002</v>
      </c>
      <c r="H1205" s="29">
        <f>IF(Dataset!G1205&lt;=3,0.25,IF(Dataset!G1205&lt;=6,0.45,IF(Dataset!G1205&lt;=9,0.65,0.85)))</f>
        <v>0.65</v>
      </c>
      <c r="I1205" s="29">
        <f>IF(Dataset!G1205&lt;=3,1,IF(Dataset!G1205&lt;=6,2,IF(Dataset!G1205&lt;=9,3,4)))</f>
        <v>3</v>
      </c>
      <c r="J1205" s="29">
        <f t="shared" si="146"/>
        <v>1.9500000000000002</v>
      </c>
      <c r="K1205" s="29">
        <f>IF(Dataset!H1205&lt;1,0.2,IF(Dataset!H1205&lt;1.3,0.45,IF(Dataset!H1205&lt;1.8,0.7,0.9)))</f>
        <v>0.7</v>
      </c>
      <c r="L1205" s="29">
        <f>IF(Dataset!H1205&lt;1,1,IF(Dataset!H1205&lt;1.3,2,IF(Dataset!H1205&lt;1.8,3,4)))</f>
        <v>3</v>
      </c>
      <c r="M1205" s="29">
        <f t="shared" si="147"/>
        <v>2.0999999999999996</v>
      </c>
      <c r="N1205" s="29">
        <f>IF(Dataset!F1205=1,0.75,IF(Dataset!F1205=2,0.45,0.2))</f>
        <v>0.45</v>
      </c>
      <c r="O1205" s="29">
        <f>IF(Dataset!F1205=1,3,IF(Dataset!F1205=2,2,1))</f>
        <v>2</v>
      </c>
      <c r="P1205" s="29">
        <f t="shared" si="148"/>
        <v>0.9</v>
      </c>
      <c r="Q1205" s="29">
        <f>IF(Dataset!K1205&lt;5,0.2,IF(Dataset!K1205&lt;10,0.45,IF(Dataset!K1205&lt;18,0.7,0.9)))</f>
        <v>0.45</v>
      </c>
      <c r="R1205" s="29">
        <f>IF(Dataset!K1205&lt;5,1,IF(Dataset!K1205&lt;10,2,IF(Dataset!K1205&lt;18,3,4)))</f>
        <v>2</v>
      </c>
      <c r="S1205" s="29">
        <f t="shared" si="149"/>
        <v>0.9</v>
      </c>
      <c r="T1205" s="29">
        <f t="shared" si="150"/>
        <v>1.4370000000000003</v>
      </c>
      <c r="U1205" s="29" t="str">
        <f t="shared" si="151"/>
        <v>Medium</v>
      </c>
    </row>
    <row r="1206" spans="1:21" ht="15" customHeight="1" x14ac:dyDescent="0.25">
      <c r="A1206" s="29">
        <f>Dataset!A1206</f>
        <v>1202</v>
      </c>
      <c r="B1206" s="29">
        <f>IF(Dataset!B1206&lt;25,0.3,IF(Dataset!B1206&lt;75,0.5,IF(Dataset!B1206&lt;120,0.65,0.8)))</f>
        <v>0.65</v>
      </c>
      <c r="C1206" s="29">
        <f>IF(Dataset!B1206&lt;25,1,IF(Dataset!B1206&lt;75,2,IF(Dataset!B1206&lt;120,3,4)))</f>
        <v>3</v>
      </c>
      <c r="D1206" s="29">
        <f t="shared" si="144"/>
        <v>1.9500000000000002</v>
      </c>
      <c r="E1206" s="29">
        <f>IF(Dataset!C1206&lt;=1,0.3,IF(Dataset!C1206=2,0.4,IF(Dataset!C1206=3,0.5,IF(Dataset!C1206=4,0.65,0.8))))</f>
        <v>0.8</v>
      </c>
      <c r="F1206" s="29">
        <f>IF(Dataset!C1206&lt;=2,1,IF(Dataset!C1206=3,2,IF(Dataset!C1206=4,3,4)))</f>
        <v>4</v>
      </c>
      <c r="G1206" s="29">
        <f t="shared" si="145"/>
        <v>3.2</v>
      </c>
      <c r="H1206" s="29">
        <f>IF(Dataset!G1206&lt;=3,0.25,IF(Dataset!G1206&lt;=6,0.45,IF(Dataset!G1206&lt;=9,0.65,0.85)))</f>
        <v>0.45</v>
      </c>
      <c r="I1206" s="29">
        <f>IF(Dataset!G1206&lt;=3,1,IF(Dataset!G1206&lt;=6,2,IF(Dataset!G1206&lt;=9,3,4)))</f>
        <v>2</v>
      </c>
      <c r="J1206" s="29">
        <f t="shared" si="146"/>
        <v>0.9</v>
      </c>
      <c r="K1206" s="29">
        <f>IF(Dataset!H1206&lt;1,0.2,IF(Dataset!H1206&lt;1.3,0.45,IF(Dataset!H1206&lt;1.8,0.7,0.9)))</f>
        <v>0.9</v>
      </c>
      <c r="L1206" s="29">
        <f>IF(Dataset!H1206&lt;1,1,IF(Dataset!H1206&lt;1.3,2,IF(Dataset!H1206&lt;1.8,3,4)))</f>
        <v>4</v>
      </c>
      <c r="M1206" s="29">
        <f t="shared" si="147"/>
        <v>3.6</v>
      </c>
      <c r="N1206" s="29">
        <f>IF(Dataset!F1206=1,0.75,IF(Dataset!F1206=2,0.45,0.2))</f>
        <v>0.45</v>
      </c>
      <c r="O1206" s="29">
        <f>IF(Dataset!F1206=1,3,IF(Dataset!F1206=2,2,1))</f>
        <v>2</v>
      </c>
      <c r="P1206" s="29">
        <f t="shared" si="148"/>
        <v>0.9</v>
      </c>
      <c r="Q1206" s="29">
        <f>IF(Dataset!K1206&lt;5,0.2,IF(Dataset!K1206&lt;10,0.45,IF(Dataset!K1206&lt;18,0.7,0.9)))</f>
        <v>0.7</v>
      </c>
      <c r="R1206" s="29">
        <f>IF(Dataset!K1206&lt;5,1,IF(Dataset!K1206&lt;10,2,IF(Dataset!K1206&lt;18,3,4)))</f>
        <v>3</v>
      </c>
      <c r="S1206" s="29">
        <f t="shared" si="149"/>
        <v>2.0999999999999996</v>
      </c>
      <c r="T1206" s="29">
        <f t="shared" si="150"/>
        <v>2.2270000000000003</v>
      </c>
      <c r="U1206" s="29" t="str">
        <f t="shared" si="151"/>
        <v>High</v>
      </c>
    </row>
    <row r="1207" spans="1:21" ht="15" customHeight="1" x14ac:dyDescent="0.25">
      <c r="A1207" s="29">
        <f>Dataset!A1207</f>
        <v>1203</v>
      </c>
      <c r="B1207" s="29">
        <f>IF(Dataset!B1207&lt;25,0.3,IF(Dataset!B1207&lt;75,0.5,IF(Dataset!B1207&lt;120,0.65,0.8)))</f>
        <v>0.5</v>
      </c>
      <c r="C1207" s="29">
        <f>IF(Dataset!B1207&lt;25,1,IF(Dataset!B1207&lt;75,2,IF(Dataset!B1207&lt;120,3,4)))</f>
        <v>2</v>
      </c>
      <c r="D1207" s="29">
        <f t="shared" si="144"/>
        <v>1</v>
      </c>
      <c r="E1207" s="29">
        <f>IF(Dataset!C1207&lt;=1,0.3,IF(Dataset!C1207=2,0.4,IF(Dataset!C1207=3,0.5,IF(Dataset!C1207=4,0.65,0.8))))</f>
        <v>0.65</v>
      </c>
      <c r="F1207" s="29">
        <f>IF(Dataset!C1207&lt;=2,1,IF(Dataset!C1207=3,2,IF(Dataset!C1207=4,3,4)))</f>
        <v>3</v>
      </c>
      <c r="G1207" s="29">
        <f t="shared" si="145"/>
        <v>1.9500000000000002</v>
      </c>
      <c r="H1207" s="29">
        <f>IF(Dataset!G1207&lt;=3,0.25,IF(Dataset!G1207&lt;=6,0.45,IF(Dataset!G1207&lt;=9,0.65,0.85)))</f>
        <v>0.45</v>
      </c>
      <c r="I1207" s="29">
        <f>IF(Dataset!G1207&lt;=3,1,IF(Dataset!G1207&lt;=6,2,IF(Dataset!G1207&lt;=9,3,4)))</f>
        <v>2</v>
      </c>
      <c r="J1207" s="29">
        <f t="shared" si="146"/>
        <v>0.9</v>
      </c>
      <c r="K1207" s="29">
        <f>IF(Dataset!H1207&lt;1,0.2,IF(Dataset!H1207&lt;1.3,0.45,IF(Dataset!H1207&lt;1.8,0.7,0.9)))</f>
        <v>0.9</v>
      </c>
      <c r="L1207" s="29">
        <f>IF(Dataset!H1207&lt;1,1,IF(Dataset!H1207&lt;1.3,2,IF(Dataset!H1207&lt;1.8,3,4)))</f>
        <v>4</v>
      </c>
      <c r="M1207" s="29">
        <f t="shared" si="147"/>
        <v>3.6</v>
      </c>
      <c r="N1207" s="29">
        <f>IF(Dataset!F1207=1,0.75,IF(Dataset!F1207=2,0.45,0.2))</f>
        <v>0.45</v>
      </c>
      <c r="O1207" s="29">
        <f>IF(Dataset!F1207=1,3,IF(Dataset!F1207=2,2,1))</f>
        <v>2</v>
      </c>
      <c r="P1207" s="29">
        <f t="shared" si="148"/>
        <v>0.9</v>
      </c>
      <c r="Q1207" s="29">
        <f>IF(Dataset!K1207&lt;5,0.2,IF(Dataset!K1207&lt;10,0.45,IF(Dataset!K1207&lt;18,0.7,0.9)))</f>
        <v>0.45</v>
      </c>
      <c r="R1207" s="29">
        <f>IF(Dataset!K1207&lt;5,1,IF(Dataset!K1207&lt;10,2,IF(Dataset!K1207&lt;18,3,4)))</f>
        <v>2</v>
      </c>
      <c r="S1207" s="29">
        <f t="shared" si="149"/>
        <v>0.9</v>
      </c>
      <c r="T1207" s="29">
        <f t="shared" si="150"/>
        <v>1.7130000000000003</v>
      </c>
      <c r="U1207" s="29" t="str">
        <f t="shared" si="151"/>
        <v>Medium</v>
      </c>
    </row>
    <row r="1208" spans="1:21" ht="15" customHeight="1" x14ac:dyDescent="0.25">
      <c r="A1208" s="29">
        <f>Dataset!A1208</f>
        <v>1204</v>
      </c>
      <c r="B1208" s="29">
        <f>IF(Dataset!B1208&lt;25,0.3,IF(Dataset!B1208&lt;75,0.5,IF(Dataset!B1208&lt;120,0.65,0.8)))</f>
        <v>0.65</v>
      </c>
      <c r="C1208" s="29">
        <f>IF(Dataset!B1208&lt;25,1,IF(Dataset!B1208&lt;75,2,IF(Dataset!B1208&lt;120,3,4)))</f>
        <v>3</v>
      </c>
      <c r="D1208" s="29">
        <f t="shared" si="144"/>
        <v>1.9500000000000002</v>
      </c>
      <c r="E1208" s="29">
        <f>IF(Dataset!C1208&lt;=1,0.3,IF(Dataset!C1208=2,0.4,IF(Dataset!C1208=3,0.5,IF(Dataset!C1208=4,0.65,0.8))))</f>
        <v>0.8</v>
      </c>
      <c r="F1208" s="29">
        <f>IF(Dataset!C1208&lt;=2,1,IF(Dataset!C1208=3,2,IF(Dataset!C1208=4,3,4)))</f>
        <v>4</v>
      </c>
      <c r="G1208" s="29">
        <f t="shared" si="145"/>
        <v>3.2</v>
      </c>
      <c r="H1208" s="29">
        <f>IF(Dataset!G1208&lt;=3,0.25,IF(Dataset!G1208&lt;=6,0.45,IF(Dataset!G1208&lt;=9,0.65,0.85)))</f>
        <v>0.85</v>
      </c>
      <c r="I1208" s="29">
        <f>IF(Dataset!G1208&lt;=3,1,IF(Dataset!G1208&lt;=6,2,IF(Dataset!G1208&lt;=9,3,4)))</f>
        <v>4</v>
      </c>
      <c r="J1208" s="29">
        <f t="shared" si="146"/>
        <v>3.4</v>
      </c>
      <c r="K1208" s="29">
        <f>IF(Dataset!H1208&lt;1,0.2,IF(Dataset!H1208&lt;1.3,0.45,IF(Dataset!H1208&lt;1.8,0.7,0.9)))</f>
        <v>0.45</v>
      </c>
      <c r="L1208" s="29">
        <f>IF(Dataset!H1208&lt;1,1,IF(Dataset!H1208&lt;1.3,2,IF(Dataset!H1208&lt;1.8,3,4)))</f>
        <v>2</v>
      </c>
      <c r="M1208" s="29">
        <f t="shared" si="147"/>
        <v>0.9</v>
      </c>
      <c r="N1208" s="29">
        <f>IF(Dataset!F1208=1,0.75,IF(Dataset!F1208=2,0.45,0.2))</f>
        <v>0.45</v>
      </c>
      <c r="O1208" s="29">
        <f>IF(Dataset!F1208=1,3,IF(Dataset!F1208=2,2,1))</f>
        <v>2</v>
      </c>
      <c r="P1208" s="29">
        <f t="shared" si="148"/>
        <v>0.9</v>
      </c>
      <c r="Q1208" s="29">
        <f>IF(Dataset!K1208&lt;5,0.2,IF(Dataset!K1208&lt;10,0.45,IF(Dataset!K1208&lt;18,0.7,0.9)))</f>
        <v>0.9</v>
      </c>
      <c r="R1208" s="29">
        <f>IF(Dataset!K1208&lt;5,1,IF(Dataset!K1208&lt;10,2,IF(Dataset!K1208&lt;18,3,4)))</f>
        <v>4</v>
      </c>
      <c r="S1208" s="29">
        <f t="shared" si="149"/>
        <v>3.6</v>
      </c>
      <c r="T1208" s="29">
        <f t="shared" si="150"/>
        <v>2.2890000000000001</v>
      </c>
      <c r="U1208" s="29" t="str">
        <f t="shared" si="151"/>
        <v>High</v>
      </c>
    </row>
    <row r="1209" spans="1:21" ht="15" customHeight="1" x14ac:dyDescent="0.25">
      <c r="A1209" s="29">
        <f>Dataset!A1209</f>
        <v>1205</v>
      </c>
      <c r="B1209" s="29">
        <f>IF(Dataset!B1209&lt;25,0.3,IF(Dataset!B1209&lt;75,0.5,IF(Dataset!B1209&lt;120,0.65,0.8)))</f>
        <v>0.5</v>
      </c>
      <c r="C1209" s="29">
        <f>IF(Dataset!B1209&lt;25,1,IF(Dataset!B1209&lt;75,2,IF(Dataset!B1209&lt;120,3,4)))</f>
        <v>2</v>
      </c>
      <c r="D1209" s="29">
        <f t="shared" si="144"/>
        <v>1</v>
      </c>
      <c r="E1209" s="29">
        <f>IF(Dataset!C1209&lt;=1,0.3,IF(Dataset!C1209=2,0.4,IF(Dataset!C1209=3,0.5,IF(Dataset!C1209=4,0.65,0.8))))</f>
        <v>0.5</v>
      </c>
      <c r="F1209" s="29">
        <f>IF(Dataset!C1209&lt;=2,1,IF(Dataset!C1209=3,2,IF(Dataset!C1209=4,3,4)))</f>
        <v>2</v>
      </c>
      <c r="G1209" s="29">
        <f t="shared" si="145"/>
        <v>1</v>
      </c>
      <c r="H1209" s="29">
        <f>IF(Dataset!G1209&lt;=3,0.25,IF(Dataset!G1209&lt;=6,0.45,IF(Dataset!G1209&lt;=9,0.65,0.85)))</f>
        <v>0.45</v>
      </c>
      <c r="I1209" s="29">
        <f>IF(Dataset!G1209&lt;=3,1,IF(Dataset!G1209&lt;=6,2,IF(Dataset!G1209&lt;=9,3,4)))</f>
        <v>2</v>
      </c>
      <c r="J1209" s="29">
        <f t="shared" si="146"/>
        <v>0.9</v>
      </c>
      <c r="K1209" s="29">
        <f>IF(Dataset!H1209&lt;1,0.2,IF(Dataset!H1209&lt;1.3,0.45,IF(Dataset!H1209&lt;1.8,0.7,0.9)))</f>
        <v>0.45</v>
      </c>
      <c r="L1209" s="29">
        <f>IF(Dataset!H1209&lt;1,1,IF(Dataset!H1209&lt;1.3,2,IF(Dataset!H1209&lt;1.8,3,4)))</f>
        <v>2</v>
      </c>
      <c r="M1209" s="29">
        <f t="shared" si="147"/>
        <v>0.9</v>
      </c>
      <c r="N1209" s="29">
        <f>IF(Dataset!F1209=1,0.75,IF(Dataset!F1209=2,0.45,0.2))</f>
        <v>0.2</v>
      </c>
      <c r="O1209" s="29">
        <f>IF(Dataset!F1209=1,3,IF(Dataset!F1209=2,2,1))</f>
        <v>1</v>
      </c>
      <c r="P1209" s="29">
        <f t="shared" si="148"/>
        <v>0.2</v>
      </c>
      <c r="Q1209" s="29">
        <f>IF(Dataset!K1209&lt;5,0.2,IF(Dataset!K1209&lt;10,0.45,IF(Dataset!K1209&lt;18,0.7,0.9)))</f>
        <v>0.45</v>
      </c>
      <c r="R1209" s="29">
        <f>IF(Dataset!K1209&lt;5,1,IF(Dataset!K1209&lt;10,2,IF(Dataset!K1209&lt;18,3,4)))</f>
        <v>2</v>
      </c>
      <c r="S1209" s="29">
        <f t="shared" si="149"/>
        <v>0.9</v>
      </c>
      <c r="T1209" s="29">
        <f t="shared" si="150"/>
        <v>0.86199999999999999</v>
      </c>
      <c r="U1209" s="29" t="str">
        <f t="shared" si="151"/>
        <v>Low</v>
      </c>
    </row>
    <row r="1210" spans="1:21" ht="15" customHeight="1" x14ac:dyDescent="0.25">
      <c r="A1210" s="29">
        <f>Dataset!A1210</f>
        <v>1206</v>
      </c>
      <c r="B1210" s="29">
        <f>IF(Dataset!B1210&lt;25,0.3,IF(Dataset!B1210&lt;75,0.5,IF(Dataset!B1210&lt;120,0.65,0.8)))</f>
        <v>0.65</v>
      </c>
      <c r="C1210" s="29">
        <f>IF(Dataset!B1210&lt;25,1,IF(Dataset!B1210&lt;75,2,IF(Dataset!B1210&lt;120,3,4)))</f>
        <v>3</v>
      </c>
      <c r="D1210" s="29">
        <f t="shared" si="144"/>
        <v>1.9500000000000002</v>
      </c>
      <c r="E1210" s="29">
        <f>IF(Dataset!C1210&lt;=1,0.3,IF(Dataset!C1210=2,0.4,IF(Dataset!C1210=3,0.5,IF(Dataset!C1210=4,0.65,0.8))))</f>
        <v>0.65</v>
      </c>
      <c r="F1210" s="29">
        <f>IF(Dataset!C1210&lt;=2,1,IF(Dataset!C1210=3,2,IF(Dataset!C1210=4,3,4)))</f>
        <v>3</v>
      </c>
      <c r="G1210" s="29">
        <f t="shared" si="145"/>
        <v>1.9500000000000002</v>
      </c>
      <c r="H1210" s="29">
        <f>IF(Dataset!G1210&lt;=3,0.25,IF(Dataset!G1210&lt;=6,0.45,IF(Dataset!G1210&lt;=9,0.65,0.85)))</f>
        <v>0.45</v>
      </c>
      <c r="I1210" s="29">
        <f>IF(Dataset!G1210&lt;=3,1,IF(Dataset!G1210&lt;=6,2,IF(Dataset!G1210&lt;=9,3,4)))</f>
        <v>2</v>
      </c>
      <c r="J1210" s="29">
        <f t="shared" si="146"/>
        <v>0.9</v>
      </c>
      <c r="K1210" s="29">
        <f>IF(Dataset!H1210&lt;1,0.2,IF(Dataset!H1210&lt;1.3,0.45,IF(Dataset!H1210&lt;1.8,0.7,0.9)))</f>
        <v>0.7</v>
      </c>
      <c r="L1210" s="29">
        <f>IF(Dataset!H1210&lt;1,1,IF(Dataset!H1210&lt;1.3,2,IF(Dataset!H1210&lt;1.8,3,4)))</f>
        <v>3</v>
      </c>
      <c r="M1210" s="29">
        <f t="shared" si="147"/>
        <v>2.0999999999999996</v>
      </c>
      <c r="N1210" s="29">
        <f>IF(Dataset!F1210=1,0.75,IF(Dataset!F1210=2,0.45,0.2))</f>
        <v>0.45</v>
      </c>
      <c r="O1210" s="29">
        <f>IF(Dataset!F1210=1,3,IF(Dataset!F1210=2,2,1))</f>
        <v>2</v>
      </c>
      <c r="P1210" s="29">
        <f t="shared" si="148"/>
        <v>0.9</v>
      </c>
      <c r="Q1210" s="29">
        <f>IF(Dataset!K1210&lt;5,0.2,IF(Dataset!K1210&lt;10,0.45,IF(Dataset!K1210&lt;18,0.7,0.9)))</f>
        <v>0.45</v>
      </c>
      <c r="R1210" s="29">
        <f>IF(Dataset!K1210&lt;5,1,IF(Dataset!K1210&lt;10,2,IF(Dataset!K1210&lt;18,3,4)))</f>
        <v>2</v>
      </c>
      <c r="S1210" s="29">
        <f t="shared" si="149"/>
        <v>0.9</v>
      </c>
      <c r="T1210" s="29">
        <f t="shared" si="150"/>
        <v>1.5240000000000002</v>
      </c>
      <c r="U1210" s="29" t="str">
        <f t="shared" si="151"/>
        <v>Medium</v>
      </c>
    </row>
    <row r="1211" spans="1:21" ht="15" customHeight="1" x14ac:dyDescent="0.25">
      <c r="A1211" s="29">
        <f>Dataset!A1211</f>
        <v>1207</v>
      </c>
      <c r="B1211" s="29">
        <f>IF(Dataset!B1211&lt;25,0.3,IF(Dataset!B1211&lt;75,0.5,IF(Dataset!B1211&lt;120,0.65,0.8)))</f>
        <v>0.5</v>
      </c>
      <c r="C1211" s="29">
        <f>IF(Dataset!B1211&lt;25,1,IF(Dataset!B1211&lt;75,2,IF(Dataset!B1211&lt;120,3,4)))</f>
        <v>2</v>
      </c>
      <c r="D1211" s="29">
        <f t="shared" si="144"/>
        <v>1</v>
      </c>
      <c r="E1211" s="29">
        <f>IF(Dataset!C1211&lt;=1,0.3,IF(Dataset!C1211=2,0.4,IF(Dataset!C1211=3,0.5,IF(Dataset!C1211=4,0.65,0.8))))</f>
        <v>0.65</v>
      </c>
      <c r="F1211" s="29">
        <f>IF(Dataset!C1211&lt;=2,1,IF(Dataset!C1211=3,2,IF(Dataset!C1211=4,3,4)))</f>
        <v>3</v>
      </c>
      <c r="G1211" s="29">
        <f t="shared" si="145"/>
        <v>1.9500000000000002</v>
      </c>
      <c r="H1211" s="29">
        <f>IF(Dataset!G1211&lt;=3,0.25,IF(Dataset!G1211&lt;=6,0.45,IF(Dataset!G1211&lt;=9,0.65,0.85)))</f>
        <v>0.45</v>
      </c>
      <c r="I1211" s="29">
        <f>IF(Dataset!G1211&lt;=3,1,IF(Dataset!G1211&lt;=6,2,IF(Dataset!G1211&lt;=9,3,4)))</f>
        <v>2</v>
      </c>
      <c r="J1211" s="29">
        <f t="shared" si="146"/>
        <v>0.9</v>
      </c>
      <c r="K1211" s="29">
        <f>IF(Dataset!H1211&lt;1,0.2,IF(Dataset!H1211&lt;1.3,0.45,IF(Dataset!H1211&lt;1.8,0.7,0.9)))</f>
        <v>0.9</v>
      </c>
      <c r="L1211" s="29">
        <f>IF(Dataset!H1211&lt;1,1,IF(Dataset!H1211&lt;1.3,2,IF(Dataset!H1211&lt;1.8,3,4)))</f>
        <v>4</v>
      </c>
      <c r="M1211" s="29">
        <f t="shared" si="147"/>
        <v>3.6</v>
      </c>
      <c r="N1211" s="29">
        <f>IF(Dataset!F1211=1,0.75,IF(Dataset!F1211=2,0.45,0.2))</f>
        <v>0.45</v>
      </c>
      <c r="O1211" s="29">
        <f>IF(Dataset!F1211=1,3,IF(Dataset!F1211=2,2,1))</f>
        <v>2</v>
      </c>
      <c r="P1211" s="29">
        <f t="shared" si="148"/>
        <v>0.9</v>
      </c>
      <c r="Q1211" s="29">
        <f>IF(Dataset!K1211&lt;5,0.2,IF(Dataset!K1211&lt;10,0.45,IF(Dataset!K1211&lt;18,0.7,0.9)))</f>
        <v>0.7</v>
      </c>
      <c r="R1211" s="29">
        <f>IF(Dataset!K1211&lt;5,1,IF(Dataset!K1211&lt;10,2,IF(Dataset!K1211&lt;18,3,4)))</f>
        <v>3</v>
      </c>
      <c r="S1211" s="29">
        <f t="shared" si="149"/>
        <v>2.0999999999999996</v>
      </c>
      <c r="T1211" s="29">
        <f t="shared" si="150"/>
        <v>1.8810000000000002</v>
      </c>
      <c r="U1211" s="29" t="str">
        <f t="shared" si="151"/>
        <v>High</v>
      </c>
    </row>
    <row r="1212" spans="1:21" ht="15" customHeight="1" x14ac:dyDescent="0.25">
      <c r="A1212" s="29">
        <f>Dataset!A1212</f>
        <v>1208</v>
      </c>
      <c r="B1212" s="29">
        <f>IF(Dataset!B1212&lt;25,0.3,IF(Dataset!B1212&lt;75,0.5,IF(Dataset!B1212&lt;120,0.65,0.8)))</f>
        <v>0.8</v>
      </c>
      <c r="C1212" s="29">
        <f>IF(Dataset!B1212&lt;25,1,IF(Dataset!B1212&lt;75,2,IF(Dataset!B1212&lt;120,3,4)))</f>
        <v>4</v>
      </c>
      <c r="D1212" s="29">
        <f t="shared" si="144"/>
        <v>3.2</v>
      </c>
      <c r="E1212" s="29">
        <f>IF(Dataset!C1212&lt;=1,0.3,IF(Dataset!C1212=2,0.4,IF(Dataset!C1212=3,0.5,IF(Dataset!C1212=4,0.65,0.8))))</f>
        <v>0.65</v>
      </c>
      <c r="F1212" s="29">
        <f>IF(Dataset!C1212&lt;=2,1,IF(Dataset!C1212=3,2,IF(Dataset!C1212=4,3,4)))</f>
        <v>3</v>
      </c>
      <c r="G1212" s="29">
        <f t="shared" si="145"/>
        <v>1.9500000000000002</v>
      </c>
      <c r="H1212" s="29">
        <f>IF(Dataset!G1212&lt;=3,0.25,IF(Dataset!G1212&lt;=6,0.45,IF(Dataset!G1212&lt;=9,0.65,0.85)))</f>
        <v>0.45</v>
      </c>
      <c r="I1212" s="29">
        <f>IF(Dataset!G1212&lt;=3,1,IF(Dataset!G1212&lt;=6,2,IF(Dataset!G1212&lt;=9,3,4)))</f>
        <v>2</v>
      </c>
      <c r="J1212" s="29">
        <f t="shared" si="146"/>
        <v>0.9</v>
      </c>
      <c r="K1212" s="29">
        <f>IF(Dataset!H1212&lt;1,0.2,IF(Dataset!H1212&lt;1.3,0.45,IF(Dataset!H1212&lt;1.8,0.7,0.9)))</f>
        <v>0.2</v>
      </c>
      <c r="L1212" s="29">
        <f>IF(Dataset!H1212&lt;1,1,IF(Dataset!H1212&lt;1.3,2,IF(Dataset!H1212&lt;1.8,3,4)))</f>
        <v>1</v>
      </c>
      <c r="M1212" s="29">
        <f t="shared" si="147"/>
        <v>0.2</v>
      </c>
      <c r="N1212" s="29">
        <f>IF(Dataset!F1212=1,0.75,IF(Dataset!F1212=2,0.45,0.2))</f>
        <v>0.45</v>
      </c>
      <c r="O1212" s="29">
        <f>IF(Dataset!F1212=1,3,IF(Dataset!F1212=2,2,1))</f>
        <v>2</v>
      </c>
      <c r="P1212" s="29">
        <f t="shared" si="148"/>
        <v>0.9</v>
      </c>
      <c r="Q1212" s="29">
        <f>IF(Dataset!K1212&lt;5,0.2,IF(Dataset!K1212&lt;10,0.45,IF(Dataset!K1212&lt;18,0.7,0.9)))</f>
        <v>0.7</v>
      </c>
      <c r="R1212" s="29">
        <f>IF(Dataset!K1212&lt;5,1,IF(Dataset!K1212&lt;10,2,IF(Dataset!K1212&lt;18,3,4)))</f>
        <v>3</v>
      </c>
      <c r="S1212" s="29">
        <f t="shared" si="149"/>
        <v>2.0999999999999996</v>
      </c>
      <c r="T1212" s="29">
        <f t="shared" si="150"/>
        <v>1.4610000000000001</v>
      </c>
      <c r="U1212" s="29" t="str">
        <f t="shared" si="151"/>
        <v>Medium</v>
      </c>
    </row>
    <row r="1213" spans="1:21" ht="15" customHeight="1" x14ac:dyDescent="0.25">
      <c r="A1213" s="29">
        <f>Dataset!A1213</f>
        <v>1209</v>
      </c>
      <c r="B1213" s="29">
        <f>IF(Dataset!B1213&lt;25,0.3,IF(Dataset!B1213&lt;75,0.5,IF(Dataset!B1213&lt;120,0.65,0.8)))</f>
        <v>0.3</v>
      </c>
      <c r="C1213" s="29">
        <f>IF(Dataset!B1213&lt;25,1,IF(Dataset!B1213&lt;75,2,IF(Dataset!B1213&lt;120,3,4)))</f>
        <v>1</v>
      </c>
      <c r="D1213" s="29">
        <f t="shared" si="144"/>
        <v>0.3</v>
      </c>
      <c r="E1213" s="29">
        <f>IF(Dataset!C1213&lt;=1,0.3,IF(Dataset!C1213=2,0.4,IF(Dataset!C1213=3,0.5,IF(Dataset!C1213=4,0.65,0.8))))</f>
        <v>0.3</v>
      </c>
      <c r="F1213" s="29">
        <f>IF(Dataset!C1213&lt;=2,1,IF(Dataset!C1213=3,2,IF(Dataset!C1213=4,3,4)))</f>
        <v>1</v>
      </c>
      <c r="G1213" s="29">
        <f t="shared" si="145"/>
        <v>0.3</v>
      </c>
      <c r="H1213" s="29">
        <f>IF(Dataset!G1213&lt;=3,0.25,IF(Dataset!G1213&lt;=6,0.45,IF(Dataset!G1213&lt;=9,0.65,0.85)))</f>
        <v>0.65</v>
      </c>
      <c r="I1213" s="29">
        <f>IF(Dataset!G1213&lt;=3,1,IF(Dataset!G1213&lt;=6,2,IF(Dataset!G1213&lt;=9,3,4)))</f>
        <v>3</v>
      </c>
      <c r="J1213" s="29">
        <f t="shared" si="146"/>
        <v>1.9500000000000002</v>
      </c>
      <c r="K1213" s="29">
        <f>IF(Dataset!H1213&lt;1,0.2,IF(Dataset!H1213&lt;1.3,0.45,IF(Dataset!H1213&lt;1.8,0.7,0.9)))</f>
        <v>0.7</v>
      </c>
      <c r="L1213" s="29">
        <f>IF(Dataset!H1213&lt;1,1,IF(Dataset!H1213&lt;1.3,2,IF(Dataset!H1213&lt;1.8,3,4)))</f>
        <v>3</v>
      </c>
      <c r="M1213" s="29">
        <f t="shared" si="147"/>
        <v>2.0999999999999996</v>
      </c>
      <c r="N1213" s="29">
        <f>IF(Dataset!F1213=1,0.75,IF(Dataset!F1213=2,0.45,0.2))</f>
        <v>0.45</v>
      </c>
      <c r="O1213" s="29">
        <f>IF(Dataset!F1213=1,3,IF(Dataset!F1213=2,2,1))</f>
        <v>2</v>
      </c>
      <c r="P1213" s="29">
        <f t="shared" si="148"/>
        <v>0.9</v>
      </c>
      <c r="Q1213" s="29">
        <f>IF(Dataset!K1213&lt;5,0.2,IF(Dataset!K1213&lt;10,0.45,IF(Dataset!K1213&lt;18,0.7,0.9)))</f>
        <v>0.2</v>
      </c>
      <c r="R1213" s="29">
        <f>IF(Dataset!K1213&lt;5,1,IF(Dataset!K1213&lt;10,2,IF(Dataset!K1213&lt;18,3,4)))</f>
        <v>1</v>
      </c>
      <c r="S1213" s="29">
        <f t="shared" si="149"/>
        <v>0.2</v>
      </c>
      <c r="T1213" s="29">
        <f t="shared" si="150"/>
        <v>1.1080000000000001</v>
      </c>
      <c r="U1213" s="29" t="str">
        <f t="shared" si="151"/>
        <v>Low</v>
      </c>
    </row>
    <row r="1214" spans="1:21" ht="15" customHeight="1" x14ac:dyDescent="0.25">
      <c r="A1214" s="29">
        <f>Dataset!A1214</f>
        <v>1210</v>
      </c>
      <c r="B1214" s="29">
        <f>IF(Dataset!B1214&lt;25,0.3,IF(Dataset!B1214&lt;75,0.5,IF(Dataset!B1214&lt;120,0.65,0.8)))</f>
        <v>0.3</v>
      </c>
      <c r="C1214" s="29">
        <f>IF(Dataset!B1214&lt;25,1,IF(Dataset!B1214&lt;75,2,IF(Dataset!B1214&lt;120,3,4)))</f>
        <v>1</v>
      </c>
      <c r="D1214" s="29">
        <f t="shared" si="144"/>
        <v>0.3</v>
      </c>
      <c r="E1214" s="29">
        <f>IF(Dataset!C1214&lt;=1,0.3,IF(Dataset!C1214=2,0.4,IF(Dataset!C1214=3,0.5,IF(Dataset!C1214=4,0.65,0.8))))</f>
        <v>0.4</v>
      </c>
      <c r="F1214" s="29">
        <f>IF(Dataset!C1214&lt;=2,1,IF(Dataset!C1214=3,2,IF(Dataset!C1214=4,3,4)))</f>
        <v>1</v>
      </c>
      <c r="G1214" s="29">
        <f t="shared" si="145"/>
        <v>0.4</v>
      </c>
      <c r="H1214" s="29">
        <f>IF(Dataset!G1214&lt;=3,0.25,IF(Dataset!G1214&lt;=6,0.45,IF(Dataset!G1214&lt;=9,0.65,0.85)))</f>
        <v>0.45</v>
      </c>
      <c r="I1214" s="29">
        <f>IF(Dataset!G1214&lt;=3,1,IF(Dataset!G1214&lt;=6,2,IF(Dataset!G1214&lt;=9,3,4)))</f>
        <v>2</v>
      </c>
      <c r="J1214" s="29">
        <f t="shared" si="146"/>
        <v>0.9</v>
      </c>
      <c r="K1214" s="29">
        <f>IF(Dataset!H1214&lt;1,0.2,IF(Dataset!H1214&lt;1.3,0.45,IF(Dataset!H1214&lt;1.8,0.7,0.9)))</f>
        <v>0.7</v>
      </c>
      <c r="L1214" s="29">
        <f>IF(Dataset!H1214&lt;1,1,IF(Dataset!H1214&lt;1.3,2,IF(Dataset!H1214&lt;1.8,3,4)))</f>
        <v>3</v>
      </c>
      <c r="M1214" s="29">
        <f t="shared" si="147"/>
        <v>2.0999999999999996</v>
      </c>
      <c r="N1214" s="29">
        <f>IF(Dataset!F1214=1,0.75,IF(Dataset!F1214=2,0.45,0.2))</f>
        <v>0.45</v>
      </c>
      <c r="O1214" s="29">
        <f>IF(Dataset!F1214=1,3,IF(Dataset!F1214=2,2,1))</f>
        <v>2</v>
      </c>
      <c r="P1214" s="29">
        <f t="shared" si="148"/>
        <v>0.9</v>
      </c>
      <c r="Q1214" s="29">
        <f>IF(Dataset!K1214&lt;5,0.2,IF(Dataset!K1214&lt;10,0.45,IF(Dataset!K1214&lt;18,0.7,0.9)))</f>
        <v>0.2</v>
      </c>
      <c r="R1214" s="29">
        <f>IF(Dataset!K1214&lt;5,1,IF(Dataset!K1214&lt;10,2,IF(Dataset!K1214&lt;18,3,4)))</f>
        <v>1</v>
      </c>
      <c r="S1214" s="29">
        <f t="shared" si="149"/>
        <v>0.2</v>
      </c>
      <c r="T1214" s="29">
        <f t="shared" si="150"/>
        <v>0.91199999999999992</v>
      </c>
      <c r="U1214" s="29" t="str">
        <f t="shared" si="151"/>
        <v>Low</v>
      </c>
    </row>
    <row r="1215" spans="1:21" ht="15" customHeight="1" x14ac:dyDescent="0.25">
      <c r="A1215" s="29">
        <f>Dataset!A1215</f>
        <v>1211</v>
      </c>
      <c r="B1215" s="29">
        <f>IF(Dataset!B1215&lt;25,0.3,IF(Dataset!B1215&lt;75,0.5,IF(Dataset!B1215&lt;120,0.65,0.8)))</f>
        <v>0.5</v>
      </c>
      <c r="C1215" s="29">
        <f>IF(Dataset!B1215&lt;25,1,IF(Dataset!B1215&lt;75,2,IF(Dataset!B1215&lt;120,3,4)))</f>
        <v>2</v>
      </c>
      <c r="D1215" s="29">
        <f t="shared" si="144"/>
        <v>1</v>
      </c>
      <c r="E1215" s="29">
        <f>IF(Dataset!C1215&lt;=1,0.3,IF(Dataset!C1215=2,0.4,IF(Dataset!C1215=3,0.5,IF(Dataset!C1215=4,0.65,0.8))))</f>
        <v>0.65</v>
      </c>
      <c r="F1215" s="29">
        <f>IF(Dataset!C1215&lt;=2,1,IF(Dataset!C1215=3,2,IF(Dataset!C1215=4,3,4)))</f>
        <v>3</v>
      </c>
      <c r="G1215" s="29">
        <f t="shared" si="145"/>
        <v>1.9500000000000002</v>
      </c>
      <c r="H1215" s="29">
        <f>IF(Dataset!G1215&lt;=3,0.25,IF(Dataset!G1215&lt;=6,0.45,IF(Dataset!G1215&lt;=9,0.65,0.85)))</f>
        <v>0.65</v>
      </c>
      <c r="I1215" s="29">
        <f>IF(Dataset!G1215&lt;=3,1,IF(Dataset!G1215&lt;=6,2,IF(Dataset!G1215&lt;=9,3,4)))</f>
        <v>3</v>
      </c>
      <c r="J1215" s="29">
        <f t="shared" si="146"/>
        <v>1.9500000000000002</v>
      </c>
      <c r="K1215" s="29">
        <f>IF(Dataset!H1215&lt;1,0.2,IF(Dataset!H1215&lt;1.3,0.45,IF(Dataset!H1215&lt;1.8,0.7,0.9)))</f>
        <v>0.7</v>
      </c>
      <c r="L1215" s="29">
        <f>IF(Dataset!H1215&lt;1,1,IF(Dataset!H1215&lt;1.3,2,IF(Dataset!H1215&lt;1.8,3,4)))</f>
        <v>3</v>
      </c>
      <c r="M1215" s="29">
        <f t="shared" si="147"/>
        <v>2.0999999999999996</v>
      </c>
      <c r="N1215" s="29">
        <f>IF(Dataset!F1215=1,0.75,IF(Dataset!F1215=2,0.45,0.2))</f>
        <v>0.45</v>
      </c>
      <c r="O1215" s="29">
        <f>IF(Dataset!F1215=1,3,IF(Dataset!F1215=2,2,1))</f>
        <v>2</v>
      </c>
      <c r="P1215" s="29">
        <f t="shared" si="148"/>
        <v>0.9</v>
      </c>
      <c r="Q1215" s="29">
        <f>IF(Dataset!K1215&lt;5,0.2,IF(Dataset!K1215&lt;10,0.45,IF(Dataset!K1215&lt;18,0.7,0.9)))</f>
        <v>0.45</v>
      </c>
      <c r="R1215" s="29">
        <f>IF(Dataset!K1215&lt;5,1,IF(Dataset!K1215&lt;10,2,IF(Dataset!K1215&lt;18,3,4)))</f>
        <v>2</v>
      </c>
      <c r="S1215" s="29">
        <f t="shared" si="149"/>
        <v>0.9</v>
      </c>
      <c r="T1215" s="29">
        <f t="shared" si="150"/>
        <v>1.5630000000000002</v>
      </c>
      <c r="U1215" s="29" t="str">
        <f t="shared" si="151"/>
        <v>Medium</v>
      </c>
    </row>
    <row r="1216" spans="1:21" ht="15" customHeight="1" x14ac:dyDescent="0.25">
      <c r="A1216" s="29">
        <f>Dataset!A1216</f>
        <v>1212</v>
      </c>
      <c r="B1216" s="29">
        <f>IF(Dataset!B1216&lt;25,0.3,IF(Dataset!B1216&lt;75,0.5,IF(Dataset!B1216&lt;120,0.65,0.8)))</f>
        <v>0.5</v>
      </c>
      <c r="C1216" s="29">
        <f>IF(Dataset!B1216&lt;25,1,IF(Dataset!B1216&lt;75,2,IF(Dataset!B1216&lt;120,3,4)))</f>
        <v>2</v>
      </c>
      <c r="D1216" s="29">
        <f t="shared" si="144"/>
        <v>1</v>
      </c>
      <c r="E1216" s="29">
        <f>IF(Dataset!C1216&lt;=1,0.3,IF(Dataset!C1216=2,0.4,IF(Dataset!C1216=3,0.5,IF(Dataset!C1216=4,0.65,0.8))))</f>
        <v>0.3</v>
      </c>
      <c r="F1216" s="29">
        <f>IF(Dataset!C1216&lt;=2,1,IF(Dataset!C1216=3,2,IF(Dataset!C1216=4,3,4)))</f>
        <v>1</v>
      </c>
      <c r="G1216" s="29">
        <f t="shared" si="145"/>
        <v>0.3</v>
      </c>
      <c r="H1216" s="29">
        <f>IF(Dataset!G1216&lt;=3,0.25,IF(Dataset!G1216&lt;=6,0.45,IF(Dataset!G1216&lt;=9,0.65,0.85)))</f>
        <v>0.25</v>
      </c>
      <c r="I1216" s="29">
        <f>IF(Dataset!G1216&lt;=3,1,IF(Dataset!G1216&lt;=6,2,IF(Dataset!G1216&lt;=9,3,4)))</f>
        <v>1</v>
      </c>
      <c r="J1216" s="29">
        <f t="shared" si="146"/>
        <v>0.25</v>
      </c>
      <c r="K1216" s="29">
        <f>IF(Dataset!H1216&lt;1,0.2,IF(Dataset!H1216&lt;1.3,0.45,IF(Dataset!H1216&lt;1.8,0.7,0.9)))</f>
        <v>0.2</v>
      </c>
      <c r="L1216" s="29">
        <f>IF(Dataset!H1216&lt;1,1,IF(Dataset!H1216&lt;1.3,2,IF(Dataset!H1216&lt;1.8,3,4)))</f>
        <v>1</v>
      </c>
      <c r="M1216" s="29">
        <f t="shared" si="147"/>
        <v>0.2</v>
      </c>
      <c r="N1216" s="29">
        <f>IF(Dataset!F1216=1,0.75,IF(Dataset!F1216=2,0.45,0.2))</f>
        <v>0.45</v>
      </c>
      <c r="O1216" s="29">
        <f>IF(Dataset!F1216=1,3,IF(Dataset!F1216=2,2,1))</f>
        <v>2</v>
      </c>
      <c r="P1216" s="29">
        <f t="shared" si="148"/>
        <v>0.9</v>
      </c>
      <c r="Q1216" s="29">
        <f>IF(Dataset!K1216&lt;5,0.2,IF(Dataset!K1216&lt;10,0.45,IF(Dataset!K1216&lt;18,0.7,0.9)))</f>
        <v>0.2</v>
      </c>
      <c r="R1216" s="29">
        <f>IF(Dataset!K1216&lt;5,1,IF(Dataset!K1216&lt;10,2,IF(Dataset!K1216&lt;18,3,4)))</f>
        <v>1</v>
      </c>
      <c r="S1216" s="29">
        <f t="shared" si="149"/>
        <v>0.2</v>
      </c>
      <c r="T1216" s="29">
        <f t="shared" si="150"/>
        <v>0.43800000000000006</v>
      </c>
      <c r="U1216" s="29" t="str">
        <f t="shared" si="151"/>
        <v>Low</v>
      </c>
    </row>
    <row r="1217" spans="1:21" ht="15" customHeight="1" x14ac:dyDescent="0.25">
      <c r="A1217" s="29">
        <f>Dataset!A1217</f>
        <v>1213</v>
      </c>
      <c r="B1217" s="29">
        <f>IF(Dataset!B1217&lt;25,0.3,IF(Dataset!B1217&lt;75,0.5,IF(Dataset!B1217&lt;120,0.65,0.8)))</f>
        <v>0.5</v>
      </c>
      <c r="C1217" s="29">
        <f>IF(Dataset!B1217&lt;25,1,IF(Dataset!B1217&lt;75,2,IF(Dataset!B1217&lt;120,3,4)))</f>
        <v>2</v>
      </c>
      <c r="D1217" s="29">
        <f t="shared" si="144"/>
        <v>1</v>
      </c>
      <c r="E1217" s="29">
        <f>IF(Dataset!C1217&lt;=1,0.3,IF(Dataset!C1217=2,0.4,IF(Dataset!C1217=3,0.5,IF(Dataset!C1217=4,0.65,0.8))))</f>
        <v>0.65</v>
      </c>
      <c r="F1217" s="29">
        <f>IF(Dataset!C1217&lt;=2,1,IF(Dataset!C1217=3,2,IF(Dataset!C1217=4,3,4)))</f>
        <v>3</v>
      </c>
      <c r="G1217" s="29">
        <f t="shared" si="145"/>
        <v>1.9500000000000002</v>
      </c>
      <c r="H1217" s="29">
        <f>IF(Dataset!G1217&lt;=3,0.25,IF(Dataset!G1217&lt;=6,0.45,IF(Dataset!G1217&lt;=9,0.65,0.85)))</f>
        <v>0.25</v>
      </c>
      <c r="I1217" s="29">
        <f>IF(Dataset!G1217&lt;=3,1,IF(Dataset!G1217&lt;=6,2,IF(Dataset!G1217&lt;=9,3,4)))</f>
        <v>1</v>
      </c>
      <c r="J1217" s="29">
        <f t="shared" si="146"/>
        <v>0.25</v>
      </c>
      <c r="K1217" s="29">
        <f>IF(Dataset!H1217&lt;1,0.2,IF(Dataset!H1217&lt;1.3,0.45,IF(Dataset!H1217&lt;1.8,0.7,0.9)))</f>
        <v>0.7</v>
      </c>
      <c r="L1217" s="29">
        <f>IF(Dataset!H1217&lt;1,1,IF(Dataset!H1217&lt;1.3,2,IF(Dataset!H1217&lt;1.8,3,4)))</f>
        <v>3</v>
      </c>
      <c r="M1217" s="29">
        <f t="shared" si="147"/>
        <v>2.0999999999999996</v>
      </c>
      <c r="N1217" s="29">
        <f>IF(Dataset!F1217=1,0.75,IF(Dataset!F1217=2,0.45,0.2))</f>
        <v>0.2</v>
      </c>
      <c r="O1217" s="29">
        <f>IF(Dataset!F1217=1,3,IF(Dataset!F1217=2,2,1))</f>
        <v>1</v>
      </c>
      <c r="P1217" s="29">
        <f t="shared" si="148"/>
        <v>0.2</v>
      </c>
      <c r="Q1217" s="29">
        <f>IF(Dataset!K1217&lt;5,0.2,IF(Dataset!K1217&lt;10,0.45,IF(Dataset!K1217&lt;18,0.7,0.9)))</f>
        <v>0.45</v>
      </c>
      <c r="R1217" s="29">
        <f>IF(Dataset!K1217&lt;5,1,IF(Dataset!K1217&lt;10,2,IF(Dataset!K1217&lt;18,3,4)))</f>
        <v>2</v>
      </c>
      <c r="S1217" s="29">
        <f t="shared" si="149"/>
        <v>0.9</v>
      </c>
      <c r="T1217" s="29">
        <f t="shared" si="150"/>
        <v>1.1530000000000002</v>
      </c>
      <c r="U1217" s="29" t="str">
        <f t="shared" si="151"/>
        <v>Low</v>
      </c>
    </row>
    <row r="1218" spans="1:21" ht="15" customHeight="1" x14ac:dyDescent="0.25">
      <c r="A1218" s="29">
        <f>Dataset!A1218</f>
        <v>1214</v>
      </c>
      <c r="B1218" s="29">
        <f>IF(Dataset!B1218&lt;25,0.3,IF(Dataset!B1218&lt;75,0.5,IF(Dataset!B1218&lt;120,0.65,0.8)))</f>
        <v>0.65</v>
      </c>
      <c r="C1218" s="29">
        <f>IF(Dataset!B1218&lt;25,1,IF(Dataset!B1218&lt;75,2,IF(Dataset!B1218&lt;120,3,4)))</f>
        <v>3</v>
      </c>
      <c r="D1218" s="29">
        <f t="shared" si="144"/>
        <v>1.9500000000000002</v>
      </c>
      <c r="E1218" s="29">
        <f>IF(Dataset!C1218&lt;=1,0.3,IF(Dataset!C1218=2,0.4,IF(Dataset!C1218=3,0.5,IF(Dataset!C1218=4,0.65,0.8))))</f>
        <v>0.65</v>
      </c>
      <c r="F1218" s="29">
        <f>IF(Dataset!C1218&lt;=2,1,IF(Dataset!C1218=3,2,IF(Dataset!C1218=4,3,4)))</f>
        <v>3</v>
      </c>
      <c r="G1218" s="29">
        <f t="shared" si="145"/>
        <v>1.9500000000000002</v>
      </c>
      <c r="H1218" s="29">
        <f>IF(Dataset!G1218&lt;=3,0.25,IF(Dataset!G1218&lt;=6,0.45,IF(Dataset!G1218&lt;=9,0.65,0.85)))</f>
        <v>0.65</v>
      </c>
      <c r="I1218" s="29">
        <f>IF(Dataset!G1218&lt;=3,1,IF(Dataset!G1218&lt;=6,2,IF(Dataset!G1218&lt;=9,3,4)))</f>
        <v>3</v>
      </c>
      <c r="J1218" s="29">
        <f t="shared" si="146"/>
        <v>1.9500000000000002</v>
      </c>
      <c r="K1218" s="29">
        <f>IF(Dataset!H1218&lt;1,0.2,IF(Dataset!H1218&lt;1.3,0.45,IF(Dataset!H1218&lt;1.8,0.7,0.9)))</f>
        <v>0.7</v>
      </c>
      <c r="L1218" s="29">
        <f>IF(Dataset!H1218&lt;1,1,IF(Dataset!H1218&lt;1.3,2,IF(Dataset!H1218&lt;1.8,3,4)))</f>
        <v>3</v>
      </c>
      <c r="M1218" s="29">
        <f t="shared" si="147"/>
        <v>2.0999999999999996</v>
      </c>
      <c r="N1218" s="29">
        <f>IF(Dataset!F1218=1,0.75,IF(Dataset!F1218=2,0.45,0.2))</f>
        <v>0.2</v>
      </c>
      <c r="O1218" s="29">
        <f>IF(Dataset!F1218=1,3,IF(Dataset!F1218=2,2,1))</f>
        <v>1</v>
      </c>
      <c r="P1218" s="29">
        <f t="shared" si="148"/>
        <v>0.2</v>
      </c>
      <c r="Q1218" s="29">
        <f>IF(Dataset!K1218&lt;5,0.2,IF(Dataset!K1218&lt;10,0.45,IF(Dataset!K1218&lt;18,0.7,0.9)))</f>
        <v>0.7</v>
      </c>
      <c r="R1218" s="29">
        <f>IF(Dataset!K1218&lt;5,1,IF(Dataset!K1218&lt;10,2,IF(Dataset!K1218&lt;18,3,4)))</f>
        <v>3</v>
      </c>
      <c r="S1218" s="29">
        <f t="shared" si="149"/>
        <v>2.0999999999999996</v>
      </c>
      <c r="T1218" s="29">
        <f t="shared" si="150"/>
        <v>1.8320000000000003</v>
      </c>
      <c r="U1218" s="29" t="str">
        <f t="shared" si="151"/>
        <v>High</v>
      </c>
    </row>
    <row r="1219" spans="1:21" ht="15" customHeight="1" x14ac:dyDescent="0.25">
      <c r="A1219" s="29">
        <f>Dataset!A1219</f>
        <v>1215</v>
      </c>
      <c r="B1219" s="29">
        <f>IF(Dataset!B1219&lt;25,0.3,IF(Dataset!B1219&lt;75,0.5,IF(Dataset!B1219&lt;120,0.65,0.8)))</f>
        <v>0.5</v>
      </c>
      <c r="C1219" s="29">
        <f>IF(Dataset!B1219&lt;25,1,IF(Dataset!B1219&lt;75,2,IF(Dataset!B1219&lt;120,3,4)))</f>
        <v>2</v>
      </c>
      <c r="D1219" s="29">
        <f t="shared" si="144"/>
        <v>1</v>
      </c>
      <c r="E1219" s="29">
        <f>IF(Dataset!C1219&lt;=1,0.3,IF(Dataset!C1219=2,0.4,IF(Dataset!C1219=3,0.5,IF(Dataset!C1219=4,0.65,0.8))))</f>
        <v>0.8</v>
      </c>
      <c r="F1219" s="29">
        <f>IF(Dataset!C1219&lt;=2,1,IF(Dataset!C1219=3,2,IF(Dataset!C1219=4,3,4)))</f>
        <v>4</v>
      </c>
      <c r="G1219" s="29">
        <f t="shared" si="145"/>
        <v>3.2</v>
      </c>
      <c r="H1219" s="29">
        <f>IF(Dataset!G1219&lt;=3,0.25,IF(Dataset!G1219&lt;=6,0.45,IF(Dataset!G1219&lt;=9,0.65,0.85)))</f>
        <v>0.65</v>
      </c>
      <c r="I1219" s="29">
        <f>IF(Dataset!G1219&lt;=3,1,IF(Dataset!G1219&lt;=6,2,IF(Dataset!G1219&lt;=9,3,4)))</f>
        <v>3</v>
      </c>
      <c r="J1219" s="29">
        <f t="shared" si="146"/>
        <v>1.9500000000000002</v>
      </c>
      <c r="K1219" s="29">
        <f>IF(Dataset!H1219&lt;1,0.2,IF(Dataset!H1219&lt;1.3,0.45,IF(Dataset!H1219&lt;1.8,0.7,0.9)))</f>
        <v>0.45</v>
      </c>
      <c r="L1219" s="29">
        <f>IF(Dataset!H1219&lt;1,1,IF(Dataset!H1219&lt;1.3,2,IF(Dataset!H1219&lt;1.8,3,4)))</f>
        <v>2</v>
      </c>
      <c r="M1219" s="29">
        <f t="shared" si="147"/>
        <v>0.9</v>
      </c>
      <c r="N1219" s="29">
        <f>IF(Dataset!F1219=1,0.75,IF(Dataset!F1219=2,0.45,0.2))</f>
        <v>0.2</v>
      </c>
      <c r="O1219" s="29">
        <f>IF(Dataset!F1219=1,3,IF(Dataset!F1219=2,2,1))</f>
        <v>1</v>
      </c>
      <c r="P1219" s="29">
        <f t="shared" si="148"/>
        <v>0.2</v>
      </c>
      <c r="Q1219" s="29">
        <f>IF(Dataset!K1219&lt;5,0.2,IF(Dataset!K1219&lt;10,0.45,IF(Dataset!K1219&lt;18,0.7,0.9)))</f>
        <v>0.9</v>
      </c>
      <c r="R1219" s="29">
        <f>IF(Dataset!K1219&lt;5,1,IF(Dataset!K1219&lt;10,2,IF(Dataset!K1219&lt;18,3,4)))</f>
        <v>4</v>
      </c>
      <c r="S1219" s="29">
        <f t="shared" si="149"/>
        <v>3.6</v>
      </c>
      <c r="T1219" s="29">
        <f t="shared" si="150"/>
        <v>1.7580000000000005</v>
      </c>
      <c r="U1219" s="29" t="str">
        <f t="shared" si="151"/>
        <v>High</v>
      </c>
    </row>
    <row r="1220" spans="1:21" ht="15" customHeight="1" x14ac:dyDescent="0.25">
      <c r="A1220" s="29">
        <f>Dataset!A1220</f>
        <v>1216</v>
      </c>
      <c r="B1220" s="29">
        <f>IF(Dataset!B1220&lt;25,0.3,IF(Dataset!B1220&lt;75,0.5,IF(Dataset!B1220&lt;120,0.65,0.8)))</f>
        <v>0.65</v>
      </c>
      <c r="C1220" s="29">
        <f>IF(Dataset!B1220&lt;25,1,IF(Dataset!B1220&lt;75,2,IF(Dataset!B1220&lt;120,3,4)))</f>
        <v>3</v>
      </c>
      <c r="D1220" s="29">
        <f t="shared" si="144"/>
        <v>1.9500000000000002</v>
      </c>
      <c r="E1220" s="29">
        <f>IF(Dataset!C1220&lt;=1,0.3,IF(Dataset!C1220=2,0.4,IF(Dataset!C1220=3,0.5,IF(Dataset!C1220=4,0.65,0.8))))</f>
        <v>0.4</v>
      </c>
      <c r="F1220" s="29">
        <f>IF(Dataset!C1220&lt;=2,1,IF(Dataset!C1220=3,2,IF(Dataset!C1220=4,3,4)))</f>
        <v>1</v>
      </c>
      <c r="G1220" s="29">
        <f t="shared" si="145"/>
        <v>0.4</v>
      </c>
      <c r="H1220" s="29">
        <f>IF(Dataset!G1220&lt;=3,0.25,IF(Dataset!G1220&lt;=6,0.45,IF(Dataset!G1220&lt;=9,0.65,0.85)))</f>
        <v>0.65</v>
      </c>
      <c r="I1220" s="29">
        <f>IF(Dataset!G1220&lt;=3,1,IF(Dataset!G1220&lt;=6,2,IF(Dataset!G1220&lt;=9,3,4)))</f>
        <v>3</v>
      </c>
      <c r="J1220" s="29">
        <f t="shared" si="146"/>
        <v>1.9500000000000002</v>
      </c>
      <c r="K1220" s="29">
        <f>IF(Dataset!H1220&lt;1,0.2,IF(Dataset!H1220&lt;1.3,0.45,IF(Dataset!H1220&lt;1.8,0.7,0.9)))</f>
        <v>0.9</v>
      </c>
      <c r="L1220" s="29">
        <f>IF(Dataset!H1220&lt;1,1,IF(Dataset!H1220&lt;1.3,2,IF(Dataset!H1220&lt;1.8,3,4)))</f>
        <v>4</v>
      </c>
      <c r="M1220" s="29">
        <f t="shared" si="147"/>
        <v>3.6</v>
      </c>
      <c r="N1220" s="29">
        <f>IF(Dataset!F1220=1,0.75,IF(Dataset!F1220=2,0.45,0.2))</f>
        <v>0.2</v>
      </c>
      <c r="O1220" s="29">
        <f>IF(Dataset!F1220=1,3,IF(Dataset!F1220=2,2,1))</f>
        <v>1</v>
      </c>
      <c r="P1220" s="29">
        <f t="shared" si="148"/>
        <v>0.2</v>
      </c>
      <c r="Q1220" s="29">
        <f>IF(Dataset!K1220&lt;5,0.2,IF(Dataset!K1220&lt;10,0.45,IF(Dataset!K1220&lt;18,0.7,0.9)))</f>
        <v>0.45</v>
      </c>
      <c r="R1220" s="29">
        <f>IF(Dataset!K1220&lt;5,1,IF(Dataset!K1220&lt;10,2,IF(Dataset!K1220&lt;18,3,4)))</f>
        <v>2</v>
      </c>
      <c r="S1220" s="29">
        <f t="shared" si="149"/>
        <v>0.9</v>
      </c>
      <c r="T1220" s="29">
        <f t="shared" si="150"/>
        <v>1.8070000000000002</v>
      </c>
      <c r="U1220" s="29" t="str">
        <f t="shared" si="151"/>
        <v>High</v>
      </c>
    </row>
    <row r="1221" spans="1:21" ht="15" customHeight="1" x14ac:dyDescent="0.25">
      <c r="A1221" s="29">
        <f>Dataset!A1221</f>
        <v>1217</v>
      </c>
      <c r="B1221" s="29">
        <f>IF(Dataset!B1221&lt;25,0.3,IF(Dataset!B1221&lt;75,0.5,IF(Dataset!B1221&lt;120,0.65,0.8)))</f>
        <v>0.5</v>
      </c>
      <c r="C1221" s="29">
        <f>IF(Dataset!B1221&lt;25,1,IF(Dataset!B1221&lt;75,2,IF(Dataset!B1221&lt;120,3,4)))</f>
        <v>2</v>
      </c>
      <c r="D1221" s="29">
        <f t="shared" ref="D1221:D1284" si="152">B1221*C1221</f>
        <v>1</v>
      </c>
      <c r="E1221" s="29">
        <f>IF(Dataset!C1221&lt;=1,0.3,IF(Dataset!C1221=2,0.4,IF(Dataset!C1221=3,0.5,IF(Dataset!C1221=4,0.65,0.8))))</f>
        <v>0.8</v>
      </c>
      <c r="F1221" s="29">
        <f>IF(Dataset!C1221&lt;=2,1,IF(Dataset!C1221=3,2,IF(Dataset!C1221=4,3,4)))</f>
        <v>4</v>
      </c>
      <c r="G1221" s="29">
        <f t="shared" ref="G1221:G1284" si="153">E1221*F1221</f>
        <v>3.2</v>
      </c>
      <c r="H1221" s="29">
        <f>IF(Dataset!G1221&lt;=3,0.25,IF(Dataset!G1221&lt;=6,0.45,IF(Dataset!G1221&lt;=9,0.65,0.85)))</f>
        <v>0.65</v>
      </c>
      <c r="I1221" s="29">
        <f>IF(Dataset!G1221&lt;=3,1,IF(Dataset!G1221&lt;=6,2,IF(Dataset!G1221&lt;=9,3,4)))</f>
        <v>3</v>
      </c>
      <c r="J1221" s="29">
        <f t="shared" ref="J1221:J1284" si="154">H1221*I1221</f>
        <v>1.9500000000000002</v>
      </c>
      <c r="K1221" s="29">
        <f>IF(Dataset!H1221&lt;1,0.2,IF(Dataset!H1221&lt;1.3,0.45,IF(Dataset!H1221&lt;1.8,0.7,0.9)))</f>
        <v>0.9</v>
      </c>
      <c r="L1221" s="29">
        <f>IF(Dataset!H1221&lt;1,1,IF(Dataset!H1221&lt;1.3,2,IF(Dataset!H1221&lt;1.8,3,4)))</f>
        <v>4</v>
      </c>
      <c r="M1221" s="29">
        <f t="shared" ref="M1221:M1284" si="155">K1221*L1221</f>
        <v>3.6</v>
      </c>
      <c r="N1221" s="29">
        <f>IF(Dataset!F1221=1,0.75,IF(Dataset!F1221=2,0.45,0.2))</f>
        <v>0.45</v>
      </c>
      <c r="O1221" s="29">
        <f>IF(Dataset!F1221=1,3,IF(Dataset!F1221=2,2,1))</f>
        <v>2</v>
      </c>
      <c r="P1221" s="29">
        <f t="shared" ref="P1221:P1284" si="156">N1221*O1221</f>
        <v>0.9</v>
      </c>
      <c r="Q1221" s="29">
        <f>IF(Dataset!K1221&lt;5,0.2,IF(Dataset!K1221&lt;10,0.45,IF(Dataset!K1221&lt;18,0.7,0.9)))</f>
        <v>0.9</v>
      </c>
      <c r="R1221" s="29">
        <f>IF(Dataset!K1221&lt;5,1,IF(Dataset!K1221&lt;10,2,IF(Dataset!K1221&lt;18,3,4)))</f>
        <v>4</v>
      </c>
      <c r="S1221" s="29">
        <f t="shared" ref="S1221:S1284" si="157">Q1221*R1221</f>
        <v>3.6</v>
      </c>
      <c r="T1221" s="29">
        <f t="shared" ref="T1221:T1284" si="158">$Y$6*D1221+$Y$7*G1221+$Y$8*J1221+$Y$9*M1221+$Y$10*P1221+$Y$11*S1221</f>
        <v>2.4760000000000004</v>
      </c>
      <c r="U1221" s="29" t="str">
        <f t="shared" ref="U1221:U1284" si="159">IF(T1221&lt;=$Y$15,"Low",IF(T1221&lt;=$Y$16,"Medium","High"))</f>
        <v>High</v>
      </c>
    </row>
    <row r="1222" spans="1:21" ht="15" customHeight="1" x14ac:dyDescent="0.25">
      <c r="A1222" s="29">
        <f>Dataset!A1222</f>
        <v>1218</v>
      </c>
      <c r="B1222" s="29">
        <f>IF(Dataset!B1222&lt;25,0.3,IF(Dataset!B1222&lt;75,0.5,IF(Dataset!B1222&lt;120,0.65,0.8)))</f>
        <v>0.3</v>
      </c>
      <c r="C1222" s="29">
        <f>IF(Dataset!B1222&lt;25,1,IF(Dataset!B1222&lt;75,2,IF(Dataset!B1222&lt;120,3,4)))</f>
        <v>1</v>
      </c>
      <c r="D1222" s="29">
        <f t="shared" si="152"/>
        <v>0.3</v>
      </c>
      <c r="E1222" s="29">
        <f>IF(Dataset!C1222&lt;=1,0.3,IF(Dataset!C1222=2,0.4,IF(Dataset!C1222=3,0.5,IF(Dataset!C1222=4,0.65,0.8))))</f>
        <v>0.3</v>
      </c>
      <c r="F1222" s="29">
        <f>IF(Dataset!C1222&lt;=2,1,IF(Dataset!C1222=3,2,IF(Dataset!C1222=4,3,4)))</f>
        <v>1</v>
      </c>
      <c r="G1222" s="29">
        <f t="shared" si="153"/>
        <v>0.3</v>
      </c>
      <c r="H1222" s="29">
        <f>IF(Dataset!G1222&lt;=3,0.25,IF(Dataset!G1222&lt;=6,0.45,IF(Dataset!G1222&lt;=9,0.65,0.85)))</f>
        <v>0.25</v>
      </c>
      <c r="I1222" s="29">
        <f>IF(Dataset!G1222&lt;=3,1,IF(Dataset!G1222&lt;=6,2,IF(Dataset!G1222&lt;=9,3,4)))</f>
        <v>1</v>
      </c>
      <c r="J1222" s="29">
        <f t="shared" si="154"/>
        <v>0.25</v>
      </c>
      <c r="K1222" s="29">
        <f>IF(Dataset!H1222&lt;1,0.2,IF(Dataset!H1222&lt;1.3,0.45,IF(Dataset!H1222&lt;1.8,0.7,0.9)))</f>
        <v>0.9</v>
      </c>
      <c r="L1222" s="29">
        <f>IF(Dataset!H1222&lt;1,1,IF(Dataset!H1222&lt;1.3,2,IF(Dataset!H1222&lt;1.8,3,4)))</f>
        <v>4</v>
      </c>
      <c r="M1222" s="29">
        <f t="shared" si="155"/>
        <v>3.6</v>
      </c>
      <c r="N1222" s="29">
        <f>IF(Dataset!F1222=1,0.75,IF(Dataset!F1222=2,0.45,0.2))</f>
        <v>0.45</v>
      </c>
      <c r="O1222" s="29">
        <f>IF(Dataset!F1222=1,3,IF(Dataset!F1222=2,2,1))</f>
        <v>2</v>
      </c>
      <c r="P1222" s="29">
        <f t="shared" si="156"/>
        <v>0.9</v>
      </c>
      <c r="Q1222" s="29">
        <f>IF(Dataset!K1222&lt;5,0.2,IF(Dataset!K1222&lt;10,0.45,IF(Dataset!K1222&lt;18,0.7,0.9)))</f>
        <v>0.2</v>
      </c>
      <c r="R1222" s="29">
        <f>IF(Dataset!K1222&lt;5,1,IF(Dataset!K1222&lt;10,2,IF(Dataset!K1222&lt;18,3,4)))</f>
        <v>1</v>
      </c>
      <c r="S1222" s="29">
        <f t="shared" si="157"/>
        <v>0.2</v>
      </c>
      <c r="T1222" s="29">
        <f t="shared" si="158"/>
        <v>1.1280000000000001</v>
      </c>
      <c r="U1222" s="29" t="str">
        <f t="shared" si="159"/>
        <v>Low</v>
      </c>
    </row>
    <row r="1223" spans="1:21" ht="15" customHeight="1" x14ac:dyDescent="0.25">
      <c r="A1223" s="29">
        <f>Dataset!A1223</f>
        <v>1219</v>
      </c>
      <c r="B1223" s="29">
        <f>IF(Dataset!B1223&lt;25,0.3,IF(Dataset!B1223&lt;75,0.5,IF(Dataset!B1223&lt;120,0.65,0.8)))</f>
        <v>0.65</v>
      </c>
      <c r="C1223" s="29">
        <f>IF(Dataset!B1223&lt;25,1,IF(Dataset!B1223&lt;75,2,IF(Dataset!B1223&lt;120,3,4)))</f>
        <v>3</v>
      </c>
      <c r="D1223" s="29">
        <f t="shared" si="152"/>
        <v>1.9500000000000002</v>
      </c>
      <c r="E1223" s="29">
        <f>IF(Dataset!C1223&lt;=1,0.3,IF(Dataset!C1223=2,0.4,IF(Dataset!C1223=3,0.5,IF(Dataset!C1223=4,0.65,0.8))))</f>
        <v>0.5</v>
      </c>
      <c r="F1223" s="29">
        <f>IF(Dataset!C1223&lt;=2,1,IF(Dataset!C1223=3,2,IF(Dataset!C1223=4,3,4)))</f>
        <v>2</v>
      </c>
      <c r="G1223" s="29">
        <f t="shared" si="153"/>
        <v>1</v>
      </c>
      <c r="H1223" s="29">
        <f>IF(Dataset!G1223&lt;=3,0.25,IF(Dataset!G1223&lt;=6,0.45,IF(Dataset!G1223&lt;=9,0.65,0.85)))</f>
        <v>0.25</v>
      </c>
      <c r="I1223" s="29">
        <f>IF(Dataset!G1223&lt;=3,1,IF(Dataset!G1223&lt;=6,2,IF(Dataset!G1223&lt;=9,3,4)))</f>
        <v>1</v>
      </c>
      <c r="J1223" s="29">
        <f t="shared" si="154"/>
        <v>0.25</v>
      </c>
      <c r="K1223" s="29">
        <f>IF(Dataset!H1223&lt;1,0.2,IF(Dataset!H1223&lt;1.3,0.45,IF(Dataset!H1223&lt;1.8,0.7,0.9)))</f>
        <v>0.45</v>
      </c>
      <c r="L1223" s="29">
        <f>IF(Dataset!H1223&lt;1,1,IF(Dataset!H1223&lt;1.3,2,IF(Dataset!H1223&lt;1.8,3,4)))</f>
        <v>2</v>
      </c>
      <c r="M1223" s="29">
        <f t="shared" si="155"/>
        <v>0.9</v>
      </c>
      <c r="N1223" s="29">
        <f>IF(Dataset!F1223=1,0.75,IF(Dataset!F1223=2,0.45,0.2))</f>
        <v>0.75</v>
      </c>
      <c r="O1223" s="29">
        <f>IF(Dataset!F1223=1,3,IF(Dataset!F1223=2,2,1))</f>
        <v>3</v>
      </c>
      <c r="P1223" s="29">
        <f t="shared" si="156"/>
        <v>2.25</v>
      </c>
      <c r="Q1223" s="29">
        <f>IF(Dataset!K1223&lt;5,0.2,IF(Dataset!K1223&lt;10,0.45,IF(Dataset!K1223&lt;18,0.7,0.9)))</f>
        <v>0.45</v>
      </c>
      <c r="R1223" s="29">
        <f>IF(Dataset!K1223&lt;5,1,IF(Dataset!K1223&lt;10,2,IF(Dataset!K1223&lt;18,3,4)))</f>
        <v>2</v>
      </c>
      <c r="S1223" s="29">
        <f t="shared" si="157"/>
        <v>0.9</v>
      </c>
      <c r="T1223" s="29">
        <f t="shared" si="158"/>
        <v>1.1080000000000001</v>
      </c>
      <c r="U1223" s="29" t="str">
        <f t="shared" si="159"/>
        <v>Low</v>
      </c>
    </row>
    <row r="1224" spans="1:21" ht="15" customHeight="1" x14ac:dyDescent="0.25">
      <c r="A1224" s="29">
        <f>Dataset!A1224</f>
        <v>1220</v>
      </c>
      <c r="B1224" s="29">
        <f>IF(Dataset!B1224&lt;25,0.3,IF(Dataset!B1224&lt;75,0.5,IF(Dataset!B1224&lt;120,0.65,0.8)))</f>
        <v>0.8</v>
      </c>
      <c r="C1224" s="29">
        <f>IF(Dataset!B1224&lt;25,1,IF(Dataset!B1224&lt;75,2,IF(Dataset!B1224&lt;120,3,4)))</f>
        <v>4</v>
      </c>
      <c r="D1224" s="29">
        <f t="shared" si="152"/>
        <v>3.2</v>
      </c>
      <c r="E1224" s="29">
        <f>IF(Dataset!C1224&lt;=1,0.3,IF(Dataset!C1224=2,0.4,IF(Dataset!C1224=3,0.5,IF(Dataset!C1224=4,0.65,0.8))))</f>
        <v>0.65</v>
      </c>
      <c r="F1224" s="29">
        <f>IF(Dataset!C1224&lt;=2,1,IF(Dataset!C1224=3,2,IF(Dataset!C1224=4,3,4)))</f>
        <v>3</v>
      </c>
      <c r="G1224" s="29">
        <f t="shared" si="153"/>
        <v>1.9500000000000002</v>
      </c>
      <c r="H1224" s="29">
        <f>IF(Dataset!G1224&lt;=3,0.25,IF(Dataset!G1224&lt;=6,0.45,IF(Dataset!G1224&lt;=9,0.65,0.85)))</f>
        <v>0.65</v>
      </c>
      <c r="I1224" s="29">
        <f>IF(Dataset!G1224&lt;=3,1,IF(Dataset!G1224&lt;=6,2,IF(Dataset!G1224&lt;=9,3,4)))</f>
        <v>3</v>
      </c>
      <c r="J1224" s="29">
        <f t="shared" si="154"/>
        <v>1.9500000000000002</v>
      </c>
      <c r="K1224" s="29">
        <f>IF(Dataset!H1224&lt;1,0.2,IF(Dataset!H1224&lt;1.3,0.45,IF(Dataset!H1224&lt;1.8,0.7,0.9)))</f>
        <v>0.9</v>
      </c>
      <c r="L1224" s="29">
        <f>IF(Dataset!H1224&lt;1,1,IF(Dataset!H1224&lt;1.3,2,IF(Dataset!H1224&lt;1.8,3,4)))</f>
        <v>4</v>
      </c>
      <c r="M1224" s="29">
        <f t="shared" si="155"/>
        <v>3.6</v>
      </c>
      <c r="N1224" s="29">
        <f>IF(Dataset!F1224=1,0.75,IF(Dataset!F1224=2,0.45,0.2))</f>
        <v>0.45</v>
      </c>
      <c r="O1224" s="29">
        <f>IF(Dataset!F1224=1,3,IF(Dataset!F1224=2,2,1))</f>
        <v>2</v>
      </c>
      <c r="P1224" s="29">
        <f t="shared" si="156"/>
        <v>0.9</v>
      </c>
      <c r="Q1224" s="29">
        <f>IF(Dataset!K1224&lt;5,0.2,IF(Dataset!K1224&lt;10,0.45,IF(Dataset!K1224&lt;18,0.7,0.9)))</f>
        <v>0.45</v>
      </c>
      <c r="R1224" s="29">
        <f>IF(Dataset!K1224&lt;5,1,IF(Dataset!K1224&lt;10,2,IF(Dataset!K1224&lt;18,3,4)))</f>
        <v>2</v>
      </c>
      <c r="S1224" s="29">
        <f t="shared" si="157"/>
        <v>0.9</v>
      </c>
      <c r="T1224" s="29">
        <f t="shared" si="158"/>
        <v>2.319</v>
      </c>
      <c r="U1224" s="29" t="str">
        <f t="shared" si="159"/>
        <v>High</v>
      </c>
    </row>
    <row r="1225" spans="1:21" ht="15" customHeight="1" x14ac:dyDescent="0.25">
      <c r="A1225" s="29">
        <f>Dataset!A1225</f>
        <v>1221</v>
      </c>
      <c r="B1225" s="29">
        <f>IF(Dataset!B1225&lt;25,0.3,IF(Dataset!B1225&lt;75,0.5,IF(Dataset!B1225&lt;120,0.65,0.8)))</f>
        <v>0.5</v>
      </c>
      <c r="C1225" s="29">
        <f>IF(Dataset!B1225&lt;25,1,IF(Dataset!B1225&lt;75,2,IF(Dataset!B1225&lt;120,3,4)))</f>
        <v>2</v>
      </c>
      <c r="D1225" s="29">
        <f t="shared" si="152"/>
        <v>1</v>
      </c>
      <c r="E1225" s="29">
        <f>IF(Dataset!C1225&lt;=1,0.3,IF(Dataset!C1225=2,0.4,IF(Dataset!C1225=3,0.5,IF(Dataset!C1225=4,0.65,0.8))))</f>
        <v>0.3</v>
      </c>
      <c r="F1225" s="29">
        <f>IF(Dataset!C1225&lt;=2,1,IF(Dataset!C1225=3,2,IF(Dataset!C1225=4,3,4)))</f>
        <v>1</v>
      </c>
      <c r="G1225" s="29">
        <f t="shared" si="153"/>
        <v>0.3</v>
      </c>
      <c r="H1225" s="29">
        <f>IF(Dataset!G1225&lt;=3,0.25,IF(Dataset!G1225&lt;=6,0.45,IF(Dataset!G1225&lt;=9,0.65,0.85)))</f>
        <v>0.25</v>
      </c>
      <c r="I1225" s="29">
        <f>IF(Dataset!G1225&lt;=3,1,IF(Dataset!G1225&lt;=6,2,IF(Dataset!G1225&lt;=9,3,4)))</f>
        <v>1</v>
      </c>
      <c r="J1225" s="29">
        <f t="shared" si="154"/>
        <v>0.25</v>
      </c>
      <c r="K1225" s="29">
        <f>IF(Dataset!H1225&lt;1,0.2,IF(Dataset!H1225&lt;1.3,0.45,IF(Dataset!H1225&lt;1.8,0.7,0.9)))</f>
        <v>0.9</v>
      </c>
      <c r="L1225" s="29">
        <f>IF(Dataset!H1225&lt;1,1,IF(Dataset!H1225&lt;1.3,2,IF(Dataset!H1225&lt;1.8,3,4)))</f>
        <v>4</v>
      </c>
      <c r="M1225" s="29">
        <f t="shared" si="155"/>
        <v>3.6</v>
      </c>
      <c r="N1225" s="29">
        <f>IF(Dataset!F1225=1,0.75,IF(Dataset!F1225=2,0.45,0.2))</f>
        <v>0.75</v>
      </c>
      <c r="O1225" s="29">
        <f>IF(Dataset!F1225=1,3,IF(Dataset!F1225=2,2,1))</f>
        <v>3</v>
      </c>
      <c r="P1225" s="29">
        <f t="shared" si="156"/>
        <v>2.25</v>
      </c>
      <c r="Q1225" s="29">
        <f>IF(Dataset!K1225&lt;5,0.2,IF(Dataset!K1225&lt;10,0.45,IF(Dataset!K1225&lt;18,0.7,0.9)))</f>
        <v>0.2</v>
      </c>
      <c r="R1225" s="29">
        <f>IF(Dataset!K1225&lt;5,1,IF(Dataset!K1225&lt;10,2,IF(Dataset!K1225&lt;18,3,4)))</f>
        <v>1</v>
      </c>
      <c r="S1225" s="29">
        <f t="shared" si="157"/>
        <v>0.2</v>
      </c>
      <c r="T1225" s="29">
        <f t="shared" si="158"/>
        <v>1.3890000000000002</v>
      </c>
      <c r="U1225" s="29" t="str">
        <f t="shared" si="159"/>
        <v>Medium</v>
      </c>
    </row>
    <row r="1226" spans="1:21" ht="15" customHeight="1" x14ac:dyDescent="0.25">
      <c r="A1226" s="29">
        <f>Dataset!A1226</f>
        <v>1222</v>
      </c>
      <c r="B1226" s="29">
        <f>IF(Dataset!B1226&lt;25,0.3,IF(Dataset!B1226&lt;75,0.5,IF(Dataset!B1226&lt;120,0.65,0.8)))</f>
        <v>0.5</v>
      </c>
      <c r="C1226" s="29">
        <f>IF(Dataset!B1226&lt;25,1,IF(Dataset!B1226&lt;75,2,IF(Dataset!B1226&lt;120,3,4)))</f>
        <v>2</v>
      </c>
      <c r="D1226" s="29">
        <f t="shared" si="152"/>
        <v>1</v>
      </c>
      <c r="E1226" s="29">
        <f>IF(Dataset!C1226&lt;=1,0.3,IF(Dataset!C1226=2,0.4,IF(Dataset!C1226=3,0.5,IF(Dataset!C1226=4,0.65,0.8))))</f>
        <v>0.3</v>
      </c>
      <c r="F1226" s="29">
        <f>IF(Dataset!C1226&lt;=2,1,IF(Dataset!C1226=3,2,IF(Dataset!C1226=4,3,4)))</f>
        <v>1</v>
      </c>
      <c r="G1226" s="29">
        <f t="shared" si="153"/>
        <v>0.3</v>
      </c>
      <c r="H1226" s="29">
        <f>IF(Dataset!G1226&lt;=3,0.25,IF(Dataset!G1226&lt;=6,0.45,IF(Dataset!G1226&lt;=9,0.65,0.85)))</f>
        <v>0.45</v>
      </c>
      <c r="I1226" s="29">
        <f>IF(Dataset!G1226&lt;=3,1,IF(Dataset!G1226&lt;=6,2,IF(Dataset!G1226&lt;=9,3,4)))</f>
        <v>2</v>
      </c>
      <c r="J1226" s="29">
        <f t="shared" si="154"/>
        <v>0.9</v>
      </c>
      <c r="K1226" s="29">
        <f>IF(Dataset!H1226&lt;1,0.2,IF(Dataset!H1226&lt;1.3,0.45,IF(Dataset!H1226&lt;1.8,0.7,0.9)))</f>
        <v>0.9</v>
      </c>
      <c r="L1226" s="29">
        <f>IF(Dataset!H1226&lt;1,1,IF(Dataset!H1226&lt;1.3,2,IF(Dataset!H1226&lt;1.8,3,4)))</f>
        <v>4</v>
      </c>
      <c r="M1226" s="29">
        <f t="shared" si="155"/>
        <v>3.6</v>
      </c>
      <c r="N1226" s="29">
        <f>IF(Dataset!F1226=1,0.75,IF(Dataset!F1226=2,0.45,0.2))</f>
        <v>0.75</v>
      </c>
      <c r="O1226" s="29">
        <f>IF(Dataset!F1226=1,3,IF(Dataset!F1226=2,2,1))</f>
        <v>3</v>
      </c>
      <c r="P1226" s="29">
        <f t="shared" si="156"/>
        <v>2.25</v>
      </c>
      <c r="Q1226" s="29">
        <f>IF(Dataset!K1226&lt;5,0.2,IF(Dataset!K1226&lt;10,0.45,IF(Dataset!K1226&lt;18,0.7,0.9)))</f>
        <v>0.2</v>
      </c>
      <c r="R1226" s="29">
        <f>IF(Dataset!K1226&lt;5,1,IF(Dataset!K1226&lt;10,2,IF(Dataset!K1226&lt;18,3,4)))</f>
        <v>1</v>
      </c>
      <c r="S1226" s="29">
        <f t="shared" si="157"/>
        <v>0.2</v>
      </c>
      <c r="T1226" s="29">
        <f t="shared" si="158"/>
        <v>1.5190000000000001</v>
      </c>
      <c r="U1226" s="29" t="str">
        <f t="shared" si="159"/>
        <v>Medium</v>
      </c>
    </row>
    <row r="1227" spans="1:21" ht="15" customHeight="1" x14ac:dyDescent="0.25">
      <c r="A1227" s="29">
        <f>Dataset!A1227</f>
        <v>1223</v>
      </c>
      <c r="B1227" s="29">
        <f>IF(Dataset!B1227&lt;25,0.3,IF(Dataset!B1227&lt;75,0.5,IF(Dataset!B1227&lt;120,0.65,0.8)))</f>
        <v>0.5</v>
      </c>
      <c r="C1227" s="29">
        <f>IF(Dataset!B1227&lt;25,1,IF(Dataset!B1227&lt;75,2,IF(Dataset!B1227&lt;120,3,4)))</f>
        <v>2</v>
      </c>
      <c r="D1227" s="29">
        <f t="shared" si="152"/>
        <v>1</v>
      </c>
      <c r="E1227" s="29">
        <f>IF(Dataset!C1227&lt;=1,0.3,IF(Dataset!C1227=2,0.4,IF(Dataset!C1227=3,0.5,IF(Dataset!C1227=4,0.65,0.8))))</f>
        <v>0.3</v>
      </c>
      <c r="F1227" s="29">
        <f>IF(Dataset!C1227&lt;=2,1,IF(Dataset!C1227=3,2,IF(Dataset!C1227=4,3,4)))</f>
        <v>1</v>
      </c>
      <c r="G1227" s="29">
        <f t="shared" si="153"/>
        <v>0.3</v>
      </c>
      <c r="H1227" s="29">
        <f>IF(Dataset!G1227&lt;=3,0.25,IF(Dataset!G1227&lt;=6,0.45,IF(Dataset!G1227&lt;=9,0.65,0.85)))</f>
        <v>0.65</v>
      </c>
      <c r="I1227" s="29">
        <f>IF(Dataset!G1227&lt;=3,1,IF(Dataset!G1227&lt;=6,2,IF(Dataset!G1227&lt;=9,3,4)))</f>
        <v>3</v>
      </c>
      <c r="J1227" s="29">
        <f t="shared" si="154"/>
        <v>1.9500000000000002</v>
      </c>
      <c r="K1227" s="29">
        <f>IF(Dataset!H1227&lt;1,0.2,IF(Dataset!H1227&lt;1.3,0.45,IF(Dataset!H1227&lt;1.8,0.7,0.9)))</f>
        <v>0.9</v>
      </c>
      <c r="L1227" s="29">
        <f>IF(Dataset!H1227&lt;1,1,IF(Dataset!H1227&lt;1.3,2,IF(Dataset!H1227&lt;1.8,3,4)))</f>
        <v>4</v>
      </c>
      <c r="M1227" s="29">
        <f t="shared" si="155"/>
        <v>3.6</v>
      </c>
      <c r="N1227" s="29">
        <f>IF(Dataset!F1227=1,0.75,IF(Dataset!F1227=2,0.45,0.2))</f>
        <v>0.2</v>
      </c>
      <c r="O1227" s="29">
        <f>IF(Dataset!F1227=1,3,IF(Dataset!F1227=2,2,1))</f>
        <v>1</v>
      </c>
      <c r="P1227" s="29">
        <f t="shared" si="156"/>
        <v>0.2</v>
      </c>
      <c r="Q1227" s="29">
        <f>IF(Dataset!K1227&lt;5,0.2,IF(Dataset!K1227&lt;10,0.45,IF(Dataset!K1227&lt;18,0.7,0.9)))</f>
        <v>0.2</v>
      </c>
      <c r="R1227" s="29">
        <f>IF(Dataset!K1227&lt;5,1,IF(Dataset!K1227&lt;10,2,IF(Dataset!K1227&lt;18,3,4)))</f>
        <v>1</v>
      </c>
      <c r="S1227" s="29">
        <f t="shared" si="157"/>
        <v>0.2</v>
      </c>
      <c r="T1227" s="29">
        <f t="shared" si="158"/>
        <v>1.524</v>
      </c>
      <c r="U1227" s="29" t="str">
        <f t="shared" si="159"/>
        <v>Medium</v>
      </c>
    </row>
    <row r="1228" spans="1:21" ht="15" customHeight="1" x14ac:dyDescent="0.25">
      <c r="A1228" s="29">
        <f>Dataset!A1228</f>
        <v>1224</v>
      </c>
      <c r="B1228" s="29">
        <f>IF(Dataset!B1228&lt;25,0.3,IF(Dataset!B1228&lt;75,0.5,IF(Dataset!B1228&lt;120,0.65,0.8)))</f>
        <v>0.8</v>
      </c>
      <c r="C1228" s="29">
        <f>IF(Dataset!B1228&lt;25,1,IF(Dataset!B1228&lt;75,2,IF(Dataset!B1228&lt;120,3,4)))</f>
        <v>4</v>
      </c>
      <c r="D1228" s="29">
        <f t="shared" si="152"/>
        <v>3.2</v>
      </c>
      <c r="E1228" s="29">
        <f>IF(Dataset!C1228&lt;=1,0.3,IF(Dataset!C1228=2,0.4,IF(Dataset!C1228=3,0.5,IF(Dataset!C1228=4,0.65,0.8))))</f>
        <v>0.5</v>
      </c>
      <c r="F1228" s="29">
        <f>IF(Dataset!C1228&lt;=2,1,IF(Dataset!C1228=3,2,IF(Dataset!C1228=4,3,4)))</f>
        <v>2</v>
      </c>
      <c r="G1228" s="29">
        <f t="shared" si="153"/>
        <v>1</v>
      </c>
      <c r="H1228" s="29">
        <f>IF(Dataset!G1228&lt;=3,0.25,IF(Dataset!G1228&lt;=6,0.45,IF(Dataset!G1228&lt;=9,0.65,0.85)))</f>
        <v>0.65</v>
      </c>
      <c r="I1228" s="29">
        <f>IF(Dataset!G1228&lt;=3,1,IF(Dataset!G1228&lt;=6,2,IF(Dataset!G1228&lt;=9,3,4)))</f>
        <v>3</v>
      </c>
      <c r="J1228" s="29">
        <f t="shared" si="154"/>
        <v>1.9500000000000002</v>
      </c>
      <c r="K1228" s="29">
        <f>IF(Dataset!H1228&lt;1,0.2,IF(Dataset!H1228&lt;1.3,0.45,IF(Dataset!H1228&lt;1.8,0.7,0.9)))</f>
        <v>0.9</v>
      </c>
      <c r="L1228" s="29">
        <f>IF(Dataset!H1228&lt;1,1,IF(Dataset!H1228&lt;1.3,2,IF(Dataset!H1228&lt;1.8,3,4)))</f>
        <v>4</v>
      </c>
      <c r="M1228" s="29">
        <f t="shared" si="155"/>
        <v>3.6</v>
      </c>
      <c r="N1228" s="29">
        <f>IF(Dataset!F1228=1,0.75,IF(Dataset!F1228=2,0.45,0.2))</f>
        <v>0.2</v>
      </c>
      <c r="O1228" s="29">
        <f>IF(Dataset!F1228=1,3,IF(Dataset!F1228=2,2,1))</f>
        <v>1</v>
      </c>
      <c r="P1228" s="29">
        <f t="shared" si="156"/>
        <v>0.2</v>
      </c>
      <c r="Q1228" s="29">
        <f>IF(Dataset!K1228&lt;5,0.2,IF(Dataset!K1228&lt;10,0.45,IF(Dataset!K1228&lt;18,0.7,0.9)))</f>
        <v>0.45</v>
      </c>
      <c r="R1228" s="29">
        <f>IF(Dataset!K1228&lt;5,1,IF(Dataset!K1228&lt;10,2,IF(Dataset!K1228&lt;18,3,4)))</f>
        <v>2</v>
      </c>
      <c r="S1228" s="29">
        <f t="shared" si="157"/>
        <v>0.9</v>
      </c>
      <c r="T1228" s="29">
        <f t="shared" si="158"/>
        <v>2.1160000000000001</v>
      </c>
      <c r="U1228" s="29" t="str">
        <f t="shared" si="159"/>
        <v>High</v>
      </c>
    </row>
    <row r="1229" spans="1:21" ht="15" customHeight="1" x14ac:dyDescent="0.25">
      <c r="A1229" s="29">
        <f>Dataset!A1229</f>
        <v>1225</v>
      </c>
      <c r="B1229" s="29">
        <f>IF(Dataset!B1229&lt;25,0.3,IF(Dataset!B1229&lt;75,0.5,IF(Dataset!B1229&lt;120,0.65,0.8)))</f>
        <v>0.5</v>
      </c>
      <c r="C1229" s="29">
        <f>IF(Dataset!B1229&lt;25,1,IF(Dataset!B1229&lt;75,2,IF(Dataset!B1229&lt;120,3,4)))</f>
        <v>2</v>
      </c>
      <c r="D1229" s="29">
        <f t="shared" si="152"/>
        <v>1</v>
      </c>
      <c r="E1229" s="29">
        <f>IF(Dataset!C1229&lt;=1,0.3,IF(Dataset!C1229=2,0.4,IF(Dataset!C1229=3,0.5,IF(Dataset!C1229=4,0.65,0.8))))</f>
        <v>0.65</v>
      </c>
      <c r="F1229" s="29">
        <f>IF(Dataset!C1229&lt;=2,1,IF(Dataset!C1229=3,2,IF(Dataset!C1229=4,3,4)))</f>
        <v>3</v>
      </c>
      <c r="G1229" s="29">
        <f t="shared" si="153"/>
        <v>1.9500000000000002</v>
      </c>
      <c r="H1229" s="29">
        <f>IF(Dataset!G1229&lt;=3,0.25,IF(Dataset!G1229&lt;=6,0.45,IF(Dataset!G1229&lt;=9,0.65,0.85)))</f>
        <v>0.45</v>
      </c>
      <c r="I1229" s="29">
        <f>IF(Dataset!G1229&lt;=3,1,IF(Dataset!G1229&lt;=6,2,IF(Dataset!G1229&lt;=9,3,4)))</f>
        <v>2</v>
      </c>
      <c r="J1229" s="29">
        <f t="shared" si="154"/>
        <v>0.9</v>
      </c>
      <c r="K1229" s="29">
        <f>IF(Dataset!H1229&lt;1,0.2,IF(Dataset!H1229&lt;1.3,0.45,IF(Dataset!H1229&lt;1.8,0.7,0.9)))</f>
        <v>0.9</v>
      </c>
      <c r="L1229" s="29">
        <f>IF(Dataset!H1229&lt;1,1,IF(Dataset!H1229&lt;1.3,2,IF(Dataset!H1229&lt;1.8,3,4)))</f>
        <v>4</v>
      </c>
      <c r="M1229" s="29">
        <f t="shared" si="155"/>
        <v>3.6</v>
      </c>
      <c r="N1229" s="29">
        <f>IF(Dataset!F1229=1,0.75,IF(Dataset!F1229=2,0.45,0.2))</f>
        <v>0.45</v>
      </c>
      <c r="O1229" s="29">
        <f>IF(Dataset!F1229=1,3,IF(Dataset!F1229=2,2,1))</f>
        <v>2</v>
      </c>
      <c r="P1229" s="29">
        <f t="shared" si="156"/>
        <v>0.9</v>
      </c>
      <c r="Q1229" s="29">
        <f>IF(Dataset!K1229&lt;5,0.2,IF(Dataset!K1229&lt;10,0.45,IF(Dataset!K1229&lt;18,0.7,0.9)))</f>
        <v>0.7</v>
      </c>
      <c r="R1229" s="29">
        <f>IF(Dataset!K1229&lt;5,1,IF(Dataset!K1229&lt;10,2,IF(Dataset!K1229&lt;18,3,4)))</f>
        <v>3</v>
      </c>
      <c r="S1229" s="29">
        <f t="shared" si="157"/>
        <v>2.0999999999999996</v>
      </c>
      <c r="T1229" s="29">
        <f t="shared" si="158"/>
        <v>1.8810000000000002</v>
      </c>
      <c r="U1229" s="29" t="str">
        <f t="shared" si="159"/>
        <v>High</v>
      </c>
    </row>
    <row r="1230" spans="1:21" ht="15" customHeight="1" x14ac:dyDescent="0.25">
      <c r="A1230" s="29">
        <f>Dataset!A1230</f>
        <v>1226</v>
      </c>
      <c r="B1230" s="29">
        <f>IF(Dataset!B1230&lt;25,0.3,IF(Dataset!B1230&lt;75,0.5,IF(Dataset!B1230&lt;120,0.65,0.8)))</f>
        <v>0.65</v>
      </c>
      <c r="C1230" s="29">
        <f>IF(Dataset!B1230&lt;25,1,IF(Dataset!B1230&lt;75,2,IF(Dataset!B1230&lt;120,3,4)))</f>
        <v>3</v>
      </c>
      <c r="D1230" s="29">
        <f t="shared" si="152"/>
        <v>1.9500000000000002</v>
      </c>
      <c r="E1230" s="29">
        <f>IF(Dataset!C1230&lt;=1,0.3,IF(Dataset!C1230=2,0.4,IF(Dataset!C1230=3,0.5,IF(Dataset!C1230=4,0.65,0.8))))</f>
        <v>0.4</v>
      </c>
      <c r="F1230" s="29">
        <f>IF(Dataset!C1230&lt;=2,1,IF(Dataset!C1230=3,2,IF(Dataset!C1230=4,3,4)))</f>
        <v>1</v>
      </c>
      <c r="G1230" s="29">
        <f t="shared" si="153"/>
        <v>0.4</v>
      </c>
      <c r="H1230" s="29">
        <f>IF(Dataset!G1230&lt;=3,0.25,IF(Dataset!G1230&lt;=6,0.45,IF(Dataset!G1230&lt;=9,0.65,0.85)))</f>
        <v>0.65</v>
      </c>
      <c r="I1230" s="29">
        <f>IF(Dataset!G1230&lt;=3,1,IF(Dataset!G1230&lt;=6,2,IF(Dataset!G1230&lt;=9,3,4)))</f>
        <v>3</v>
      </c>
      <c r="J1230" s="29">
        <f t="shared" si="154"/>
        <v>1.9500000000000002</v>
      </c>
      <c r="K1230" s="29">
        <f>IF(Dataset!H1230&lt;1,0.2,IF(Dataset!H1230&lt;1.3,0.45,IF(Dataset!H1230&lt;1.8,0.7,0.9)))</f>
        <v>0.2</v>
      </c>
      <c r="L1230" s="29">
        <f>IF(Dataset!H1230&lt;1,1,IF(Dataset!H1230&lt;1.3,2,IF(Dataset!H1230&lt;1.8,3,4)))</f>
        <v>1</v>
      </c>
      <c r="M1230" s="29">
        <f t="shared" si="155"/>
        <v>0.2</v>
      </c>
      <c r="N1230" s="29">
        <f>IF(Dataset!F1230=1,0.75,IF(Dataset!F1230=2,0.45,0.2))</f>
        <v>0.75</v>
      </c>
      <c r="O1230" s="29">
        <f>IF(Dataset!F1230=1,3,IF(Dataset!F1230=2,2,1))</f>
        <v>3</v>
      </c>
      <c r="P1230" s="29">
        <f t="shared" si="156"/>
        <v>2.25</v>
      </c>
      <c r="Q1230" s="29">
        <f>IF(Dataset!K1230&lt;5,0.2,IF(Dataset!K1230&lt;10,0.45,IF(Dataset!K1230&lt;18,0.7,0.9)))</f>
        <v>0.45</v>
      </c>
      <c r="R1230" s="29">
        <f>IF(Dataset!K1230&lt;5,1,IF(Dataset!K1230&lt;10,2,IF(Dataset!K1230&lt;18,3,4)))</f>
        <v>2</v>
      </c>
      <c r="S1230" s="29">
        <f t="shared" si="157"/>
        <v>0.9</v>
      </c>
      <c r="T1230" s="29">
        <f t="shared" si="158"/>
        <v>1.1960000000000004</v>
      </c>
      <c r="U1230" s="29" t="str">
        <f t="shared" si="159"/>
        <v>Low</v>
      </c>
    </row>
    <row r="1231" spans="1:21" ht="15" customHeight="1" x14ac:dyDescent="0.25">
      <c r="A1231" s="29">
        <f>Dataset!A1231</f>
        <v>1227</v>
      </c>
      <c r="B1231" s="29">
        <f>IF(Dataset!B1231&lt;25,0.3,IF(Dataset!B1231&lt;75,0.5,IF(Dataset!B1231&lt;120,0.65,0.8)))</f>
        <v>0.65</v>
      </c>
      <c r="C1231" s="29">
        <f>IF(Dataset!B1231&lt;25,1,IF(Dataset!B1231&lt;75,2,IF(Dataset!B1231&lt;120,3,4)))</f>
        <v>3</v>
      </c>
      <c r="D1231" s="29">
        <f t="shared" si="152"/>
        <v>1.9500000000000002</v>
      </c>
      <c r="E1231" s="29">
        <f>IF(Dataset!C1231&lt;=1,0.3,IF(Dataset!C1231=2,0.4,IF(Dataset!C1231=3,0.5,IF(Dataset!C1231=4,0.65,0.8))))</f>
        <v>0.4</v>
      </c>
      <c r="F1231" s="29">
        <f>IF(Dataset!C1231&lt;=2,1,IF(Dataset!C1231=3,2,IF(Dataset!C1231=4,3,4)))</f>
        <v>1</v>
      </c>
      <c r="G1231" s="29">
        <f t="shared" si="153"/>
        <v>0.4</v>
      </c>
      <c r="H1231" s="29">
        <f>IF(Dataset!G1231&lt;=3,0.25,IF(Dataset!G1231&lt;=6,0.45,IF(Dataset!G1231&lt;=9,0.65,0.85)))</f>
        <v>0.45</v>
      </c>
      <c r="I1231" s="29">
        <f>IF(Dataset!G1231&lt;=3,1,IF(Dataset!G1231&lt;=6,2,IF(Dataset!G1231&lt;=9,3,4)))</f>
        <v>2</v>
      </c>
      <c r="J1231" s="29">
        <f t="shared" si="154"/>
        <v>0.9</v>
      </c>
      <c r="K1231" s="29">
        <f>IF(Dataset!H1231&lt;1,0.2,IF(Dataset!H1231&lt;1.3,0.45,IF(Dataset!H1231&lt;1.8,0.7,0.9)))</f>
        <v>0.7</v>
      </c>
      <c r="L1231" s="29">
        <f>IF(Dataset!H1231&lt;1,1,IF(Dataset!H1231&lt;1.3,2,IF(Dataset!H1231&lt;1.8,3,4)))</f>
        <v>3</v>
      </c>
      <c r="M1231" s="29">
        <f t="shared" si="155"/>
        <v>2.0999999999999996</v>
      </c>
      <c r="N1231" s="29">
        <f>IF(Dataset!F1231=1,0.75,IF(Dataset!F1231=2,0.45,0.2))</f>
        <v>0.45</v>
      </c>
      <c r="O1231" s="29">
        <f>IF(Dataset!F1231=1,3,IF(Dataset!F1231=2,2,1))</f>
        <v>2</v>
      </c>
      <c r="P1231" s="29">
        <f t="shared" si="156"/>
        <v>0.9</v>
      </c>
      <c r="Q1231" s="29">
        <f>IF(Dataset!K1231&lt;5,0.2,IF(Dataset!K1231&lt;10,0.45,IF(Dataset!K1231&lt;18,0.7,0.9)))</f>
        <v>0.2</v>
      </c>
      <c r="R1231" s="29">
        <f>IF(Dataset!K1231&lt;5,1,IF(Dataset!K1231&lt;10,2,IF(Dataset!K1231&lt;18,3,4)))</f>
        <v>1</v>
      </c>
      <c r="S1231" s="29">
        <f t="shared" si="157"/>
        <v>0.2</v>
      </c>
      <c r="T1231" s="29">
        <f t="shared" si="158"/>
        <v>1.2090000000000001</v>
      </c>
      <c r="U1231" s="29" t="str">
        <f t="shared" si="159"/>
        <v>Low</v>
      </c>
    </row>
    <row r="1232" spans="1:21" ht="15" customHeight="1" x14ac:dyDescent="0.25">
      <c r="A1232" s="29">
        <f>Dataset!A1232</f>
        <v>1228</v>
      </c>
      <c r="B1232" s="29">
        <f>IF(Dataset!B1232&lt;25,0.3,IF(Dataset!B1232&lt;75,0.5,IF(Dataset!B1232&lt;120,0.65,0.8)))</f>
        <v>0.8</v>
      </c>
      <c r="C1232" s="29">
        <f>IF(Dataset!B1232&lt;25,1,IF(Dataset!B1232&lt;75,2,IF(Dataset!B1232&lt;120,3,4)))</f>
        <v>4</v>
      </c>
      <c r="D1232" s="29">
        <f t="shared" si="152"/>
        <v>3.2</v>
      </c>
      <c r="E1232" s="29">
        <f>IF(Dataset!C1232&lt;=1,0.3,IF(Dataset!C1232=2,0.4,IF(Dataset!C1232=3,0.5,IF(Dataset!C1232=4,0.65,0.8))))</f>
        <v>0.65</v>
      </c>
      <c r="F1232" s="29">
        <f>IF(Dataset!C1232&lt;=2,1,IF(Dataset!C1232=3,2,IF(Dataset!C1232=4,3,4)))</f>
        <v>3</v>
      </c>
      <c r="G1232" s="29">
        <f t="shared" si="153"/>
        <v>1.9500000000000002</v>
      </c>
      <c r="H1232" s="29">
        <f>IF(Dataset!G1232&lt;=3,0.25,IF(Dataset!G1232&lt;=6,0.45,IF(Dataset!G1232&lt;=9,0.65,0.85)))</f>
        <v>0.65</v>
      </c>
      <c r="I1232" s="29">
        <f>IF(Dataset!G1232&lt;=3,1,IF(Dataset!G1232&lt;=6,2,IF(Dataset!G1232&lt;=9,3,4)))</f>
        <v>3</v>
      </c>
      <c r="J1232" s="29">
        <f t="shared" si="154"/>
        <v>1.9500000000000002</v>
      </c>
      <c r="K1232" s="29">
        <f>IF(Dataset!H1232&lt;1,0.2,IF(Dataset!H1232&lt;1.3,0.45,IF(Dataset!H1232&lt;1.8,0.7,0.9)))</f>
        <v>0.9</v>
      </c>
      <c r="L1232" s="29">
        <f>IF(Dataset!H1232&lt;1,1,IF(Dataset!H1232&lt;1.3,2,IF(Dataset!H1232&lt;1.8,3,4)))</f>
        <v>4</v>
      </c>
      <c r="M1232" s="29">
        <f t="shared" si="155"/>
        <v>3.6</v>
      </c>
      <c r="N1232" s="29">
        <f>IF(Dataset!F1232=1,0.75,IF(Dataset!F1232=2,0.45,0.2))</f>
        <v>0.45</v>
      </c>
      <c r="O1232" s="29">
        <f>IF(Dataset!F1232=1,3,IF(Dataset!F1232=2,2,1))</f>
        <v>2</v>
      </c>
      <c r="P1232" s="29">
        <f t="shared" si="156"/>
        <v>0.9</v>
      </c>
      <c r="Q1232" s="29">
        <f>IF(Dataset!K1232&lt;5,0.2,IF(Dataset!K1232&lt;10,0.45,IF(Dataset!K1232&lt;18,0.7,0.9)))</f>
        <v>0.45</v>
      </c>
      <c r="R1232" s="29">
        <f>IF(Dataset!K1232&lt;5,1,IF(Dataset!K1232&lt;10,2,IF(Dataset!K1232&lt;18,3,4)))</f>
        <v>2</v>
      </c>
      <c r="S1232" s="29">
        <f t="shared" si="157"/>
        <v>0.9</v>
      </c>
      <c r="T1232" s="29">
        <f t="shared" si="158"/>
        <v>2.319</v>
      </c>
      <c r="U1232" s="29" t="str">
        <f t="shared" si="159"/>
        <v>High</v>
      </c>
    </row>
    <row r="1233" spans="1:21" ht="15" customHeight="1" x14ac:dyDescent="0.25">
      <c r="A1233" s="29">
        <f>Dataset!A1233</f>
        <v>1229</v>
      </c>
      <c r="B1233" s="29">
        <f>IF(Dataset!B1233&lt;25,0.3,IF(Dataset!B1233&lt;75,0.5,IF(Dataset!B1233&lt;120,0.65,0.8)))</f>
        <v>0.5</v>
      </c>
      <c r="C1233" s="29">
        <f>IF(Dataset!B1233&lt;25,1,IF(Dataset!B1233&lt;75,2,IF(Dataset!B1233&lt;120,3,4)))</f>
        <v>2</v>
      </c>
      <c r="D1233" s="29">
        <f t="shared" si="152"/>
        <v>1</v>
      </c>
      <c r="E1233" s="29">
        <f>IF(Dataset!C1233&lt;=1,0.3,IF(Dataset!C1233=2,0.4,IF(Dataset!C1233=3,0.5,IF(Dataset!C1233=4,0.65,0.8))))</f>
        <v>0.5</v>
      </c>
      <c r="F1233" s="29">
        <f>IF(Dataset!C1233&lt;=2,1,IF(Dataset!C1233=3,2,IF(Dataset!C1233=4,3,4)))</f>
        <v>2</v>
      </c>
      <c r="G1233" s="29">
        <f t="shared" si="153"/>
        <v>1</v>
      </c>
      <c r="H1233" s="29">
        <f>IF(Dataset!G1233&lt;=3,0.25,IF(Dataset!G1233&lt;=6,0.45,IF(Dataset!G1233&lt;=9,0.65,0.85)))</f>
        <v>0.45</v>
      </c>
      <c r="I1233" s="29">
        <f>IF(Dataset!G1233&lt;=3,1,IF(Dataset!G1233&lt;=6,2,IF(Dataset!G1233&lt;=9,3,4)))</f>
        <v>2</v>
      </c>
      <c r="J1233" s="29">
        <f t="shared" si="154"/>
        <v>0.9</v>
      </c>
      <c r="K1233" s="29">
        <f>IF(Dataset!H1233&lt;1,0.2,IF(Dataset!H1233&lt;1.3,0.45,IF(Dataset!H1233&lt;1.8,0.7,0.9)))</f>
        <v>0.9</v>
      </c>
      <c r="L1233" s="29">
        <f>IF(Dataset!H1233&lt;1,1,IF(Dataset!H1233&lt;1.3,2,IF(Dataset!H1233&lt;1.8,3,4)))</f>
        <v>4</v>
      </c>
      <c r="M1233" s="29">
        <f t="shared" si="155"/>
        <v>3.6</v>
      </c>
      <c r="N1233" s="29">
        <f>IF(Dataset!F1233=1,0.75,IF(Dataset!F1233=2,0.45,0.2))</f>
        <v>0.2</v>
      </c>
      <c r="O1233" s="29">
        <f>IF(Dataset!F1233=1,3,IF(Dataset!F1233=2,2,1))</f>
        <v>1</v>
      </c>
      <c r="P1233" s="29">
        <f t="shared" si="156"/>
        <v>0.2</v>
      </c>
      <c r="Q1233" s="29">
        <f>IF(Dataset!K1233&lt;5,0.2,IF(Dataset!K1233&lt;10,0.45,IF(Dataset!K1233&lt;18,0.7,0.9)))</f>
        <v>0.2</v>
      </c>
      <c r="R1233" s="29">
        <f>IF(Dataset!K1233&lt;5,1,IF(Dataset!K1233&lt;10,2,IF(Dataset!K1233&lt;18,3,4)))</f>
        <v>1</v>
      </c>
      <c r="S1233" s="29">
        <f t="shared" si="157"/>
        <v>0.2</v>
      </c>
      <c r="T1233" s="29">
        <f t="shared" si="158"/>
        <v>1.4119999999999999</v>
      </c>
      <c r="U1233" s="29" t="str">
        <f t="shared" si="159"/>
        <v>Medium</v>
      </c>
    </row>
    <row r="1234" spans="1:21" ht="15" customHeight="1" x14ac:dyDescent="0.25">
      <c r="A1234" s="29">
        <f>Dataset!A1234</f>
        <v>1230</v>
      </c>
      <c r="B1234" s="29">
        <f>IF(Dataset!B1234&lt;25,0.3,IF(Dataset!B1234&lt;75,0.5,IF(Dataset!B1234&lt;120,0.65,0.8)))</f>
        <v>0.5</v>
      </c>
      <c r="C1234" s="29">
        <f>IF(Dataset!B1234&lt;25,1,IF(Dataset!B1234&lt;75,2,IF(Dataset!B1234&lt;120,3,4)))</f>
        <v>2</v>
      </c>
      <c r="D1234" s="29">
        <f t="shared" si="152"/>
        <v>1</v>
      </c>
      <c r="E1234" s="29">
        <f>IF(Dataset!C1234&lt;=1,0.3,IF(Dataset!C1234=2,0.4,IF(Dataset!C1234=3,0.5,IF(Dataset!C1234=4,0.65,0.8))))</f>
        <v>0.65</v>
      </c>
      <c r="F1234" s="29">
        <f>IF(Dataset!C1234&lt;=2,1,IF(Dataset!C1234=3,2,IF(Dataset!C1234=4,3,4)))</f>
        <v>3</v>
      </c>
      <c r="G1234" s="29">
        <f t="shared" si="153"/>
        <v>1.9500000000000002</v>
      </c>
      <c r="H1234" s="29">
        <f>IF(Dataset!G1234&lt;=3,0.25,IF(Dataset!G1234&lt;=6,0.45,IF(Dataset!G1234&lt;=9,0.65,0.85)))</f>
        <v>0.65</v>
      </c>
      <c r="I1234" s="29">
        <f>IF(Dataset!G1234&lt;=3,1,IF(Dataset!G1234&lt;=6,2,IF(Dataset!G1234&lt;=9,3,4)))</f>
        <v>3</v>
      </c>
      <c r="J1234" s="29">
        <f t="shared" si="154"/>
        <v>1.9500000000000002</v>
      </c>
      <c r="K1234" s="29">
        <f>IF(Dataset!H1234&lt;1,0.2,IF(Dataset!H1234&lt;1.3,0.45,IF(Dataset!H1234&lt;1.8,0.7,0.9)))</f>
        <v>0.7</v>
      </c>
      <c r="L1234" s="29">
        <f>IF(Dataset!H1234&lt;1,1,IF(Dataset!H1234&lt;1.3,2,IF(Dataset!H1234&lt;1.8,3,4)))</f>
        <v>3</v>
      </c>
      <c r="M1234" s="29">
        <f t="shared" si="155"/>
        <v>2.0999999999999996</v>
      </c>
      <c r="N1234" s="29">
        <f>IF(Dataset!F1234=1,0.75,IF(Dataset!F1234=2,0.45,0.2))</f>
        <v>0.2</v>
      </c>
      <c r="O1234" s="29">
        <f>IF(Dataset!F1234=1,3,IF(Dataset!F1234=2,2,1))</f>
        <v>1</v>
      </c>
      <c r="P1234" s="29">
        <f t="shared" si="156"/>
        <v>0.2</v>
      </c>
      <c r="Q1234" s="29">
        <f>IF(Dataset!K1234&lt;5,0.2,IF(Dataset!K1234&lt;10,0.45,IF(Dataset!K1234&lt;18,0.7,0.9)))</f>
        <v>0.45</v>
      </c>
      <c r="R1234" s="29">
        <f>IF(Dataset!K1234&lt;5,1,IF(Dataset!K1234&lt;10,2,IF(Dataset!K1234&lt;18,3,4)))</f>
        <v>2</v>
      </c>
      <c r="S1234" s="29">
        <f t="shared" si="157"/>
        <v>0.9</v>
      </c>
      <c r="T1234" s="29">
        <f t="shared" si="158"/>
        <v>1.4930000000000001</v>
      </c>
      <c r="U1234" s="29" t="str">
        <f t="shared" si="159"/>
        <v>Medium</v>
      </c>
    </row>
    <row r="1235" spans="1:21" ht="15" customHeight="1" x14ac:dyDescent="0.25">
      <c r="A1235" s="29">
        <f>Dataset!A1235</f>
        <v>1231</v>
      </c>
      <c r="B1235" s="29">
        <f>IF(Dataset!B1235&lt;25,0.3,IF(Dataset!B1235&lt;75,0.5,IF(Dataset!B1235&lt;120,0.65,0.8)))</f>
        <v>0.65</v>
      </c>
      <c r="C1235" s="29">
        <f>IF(Dataset!B1235&lt;25,1,IF(Dataset!B1235&lt;75,2,IF(Dataset!B1235&lt;120,3,4)))</f>
        <v>3</v>
      </c>
      <c r="D1235" s="29">
        <f t="shared" si="152"/>
        <v>1.9500000000000002</v>
      </c>
      <c r="E1235" s="29">
        <f>IF(Dataset!C1235&lt;=1,0.3,IF(Dataset!C1235=2,0.4,IF(Dataset!C1235=3,0.5,IF(Dataset!C1235=4,0.65,0.8))))</f>
        <v>0.8</v>
      </c>
      <c r="F1235" s="29">
        <f>IF(Dataset!C1235&lt;=2,1,IF(Dataset!C1235=3,2,IF(Dataset!C1235=4,3,4)))</f>
        <v>4</v>
      </c>
      <c r="G1235" s="29">
        <f t="shared" si="153"/>
        <v>3.2</v>
      </c>
      <c r="H1235" s="29">
        <f>IF(Dataset!G1235&lt;=3,0.25,IF(Dataset!G1235&lt;=6,0.45,IF(Dataset!G1235&lt;=9,0.65,0.85)))</f>
        <v>0.85</v>
      </c>
      <c r="I1235" s="29">
        <f>IF(Dataset!G1235&lt;=3,1,IF(Dataset!G1235&lt;=6,2,IF(Dataset!G1235&lt;=9,3,4)))</f>
        <v>4</v>
      </c>
      <c r="J1235" s="29">
        <f t="shared" si="154"/>
        <v>3.4</v>
      </c>
      <c r="K1235" s="29">
        <f>IF(Dataset!H1235&lt;1,0.2,IF(Dataset!H1235&lt;1.3,0.45,IF(Dataset!H1235&lt;1.8,0.7,0.9)))</f>
        <v>0.9</v>
      </c>
      <c r="L1235" s="29">
        <f>IF(Dataset!H1235&lt;1,1,IF(Dataset!H1235&lt;1.3,2,IF(Dataset!H1235&lt;1.8,3,4)))</f>
        <v>4</v>
      </c>
      <c r="M1235" s="29">
        <f t="shared" si="155"/>
        <v>3.6</v>
      </c>
      <c r="N1235" s="29">
        <f>IF(Dataset!F1235=1,0.75,IF(Dataset!F1235=2,0.45,0.2))</f>
        <v>0.45</v>
      </c>
      <c r="O1235" s="29">
        <f>IF(Dataset!F1235=1,3,IF(Dataset!F1235=2,2,1))</f>
        <v>2</v>
      </c>
      <c r="P1235" s="29">
        <f t="shared" si="156"/>
        <v>0.9</v>
      </c>
      <c r="Q1235" s="29">
        <f>IF(Dataset!K1235&lt;5,0.2,IF(Dataset!K1235&lt;10,0.45,IF(Dataset!K1235&lt;18,0.7,0.9)))</f>
        <v>0.7</v>
      </c>
      <c r="R1235" s="29">
        <f>IF(Dataset!K1235&lt;5,1,IF(Dataset!K1235&lt;10,2,IF(Dataset!K1235&lt;18,3,4)))</f>
        <v>3</v>
      </c>
      <c r="S1235" s="29">
        <f t="shared" si="157"/>
        <v>2.0999999999999996</v>
      </c>
      <c r="T1235" s="29">
        <f t="shared" si="158"/>
        <v>2.7269999999999999</v>
      </c>
      <c r="U1235" s="29" t="str">
        <f t="shared" si="159"/>
        <v>High</v>
      </c>
    </row>
    <row r="1236" spans="1:21" ht="15" customHeight="1" x14ac:dyDescent="0.25">
      <c r="A1236" s="29">
        <f>Dataset!A1236</f>
        <v>1232</v>
      </c>
      <c r="B1236" s="29">
        <f>IF(Dataset!B1236&lt;25,0.3,IF(Dataset!B1236&lt;75,0.5,IF(Dataset!B1236&lt;120,0.65,0.8)))</f>
        <v>0.8</v>
      </c>
      <c r="C1236" s="29">
        <f>IF(Dataset!B1236&lt;25,1,IF(Dataset!B1236&lt;75,2,IF(Dataset!B1236&lt;120,3,4)))</f>
        <v>4</v>
      </c>
      <c r="D1236" s="29">
        <f t="shared" si="152"/>
        <v>3.2</v>
      </c>
      <c r="E1236" s="29">
        <f>IF(Dataset!C1236&lt;=1,0.3,IF(Dataset!C1236=2,0.4,IF(Dataset!C1236=3,0.5,IF(Dataset!C1236=4,0.65,0.8))))</f>
        <v>0.65</v>
      </c>
      <c r="F1236" s="29">
        <f>IF(Dataset!C1236&lt;=2,1,IF(Dataset!C1236=3,2,IF(Dataset!C1236=4,3,4)))</f>
        <v>3</v>
      </c>
      <c r="G1236" s="29">
        <f t="shared" si="153"/>
        <v>1.9500000000000002</v>
      </c>
      <c r="H1236" s="29">
        <f>IF(Dataset!G1236&lt;=3,0.25,IF(Dataset!G1236&lt;=6,0.45,IF(Dataset!G1236&lt;=9,0.65,0.85)))</f>
        <v>0.45</v>
      </c>
      <c r="I1236" s="29">
        <f>IF(Dataset!G1236&lt;=3,1,IF(Dataset!G1236&lt;=6,2,IF(Dataset!G1236&lt;=9,3,4)))</f>
        <v>2</v>
      </c>
      <c r="J1236" s="29">
        <f t="shared" si="154"/>
        <v>0.9</v>
      </c>
      <c r="K1236" s="29">
        <f>IF(Dataset!H1236&lt;1,0.2,IF(Dataset!H1236&lt;1.3,0.45,IF(Dataset!H1236&lt;1.8,0.7,0.9)))</f>
        <v>0.7</v>
      </c>
      <c r="L1236" s="29">
        <f>IF(Dataset!H1236&lt;1,1,IF(Dataset!H1236&lt;1.3,2,IF(Dataset!H1236&lt;1.8,3,4)))</f>
        <v>3</v>
      </c>
      <c r="M1236" s="29">
        <f t="shared" si="155"/>
        <v>2.0999999999999996</v>
      </c>
      <c r="N1236" s="29">
        <f>IF(Dataset!F1236=1,0.75,IF(Dataset!F1236=2,0.45,0.2))</f>
        <v>0.75</v>
      </c>
      <c r="O1236" s="29">
        <f>IF(Dataset!F1236=1,3,IF(Dataset!F1236=2,2,1))</f>
        <v>3</v>
      </c>
      <c r="P1236" s="29">
        <f t="shared" si="156"/>
        <v>2.25</v>
      </c>
      <c r="Q1236" s="29">
        <f>IF(Dataset!K1236&lt;5,0.2,IF(Dataset!K1236&lt;10,0.45,IF(Dataset!K1236&lt;18,0.7,0.9)))</f>
        <v>0.45</v>
      </c>
      <c r="R1236" s="29">
        <f>IF(Dataset!K1236&lt;5,1,IF(Dataset!K1236&lt;10,2,IF(Dataset!K1236&lt;18,3,4)))</f>
        <v>2</v>
      </c>
      <c r="S1236" s="29">
        <f t="shared" si="157"/>
        <v>0.9</v>
      </c>
      <c r="T1236" s="29">
        <f t="shared" si="158"/>
        <v>1.8840000000000001</v>
      </c>
      <c r="U1236" s="29" t="str">
        <f t="shared" si="159"/>
        <v>High</v>
      </c>
    </row>
    <row r="1237" spans="1:21" ht="15" customHeight="1" x14ac:dyDescent="0.25">
      <c r="A1237" s="29">
        <f>Dataset!A1237</f>
        <v>1233</v>
      </c>
      <c r="B1237" s="29">
        <f>IF(Dataset!B1237&lt;25,0.3,IF(Dataset!B1237&lt;75,0.5,IF(Dataset!B1237&lt;120,0.65,0.8)))</f>
        <v>0.8</v>
      </c>
      <c r="C1237" s="29">
        <f>IF(Dataset!B1237&lt;25,1,IF(Dataset!B1237&lt;75,2,IF(Dataset!B1237&lt;120,3,4)))</f>
        <v>4</v>
      </c>
      <c r="D1237" s="29">
        <f t="shared" si="152"/>
        <v>3.2</v>
      </c>
      <c r="E1237" s="29">
        <f>IF(Dataset!C1237&lt;=1,0.3,IF(Dataset!C1237=2,0.4,IF(Dataset!C1237=3,0.5,IF(Dataset!C1237=4,0.65,0.8))))</f>
        <v>0.8</v>
      </c>
      <c r="F1237" s="29">
        <f>IF(Dataset!C1237&lt;=2,1,IF(Dataset!C1237=3,2,IF(Dataset!C1237=4,3,4)))</f>
        <v>4</v>
      </c>
      <c r="G1237" s="29">
        <f t="shared" si="153"/>
        <v>3.2</v>
      </c>
      <c r="H1237" s="29">
        <f>IF(Dataset!G1237&lt;=3,0.25,IF(Dataset!G1237&lt;=6,0.45,IF(Dataset!G1237&lt;=9,0.65,0.85)))</f>
        <v>0.45</v>
      </c>
      <c r="I1237" s="29">
        <f>IF(Dataset!G1237&lt;=3,1,IF(Dataset!G1237&lt;=6,2,IF(Dataset!G1237&lt;=9,3,4)))</f>
        <v>2</v>
      </c>
      <c r="J1237" s="29">
        <f t="shared" si="154"/>
        <v>0.9</v>
      </c>
      <c r="K1237" s="29">
        <f>IF(Dataset!H1237&lt;1,0.2,IF(Dataset!H1237&lt;1.3,0.45,IF(Dataset!H1237&lt;1.8,0.7,0.9)))</f>
        <v>0.9</v>
      </c>
      <c r="L1237" s="29">
        <f>IF(Dataset!H1237&lt;1,1,IF(Dataset!H1237&lt;1.3,2,IF(Dataset!H1237&lt;1.8,3,4)))</f>
        <v>4</v>
      </c>
      <c r="M1237" s="29">
        <f t="shared" si="155"/>
        <v>3.6</v>
      </c>
      <c r="N1237" s="29">
        <f>IF(Dataset!F1237=1,0.75,IF(Dataset!F1237=2,0.45,0.2))</f>
        <v>0.75</v>
      </c>
      <c r="O1237" s="29">
        <f>IF(Dataset!F1237=1,3,IF(Dataset!F1237=2,2,1))</f>
        <v>3</v>
      </c>
      <c r="P1237" s="29">
        <f t="shared" si="156"/>
        <v>2.25</v>
      </c>
      <c r="Q1237" s="29">
        <f>IF(Dataset!K1237&lt;5,0.2,IF(Dataset!K1237&lt;10,0.45,IF(Dataset!K1237&lt;18,0.7,0.9)))</f>
        <v>0.7</v>
      </c>
      <c r="R1237" s="29">
        <f>IF(Dataset!K1237&lt;5,1,IF(Dataset!K1237&lt;10,2,IF(Dataset!K1237&lt;18,3,4)))</f>
        <v>3</v>
      </c>
      <c r="S1237" s="29">
        <f t="shared" si="157"/>
        <v>2.0999999999999996</v>
      </c>
      <c r="T1237" s="29">
        <f t="shared" si="158"/>
        <v>2.5870000000000002</v>
      </c>
      <c r="U1237" s="29" t="str">
        <f t="shared" si="159"/>
        <v>High</v>
      </c>
    </row>
    <row r="1238" spans="1:21" ht="15" customHeight="1" x14ac:dyDescent="0.25">
      <c r="A1238" s="29">
        <f>Dataset!A1238</f>
        <v>1234</v>
      </c>
      <c r="B1238" s="29">
        <f>IF(Dataset!B1238&lt;25,0.3,IF(Dataset!B1238&lt;75,0.5,IF(Dataset!B1238&lt;120,0.65,0.8)))</f>
        <v>0.8</v>
      </c>
      <c r="C1238" s="29">
        <f>IF(Dataset!B1238&lt;25,1,IF(Dataset!B1238&lt;75,2,IF(Dataset!B1238&lt;120,3,4)))</f>
        <v>4</v>
      </c>
      <c r="D1238" s="29">
        <f t="shared" si="152"/>
        <v>3.2</v>
      </c>
      <c r="E1238" s="29">
        <f>IF(Dataset!C1238&lt;=1,0.3,IF(Dataset!C1238=2,0.4,IF(Dataset!C1238=3,0.5,IF(Dataset!C1238=4,0.65,0.8))))</f>
        <v>0.5</v>
      </c>
      <c r="F1238" s="29">
        <f>IF(Dataset!C1238&lt;=2,1,IF(Dataset!C1238=3,2,IF(Dataset!C1238=4,3,4)))</f>
        <v>2</v>
      </c>
      <c r="G1238" s="29">
        <f t="shared" si="153"/>
        <v>1</v>
      </c>
      <c r="H1238" s="29">
        <f>IF(Dataset!G1238&lt;=3,0.25,IF(Dataset!G1238&lt;=6,0.45,IF(Dataset!G1238&lt;=9,0.65,0.85)))</f>
        <v>0.65</v>
      </c>
      <c r="I1238" s="29">
        <f>IF(Dataset!G1238&lt;=3,1,IF(Dataset!G1238&lt;=6,2,IF(Dataset!G1238&lt;=9,3,4)))</f>
        <v>3</v>
      </c>
      <c r="J1238" s="29">
        <f t="shared" si="154"/>
        <v>1.9500000000000002</v>
      </c>
      <c r="K1238" s="29">
        <f>IF(Dataset!H1238&lt;1,0.2,IF(Dataset!H1238&lt;1.3,0.45,IF(Dataset!H1238&lt;1.8,0.7,0.9)))</f>
        <v>0.2</v>
      </c>
      <c r="L1238" s="29">
        <f>IF(Dataset!H1238&lt;1,1,IF(Dataset!H1238&lt;1.3,2,IF(Dataset!H1238&lt;1.8,3,4)))</f>
        <v>1</v>
      </c>
      <c r="M1238" s="29">
        <f t="shared" si="155"/>
        <v>0.2</v>
      </c>
      <c r="N1238" s="29">
        <f>IF(Dataset!F1238=1,0.75,IF(Dataset!F1238=2,0.45,0.2))</f>
        <v>0.75</v>
      </c>
      <c r="O1238" s="29">
        <f>IF(Dataset!F1238=1,3,IF(Dataset!F1238=2,2,1))</f>
        <v>3</v>
      </c>
      <c r="P1238" s="29">
        <f t="shared" si="156"/>
        <v>2.25</v>
      </c>
      <c r="Q1238" s="29">
        <f>IF(Dataset!K1238&lt;5,0.2,IF(Dataset!K1238&lt;10,0.45,IF(Dataset!K1238&lt;18,0.7,0.9)))</f>
        <v>0.45</v>
      </c>
      <c r="R1238" s="29">
        <f>IF(Dataset!K1238&lt;5,1,IF(Dataset!K1238&lt;10,2,IF(Dataset!K1238&lt;18,3,4)))</f>
        <v>2</v>
      </c>
      <c r="S1238" s="29">
        <f t="shared" si="157"/>
        <v>0.9</v>
      </c>
      <c r="T1238" s="29">
        <f t="shared" si="158"/>
        <v>1.5050000000000003</v>
      </c>
      <c r="U1238" s="29" t="str">
        <f t="shared" si="159"/>
        <v>Medium</v>
      </c>
    </row>
    <row r="1239" spans="1:21" ht="15" customHeight="1" x14ac:dyDescent="0.25">
      <c r="A1239" s="29">
        <f>Dataset!A1239</f>
        <v>1235</v>
      </c>
      <c r="B1239" s="29">
        <f>IF(Dataset!B1239&lt;25,0.3,IF(Dataset!B1239&lt;75,0.5,IF(Dataset!B1239&lt;120,0.65,0.8)))</f>
        <v>0.8</v>
      </c>
      <c r="C1239" s="29">
        <f>IF(Dataset!B1239&lt;25,1,IF(Dataset!B1239&lt;75,2,IF(Dataset!B1239&lt;120,3,4)))</f>
        <v>4</v>
      </c>
      <c r="D1239" s="29">
        <f t="shared" si="152"/>
        <v>3.2</v>
      </c>
      <c r="E1239" s="29">
        <f>IF(Dataset!C1239&lt;=1,0.3,IF(Dataset!C1239=2,0.4,IF(Dataset!C1239=3,0.5,IF(Dataset!C1239=4,0.65,0.8))))</f>
        <v>0.65</v>
      </c>
      <c r="F1239" s="29">
        <f>IF(Dataset!C1239&lt;=2,1,IF(Dataset!C1239=3,2,IF(Dataset!C1239=4,3,4)))</f>
        <v>3</v>
      </c>
      <c r="G1239" s="29">
        <f t="shared" si="153"/>
        <v>1.9500000000000002</v>
      </c>
      <c r="H1239" s="29">
        <f>IF(Dataset!G1239&lt;=3,0.25,IF(Dataset!G1239&lt;=6,0.45,IF(Dataset!G1239&lt;=9,0.65,0.85)))</f>
        <v>0.45</v>
      </c>
      <c r="I1239" s="29">
        <f>IF(Dataset!G1239&lt;=3,1,IF(Dataset!G1239&lt;=6,2,IF(Dataset!G1239&lt;=9,3,4)))</f>
        <v>2</v>
      </c>
      <c r="J1239" s="29">
        <f t="shared" si="154"/>
        <v>0.9</v>
      </c>
      <c r="K1239" s="29">
        <f>IF(Dataset!H1239&lt;1,0.2,IF(Dataset!H1239&lt;1.3,0.45,IF(Dataset!H1239&lt;1.8,0.7,0.9)))</f>
        <v>0.9</v>
      </c>
      <c r="L1239" s="29">
        <f>IF(Dataset!H1239&lt;1,1,IF(Dataset!H1239&lt;1.3,2,IF(Dataset!H1239&lt;1.8,3,4)))</f>
        <v>4</v>
      </c>
      <c r="M1239" s="29">
        <f t="shared" si="155"/>
        <v>3.6</v>
      </c>
      <c r="N1239" s="29">
        <f>IF(Dataset!F1239=1,0.75,IF(Dataset!F1239=2,0.45,0.2))</f>
        <v>0.45</v>
      </c>
      <c r="O1239" s="29">
        <f>IF(Dataset!F1239=1,3,IF(Dataset!F1239=2,2,1))</f>
        <v>2</v>
      </c>
      <c r="P1239" s="29">
        <f t="shared" si="156"/>
        <v>0.9</v>
      </c>
      <c r="Q1239" s="29">
        <f>IF(Dataset!K1239&lt;5,0.2,IF(Dataset!K1239&lt;10,0.45,IF(Dataset!K1239&lt;18,0.7,0.9)))</f>
        <v>0.45</v>
      </c>
      <c r="R1239" s="29">
        <f>IF(Dataset!K1239&lt;5,1,IF(Dataset!K1239&lt;10,2,IF(Dataset!K1239&lt;18,3,4)))</f>
        <v>2</v>
      </c>
      <c r="S1239" s="29">
        <f t="shared" si="157"/>
        <v>0.9</v>
      </c>
      <c r="T1239" s="29">
        <f t="shared" si="158"/>
        <v>2.109</v>
      </c>
      <c r="U1239" s="29" t="str">
        <f t="shared" si="159"/>
        <v>High</v>
      </c>
    </row>
    <row r="1240" spans="1:21" ht="15" customHeight="1" x14ac:dyDescent="0.25">
      <c r="A1240" s="29">
        <f>Dataset!A1240</f>
        <v>1236</v>
      </c>
      <c r="B1240" s="29">
        <f>IF(Dataset!B1240&lt;25,0.3,IF(Dataset!B1240&lt;75,0.5,IF(Dataset!B1240&lt;120,0.65,0.8)))</f>
        <v>0.5</v>
      </c>
      <c r="C1240" s="29">
        <f>IF(Dataset!B1240&lt;25,1,IF(Dataset!B1240&lt;75,2,IF(Dataset!B1240&lt;120,3,4)))</f>
        <v>2</v>
      </c>
      <c r="D1240" s="29">
        <f t="shared" si="152"/>
        <v>1</v>
      </c>
      <c r="E1240" s="29">
        <f>IF(Dataset!C1240&lt;=1,0.3,IF(Dataset!C1240=2,0.4,IF(Dataset!C1240=3,0.5,IF(Dataset!C1240=4,0.65,0.8))))</f>
        <v>0.4</v>
      </c>
      <c r="F1240" s="29">
        <f>IF(Dataset!C1240&lt;=2,1,IF(Dataset!C1240=3,2,IF(Dataset!C1240=4,3,4)))</f>
        <v>1</v>
      </c>
      <c r="G1240" s="29">
        <f t="shared" si="153"/>
        <v>0.4</v>
      </c>
      <c r="H1240" s="29">
        <f>IF(Dataset!G1240&lt;=3,0.25,IF(Dataset!G1240&lt;=6,0.45,IF(Dataset!G1240&lt;=9,0.65,0.85)))</f>
        <v>0.45</v>
      </c>
      <c r="I1240" s="29">
        <f>IF(Dataset!G1240&lt;=3,1,IF(Dataset!G1240&lt;=6,2,IF(Dataset!G1240&lt;=9,3,4)))</f>
        <v>2</v>
      </c>
      <c r="J1240" s="29">
        <f t="shared" si="154"/>
        <v>0.9</v>
      </c>
      <c r="K1240" s="29">
        <f>IF(Dataset!H1240&lt;1,0.2,IF(Dataset!H1240&lt;1.3,0.45,IF(Dataset!H1240&lt;1.8,0.7,0.9)))</f>
        <v>0.7</v>
      </c>
      <c r="L1240" s="29">
        <f>IF(Dataset!H1240&lt;1,1,IF(Dataset!H1240&lt;1.3,2,IF(Dataset!H1240&lt;1.8,3,4)))</f>
        <v>3</v>
      </c>
      <c r="M1240" s="29">
        <f t="shared" si="155"/>
        <v>2.0999999999999996</v>
      </c>
      <c r="N1240" s="29">
        <f>IF(Dataset!F1240=1,0.75,IF(Dataset!F1240=2,0.45,0.2))</f>
        <v>0.75</v>
      </c>
      <c r="O1240" s="29">
        <f>IF(Dataset!F1240=1,3,IF(Dataset!F1240=2,2,1))</f>
        <v>3</v>
      </c>
      <c r="P1240" s="29">
        <f t="shared" si="156"/>
        <v>2.25</v>
      </c>
      <c r="Q1240" s="29">
        <f>IF(Dataset!K1240&lt;5,0.2,IF(Dataset!K1240&lt;10,0.45,IF(Dataset!K1240&lt;18,0.7,0.9)))</f>
        <v>0.2</v>
      </c>
      <c r="R1240" s="29">
        <f>IF(Dataset!K1240&lt;5,1,IF(Dataset!K1240&lt;10,2,IF(Dataset!K1240&lt;18,3,4)))</f>
        <v>1</v>
      </c>
      <c r="S1240" s="29">
        <f t="shared" si="157"/>
        <v>0.2</v>
      </c>
      <c r="T1240" s="29">
        <f t="shared" si="158"/>
        <v>1.173</v>
      </c>
      <c r="U1240" s="29" t="str">
        <f t="shared" si="159"/>
        <v>Low</v>
      </c>
    </row>
    <row r="1241" spans="1:21" ht="15" customHeight="1" x14ac:dyDescent="0.25">
      <c r="A1241" s="29">
        <f>Dataset!A1241</f>
        <v>1237</v>
      </c>
      <c r="B1241" s="29">
        <f>IF(Dataset!B1241&lt;25,0.3,IF(Dataset!B1241&lt;75,0.5,IF(Dataset!B1241&lt;120,0.65,0.8)))</f>
        <v>0.5</v>
      </c>
      <c r="C1241" s="29">
        <f>IF(Dataset!B1241&lt;25,1,IF(Dataset!B1241&lt;75,2,IF(Dataset!B1241&lt;120,3,4)))</f>
        <v>2</v>
      </c>
      <c r="D1241" s="29">
        <f t="shared" si="152"/>
        <v>1</v>
      </c>
      <c r="E1241" s="29">
        <f>IF(Dataset!C1241&lt;=1,0.3,IF(Dataset!C1241=2,0.4,IF(Dataset!C1241=3,0.5,IF(Dataset!C1241=4,0.65,0.8))))</f>
        <v>0.3</v>
      </c>
      <c r="F1241" s="29">
        <f>IF(Dataset!C1241&lt;=2,1,IF(Dataset!C1241=3,2,IF(Dataset!C1241=4,3,4)))</f>
        <v>1</v>
      </c>
      <c r="G1241" s="29">
        <f t="shared" si="153"/>
        <v>0.3</v>
      </c>
      <c r="H1241" s="29">
        <f>IF(Dataset!G1241&lt;=3,0.25,IF(Dataset!G1241&lt;=6,0.45,IF(Dataset!G1241&lt;=9,0.65,0.85)))</f>
        <v>0.25</v>
      </c>
      <c r="I1241" s="29">
        <f>IF(Dataset!G1241&lt;=3,1,IF(Dataset!G1241&lt;=6,2,IF(Dataset!G1241&lt;=9,3,4)))</f>
        <v>1</v>
      </c>
      <c r="J1241" s="29">
        <f t="shared" si="154"/>
        <v>0.25</v>
      </c>
      <c r="K1241" s="29">
        <f>IF(Dataset!H1241&lt;1,0.2,IF(Dataset!H1241&lt;1.3,0.45,IF(Dataset!H1241&lt;1.8,0.7,0.9)))</f>
        <v>0.2</v>
      </c>
      <c r="L1241" s="29">
        <f>IF(Dataset!H1241&lt;1,1,IF(Dataset!H1241&lt;1.3,2,IF(Dataset!H1241&lt;1.8,3,4)))</f>
        <v>1</v>
      </c>
      <c r="M1241" s="29">
        <f t="shared" si="155"/>
        <v>0.2</v>
      </c>
      <c r="N1241" s="29">
        <f>IF(Dataset!F1241=1,0.75,IF(Dataset!F1241=2,0.45,0.2))</f>
        <v>0.75</v>
      </c>
      <c r="O1241" s="29">
        <f>IF(Dataset!F1241=1,3,IF(Dataset!F1241=2,2,1))</f>
        <v>3</v>
      </c>
      <c r="P1241" s="29">
        <f t="shared" si="156"/>
        <v>2.25</v>
      </c>
      <c r="Q1241" s="29">
        <f>IF(Dataset!K1241&lt;5,0.2,IF(Dataset!K1241&lt;10,0.45,IF(Dataset!K1241&lt;18,0.7,0.9)))</f>
        <v>0.2</v>
      </c>
      <c r="R1241" s="29">
        <f>IF(Dataset!K1241&lt;5,1,IF(Dataset!K1241&lt;10,2,IF(Dataset!K1241&lt;18,3,4)))</f>
        <v>1</v>
      </c>
      <c r="S1241" s="29">
        <f t="shared" si="157"/>
        <v>0.2</v>
      </c>
      <c r="T1241" s="29">
        <f t="shared" si="158"/>
        <v>0.57300000000000006</v>
      </c>
      <c r="U1241" s="29" t="str">
        <f t="shared" si="159"/>
        <v>Low</v>
      </c>
    </row>
    <row r="1242" spans="1:21" ht="15" customHeight="1" x14ac:dyDescent="0.25">
      <c r="A1242" s="29">
        <f>Dataset!A1242</f>
        <v>1238</v>
      </c>
      <c r="B1242" s="29">
        <f>IF(Dataset!B1242&lt;25,0.3,IF(Dataset!B1242&lt;75,0.5,IF(Dataset!B1242&lt;120,0.65,0.8)))</f>
        <v>0.5</v>
      </c>
      <c r="C1242" s="29">
        <f>IF(Dataset!B1242&lt;25,1,IF(Dataset!B1242&lt;75,2,IF(Dataset!B1242&lt;120,3,4)))</f>
        <v>2</v>
      </c>
      <c r="D1242" s="29">
        <f t="shared" si="152"/>
        <v>1</v>
      </c>
      <c r="E1242" s="29">
        <f>IF(Dataset!C1242&lt;=1,0.3,IF(Dataset!C1242=2,0.4,IF(Dataset!C1242=3,0.5,IF(Dataset!C1242=4,0.65,0.8))))</f>
        <v>0.65</v>
      </c>
      <c r="F1242" s="29">
        <f>IF(Dataset!C1242&lt;=2,1,IF(Dataset!C1242=3,2,IF(Dataset!C1242=4,3,4)))</f>
        <v>3</v>
      </c>
      <c r="G1242" s="29">
        <f t="shared" si="153"/>
        <v>1.9500000000000002</v>
      </c>
      <c r="H1242" s="29">
        <f>IF(Dataset!G1242&lt;=3,0.25,IF(Dataset!G1242&lt;=6,0.45,IF(Dataset!G1242&lt;=9,0.65,0.85)))</f>
        <v>0.45</v>
      </c>
      <c r="I1242" s="29">
        <f>IF(Dataset!G1242&lt;=3,1,IF(Dataset!G1242&lt;=6,2,IF(Dataset!G1242&lt;=9,3,4)))</f>
        <v>2</v>
      </c>
      <c r="J1242" s="29">
        <f t="shared" si="154"/>
        <v>0.9</v>
      </c>
      <c r="K1242" s="29">
        <f>IF(Dataset!H1242&lt;1,0.2,IF(Dataset!H1242&lt;1.3,0.45,IF(Dataset!H1242&lt;1.8,0.7,0.9)))</f>
        <v>0.7</v>
      </c>
      <c r="L1242" s="29">
        <f>IF(Dataset!H1242&lt;1,1,IF(Dataset!H1242&lt;1.3,2,IF(Dataset!H1242&lt;1.8,3,4)))</f>
        <v>3</v>
      </c>
      <c r="M1242" s="29">
        <f t="shared" si="155"/>
        <v>2.0999999999999996</v>
      </c>
      <c r="N1242" s="29">
        <f>IF(Dataset!F1242=1,0.75,IF(Dataset!F1242=2,0.45,0.2))</f>
        <v>0.75</v>
      </c>
      <c r="O1242" s="29">
        <f>IF(Dataset!F1242=1,3,IF(Dataset!F1242=2,2,1))</f>
        <v>3</v>
      </c>
      <c r="P1242" s="29">
        <f t="shared" si="156"/>
        <v>2.25</v>
      </c>
      <c r="Q1242" s="29">
        <f>IF(Dataset!K1242&lt;5,0.2,IF(Dataset!K1242&lt;10,0.45,IF(Dataset!K1242&lt;18,0.7,0.9)))</f>
        <v>0.7</v>
      </c>
      <c r="R1242" s="29">
        <f>IF(Dataset!K1242&lt;5,1,IF(Dataset!K1242&lt;10,2,IF(Dataset!K1242&lt;18,3,4)))</f>
        <v>3</v>
      </c>
      <c r="S1242" s="29">
        <f t="shared" si="157"/>
        <v>2.0999999999999996</v>
      </c>
      <c r="T1242" s="29">
        <f t="shared" si="158"/>
        <v>1.6560000000000001</v>
      </c>
      <c r="U1242" s="29" t="str">
        <f t="shared" si="159"/>
        <v>Medium</v>
      </c>
    </row>
    <row r="1243" spans="1:21" ht="15" customHeight="1" x14ac:dyDescent="0.25">
      <c r="A1243" s="29">
        <f>Dataset!A1243</f>
        <v>1239</v>
      </c>
      <c r="B1243" s="29">
        <f>IF(Dataset!B1243&lt;25,0.3,IF(Dataset!B1243&lt;75,0.5,IF(Dataset!B1243&lt;120,0.65,0.8)))</f>
        <v>0.5</v>
      </c>
      <c r="C1243" s="29">
        <f>IF(Dataset!B1243&lt;25,1,IF(Dataset!B1243&lt;75,2,IF(Dataset!B1243&lt;120,3,4)))</f>
        <v>2</v>
      </c>
      <c r="D1243" s="29">
        <f t="shared" si="152"/>
        <v>1</v>
      </c>
      <c r="E1243" s="29">
        <f>IF(Dataset!C1243&lt;=1,0.3,IF(Dataset!C1243=2,0.4,IF(Dataset!C1243=3,0.5,IF(Dataset!C1243=4,0.65,0.8))))</f>
        <v>0.3</v>
      </c>
      <c r="F1243" s="29">
        <f>IF(Dataset!C1243&lt;=2,1,IF(Dataset!C1243=3,2,IF(Dataset!C1243=4,3,4)))</f>
        <v>1</v>
      </c>
      <c r="G1243" s="29">
        <f t="shared" si="153"/>
        <v>0.3</v>
      </c>
      <c r="H1243" s="29">
        <f>IF(Dataset!G1243&lt;=3,0.25,IF(Dataset!G1243&lt;=6,0.45,IF(Dataset!G1243&lt;=9,0.65,0.85)))</f>
        <v>0.45</v>
      </c>
      <c r="I1243" s="29">
        <f>IF(Dataset!G1243&lt;=3,1,IF(Dataset!G1243&lt;=6,2,IF(Dataset!G1243&lt;=9,3,4)))</f>
        <v>2</v>
      </c>
      <c r="J1243" s="29">
        <f t="shared" si="154"/>
        <v>0.9</v>
      </c>
      <c r="K1243" s="29">
        <f>IF(Dataset!H1243&lt;1,0.2,IF(Dataset!H1243&lt;1.3,0.45,IF(Dataset!H1243&lt;1.8,0.7,0.9)))</f>
        <v>0.2</v>
      </c>
      <c r="L1243" s="29">
        <f>IF(Dataset!H1243&lt;1,1,IF(Dataset!H1243&lt;1.3,2,IF(Dataset!H1243&lt;1.8,3,4)))</f>
        <v>1</v>
      </c>
      <c r="M1243" s="29">
        <f t="shared" si="155"/>
        <v>0.2</v>
      </c>
      <c r="N1243" s="29">
        <f>IF(Dataset!F1243=1,0.75,IF(Dataset!F1243=2,0.45,0.2))</f>
        <v>0.75</v>
      </c>
      <c r="O1243" s="29">
        <f>IF(Dataset!F1243=1,3,IF(Dataset!F1243=2,2,1))</f>
        <v>3</v>
      </c>
      <c r="P1243" s="29">
        <f t="shared" si="156"/>
        <v>2.25</v>
      </c>
      <c r="Q1243" s="29">
        <f>IF(Dataset!K1243&lt;5,0.2,IF(Dataset!K1243&lt;10,0.45,IF(Dataset!K1243&lt;18,0.7,0.9)))</f>
        <v>0.2</v>
      </c>
      <c r="R1243" s="29">
        <f>IF(Dataset!K1243&lt;5,1,IF(Dataset!K1243&lt;10,2,IF(Dataset!K1243&lt;18,3,4)))</f>
        <v>1</v>
      </c>
      <c r="S1243" s="29">
        <f t="shared" si="157"/>
        <v>0.2</v>
      </c>
      <c r="T1243" s="29">
        <f t="shared" si="158"/>
        <v>0.70300000000000007</v>
      </c>
      <c r="U1243" s="29" t="str">
        <f t="shared" si="159"/>
        <v>Low</v>
      </c>
    </row>
    <row r="1244" spans="1:21" ht="15" customHeight="1" x14ac:dyDescent="0.25">
      <c r="A1244" s="29">
        <f>Dataset!A1244</f>
        <v>1240</v>
      </c>
      <c r="B1244" s="29">
        <f>IF(Dataset!B1244&lt;25,0.3,IF(Dataset!B1244&lt;75,0.5,IF(Dataset!B1244&lt;120,0.65,0.8)))</f>
        <v>0.65</v>
      </c>
      <c r="C1244" s="29">
        <f>IF(Dataset!B1244&lt;25,1,IF(Dataset!B1244&lt;75,2,IF(Dataset!B1244&lt;120,3,4)))</f>
        <v>3</v>
      </c>
      <c r="D1244" s="29">
        <f t="shared" si="152"/>
        <v>1.9500000000000002</v>
      </c>
      <c r="E1244" s="29">
        <f>IF(Dataset!C1244&lt;=1,0.3,IF(Dataset!C1244=2,0.4,IF(Dataset!C1244=3,0.5,IF(Dataset!C1244=4,0.65,0.8))))</f>
        <v>0.8</v>
      </c>
      <c r="F1244" s="29">
        <f>IF(Dataset!C1244&lt;=2,1,IF(Dataset!C1244=3,2,IF(Dataset!C1244=4,3,4)))</f>
        <v>4</v>
      </c>
      <c r="G1244" s="29">
        <f t="shared" si="153"/>
        <v>3.2</v>
      </c>
      <c r="H1244" s="29">
        <f>IF(Dataset!G1244&lt;=3,0.25,IF(Dataset!G1244&lt;=6,0.45,IF(Dataset!G1244&lt;=9,0.65,0.85)))</f>
        <v>0.45</v>
      </c>
      <c r="I1244" s="29">
        <f>IF(Dataset!G1244&lt;=3,1,IF(Dataset!G1244&lt;=6,2,IF(Dataset!G1244&lt;=9,3,4)))</f>
        <v>2</v>
      </c>
      <c r="J1244" s="29">
        <f t="shared" si="154"/>
        <v>0.9</v>
      </c>
      <c r="K1244" s="29">
        <f>IF(Dataset!H1244&lt;1,0.2,IF(Dataset!H1244&lt;1.3,0.45,IF(Dataset!H1244&lt;1.8,0.7,0.9)))</f>
        <v>0.9</v>
      </c>
      <c r="L1244" s="29">
        <f>IF(Dataset!H1244&lt;1,1,IF(Dataset!H1244&lt;1.3,2,IF(Dataset!H1244&lt;1.8,3,4)))</f>
        <v>4</v>
      </c>
      <c r="M1244" s="29">
        <f t="shared" si="155"/>
        <v>3.6</v>
      </c>
      <c r="N1244" s="29">
        <f>IF(Dataset!F1244=1,0.75,IF(Dataset!F1244=2,0.45,0.2))</f>
        <v>0.45</v>
      </c>
      <c r="O1244" s="29">
        <f>IF(Dataset!F1244=1,3,IF(Dataset!F1244=2,2,1))</f>
        <v>2</v>
      </c>
      <c r="P1244" s="29">
        <f t="shared" si="156"/>
        <v>0.9</v>
      </c>
      <c r="Q1244" s="29">
        <f>IF(Dataset!K1244&lt;5,0.2,IF(Dataset!K1244&lt;10,0.45,IF(Dataset!K1244&lt;18,0.7,0.9)))</f>
        <v>0.9</v>
      </c>
      <c r="R1244" s="29">
        <f>IF(Dataset!K1244&lt;5,1,IF(Dataset!K1244&lt;10,2,IF(Dataset!K1244&lt;18,3,4)))</f>
        <v>4</v>
      </c>
      <c r="S1244" s="29">
        <f t="shared" si="157"/>
        <v>3.6</v>
      </c>
      <c r="T1244" s="29">
        <f t="shared" si="158"/>
        <v>2.4370000000000003</v>
      </c>
      <c r="U1244" s="29" t="str">
        <f t="shared" si="159"/>
        <v>High</v>
      </c>
    </row>
    <row r="1245" spans="1:21" ht="15" customHeight="1" x14ac:dyDescent="0.25">
      <c r="A1245" s="29">
        <f>Dataset!A1245</f>
        <v>1241</v>
      </c>
      <c r="B1245" s="29">
        <f>IF(Dataset!B1245&lt;25,0.3,IF(Dataset!B1245&lt;75,0.5,IF(Dataset!B1245&lt;120,0.65,0.8)))</f>
        <v>0.5</v>
      </c>
      <c r="C1245" s="29">
        <f>IF(Dataset!B1245&lt;25,1,IF(Dataset!B1245&lt;75,2,IF(Dataset!B1245&lt;120,3,4)))</f>
        <v>2</v>
      </c>
      <c r="D1245" s="29">
        <f t="shared" si="152"/>
        <v>1</v>
      </c>
      <c r="E1245" s="29">
        <f>IF(Dataset!C1245&lt;=1,0.3,IF(Dataset!C1245=2,0.4,IF(Dataset!C1245=3,0.5,IF(Dataset!C1245=4,0.65,0.8))))</f>
        <v>0.65</v>
      </c>
      <c r="F1245" s="29">
        <f>IF(Dataset!C1245&lt;=2,1,IF(Dataset!C1245=3,2,IF(Dataset!C1245=4,3,4)))</f>
        <v>3</v>
      </c>
      <c r="G1245" s="29">
        <f t="shared" si="153"/>
        <v>1.9500000000000002</v>
      </c>
      <c r="H1245" s="29">
        <f>IF(Dataset!G1245&lt;=3,0.25,IF(Dataset!G1245&lt;=6,0.45,IF(Dataset!G1245&lt;=9,0.65,0.85)))</f>
        <v>0.45</v>
      </c>
      <c r="I1245" s="29">
        <f>IF(Dataset!G1245&lt;=3,1,IF(Dataset!G1245&lt;=6,2,IF(Dataset!G1245&lt;=9,3,4)))</f>
        <v>2</v>
      </c>
      <c r="J1245" s="29">
        <f t="shared" si="154"/>
        <v>0.9</v>
      </c>
      <c r="K1245" s="29">
        <f>IF(Dataset!H1245&lt;1,0.2,IF(Dataset!H1245&lt;1.3,0.45,IF(Dataset!H1245&lt;1.8,0.7,0.9)))</f>
        <v>0.9</v>
      </c>
      <c r="L1245" s="29">
        <f>IF(Dataset!H1245&lt;1,1,IF(Dataset!H1245&lt;1.3,2,IF(Dataset!H1245&lt;1.8,3,4)))</f>
        <v>4</v>
      </c>
      <c r="M1245" s="29">
        <f t="shared" si="155"/>
        <v>3.6</v>
      </c>
      <c r="N1245" s="29">
        <f>IF(Dataset!F1245=1,0.75,IF(Dataset!F1245=2,0.45,0.2))</f>
        <v>0.75</v>
      </c>
      <c r="O1245" s="29">
        <f>IF(Dataset!F1245=1,3,IF(Dataset!F1245=2,2,1))</f>
        <v>3</v>
      </c>
      <c r="P1245" s="29">
        <f t="shared" si="156"/>
        <v>2.25</v>
      </c>
      <c r="Q1245" s="29">
        <f>IF(Dataset!K1245&lt;5,0.2,IF(Dataset!K1245&lt;10,0.45,IF(Dataset!K1245&lt;18,0.7,0.9)))</f>
        <v>0.7</v>
      </c>
      <c r="R1245" s="29">
        <f>IF(Dataset!K1245&lt;5,1,IF(Dataset!K1245&lt;10,2,IF(Dataset!K1245&lt;18,3,4)))</f>
        <v>3</v>
      </c>
      <c r="S1245" s="29">
        <f t="shared" si="157"/>
        <v>2.0999999999999996</v>
      </c>
      <c r="T1245" s="29">
        <f t="shared" si="158"/>
        <v>2.016</v>
      </c>
      <c r="U1245" s="29" t="str">
        <f t="shared" si="159"/>
        <v>High</v>
      </c>
    </row>
    <row r="1246" spans="1:21" ht="15" customHeight="1" x14ac:dyDescent="0.25">
      <c r="A1246" s="29">
        <f>Dataset!A1246</f>
        <v>1242</v>
      </c>
      <c r="B1246" s="29">
        <f>IF(Dataset!B1246&lt;25,0.3,IF(Dataset!B1246&lt;75,0.5,IF(Dataset!B1246&lt;120,0.65,0.8)))</f>
        <v>0.5</v>
      </c>
      <c r="C1246" s="29">
        <f>IF(Dataset!B1246&lt;25,1,IF(Dataset!B1246&lt;75,2,IF(Dataset!B1246&lt;120,3,4)))</f>
        <v>2</v>
      </c>
      <c r="D1246" s="29">
        <f t="shared" si="152"/>
        <v>1</v>
      </c>
      <c r="E1246" s="29">
        <f>IF(Dataset!C1246&lt;=1,0.3,IF(Dataset!C1246=2,0.4,IF(Dataset!C1246=3,0.5,IF(Dataset!C1246=4,0.65,0.8))))</f>
        <v>0.8</v>
      </c>
      <c r="F1246" s="29">
        <f>IF(Dataset!C1246&lt;=2,1,IF(Dataset!C1246=3,2,IF(Dataset!C1246=4,3,4)))</f>
        <v>4</v>
      </c>
      <c r="G1246" s="29">
        <f t="shared" si="153"/>
        <v>3.2</v>
      </c>
      <c r="H1246" s="29">
        <f>IF(Dataset!G1246&lt;=3,0.25,IF(Dataset!G1246&lt;=6,0.45,IF(Dataset!G1246&lt;=9,0.65,0.85)))</f>
        <v>0.45</v>
      </c>
      <c r="I1246" s="29">
        <f>IF(Dataset!G1246&lt;=3,1,IF(Dataset!G1246&lt;=6,2,IF(Dataset!G1246&lt;=9,3,4)))</f>
        <v>2</v>
      </c>
      <c r="J1246" s="29">
        <f t="shared" si="154"/>
        <v>0.9</v>
      </c>
      <c r="K1246" s="29">
        <f>IF(Dataset!H1246&lt;1,0.2,IF(Dataset!H1246&lt;1.3,0.45,IF(Dataset!H1246&lt;1.8,0.7,0.9)))</f>
        <v>0.45</v>
      </c>
      <c r="L1246" s="29">
        <f>IF(Dataset!H1246&lt;1,1,IF(Dataset!H1246&lt;1.3,2,IF(Dataset!H1246&lt;1.8,3,4)))</f>
        <v>2</v>
      </c>
      <c r="M1246" s="29">
        <f t="shared" si="155"/>
        <v>0.9</v>
      </c>
      <c r="N1246" s="29">
        <f>IF(Dataset!F1246=1,0.75,IF(Dataset!F1246=2,0.45,0.2))</f>
        <v>0.2</v>
      </c>
      <c r="O1246" s="29">
        <f>IF(Dataset!F1246=1,3,IF(Dataset!F1246=2,2,1))</f>
        <v>1</v>
      </c>
      <c r="P1246" s="29">
        <f t="shared" si="156"/>
        <v>0.2</v>
      </c>
      <c r="Q1246" s="29">
        <f>IF(Dataset!K1246&lt;5,0.2,IF(Dataset!K1246&lt;10,0.45,IF(Dataset!K1246&lt;18,0.7,0.9)))</f>
        <v>0.9</v>
      </c>
      <c r="R1246" s="29">
        <f>IF(Dataset!K1246&lt;5,1,IF(Dataset!K1246&lt;10,2,IF(Dataset!K1246&lt;18,3,4)))</f>
        <v>4</v>
      </c>
      <c r="S1246" s="29">
        <f t="shared" si="157"/>
        <v>3.6</v>
      </c>
      <c r="T1246" s="29">
        <f t="shared" si="158"/>
        <v>1.5480000000000005</v>
      </c>
      <c r="U1246" s="29" t="str">
        <f t="shared" si="159"/>
        <v>Medium</v>
      </c>
    </row>
    <row r="1247" spans="1:21" ht="15" customHeight="1" x14ac:dyDescent="0.25">
      <c r="A1247" s="29">
        <f>Dataset!A1247</f>
        <v>1243</v>
      </c>
      <c r="B1247" s="29">
        <f>IF(Dataset!B1247&lt;25,0.3,IF(Dataset!B1247&lt;75,0.5,IF(Dataset!B1247&lt;120,0.65,0.8)))</f>
        <v>0.8</v>
      </c>
      <c r="C1247" s="29">
        <f>IF(Dataset!B1247&lt;25,1,IF(Dataset!B1247&lt;75,2,IF(Dataset!B1247&lt;120,3,4)))</f>
        <v>4</v>
      </c>
      <c r="D1247" s="29">
        <f t="shared" si="152"/>
        <v>3.2</v>
      </c>
      <c r="E1247" s="29">
        <f>IF(Dataset!C1247&lt;=1,0.3,IF(Dataset!C1247=2,0.4,IF(Dataset!C1247=3,0.5,IF(Dataset!C1247=4,0.65,0.8))))</f>
        <v>0.5</v>
      </c>
      <c r="F1247" s="29">
        <f>IF(Dataset!C1247&lt;=2,1,IF(Dataset!C1247=3,2,IF(Dataset!C1247=4,3,4)))</f>
        <v>2</v>
      </c>
      <c r="G1247" s="29">
        <f t="shared" si="153"/>
        <v>1</v>
      </c>
      <c r="H1247" s="29">
        <f>IF(Dataset!G1247&lt;=3,0.25,IF(Dataset!G1247&lt;=6,0.45,IF(Dataset!G1247&lt;=9,0.65,0.85)))</f>
        <v>0.65</v>
      </c>
      <c r="I1247" s="29">
        <f>IF(Dataset!G1247&lt;=3,1,IF(Dataset!G1247&lt;=6,2,IF(Dataset!G1247&lt;=9,3,4)))</f>
        <v>3</v>
      </c>
      <c r="J1247" s="29">
        <f t="shared" si="154"/>
        <v>1.9500000000000002</v>
      </c>
      <c r="K1247" s="29">
        <f>IF(Dataset!H1247&lt;1,0.2,IF(Dataset!H1247&lt;1.3,0.45,IF(Dataset!H1247&lt;1.8,0.7,0.9)))</f>
        <v>0.45</v>
      </c>
      <c r="L1247" s="29">
        <f>IF(Dataset!H1247&lt;1,1,IF(Dataset!H1247&lt;1.3,2,IF(Dataset!H1247&lt;1.8,3,4)))</f>
        <v>2</v>
      </c>
      <c r="M1247" s="29">
        <f t="shared" si="155"/>
        <v>0.9</v>
      </c>
      <c r="N1247" s="29">
        <f>IF(Dataset!F1247=1,0.75,IF(Dataset!F1247=2,0.45,0.2))</f>
        <v>0.75</v>
      </c>
      <c r="O1247" s="29">
        <f>IF(Dataset!F1247=1,3,IF(Dataset!F1247=2,2,1))</f>
        <v>3</v>
      </c>
      <c r="P1247" s="29">
        <f t="shared" si="156"/>
        <v>2.25</v>
      </c>
      <c r="Q1247" s="29">
        <f>IF(Dataset!K1247&lt;5,0.2,IF(Dataset!K1247&lt;10,0.45,IF(Dataset!K1247&lt;18,0.7,0.9)))</f>
        <v>0.45</v>
      </c>
      <c r="R1247" s="29">
        <f>IF(Dataset!K1247&lt;5,1,IF(Dataset!K1247&lt;10,2,IF(Dataset!K1247&lt;18,3,4)))</f>
        <v>2</v>
      </c>
      <c r="S1247" s="29">
        <f t="shared" si="157"/>
        <v>0.9</v>
      </c>
      <c r="T1247" s="29">
        <f t="shared" si="158"/>
        <v>1.6730000000000003</v>
      </c>
      <c r="U1247" s="29" t="str">
        <f t="shared" si="159"/>
        <v>Medium</v>
      </c>
    </row>
    <row r="1248" spans="1:21" ht="15" customHeight="1" x14ac:dyDescent="0.25">
      <c r="A1248" s="29">
        <f>Dataset!A1248</f>
        <v>1244</v>
      </c>
      <c r="B1248" s="29">
        <f>IF(Dataset!B1248&lt;25,0.3,IF(Dataset!B1248&lt;75,0.5,IF(Dataset!B1248&lt;120,0.65,0.8)))</f>
        <v>0.5</v>
      </c>
      <c r="C1248" s="29">
        <f>IF(Dataset!B1248&lt;25,1,IF(Dataset!B1248&lt;75,2,IF(Dataset!B1248&lt;120,3,4)))</f>
        <v>2</v>
      </c>
      <c r="D1248" s="29">
        <f t="shared" si="152"/>
        <v>1</v>
      </c>
      <c r="E1248" s="29">
        <f>IF(Dataset!C1248&lt;=1,0.3,IF(Dataset!C1248=2,0.4,IF(Dataset!C1248=3,0.5,IF(Dataset!C1248=4,0.65,0.8))))</f>
        <v>0.5</v>
      </c>
      <c r="F1248" s="29">
        <f>IF(Dataset!C1248&lt;=2,1,IF(Dataset!C1248=3,2,IF(Dataset!C1248=4,3,4)))</f>
        <v>2</v>
      </c>
      <c r="G1248" s="29">
        <f t="shared" si="153"/>
        <v>1</v>
      </c>
      <c r="H1248" s="29">
        <f>IF(Dataset!G1248&lt;=3,0.25,IF(Dataset!G1248&lt;=6,0.45,IF(Dataset!G1248&lt;=9,0.65,0.85)))</f>
        <v>0.65</v>
      </c>
      <c r="I1248" s="29">
        <f>IF(Dataset!G1248&lt;=3,1,IF(Dataset!G1248&lt;=6,2,IF(Dataset!G1248&lt;=9,3,4)))</f>
        <v>3</v>
      </c>
      <c r="J1248" s="29">
        <f t="shared" si="154"/>
        <v>1.9500000000000002</v>
      </c>
      <c r="K1248" s="29">
        <f>IF(Dataset!H1248&lt;1,0.2,IF(Dataset!H1248&lt;1.3,0.45,IF(Dataset!H1248&lt;1.8,0.7,0.9)))</f>
        <v>0.9</v>
      </c>
      <c r="L1248" s="29">
        <f>IF(Dataset!H1248&lt;1,1,IF(Dataset!H1248&lt;1.3,2,IF(Dataset!H1248&lt;1.8,3,4)))</f>
        <v>4</v>
      </c>
      <c r="M1248" s="29">
        <f t="shared" si="155"/>
        <v>3.6</v>
      </c>
      <c r="N1248" s="29">
        <f>IF(Dataset!F1248=1,0.75,IF(Dataset!F1248=2,0.45,0.2))</f>
        <v>0.75</v>
      </c>
      <c r="O1248" s="29">
        <f>IF(Dataset!F1248=1,3,IF(Dataset!F1248=2,2,1))</f>
        <v>3</v>
      </c>
      <c r="P1248" s="29">
        <f t="shared" si="156"/>
        <v>2.25</v>
      </c>
      <c r="Q1248" s="29">
        <f>IF(Dataset!K1248&lt;5,0.2,IF(Dataset!K1248&lt;10,0.45,IF(Dataset!K1248&lt;18,0.7,0.9)))</f>
        <v>0.45</v>
      </c>
      <c r="R1248" s="29">
        <f>IF(Dataset!K1248&lt;5,1,IF(Dataset!K1248&lt;10,2,IF(Dataset!K1248&lt;18,3,4)))</f>
        <v>2</v>
      </c>
      <c r="S1248" s="29">
        <f t="shared" si="157"/>
        <v>0.9</v>
      </c>
      <c r="T1248" s="29">
        <f t="shared" si="158"/>
        <v>1.9250000000000003</v>
      </c>
      <c r="U1248" s="29" t="str">
        <f t="shared" si="159"/>
        <v>High</v>
      </c>
    </row>
    <row r="1249" spans="1:21" ht="15" customHeight="1" x14ac:dyDescent="0.25">
      <c r="A1249" s="29">
        <f>Dataset!A1249</f>
        <v>1245</v>
      </c>
      <c r="B1249" s="29">
        <f>IF(Dataset!B1249&lt;25,0.3,IF(Dataset!B1249&lt;75,0.5,IF(Dataset!B1249&lt;120,0.65,0.8)))</f>
        <v>0.8</v>
      </c>
      <c r="C1249" s="29">
        <f>IF(Dataset!B1249&lt;25,1,IF(Dataset!B1249&lt;75,2,IF(Dataset!B1249&lt;120,3,4)))</f>
        <v>4</v>
      </c>
      <c r="D1249" s="29">
        <f t="shared" si="152"/>
        <v>3.2</v>
      </c>
      <c r="E1249" s="29">
        <f>IF(Dataset!C1249&lt;=1,0.3,IF(Dataset!C1249=2,0.4,IF(Dataset!C1249=3,0.5,IF(Dataset!C1249=4,0.65,0.8))))</f>
        <v>0.65</v>
      </c>
      <c r="F1249" s="29">
        <f>IF(Dataset!C1249&lt;=2,1,IF(Dataset!C1249=3,2,IF(Dataset!C1249=4,3,4)))</f>
        <v>3</v>
      </c>
      <c r="G1249" s="29">
        <f t="shared" si="153"/>
        <v>1.9500000000000002</v>
      </c>
      <c r="H1249" s="29">
        <f>IF(Dataset!G1249&lt;=3,0.25,IF(Dataset!G1249&lt;=6,0.45,IF(Dataset!G1249&lt;=9,0.65,0.85)))</f>
        <v>0.25</v>
      </c>
      <c r="I1249" s="29">
        <f>IF(Dataset!G1249&lt;=3,1,IF(Dataset!G1249&lt;=6,2,IF(Dataset!G1249&lt;=9,3,4)))</f>
        <v>1</v>
      </c>
      <c r="J1249" s="29">
        <f t="shared" si="154"/>
        <v>0.25</v>
      </c>
      <c r="K1249" s="29">
        <f>IF(Dataset!H1249&lt;1,0.2,IF(Dataset!H1249&lt;1.3,0.45,IF(Dataset!H1249&lt;1.8,0.7,0.9)))</f>
        <v>0.9</v>
      </c>
      <c r="L1249" s="29">
        <f>IF(Dataset!H1249&lt;1,1,IF(Dataset!H1249&lt;1.3,2,IF(Dataset!H1249&lt;1.8,3,4)))</f>
        <v>4</v>
      </c>
      <c r="M1249" s="29">
        <f t="shared" si="155"/>
        <v>3.6</v>
      </c>
      <c r="N1249" s="29">
        <f>IF(Dataset!F1249=1,0.75,IF(Dataset!F1249=2,0.45,0.2))</f>
        <v>0.75</v>
      </c>
      <c r="O1249" s="29">
        <f>IF(Dataset!F1249=1,3,IF(Dataset!F1249=2,2,1))</f>
        <v>3</v>
      </c>
      <c r="P1249" s="29">
        <f t="shared" si="156"/>
        <v>2.25</v>
      </c>
      <c r="Q1249" s="29">
        <f>IF(Dataset!K1249&lt;5,0.2,IF(Dataset!K1249&lt;10,0.45,IF(Dataset!K1249&lt;18,0.7,0.9)))</f>
        <v>0.45</v>
      </c>
      <c r="R1249" s="29">
        <f>IF(Dataset!K1249&lt;5,1,IF(Dataset!K1249&lt;10,2,IF(Dataset!K1249&lt;18,3,4)))</f>
        <v>2</v>
      </c>
      <c r="S1249" s="29">
        <f t="shared" si="157"/>
        <v>0.9</v>
      </c>
      <c r="T1249" s="29">
        <f t="shared" si="158"/>
        <v>2.1139999999999999</v>
      </c>
      <c r="U1249" s="29" t="str">
        <f t="shared" si="159"/>
        <v>High</v>
      </c>
    </row>
    <row r="1250" spans="1:21" ht="15" customHeight="1" x14ac:dyDescent="0.25">
      <c r="A1250" s="29">
        <f>Dataset!A1250</f>
        <v>1246</v>
      </c>
      <c r="B1250" s="29">
        <f>IF(Dataset!B1250&lt;25,0.3,IF(Dataset!B1250&lt;75,0.5,IF(Dataset!B1250&lt;120,0.65,0.8)))</f>
        <v>0.8</v>
      </c>
      <c r="C1250" s="29">
        <f>IF(Dataset!B1250&lt;25,1,IF(Dataset!B1250&lt;75,2,IF(Dataset!B1250&lt;120,3,4)))</f>
        <v>4</v>
      </c>
      <c r="D1250" s="29">
        <f t="shared" si="152"/>
        <v>3.2</v>
      </c>
      <c r="E1250" s="29">
        <f>IF(Dataset!C1250&lt;=1,0.3,IF(Dataset!C1250=2,0.4,IF(Dataset!C1250=3,0.5,IF(Dataset!C1250=4,0.65,0.8))))</f>
        <v>0.5</v>
      </c>
      <c r="F1250" s="29">
        <f>IF(Dataset!C1250&lt;=2,1,IF(Dataset!C1250=3,2,IF(Dataset!C1250=4,3,4)))</f>
        <v>2</v>
      </c>
      <c r="G1250" s="29">
        <f t="shared" si="153"/>
        <v>1</v>
      </c>
      <c r="H1250" s="29">
        <f>IF(Dataset!G1250&lt;=3,0.25,IF(Dataset!G1250&lt;=6,0.45,IF(Dataset!G1250&lt;=9,0.65,0.85)))</f>
        <v>0.65</v>
      </c>
      <c r="I1250" s="29">
        <f>IF(Dataset!G1250&lt;=3,1,IF(Dataset!G1250&lt;=6,2,IF(Dataset!G1250&lt;=9,3,4)))</f>
        <v>3</v>
      </c>
      <c r="J1250" s="29">
        <f t="shared" si="154"/>
        <v>1.9500000000000002</v>
      </c>
      <c r="K1250" s="29">
        <f>IF(Dataset!H1250&lt;1,0.2,IF(Dataset!H1250&lt;1.3,0.45,IF(Dataset!H1250&lt;1.8,0.7,0.9)))</f>
        <v>0.45</v>
      </c>
      <c r="L1250" s="29">
        <f>IF(Dataset!H1250&lt;1,1,IF(Dataset!H1250&lt;1.3,2,IF(Dataset!H1250&lt;1.8,3,4)))</f>
        <v>2</v>
      </c>
      <c r="M1250" s="29">
        <f t="shared" si="155"/>
        <v>0.9</v>
      </c>
      <c r="N1250" s="29">
        <f>IF(Dataset!F1250=1,0.75,IF(Dataset!F1250=2,0.45,0.2))</f>
        <v>0.45</v>
      </c>
      <c r="O1250" s="29">
        <f>IF(Dataset!F1250=1,3,IF(Dataset!F1250=2,2,1))</f>
        <v>2</v>
      </c>
      <c r="P1250" s="29">
        <f t="shared" si="156"/>
        <v>0.9</v>
      </c>
      <c r="Q1250" s="29">
        <f>IF(Dataset!K1250&lt;5,0.2,IF(Dataset!K1250&lt;10,0.45,IF(Dataset!K1250&lt;18,0.7,0.9)))</f>
        <v>0.45</v>
      </c>
      <c r="R1250" s="29">
        <f>IF(Dataset!K1250&lt;5,1,IF(Dataset!K1250&lt;10,2,IF(Dataset!K1250&lt;18,3,4)))</f>
        <v>2</v>
      </c>
      <c r="S1250" s="29">
        <f t="shared" si="157"/>
        <v>0.9</v>
      </c>
      <c r="T1250" s="29">
        <f t="shared" si="158"/>
        <v>1.5380000000000003</v>
      </c>
      <c r="U1250" s="29" t="str">
        <f t="shared" si="159"/>
        <v>Medium</v>
      </c>
    </row>
    <row r="1251" spans="1:21" ht="15" customHeight="1" x14ac:dyDescent="0.25">
      <c r="A1251" s="29">
        <f>Dataset!A1251</f>
        <v>1247</v>
      </c>
      <c r="B1251" s="29">
        <f>IF(Dataset!B1251&lt;25,0.3,IF(Dataset!B1251&lt;75,0.5,IF(Dataset!B1251&lt;120,0.65,0.8)))</f>
        <v>0.5</v>
      </c>
      <c r="C1251" s="29">
        <f>IF(Dataset!B1251&lt;25,1,IF(Dataset!B1251&lt;75,2,IF(Dataset!B1251&lt;120,3,4)))</f>
        <v>2</v>
      </c>
      <c r="D1251" s="29">
        <f t="shared" si="152"/>
        <v>1</v>
      </c>
      <c r="E1251" s="29">
        <f>IF(Dataset!C1251&lt;=1,0.3,IF(Dataset!C1251=2,0.4,IF(Dataset!C1251=3,0.5,IF(Dataset!C1251=4,0.65,0.8))))</f>
        <v>0.5</v>
      </c>
      <c r="F1251" s="29">
        <f>IF(Dataset!C1251&lt;=2,1,IF(Dataset!C1251=3,2,IF(Dataset!C1251=4,3,4)))</f>
        <v>2</v>
      </c>
      <c r="G1251" s="29">
        <f t="shared" si="153"/>
        <v>1</v>
      </c>
      <c r="H1251" s="29">
        <f>IF(Dataset!G1251&lt;=3,0.25,IF(Dataset!G1251&lt;=6,0.45,IF(Dataset!G1251&lt;=9,0.65,0.85)))</f>
        <v>0.45</v>
      </c>
      <c r="I1251" s="29">
        <f>IF(Dataset!G1251&lt;=3,1,IF(Dataset!G1251&lt;=6,2,IF(Dataset!G1251&lt;=9,3,4)))</f>
        <v>2</v>
      </c>
      <c r="J1251" s="29">
        <f t="shared" si="154"/>
        <v>0.9</v>
      </c>
      <c r="K1251" s="29">
        <f>IF(Dataset!H1251&lt;1,0.2,IF(Dataset!H1251&lt;1.3,0.45,IF(Dataset!H1251&lt;1.8,0.7,0.9)))</f>
        <v>0.45</v>
      </c>
      <c r="L1251" s="29">
        <f>IF(Dataset!H1251&lt;1,1,IF(Dataset!H1251&lt;1.3,2,IF(Dataset!H1251&lt;1.8,3,4)))</f>
        <v>2</v>
      </c>
      <c r="M1251" s="29">
        <f t="shared" si="155"/>
        <v>0.9</v>
      </c>
      <c r="N1251" s="29">
        <f>IF(Dataset!F1251=1,0.75,IF(Dataset!F1251=2,0.45,0.2))</f>
        <v>0.75</v>
      </c>
      <c r="O1251" s="29">
        <f>IF(Dataset!F1251=1,3,IF(Dataset!F1251=2,2,1))</f>
        <v>3</v>
      </c>
      <c r="P1251" s="29">
        <f t="shared" si="156"/>
        <v>2.25</v>
      </c>
      <c r="Q1251" s="29">
        <f>IF(Dataset!K1251&lt;5,0.2,IF(Dataset!K1251&lt;10,0.45,IF(Dataset!K1251&lt;18,0.7,0.9)))</f>
        <v>0.2</v>
      </c>
      <c r="R1251" s="29">
        <f>IF(Dataset!K1251&lt;5,1,IF(Dataset!K1251&lt;10,2,IF(Dataset!K1251&lt;18,3,4)))</f>
        <v>1</v>
      </c>
      <c r="S1251" s="29">
        <f t="shared" si="157"/>
        <v>0.2</v>
      </c>
      <c r="T1251" s="29">
        <f t="shared" si="158"/>
        <v>0.96899999999999997</v>
      </c>
      <c r="U1251" s="29" t="str">
        <f t="shared" si="159"/>
        <v>Low</v>
      </c>
    </row>
    <row r="1252" spans="1:21" ht="15" customHeight="1" x14ac:dyDescent="0.25">
      <c r="A1252" s="29">
        <f>Dataset!A1252</f>
        <v>1248</v>
      </c>
      <c r="B1252" s="29">
        <f>IF(Dataset!B1252&lt;25,0.3,IF(Dataset!B1252&lt;75,0.5,IF(Dataset!B1252&lt;120,0.65,0.8)))</f>
        <v>0.5</v>
      </c>
      <c r="C1252" s="29">
        <f>IF(Dataset!B1252&lt;25,1,IF(Dataset!B1252&lt;75,2,IF(Dataset!B1252&lt;120,3,4)))</f>
        <v>2</v>
      </c>
      <c r="D1252" s="29">
        <f t="shared" si="152"/>
        <v>1</v>
      </c>
      <c r="E1252" s="29">
        <f>IF(Dataset!C1252&lt;=1,0.3,IF(Dataset!C1252=2,0.4,IF(Dataset!C1252=3,0.5,IF(Dataset!C1252=4,0.65,0.8))))</f>
        <v>0.65</v>
      </c>
      <c r="F1252" s="29">
        <f>IF(Dataset!C1252&lt;=2,1,IF(Dataset!C1252=3,2,IF(Dataset!C1252=4,3,4)))</f>
        <v>3</v>
      </c>
      <c r="G1252" s="29">
        <f t="shared" si="153"/>
        <v>1.9500000000000002</v>
      </c>
      <c r="H1252" s="29">
        <f>IF(Dataset!G1252&lt;=3,0.25,IF(Dataset!G1252&lt;=6,0.45,IF(Dataset!G1252&lt;=9,0.65,0.85)))</f>
        <v>0.85</v>
      </c>
      <c r="I1252" s="29">
        <f>IF(Dataset!G1252&lt;=3,1,IF(Dataset!G1252&lt;=6,2,IF(Dataset!G1252&lt;=9,3,4)))</f>
        <v>4</v>
      </c>
      <c r="J1252" s="29">
        <f t="shared" si="154"/>
        <v>3.4</v>
      </c>
      <c r="K1252" s="29">
        <f>IF(Dataset!H1252&lt;1,0.2,IF(Dataset!H1252&lt;1.3,0.45,IF(Dataset!H1252&lt;1.8,0.7,0.9)))</f>
        <v>0.9</v>
      </c>
      <c r="L1252" s="29">
        <f>IF(Dataset!H1252&lt;1,1,IF(Dataset!H1252&lt;1.3,2,IF(Dataset!H1252&lt;1.8,3,4)))</f>
        <v>4</v>
      </c>
      <c r="M1252" s="29">
        <f t="shared" si="155"/>
        <v>3.6</v>
      </c>
      <c r="N1252" s="29">
        <f>IF(Dataset!F1252=1,0.75,IF(Dataset!F1252=2,0.45,0.2))</f>
        <v>0.45</v>
      </c>
      <c r="O1252" s="29">
        <f>IF(Dataset!F1252=1,3,IF(Dataset!F1252=2,2,1))</f>
        <v>2</v>
      </c>
      <c r="P1252" s="29">
        <f t="shared" si="156"/>
        <v>0.9</v>
      </c>
      <c r="Q1252" s="29">
        <f>IF(Dataset!K1252&lt;5,0.2,IF(Dataset!K1252&lt;10,0.45,IF(Dataset!K1252&lt;18,0.7,0.9)))</f>
        <v>0.45</v>
      </c>
      <c r="R1252" s="29">
        <f>IF(Dataset!K1252&lt;5,1,IF(Dataset!K1252&lt;10,2,IF(Dataset!K1252&lt;18,3,4)))</f>
        <v>2</v>
      </c>
      <c r="S1252" s="29">
        <f t="shared" si="157"/>
        <v>0.9</v>
      </c>
      <c r="T1252" s="29">
        <f t="shared" si="158"/>
        <v>2.2129999999999996</v>
      </c>
      <c r="U1252" s="29" t="str">
        <f t="shared" si="159"/>
        <v>High</v>
      </c>
    </row>
    <row r="1253" spans="1:21" ht="15" customHeight="1" x14ac:dyDescent="0.25">
      <c r="A1253" s="29">
        <f>Dataset!A1253</f>
        <v>1249</v>
      </c>
      <c r="B1253" s="29">
        <f>IF(Dataset!B1253&lt;25,0.3,IF(Dataset!B1253&lt;75,0.5,IF(Dataset!B1253&lt;120,0.65,0.8)))</f>
        <v>0.5</v>
      </c>
      <c r="C1253" s="29">
        <f>IF(Dataset!B1253&lt;25,1,IF(Dataset!B1253&lt;75,2,IF(Dataset!B1253&lt;120,3,4)))</f>
        <v>2</v>
      </c>
      <c r="D1253" s="29">
        <f t="shared" si="152"/>
        <v>1</v>
      </c>
      <c r="E1253" s="29">
        <f>IF(Dataset!C1253&lt;=1,0.3,IF(Dataset!C1253=2,0.4,IF(Dataset!C1253=3,0.5,IF(Dataset!C1253=4,0.65,0.8))))</f>
        <v>0.8</v>
      </c>
      <c r="F1253" s="29">
        <f>IF(Dataset!C1253&lt;=2,1,IF(Dataset!C1253=3,2,IF(Dataset!C1253=4,3,4)))</f>
        <v>4</v>
      </c>
      <c r="G1253" s="29">
        <f t="shared" si="153"/>
        <v>3.2</v>
      </c>
      <c r="H1253" s="29">
        <f>IF(Dataset!G1253&lt;=3,0.25,IF(Dataset!G1253&lt;=6,0.45,IF(Dataset!G1253&lt;=9,0.65,0.85)))</f>
        <v>0.45</v>
      </c>
      <c r="I1253" s="29">
        <f>IF(Dataset!G1253&lt;=3,1,IF(Dataset!G1253&lt;=6,2,IF(Dataset!G1253&lt;=9,3,4)))</f>
        <v>2</v>
      </c>
      <c r="J1253" s="29">
        <f t="shared" si="154"/>
        <v>0.9</v>
      </c>
      <c r="K1253" s="29">
        <f>IF(Dataset!H1253&lt;1,0.2,IF(Dataset!H1253&lt;1.3,0.45,IF(Dataset!H1253&lt;1.8,0.7,0.9)))</f>
        <v>0.2</v>
      </c>
      <c r="L1253" s="29">
        <f>IF(Dataset!H1253&lt;1,1,IF(Dataset!H1253&lt;1.3,2,IF(Dataset!H1253&lt;1.8,3,4)))</f>
        <v>1</v>
      </c>
      <c r="M1253" s="29">
        <f t="shared" si="155"/>
        <v>0.2</v>
      </c>
      <c r="N1253" s="29">
        <f>IF(Dataset!F1253=1,0.75,IF(Dataset!F1253=2,0.45,0.2))</f>
        <v>0.75</v>
      </c>
      <c r="O1253" s="29">
        <f>IF(Dataset!F1253=1,3,IF(Dataset!F1253=2,2,1))</f>
        <v>3</v>
      </c>
      <c r="P1253" s="29">
        <f t="shared" si="156"/>
        <v>2.25</v>
      </c>
      <c r="Q1253" s="29">
        <f>IF(Dataset!K1253&lt;5,0.2,IF(Dataset!K1253&lt;10,0.45,IF(Dataset!K1253&lt;18,0.7,0.9)))</f>
        <v>0.9</v>
      </c>
      <c r="R1253" s="29">
        <f>IF(Dataset!K1253&lt;5,1,IF(Dataset!K1253&lt;10,2,IF(Dataset!K1253&lt;18,3,4)))</f>
        <v>4</v>
      </c>
      <c r="S1253" s="29">
        <f t="shared" si="157"/>
        <v>3.6</v>
      </c>
      <c r="T1253" s="29">
        <f t="shared" si="158"/>
        <v>1.5850000000000004</v>
      </c>
      <c r="U1253" s="29" t="str">
        <f t="shared" si="159"/>
        <v>Medium</v>
      </c>
    </row>
    <row r="1254" spans="1:21" ht="15" customHeight="1" x14ac:dyDescent="0.25">
      <c r="A1254" s="29">
        <f>Dataset!A1254</f>
        <v>1250</v>
      </c>
      <c r="B1254" s="29">
        <f>IF(Dataset!B1254&lt;25,0.3,IF(Dataset!B1254&lt;75,0.5,IF(Dataset!B1254&lt;120,0.65,0.8)))</f>
        <v>0.3</v>
      </c>
      <c r="C1254" s="29">
        <f>IF(Dataset!B1254&lt;25,1,IF(Dataset!B1254&lt;75,2,IF(Dataset!B1254&lt;120,3,4)))</f>
        <v>1</v>
      </c>
      <c r="D1254" s="29">
        <f t="shared" si="152"/>
        <v>0.3</v>
      </c>
      <c r="E1254" s="29">
        <f>IF(Dataset!C1254&lt;=1,0.3,IF(Dataset!C1254=2,0.4,IF(Dataset!C1254=3,0.5,IF(Dataset!C1254=4,0.65,0.8))))</f>
        <v>0.65</v>
      </c>
      <c r="F1254" s="29">
        <f>IF(Dataset!C1254&lt;=2,1,IF(Dataset!C1254=3,2,IF(Dataset!C1254=4,3,4)))</f>
        <v>3</v>
      </c>
      <c r="G1254" s="29">
        <f t="shared" si="153"/>
        <v>1.9500000000000002</v>
      </c>
      <c r="H1254" s="29">
        <f>IF(Dataset!G1254&lt;=3,0.25,IF(Dataset!G1254&lt;=6,0.45,IF(Dataset!G1254&lt;=9,0.65,0.85)))</f>
        <v>0.45</v>
      </c>
      <c r="I1254" s="29">
        <f>IF(Dataset!G1254&lt;=3,1,IF(Dataset!G1254&lt;=6,2,IF(Dataset!G1254&lt;=9,3,4)))</f>
        <v>2</v>
      </c>
      <c r="J1254" s="29">
        <f t="shared" si="154"/>
        <v>0.9</v>
      </c>
      <c r="K1254" s="29">
        <f>IF(Dataset!H1254&lt;1,0.2,IF(Dataset!H1254&lt;1.3,0.45,IF(Dataset!H1254&lt;1.8,0.7,0.9)))</f>
        <v>0.7</v>
      </c>
      <c r="L1254" s="29">
        <f>IF(Dataset!H1254&lt;1,1,IF(Dataset!H1254&lt;1.3,2,IF(Dataset!H1254&lt;1.8,3,4)))</f>
        <v>3</v>
      </c>
      <c r="M1254" s="29">
        <f t="shared" si="155"/>
        <v>2.0999999999999996</v>
      </c>
      <c r="N1254" s="29">
        <f>IF(Dataset!F1254=1,0.75,IF(Dataset!F1254=2,0.45,0.2))</f>
        <v>0.2</v>
      </c>
      <c r="O1254" s="29">
        <f>IF(Dataset!F1254=1,3,IF(Dataset!F1254=2,2,1))</f>
        <v>1</v>
      </c>
      <c r="P1254" s="29">
        <f t="shared" si="156"/>
        <v>0.2</v>
      </c>
      <c r="Q1254" s="29">
        <f>IF(Dataset!K1254&lt;5,0.2,IF(Dataset!K1254&lt;10,0.45,IF(Dataset!K1254&lt;18,0.7,0.9)))</f>
        <v>0.7</v>
      </c>
      <c r="R1254" s="29">
        <f>IF(Dataset!K1254&lt;5,1,IF(Dataset!K1254&lt;10,2,IF(Dataset!K1254&lt;18,3,4)))</f>
        <v>3</v>
      </c>
      <c r="S1254" s="29">
        <f t="shared" si="157"/>
        <v>2.0999999999999996</v>
      </c>
      <c r="T1254" s="29">
        <f t="shared" si="158"/>
        <v>1.3250000000000002</v>
      </c>
      <c r="U1254" s="29" t="str">
        <f t="shared" si="159"/>
        <v>Low</v>
      </c>
    </row>
    <row r="1255" spans="1:21" ht="15" customHeight="1" x14ac:dyDescent="0.25">
      <c r="A1255" s="29">
        <f>Dataset!A1255</f>
        <v>1251</v>
      </c>
      <c r="B1255" s="29">
        <f>IF(Dataset!B1255&lt;25,0.3,IF(Dataset!B1255&lt;75,0.5,IF(Dataset!B1255&lt;120,0.65,0.8)))</f>
        <v>0.65</v>
      </c>
      <c r="C1255" s="29">
        <f>IF(Dataset!B1255&lt;25,1,IF(Dataset!B1255&lt;75,2,IF(Dataset!B1255&lt;120,3,4)))</f>
        <v>3</v>
      </c>
      <c r="D1255" s="29">
        <f t="shared" si="152"/>
        <v>1.9500000000000002</v>
      </c>
      <c r="E1255" s="29">
        <f>IF(Dataset!C1255&lt;=1,0.3,IF(Dataset!C1255=2,0.4,IF(Dataset!C1255=3,0.5,IF(Dataset!C1255=4,0.65,0.8))))</f>
        <v>0.4</v>
      </c>
      <c r="F1255" s="29">
        <f>IF(Dataset!C1255&lt;=2,1,IF(Dataset!C1255=3,2,IF(Dataset!C1255=4,3,4)))</f>
        <v>1</v>
      </c>
      <c r="G1255" s="29">
        <f t="shared" si="153"/>
        <v>0.4</v>
      </c>
      <c r="H1255" s="29">
        <f>IF(Dataset!G1255&lt;=3,0.25,IF(Dataset!G1255&lt;=6,0.45,IF(Dataset!G1255&lt;=9,0.65,0.85)))</f>
        <v>0.25</v>
      </c>
      <c r="I1255" s="29">
        <f>IF(Dataset!G1255&lt;=3,1,IF(Dataset!G1255&lt;=6,2,IF(Dataset!G1255&lt;=9,3,4)))</f>
        <v>1</v>
      </c>
      <c r="J1255" s="29">
        <f t="shared" si="154"/>
        <v>0.25</v>
      </c>
      <c r="K1255" s="29">
        <f>IF(Dataset!H1255&lt;1,0.2,IF(Dataset!H1255&lt;1.3,0.45,IF(Dataset!H1255&lt;1.8,0.7,0.9)))</f>
        <v>0.45</v>
      </c>
      <c r="L1255" s="29">
        <f>IF(Dataset!H1255&lt;1,1,IF(Dataset!H1255&lt;1.3,2,IF(Dataset!H1255&lt;1.8,3,4)))</f>
        <v>2</v>
      </c>
      <c r="M1255" s="29">
        <f t="shared" si="155"/>
        <v>0.9</v>
      </c>
      <c r="N1255" s="29">
        <f>IF(Dataset!F1255=1,0.75,IF(Dataset!F1255=2,0.45,0.2))</f>
        <v>0.75</v>
      </c>
      <c r="O1255" s="29">
        <f>IF(Dataset!F1255=1,3,IF(Dataset!F1255=2,2,1))</f>
        <v>3</v>
      </c>
      <c r="P1255" s="29">
        <f t="shared" si="156"/>
        <v>2.25</v>
      </c>
      <c r="Q1255" s="29">
        <f>IF(Dataset!K1255&lt;5,0.2,IF(Dataset!K1255&lt;10,0.45,IF(Dataset!K1255&lt;18,0.7,0.9)))</f>
        <v>0.2</v>
      </c>
      <c r="R1255" s="29">
        <f>IF(Dataset!K1255&lt;5,1,IF(Dataset!K1255&lt;10,2,IF(Dataset!K1255&lt;18,3,4)))</f>
        <v>1</v>
      </c>
      <c r="S1255" s="29">
        <f t="shared" si="157"/>
        <v>0.2</v>
      </c>
      <c r="T1255" s="29">
        <f t="shared" si="158"/>
        <v>0.92600000000000005</v>
      </c>
      <c r="U1255" s="29" t="str">
        <f t="shared" si="159"/>
        <v>Low</v>
      </c>
    </row>
    <row r="1256" spans="1:21" ht="15" customHeight="1" x14ac:dyDescent="0.25">
      <c r="A1256" s="29">
        <f>Dataset!A1256</f>
        <v>1252</v>
      </c>
      <c r="B1256" s="29">
        <f>IF(Dataset!B1256&lt;25,0.3,IF(Dataset!B1256&lt;75,0.5,IF(Dataset!B1256&lt;120,0.65,0.8)))</f>
        <v>0.65</v>
      </c>
      <c r="C1256" s="29">
        <f>IF(Dataset!B1256&lt;25,1,IF(Dataset!B1256&lt;75,2,IF(Dataset!B1256&lt;120,3,4)))</f>
        <v>3</v>
      </c>
      <c r="D1256" s="29">
        <f t="shared" si="152"/>
        <v>1.9500000000000002</v>
      </c>
      <c r="E1256" s="29">
        <f>IF(Dataset!C1256&lt;=1,0.3,IF(Dataset!C1256=2,0.4,IF(Dataset!C1256=3,0.5,IF(Dataset!C1256=4,0.65,0.8))))</f>
        <v>0.5</v>
      </c>
      <c r="F1256" s="29">
        <f>IF(Dataset!C1256&lt;=2,1,IF(Dataset!C1256=3,2,IF(Dataset!C1256=4,3,4)))</f>
        <v>2</v>
      </c>
      <c r="G1256" s="29">
        <f t="shared" si="153"/>
        <v>1</v>
      </c>
      <c r="H1256" s="29">
        <f>IF(Dataset!G1256&lt;=3,0.25,IF(Dataset!G1256&lt;=6,0.45,IF(Dataset!G1256&lt;=9,0.65,0.85)))</f>
        <v>0.45</v>
      </c>
      <c r="I1256" s="29">
        <f>IF(Dataset!G1256&lt;=3,1,IF(Dataset!G1256&lt;=6,2,IF(Dataset!G1256&lt;=9,3,4)))</f>
        <v>2</v>
      </c>
      <c r="J1256" s="29">
        <f t="shared" si="154"/>
        <v>0.9</v>
      </c>
      <c r="K1256" s="29">
        <f>IF(Dataset!H1256&lt;1,0.2,IF(Dataset!H1256&lt;1.3,0.45,IF(Dataset!H1256&lt;1.8,0.7,0.9)))</f>
        <v>0.9</v>
      </c>
      <c r="L1256" s="29">
        <f>IF(Dataset!H1256&lt;1,1,IF(Dataset!H1256&lt;1.3,2,IF(Dataset!H1256&lt;1.8,3,4)))</f>
        <v>4</v>
      </c>
      <c r="M1256" s="29">
        <f t="shared" si="155"/>
        <v>3.6</v>
      </c>
      <c r="N1256" s="29">
        <f>IF(Dataset!F1256=1,0.75,IF(Dataset!F1256=2,0.45,0.2))</f>
        <v>0.45</v>
      </c>
      <c r="O1256" s="29">
        <f>IF(Dataset!F1256=1,3,IF(Dataset!F1256=2,2,1))</f>
        <v>2</v>
      </c>
      <c r="P1256" s="29">
        <f t="shared" si="156"/>
        <v>0.9</v>
      </c>
      <c r="Q1256" s="29">
        <f>IF(Dataset!K1256&lt;5,0.2,IF(Dataset!K1256&lt;10,0.45,IF(Dataset!K1256&lt;18,0.7,0.9)))</f>
        <v>0.2</v>
      </c>
      <c r="R1256" s="29">
        <f>IF(Dataset!K1256&lt;5,1,IF(Dataset!K1256&lt;10,2,IF(Dataset!K1256&lt;18,3,4)))</f>
        <v>1</v>
      </c>
      <c r="S1256" s="29">
        <f t="shared" si="157"/>
        <v>0.2</v>
      </c>
      <c r="T1256" s="29">
        <f t="shared" si="158"/>
        <v>1.6530000000000002</v>
      </c>
      <c r="U1256" s="29" t="str">
        <f t="shared" si="159"/>
        <v>Medium</v>
      </c>
    </row>
    <row r="1257" spans="1:21" ht="15" customHeight="1" x14ac:dyDescent="0.25">
      <c r="A1257" s="29">
        <f>Dataset!A1257</f>
        <v>1253</v>
      </c>
      <c r="B1257" s="29">
        <f>IF(Dataset!B1257&lt;25,0.3,IF(Dataset!B1257&lt;75,0.5,IF(Dataset!B1257&lt;120,0.65,0.8)))</f>
        <v>0.65</v>
      </c>
      <c r="C1257" s="29">
        <f>IF(Dataset!B1257&lt;25,1,IF(Dataset!B1257&lt;75,2,IF(Dataset!B1257&lt;120,3,4)))</f>
        <v>3</v>
      </c>
      <c r="D1257" s="29">
        <f t="shared" si="152"/>
        <v>1.9500000000000002</v>
      </c>
      <c r="E1257" s="29">
        <f>IF(Dataset!C1257&lt;=1,0.3,IF(Dataset!C1257=2,0.4,IF(Dataset!C1257=3,0.5,IF(Dataset!C1257=4,0.65,0.8))))</f>
        <v>0.65</v>
      </c>
      <c r="F1257" s="29">
        <f>IF(Dataset!C1257&lt;=2,1,IF(Dataset!C1257=3,2,IF(Dataset!C1257=4,3,4)))</f>
        <v>3</v>
      </c>
      <c r="G1257" s="29">
        <f t="shared" si="153"/>
        <v>1.9500000000000002</v>
      </c>
      <c r="H1257" s="29">
        <f>IF(Dataset!G1257&lt;=3,0.25,IF(Dataset!G1257&lt;=6,0.45,IF(Dataset!G1257&lt;=9,0.65,0.85)))</f>
        <v>0.45</v>
      </c>
      <c r="I1257" s="29">
        <f>IF(Dataset!G1257&lt;=3,1,IF(Dataset!G1257&lt;=6,2,IF(Dataset!G1257&lt;=9,3,4)))</f>
        <v>2</v>
      </c>
      <c r="J1257" s="29">
        <f t="shared" si="154"/>
        <v>0.9</v>
      </c>
      <c r="K1257" s="29">
        <f>IF(Dataset!H1257&lt;1,0.2,IF(Dataset!H1257&lt;1.3,0.45,IF(Dataset!H1257&lt;1.8,0.7,0.9)))</f>
        <v>0.45</v>
      </c>
      <c r="L1257" s="29">
        <f>IF(Dataset!H1257&lt;1,1,IF(Dataset!H1257&lt;1.3,2,IF(Dataset!H1257&lt;1.8,3,4)))</f>
        <v>2</v>
      </c>
      <c r="M1257" s="29">
        <f t="shared" si="155"/>
        <v>0.9</v>
      </c>
      <c r="N1257" s="29">
        <f>IF(Dataset!F1257=1,0.75,IF(Dataset!F1257=2,0.45,0.2))</f>
        <v>0.2</v>
      </c>
      <c r="O1257" s="29">
        <f>IF(Dataset!F1257=1,3,IF(Dataset!F1257=2,2,1))</f>
        <v>1</v>
      </c>
      <c r="P1257" s="29">
        <f t="shared" si="156"/>
        <v>0.2</v>
      </c>
      <c r="Q1257" s="29">
        <f>IF(Dataset!K1257&lt;5,0.2,IF(Dataset!K1257&lt;10,0.45,IF(Dataset!K1257&lt;18,0.7,0.9)))</f>
        <v>0.45</v>
      </c>
      <c r="R1257" s="29">
        <f>IF(Dataset!K1257&lt;5,1,IF(Dataset!K1257&lt;10,2,IF(Dataset!K1257&lt;18,3,4)))</f>
        <v>2</v>
      </c>
      <c r="S1257" s="29">
        <f t="shared" si="157"/>
        <v>0.9</v>
      </c>
      <c r="T1257" s="29">
        <f t="shared" si="158"/>
        <v>1.1660000000000004</v>
      </c>
      <c r="U1257" s="29" t="str">
        <f t="shared" si="159"/>
        <v>Low</v>
      </c>
    </row>
    <row r="1258" spans="1:21" ht="15" customHeight="1" x14ac:dyDescent="0.25">
      <c r="A1258" s="29">
        <f>Dataset!A1258</f>
        <v>1254</v>
      </c>
      <c r="B1258" s="29">
        <f>IF(Dataset!B1258&lt;25,0.3,IF(Dataset!B1258&lt;75,0.5,IF(Dataset!B1258&lt;120,0.65,0.8)))</f>
        <v>0.5</v>
      </c>
      <c r="C1258" s="29">
        <f>IF(Dataset!B1258&lt;25,1,IF(Dataset!B1258&lt;75,2,IF(Dataset!B1258&lt;120,3,4)))</f>
        <v>2</v>
      </c>
      <c r="D1258" s="29">
        <f t="shared" si="152"/>
        <v>1</v>
      </c>
      <c r="E1258" s="29">
        <f>IF(Dataset!C1258&lt;=1,0.3,IF(Dataset!C1258=2,0.4,IF(Dataset!C1258=3,0.5,IF(Dataset!C1258=4,0.65,0.8))))</f>
        <v>0.4</v>
      </c>
      <c r="F1258" s="29">
        <f>IF(Dataset!C1258&lt;=2,1,IF(Dataset!C1258=3,2,IF(Dataset!C1258=4,3,4)))</f>
        <v>1</v>
      </c>
      <c r="G1258" s="29">
        <f t="shared" si="153"/>
        <v>0.4</v>
      </c>
      <c r="H1258" s="29">
        <f>IF(Dataset!G1258&lt;=3,0.25,IF(Dataset!G1258&lt;=6,0.45,IF(Dataset!G1258&lt;=9,0.65,0.85)))</f>
        <v>0.45</v>
      </c>
      <c r="I1258" s="29">
        <f>IF(Dataset!G1258&lt;=3,1,IF(Dataset!G1258&lt;=6,2,IF(Dataset!G1258&lt;=9,3,4)))</f>
        <v>2</v>
      </c>
      <c r="J1258" s="29">
        <f t="shared" si="154"/>
        <v>0.9</v>
      </c>
      <c r="K1258" s="29">
        <f>IF(Dataset!H1258&lt;1,0.2,IF(Dataset!H1258&lt;1.3,0.45,IF(Dataset!H1258&lt;1.8,0.7,0.9)))</f>
        <v>0.9</v>
      </c>
      <c r="L1258" s="29">
        <f>IF(Dataset!H1258&lt;1,1,IF(Dataset!H1258&lt;1.3,2,IF(Dataset!H1258&lt;1.8,3,4)))</f>
        <v>4</v>
      </c>
      <c r="M1258" s="29">
        <f t="shared" si="155"/>
        <v>3.6</v>
      </c>
      <c r="N1258" s="29">
        <f>IF(Dataset!F1258=1,0.75,IF(Dataset!F1258=2,0.45,0.2))</f>
        <v>0.75</v>
      </c>
      <c r="O1258" s="29">
        <f>IF(Dataset!F1258=1,3,IF(Dataset!F1258=2,2,1))</f>
        <v>3</v>
      </c>
      <c r="P1258" s="29">
        <f t="shared" si="156"/>
        <v>2.25</v>
      </c>
      <c r="Q1258" s="29">
        <f>IF(Dataset!K1258&lt;5,0.2,IF(Dataset!K1258&lt;10,0.45,IF(Dataset!K1258&lt;18,0.7,0.9)))</f>
        <v>0.45</v>
      </c>
      <c r="R1258" s="29">
        <f>IF(Dataset!K1258&lt;5,1,IF(Dataset!K1258&lt;10,2,IF(Dataset!K1258&lt;18,3,4)))</f>
        <v>2</v>
      </c>
      <c r="S1258" s="29">
        <f t="shared" si="157"/>
        <v>0.9</v>
      </c>
      <c r="T1258" s="29">
        <f t="shared" si="158"/>
        <v>1.6310000000000002</v>
      </c>
      <c r="U1258" s="29" t="str">
        <f t="shared" si="159"/>
        <v>Medium</v>
      </c>
    </row>
    <row r="1259" spans="1:21" ht="15" customHeight="1" x14ac:dyDescent="0.25">
      <c r="A1259" s="29">
        <f>Dataset!A1259</f>
        <v>1255</v>
      </c>
      <c r="B1259" s="29">
        <f>IF(Dataset!B1259&lt;25,0.3,IF(Dataset!B1259&lt;75,0.5,IF(Dataset!B1259&lt;120,0.65,0.8)))</f>
        <v>0.8</v>
      </c>
      <c r="C1259" s="29">
        <f>IF(Dataset!B1259&lt;25,1,IF(Dataset!B1259&lt;75,2,IF(Dataset!B1259&lt;120,3,4)))</f>
        <v>4</v>
      </c>
      <c r="D1259" s="29">
        <f t="shared" si="152"/>
        <v>3.2</v>
      </c>
      <c r="E1259" s="29">
        <f>IF(Dataset!C1259&lt;=1,0.3,IF(Dataset!C1259=2,0.4,IF(Dataset!C1259=3,0.5,IF(Dataset!C1259=4,0.65,0.8))))</f>
        <v>0.5</v>
      </c>
      <c r="F1259" s="29">
        <f>IF(Dataset!C1259&lt;=2,1,IF(Dataset!C1259=3,2,IF(Dataset!C1259=4,3,4)))</f>
        <v>2</v>
      </c>
      <c r="G1259" s="29">
        <f t="shared" si="153"/>
        <v>1</v>
      </c>
      <c r="H1259" s="29">
        <f>IF(Dataset!G1259&lt;=3,0.25,IF(Dataset!G1259&lt;=6,0.45,IF(Dataset!G1259&lt;=9,0.65,0.85)))</f>
        <v>0.25</v>
      </c>
      <c r="I1259" s="29">
        <f>IF(Dataset!G1259&lt;=3,1,IF(Dataset!G1259&lt;=6,2,IF(Dataset!G1259&lt;=9,3,4)))</f>
        <v>1</v>
      </c>
      <c r="J1259" s="29">
        <f t="shared" si="154"/>
        <v>0.25</v>
      </c>
      <c r="K1259" s="29">
        <f>IF(Dataset!H1259&lt;1,0.2,IF(Dataset!H1259&lt;1.3,0.45,IF(Dataset!H1259&lt;1.8,0.7,0.9)))</f>
        <v>0.7</v>
      </c>
      <c r="L1259" s="29">
        <f>IF(Dataset!H1259&lt;1,1,IF(Dataset!H1259&lt;1.3,2,IF(Dataset!H1259&lt;1.8,3,4)))</f>
        <v>3</v>
      </c>
      <c r="M1259" s="29">
        <f t="shared" si="155"/>
        <v>2.0999999999999996</v>
      </c>
      <c r="N1259" s="29">
        <f>IF(Dataset!F1259=1,0.75,IF(Dataset!F1259=2,0.45,0.2))</f>
        <v>0.75</v>
      </c>
      <c r="O1259" s="29">
        <f>IF(Dataset!F1259=1,3,IF(Dataset!F1259=2,2,1))</f>
        <v>3</v>
      </c>
      <c r="P1259" s="29">
        <f t="shared" si="156"/>
        <v>2.25</v>
      </c>
      <c r="Q1259" s="29">
        <f>IF(Dataset!K1259&lt;5,0.2,IF(Dataset!K1259&lt;10,0.45,IF(Dataset!K1259&lt;18,0.7,0.9)))</f>
        <v>0.45</v>
      </c>
      <c r="R1259" s="29">
        <f>IF(Dataset!K1259&lt;5,1,IF(Dataset!K1259&lt;10,2,IF(Dataset!K1259&lt;18,3,4)))</f>
        <v>2</v>
      </c>
      <c r="S1259" s="29">
        <f t="shared" si="157"/>
        <v>0.9</v>
      </c>
      <c r="T1259" s="29">
        <f t="shared" si="158"/>
        <v>1.6210000000000002</v>
      </c>
      <c r="U1259" s="29" t="str">
        <f t="shared" si="159"/>
        <v>Medium</v>
      </c>
    </row>
    <row r="1260" spans="1:21" ht="15" customHeight="1" x14ac:dyDescent="0.25">
      <c r="A1260" s="29">
        <f>Dataset!A1260</f>
        <v>1256</v>
      </c>
      <c r="B1260" s="29">
        <f>IF(Dataset!B1260&lt;25,0.3,IF(Dataset!B1260&lt;75,0.5,IF(Dataset!B1260&lt;120,0.65,0.8)))</f>
        <v>0.65</v>
      </c>
      <c r="C1260" s="29">
        <f>IF(Dataset!B1260&lt;25,1,IF(Dataset!B1260&lt;75,2,IF(Dataset!B1260&lt;120,3,4)))</f>
        <v>3</v>
      </c>
      <c r="D1260" s="29">
        <f t="shared" si="152"/>
        <v>1.9500000000000002</v>
      </c>
      <c r="E1260" s="29">
        <f>IF(Dataset!C1260&lt;=1,0.3,IF(Dataset!C1260=2,0.4,IF(Dataset!C1260=3,0.5,IF(Dataset!C1260=4,0.65,0.8))))</f>
        <v>0.5</v>
      </c>
      <c r="F1260" s="29">
        <f>IF(Dataset!C1260&lt;=2,1,IF(Dataset!C1260=3,2,IF(Dataset!C1260=4,3,4)))</f>
        <v>2</v>
      </c>
      <c r="G1260" s="29">
        <f t="shared" si="153"/>
        <v>1</v>
      </c>
      <c r="H1260" s="29">
        <f>IF(Dataset!G1260&lt;=3,0.25,IF(Dataset!G1260&lt;=6,0.45,IF(Dataset!G1260&lt;=9,0.65,0.85)))</f>
        <v>0.45</v>
      </c>
      <c r="I1260" s="29">
        <f>IF(Dataset!G1260&lt;=3,1,IF(Dataset!G1260&lt;=6,2,IF(Dataset!G1260&lt;=9,3,4)))</f>
        <v>2</v>
      </c>
      <c r="J1260" s="29">
        <f t="shared" si="154"/>
        <v>0.9</v>
      </c>
      <c r="K1260" s="29">
        <f>IF(Dataset!H1260&lt;1,0.2,IF(Dataset!H1260&lt;1.3,0.45,IF(Dataset!H1260&lt;1.8,0.7,0.9)))</f>
        <v>0.9</v>
      </c>
      <c r="L1260" s="29">
        <f>IF(Dataset!H1260&lt;1,1,IF(Dataset!H1260&lt;1.3,2,IF(Dataset!H1260&lt;1.8,3,4)))</f>
        <v>4</v>
      </c>
      <c r="M1260" s="29">
        <f t="shared" si="155"/>
        <v>3.6</v>
      </c>
      <c r="N1260" s="29">
        <f>IF(Dataset!F1260=1,0.75,IF(Dataset!F1260=2,0.45,0.2))</f>
        <v>0.2</v>
      </c>
      <c r="O1260" s="29">
        <f>IF(Dataset!F1260=1,3,IF(Dataset!F1260=2,2,1))</f>
        <v>1</v>
      </c>
      <c r="P1260" s="29">
        <f t="shared" si="156"/>
        <v>0.2</v>
      </c>
      <c r="Q1260" s="29">
        <f>IF(Dataset!K1260&lt;5,0.2,IF(Dataset!K1260&lt;10,0.45,IF(Dataset!K1260&lt;18,0.7,0.9)))</f>
        <v>0.2</v>
      </c>
      <c r="R1260" s="29">
        <f>IF(Dataset!K1260&lt;5,1,IF(Dataset!K1260&lt;10,2,IF(Dataset!K1260&lt;18,3,4)))</f>
        <v>1</v>
      </c>
      <c r="S1260" s="29">
        <f t="shared" si="157"/>
        <v>0.2</v>
      </c>
      <c r="T1260" s="29">
        <f t="shared" si="158"/>
        <v>1.5830000000000002</v>
      </c>
      <c r="U1260" s="29" t="str">
        <f t="shared" si="159"/>
        <v>Medium</v>
      </c>
    </row>
    <row r="1261" spans="1:21" ht="15" customHeight="1" x14ac:dyDescent="0.25">
      <c r="A1261" s="29">
        <f>Dataset!A1261</f>
        <v>1257</v>
      </c>
      <c r="B1261" s="29">
        <f>IF(Dataset!B1261&lt;25,0.3,IF(Dataset!B1261&lt;75,0.5,IF(Dataset!B1261&lt;120,0.65,0.8)))</f>
        <v>0.5</v>
      </c>
      <c r="C1261" s="29">
        <f>IF(Dataset!B1261&lt;25,1,IF(Dataset!B1261&lt;75,2,IF(Dataset!B1261&lt;120,3,4)))</f>
        <v>2</v>
      </c>
      <c r="D1261" s="29">
        <f t="shared" si="152"/>
        <v>1</v>
      </c>
      <c r="E1261" s="29">
        <f>IF(Dataset!C1261&lt;=1,0.3,IF(Dataset!C1261=2,0.4,IF(Dataset!C1261=3,0.5,IF(Dataset!C1261=4,0.65,0.8))))</f>
        <v>0.4</v>
      </c>
      <c r="F1261" s="29">
        <f>IF(Dataset!C1261&lt;=2,1,IF(Dataset!C1261=3,2,IF(Dataset!C1261=4,3,4)))</f>
        <v>1</v>
      </c>
      <c r="G1261" s="29">
        <f t="shared" si="153"/>
        <v>0.4</v>
      </c>
      <c r="H1261" s="29">
        <f>IF(Dataset!G1261&lt;=3,0.25,IF(Dataset!G1261&lt;=6,0.45,IF(Dataset!G1261&lt;=9,0.65,0.85)))</f>
        <v>0.65</v>
      </c>
      <c r="I1261" s="29">
        <f>IF(Dataset!G1261&lt;=3,1,IF(Dataset!G1261&lt;=6,2,IF(Dataset!G1261&lt;=9,3,4)))</f>
        <v>3</v>
      </c>
      <c r="J1261" s="29">
        <f t="shared" si="154"/>
        <v>1.9500000000000002</v>
      </c>
      <c r="K1261" s="29">
        <f>IF(Dataset!H1261&lt;1,0.2,IF(Dataset!H1261&lt;1.3,0.45,IF(Dataset!H1261&lt;1.8,0.7,0.9)))</f>
        <v>0.45</v>
      </c>
      <c r="L1261" s="29">
        <f>IF(Dataset!H1261&lt;1,1,IF(Dataset!H1261&lt;1.3,2,IF(Dataset!H1261&lt;1.8,3,4)))</f>
        <v>2</v>
      </c>
      <c r="M1261" s="29">
        <f t="shared" si="155"/>
        <v>0.9</v>
      </c>
      <c r="N1261" s="29">
        <f>IF(Dataset!F1261=1,0.75,IF(Dataset!F1261=2,0.45,0.2))</f>
        <v>0.75</v>
      </c>
      <c r="O1261" s="29">
        <f>IF(Dataset!F1261=1,3,IF(Dataset!F1261=2,2,1))</f>
        <v>3</v>
      </c>
      <c r="P1261" s="29">
        <f t="shared" si="156"/>
        <v>2.25</v>
      </c>
      <c r="Q1261" s="29">
        <f>IF(Dataset!K1261&lt;5,0.2,IF(Dataset!K1261&lt;10,0.45,IF(Dataset!K1261&lt;18,0.7,0.9)))</f>
        <v>0.2</v>
      </c>
      <c r="R1261" s="29">
        <f>IF(Dataset!K1261&lt;5,1,IF(Dataset!K1261&lt;10,2,IF(Dataset!K1261&lt;18,3,4)))</f>
        <v>1</v>
      </c>
      <c r="S1261" s="29">
        <f t="shared" si="157"/>
        <v>0.2</v>
      </c>
      <c r="T1261" s="29">
        <f t="shared" si="158"/>
        <v>1.0950000000000002</v>
      </c>
      <c r="U1261" s="29" t="str">
        <f t="shared" si="159"/>
        <v>Low</v>
      </c>
    </row>
    <row r="1262" spans="1:21" ht="15" customHeight="1" x14ac:dyDescent="0.25">
      <c r="A1262" s="29">
        <f>Dataset!A1262</f>
        <v>1258</v>
      </c>
      <c r="B1262" s="29">
        <f>IF(Dataset!B1262&lt;25,0.3,IF(Dataset!B1262&lt;75,0.5,IF(Dataset!B1262&lt;120,0.65,0.8)))</f>
        <v>0.3</v>
      </c>
      <c r="C1262" s="29">
        <f>IF(Dataset!B1262&lt;25,1,IF(Dataset!B1262&lt;75,2,IF(Dataset!B1262&lt;120,3,4)))</f>
        <v>1</v>
      </c>
      <c r="D1262" s="29">
        <f t="shared" si="152"/>
        <v>0.3</v>
      </c>
      <c r="E1262" s="29">
        <f>IF(Dataset!C1262&lt;=1,0.3,IF(Dataset!C1262=2,0.4,IF(Dataset!C1262=3,0.5,IF(Dataset!C1262=4,0.65,0.8))))</f>
        <v>0.5</v>
      </c>
      <c r="F1262" s="29">
        <f>IF(Dataset!C1262&lt;=2,1,IF(Dataset!C1262=3,2,IF(Dataset!C1262=4,3,4)))</f>
        <v>2</v>
      </c>
      <c r="G1262" s="29">
        <f t="shared" si="153"/>
        <v>1</v>
      </c>
      <c r="H1262" s="29">
        <f>IF(Dataset!G1262&lt;=3,0.25,IF(Dataset!G1262&lt;=6,0.45,IF(Dataset!G1262&lt;=9,0.65,0.85)))</f>
        <v>0.85</v>
      </c>
      <c r="I1262" s="29">
        <f>IF(Dataset!G1262&lt;=3,1,IF(Dataset!G1262&lt;=6,2,IF(Dataset!G1262&lt;=9,3,4)))</f>
        <v>4</v>
      </c>
      <c r="J1262" s="29">
        <f t="shared" si="154"/>
        <v>3.4</v>
      </c>
      <c r="K1262" s="29">
        <f>IF(Dataset!H1262&lt;1,0.2,IF(Dataset!H1262&lt;1.3,0.45,IF(Dataset!H1262&lt;1.8,0.7,0.9)))</f>
        <v>0.7</v>
      </c>
      <c r="L1262" s="29">
        <f>IF(Dataset!H1262&lt;1,1,IF(Dataset!H1262&lt;1.3,2,IF(Dataset!H1262&lt;1.8,3,4)))</f>
        <v>3</v>
      </c>
      <c r="M1262" s="29">
        <f t="shared" si="155"/>
        <v>2.0999999999999996</v>
      </c>
      <c r="N1262" s="29">
        <f>IF(Dataset!F1262=1,0.75,IF(Dataset!F1262=2,0.45,0.2))</f>
        <v>0.75</v>
      </c>
      <c r="O1262" s="29">
        <f>IF(Dataset!F1262=1,3,IF(Dataset!F1262=2,2,1))</f>
        <v>3</v>
      </c>
      <c r="P1262" s="29">
        <f t="shared" si="156"/>
        <v>2.25</v>
      </c>
      <c r="Q1262" s="29">
        <f>IF(Dataset!K1262&lt;5,0.2,IF(Dataset!K1262&lt;10,0.45,IF(Dataset!K1262&lt;18,0.7,0.9)))</f>
        <v>0.2</v>
      </c>
      <c r="R1262" s="29">
        <f>IF(Dataset!K1262&lt;5,1,IF(Dataset!K1262&lt;10,2,IF(Dataset!K1262&lt;18,3,4)))</f>
        <v>1</v>
      </c>
      <c r="S1262" s="29">
        <f t="shared" si="157"/>
        <v>0.2</v>
      </c>
      <c r="T1262" s="29">
        <f t="shared" si="158"/>
        <v>1.6310000000000002</v>
      </c>
      <c r="U1262" s="29" t="str">
        <f t="shared" si="159"/>
        <v>Medium</v>
      </c>
    </row>
    <row r="1263" spans="1:21" ht="15" customHeight="1" x14ac:dyDescent="0.25">
      <c r="A1263" s="29">
        <f>Dataset!A1263</f>
        <v>1259</v>
      </c>
      <c r="B1263" s="29">
        <f>IF(Dataset!B1263&lt;25,0.3,IF(Dataset!B1263&lt;75,0.5,IF(Dataset!B1263&lt;120,0.65,0.8)))</f>
        <v>0.5</v>
      </c>
      <c r="C1263" s="29">
        <f>IF(Dataset!B1263&lt;25,1,IF(Dataset!B1263&lt;75,2,IF(Dataset!B1263&lt;120,3,4)))</f>
        <v>2</v>
      </c>
      <c r="D1263" s="29">
        <f t="shared" si="152"/>
        <v>1</v>
      </c>
      <c r="E1263" s="29">
        <f>IF(Dataset!C1263&lt;=1,0.3,IF(Dataset!C1263=2,0.4,IF(Dataset!C1263=3,0.5,IF(Dataset!C1263=4,0.65,0.8))))</f>
        <v>0.4</v>
      </c>
      <c r="F1263" s="29">
        <f>IF(Dataset!C1263&lt;=2,1,IF(Dataset!C1263=3,2,IF(Dataset!C1263=4,3,4)))</f>
        <v>1</v>
      </c>
      <c r="G1263" s="29">
        <f t="shared" si="153"/>
        <v>0.4</v>
      </c>
      <c r="H1263" s="29">
        <f>IF(Dataset!G1263&lt;=3,0.25,IF(Dataset!G1263&lt;=6,0.45,IF(Dataset!G1263&lt;=9,0.65,0.85)))</f>
        <v>0.65</v>
      </c>
      <c r="I1263" s="29">
        <f>IF(Dataset!G1263&lt;=3,1,IF(Dataset!G1263&lt;=6,2,IF(Dataset!G1263&lt;=9,3,4)))</f>
        <v>3</v>
      </c>
      <c r="J1263" s="29">
        <f t="shared" si="154"/>
        <v>1.9500000000000002</v>
      </c>
      <c r="K1263" s="29">
        <f>IF(Dataset!H1263&lt;1,0.2,IF(Dataset!H1263&lt;1.3,0.45,IF(Dataset!H1263&lt;1.8,0.7,0.9)))</f>
        <v>0.45</v>
      </c>
      <c r="L1263" s="29">
        <f>IF(Dataset!H1263&lt;1,1,IF(Dataset!H1263&lt;1.3,2,IF(Dataset!H1263&lt;1.8,3,4)))</f>
        <v>2</v>
      </c>
      <c r="M1263" s="29">
        <f t="shared" si="155"/>
        <v>0.9</v>
      </c>
      <c r="N1263" s="29">
        <f>IF(Dataset!F1263=1,0.75,IF(Dataset!F1263=2,0.45,0.2))</f>
        <v>0.45</v>
      </c>
      <c r="O1263" s="29">
        <f>IF(Dataset!F1263=1,3,IF(Dataset!F1263=2,2,1))</f>
        <v>2</v>
      </c>
      <c r="P1263" s="29">
        <f t="shared" si="156"/>
        <v>0.9</v>
      </c>
      <c r="Q1263" s="29">
        <f>IF(Dataset!K1263&lt;5,0.2,IF(Dataset!K1263&lt;10,0.45,IF(Dataset!K1263&lt;18,0.7,0.9)))</f>
        <v>0.2</v>
      </c>
      <c r="R1263" s="29">
        <f>IF(Dataset!K1263&lt;5,1,IF(Dataset!K1263&lt;10,2,IF(Dataset!K1263&lt;18,3,4)))</f>
        <v>1</v>
      </c>
      <c r="S1263" s="29">
        <f t="shared" si="157"/>
        <v>0.2</v>
      </c>
      <c r="T1263" s="29">
        <f t="shared" si="158"/>
        <v>0.96000000000000008</v>
      </c>
      <c r="U1263" s="29" t="str">
        <f t="shared" si="159"/>
        <v>Low</v>
      </c>
    </row>
    <row r="1264" spans="1:21" ht="15" customHeight="1" x14ac:dyDescent="0.25">
      <c r="A1264" s="29">
        <f>Dataset!A1264</f>
        <v>1260</v>
      </c>
      <c r="B1264" s="29">
        <f>IF(Dataset!B1264&lt;25,0.3,IF(Dataset!B1264&lt;75,0.5,IF(Dataset!B1264&lt;120,0.65,0.8)))</f>
        <v>0.65</v>
      </c>
      <c r="C1264" s="29">
        <f>IF(Dataset!B1264&lt;25,1,IF(Dataset!B1264&lt;75,2,IF(Dataset!B1264&lt;120,3,4)))</f>
        <v>3</v>
      </c>
      <c r="D1264" s="29">
        <f t="shared" si="152"/>
        <v>1.9500000000000002</v>
      </c>
      <c r="E1264" s="29">
        <f>IF(Dataset!C1264&lt;=1,0.3,IF(Dataset!C1264=2,0.4,IF(Dataset!C1264=3,0.5,IF(Dataset!C1264=4,0.65,0.8))))</f>
        <v>0.65</v>
      </c>
      <c r="F1264" s="29">
        <f>IF(Dataset!C1264&lt;=2,1,IF(Dataset!C1264=3,2,IF(Dataset!C1264=4,3,4)))</f>
        <v>3</v>
      </c>
      <c r="G1264" s="29">
        <f t="shared" si="153"/>
        <v>1.9500000000000002</v>
      </c>
      <c r="H1264" s="29">
        <f>IF(Dataset!G1264&lt;=3,0.25,IF(Dataset!G1264&lt;=6,0.45,IF(Dataset!G1264&lt;=9,0.65,0.85)))</f>
        <v>0.45</v>
      </c>
      <c r="I1264" s="29">
        <f>IF(Dataset!G1264&lt;=3,1,IF(Dataset!G1264&lt;=6,2,IF(Dataset!G1264&lt;=9,3,4)))</f>
        <v>2</v>
      </c>
      <c r="J1264" s="29">
        <f t="shared" si="154"/>
        <v>0.9</v>
      </c>
      <c r="K1264" s="29">
        <f>IF(Dataset!H1264&lt;1,0.2,IF(Dataset!H1264&lt;1.3,0.45,IF(Dataset!H1264&lt;1.8,0.7,0.9)))</f>
        <v>0.45</v>
      </c>
      <c r="L1264" s="29">
        <f>IF(Dataset!H1264&lt;1,1,IF(Dataset!H1264&lt;1.3,2,IF(Dataset!H1264&lt;1.8,3,4)))</f>
        <v>2</v>
      </c>
      <c r="M1264" s="29">
        <f t="shared" si="155"/>
        <v>0.9</v>
      </c>
      <c r="N1264" s="29">
        <f>IF(Dataset!F1264=1,0.75,IF(Dataset!F1264=2,0.45,0.2))</f>
        <v>0.75</v>
      </c>
      <c r="O1264" s="29">
        <f>IF(Dataset!F1264=1,3,IF(Dataset!F1264=2,2,1))</f>
        <v>3</v>
      </c>
      <c r="P1264" s="29">
        <f t="shared" si="156"/>
        <v>2.25</v>
      </c>
      <c r="Q1264" s="29">
        <f>IF(Dataset!K1264&lt;5,0.2,IF(Dataset!K1264&lt;10,0.45,IF(Dataset!K1264&lt;18,0.7,0.9)))</f>
        <v>0.7</v>
      </c>
      <c r="R1264" s="29">
        <f>IF(Dataset!K1264&lt;5,1,IF(Dataset!K1264&lt;10,2,IF(Dataset!K1264&lt;18,3,4)))</f>
        <v>3</v>
      </c>
      <c r="S1264" s="29">
        <f t="shared" si="157"/>
        <v>2.0999999999999996</v>
      </c>
      <c r="T1264" s="29">
        <f t="shared" si="158"/>
        <v>1.5390000000000004</v>
      </c>
      <c r="U1264" s="29" t="str">
        <f t="shared" si="159"/>
        <v>Medium</v>
      </c>
    </row>
    <row r="1265" spans="1:21" ht="15" customHeight="1" x14ac:dyDescent="0.25">
      <c r="A1265" s="29">
        <f>Dataset!A1265</f>
        <v>1261</v>
      </c>
      <c r="B1265" s="29">
        <f>IF(Dataset!B1265&lt;25,0.3,IF(Dataset!B1265&lt;75,0.5,IF(Dataset!B1265&lt;120,0.65,0.8)))</f>
        <v>0.8</v>
      </c>
      <c r="C1265" s="29">
        <f>IF(Dataset!B1265&lt;25,1,IF(Dataset!B1265&lt;75,2,IF(Dataset!B1265&lt;120,3,4)))</f>
        <v>4</v>
      </c>
      <c r="D1265" s="29">
        <f t="shared" si="152"/>
        <v>3.2</v>
      </c>
      <c r="E1265" s="29">
        <f>IF(Dataset!C1265&lt;=1,0.3,IF(Dataset!C1265=2,0.4,IF(Dataset!C1265=3,0.5,IF(Dataset!C1265=4,0.65,0.8))))</f>
        <v>0.4</v>
      </c>
      <c r="F1265" s="29">
        <f>IF(Dataset!C1265&lt;=2,1,IF(Dataset!C1265=3,2,IF(Dataset!C1265=4,3,4)))</f>
        <v>1</v>
      </c>
      <c r="G1265" s="29">
        <f t="shared" si="153"/>
        <v>0.4</v>
      </c>
      <c r="H1265" s="29">
        <f>IF(Dataset!G1265&lt;=3,0.25,IF(Dataset!G1265&lt;=6,0.45,IF(Dataset!G1265&lt;=9,0.65,0.85)))</f>
        <v>0.45</v>
      </c>
      <c r="I1265" s="29">
        <f>IF(Dataset!G1265&lt;=3,1,IF(Dataset!G1265&lt;=6,2,IF(Dataset!G1265&lt;=9,3,4)))</f>
        <v>2</v>
      </c>
      <c r="J1265" s="29">
        <f t="shared" si="154"/>
        <v>0.9</v>
      </c>
      <c r="K1265" s="29">
        <f>IF(Dataset!H1265&lt;1,0.2,IF(Dataset!H1265&lt;1.3,0.45,IF(Dataset!H1265&lt;1.8,0.7,0.9)))</f>
        <v>0.9</v>
      </c>
      <c r="L1265" s="29">
        <f>IF(Dataset!H1265&lt;1,1,IF(Dataset!H1265&lt;1.3,2,IF(Dataset!H1265&lt;1.8,3,4)))</f>
        <v>4</v>
      </c>
      <c r="M1265" s="29">
        <f t="shared" si="155"/>
        <v>3.6</v>
      </c>
      <c r="N1265" s="29">
        <f>IF(Dataset!F1265=1,0.75,IF(Dataset!F1265=2,0.45,0.2))</f>
        <v>0.2</v>
      </c>
      <c r="O1265" s="29">
        <f>IF(Dataset!F1265=1,3,IF(Dataset!F1265=2,2,1))</f>
        <v>1</v>
      </c>
      <c r="P1265" s="29">
        <f t="shared" si="156"/>
        <v>0.2</v>
      </c>
      <c r="Q1265" s="29">
        <f>IF(Dataset!K1265&lt;5,0.2,IF(Dataset!K1265&lt;10,0.45,IF(Dataset!K1265&lt;18,0.7,0.9)))</f>
        <v>0.2</v>
      </c>
      <c r="R1265" s="29">
        <f>IF(Dataset!K1265&lt;5,1,IF(Dataset!K1265&lt;10,2,IF(Dataset!K1265&lt;18,3,4)))</f>
        <v>1</v>
      </c>
      <c r="S1265" s="29">
        <f t="shared" si="157"/>
        <v>0.2</v>
      </c>
      <c r="T1265" s="29">
        <f t="shared" si="158"/>
        <v>1.7240000000000002</v>
      </c>
      <c r="U1265" s="29" t="str">
        <f t="shared" si="159"/>
        <v>Medium</v>
      </c>
    </row>
    <row r="1266" spans="1:21" ht="15" customHeight="1" x14ac:dyDescent="0.25">
      <c r="A1266" s="29">
        <f>Dataset!A1266</f>
        <v>1262</v>
      </c>
      <c r="B1266" s="29">
        <f>IF(Dataset!B1266&lt;25,0.3,IF(Dataset!B1266&lt;75,0.5,IF(Dataset!B1266&lt;120,0.65,0.8)))</f>
        <v>0.5</v>
      </c>
      <c r="C1266" s="29">
        <f>IF(Dataset!B1266&lt;25,1,IF(Dataset!B1266&lt;75,2,IF(Dataset!B1266&lt;120,3,4)))</f>
        <v>2</v>
      </c>
      <c r="D1266" s="29">
        <f t="shared" si="152"/>
        <v>1</v>
      </c>
      <c r="E1266" s="29">
        <f>IF(Dataset!C1266&lt;=1,0.3,IF(Dataset!C1266=2,0.4,IF(Dataset!C1266=3,0.5,IF(Dataset!C1266=4,0.65,0.8))))</f>
        <v>0.65</v>
      </c>
      <c r="F1266" s="29">
        <f>IF(Dataset!C1266&lt;=2,1,IF(Dataset!C1266=3,2,IF(Dataset!C1266=4,3,4)))</f>
        <v>3</v>
      </c>
      <c r="G1266" s="29">
        <f t="shared" si="153"/>
        <v>1.9500000000000002</v>
      </c>
      <c r="H1266" s="29">
        <f>IF(Dataset!G1266&lt;=3,0.25,IF(Dataset!G1266&lt;=6,0.45,IF(Dataset!G1266&lt;=9,0.65,0.85)))</f>
        <v>0.65</v>
      </c>
      <c r="I1266" s="29">
        <f>IF(Dataset!G1266&lt;=3,1,IF(Dataset!G1266&lt;=6,2,IF(Dataset!G1266&lt;=9,3,4)))</f>
        <v>3</v>
      </c>
      <c r="J1266" s="29">
        <f t="shared" si="154"/>
        <v>1.9500000000000002</v>
      </c>
      <c r="K1266" s="29">
        <f>IF(Dataset!H1266&lt;1,0.2,IF(Dataset!H1266&lt;1.3,0.45,IF(Dataset!H1266&lt;1.8,0.7,0.9)))</f>
        <v>0.45</v>
      </c>
      <c r="L1266" s="29">
        <f>IF(Dataset!H1266&lt;1,1,IF(Dataset!H1266&lt;1.3,2,IF(Dataset!H1266&lt;1.8,3,4)))</f>
        <v>2</v>
      </c>
      <c r="M1266" s="29">
        <f t="shared" si="155"/>
        <v>0.9</v>
      </c>
      <c r="N1266" s="29">
        <f>IF(Dataset!F1266=1,0.75,IF(Dataset!F1266=2,0.45,0.2))</f>
        <v>0.45</v>
      </c>
      <c r="O1266" s="29">
        <f>IF(Dataset!F1266=1,3,IF(Dataset!F1266=2,2,1))</f>
        <v>2</v>
      </c>
      <c r="P1266" s="29">
        <f t="shared" si="156"/>
        <v>0.9</v>
      </c>
      <c r="Q1266" s="29">
        <f>IF(Dataset!K1266&lt;5,0.2,IF(Dataset!K1266&lt;10,0.45,IF(Dataset!K1266&lt;18,0.7,0.9)))</f>
        <v>0.7</v>
      </c>
      <c r="R1266" s="29">
        <f>IF(Dataset!K1266&lt;5,1,IF(Dataset!K1266&lt;10,2,IF(Dataset!K1266&lt;18,3,4)))</f>
        <v>3</v>
      </c>
      <c r="S1266" s="29">
        <f t="shared" si="157"/>
        <v>2.0999999999999996</v>
      </c>
      <c r="T1266" s="29">
        <f t="shared" si="158"/>
        <v>1.4430000000000003</v>
      </c>
      <c r="U1266" s="29" t="str">
        <f t="shared" si="159"/>
        <v>Medium</v>
      </c>
    </row>
    <row r="1267" spans="1:21" ht="15" customHeight="1" x14ac:dyDescent="0.25">
      <c r="A1267" s="29">
        <f>Dataset!A1267</f>
        <v>1263</v>
      </c>
      <c r="B1267" s="29">
        <f>IF(Dataset!B1267&lt;25,0.3,IF(Dataset!B1267&lt;75,0.5,IF(Dataset!B1267&lt;120,0.65,0.8)))</f>
        <v>0.8</v>
      </c>
      <c r="C1267" s="29">
        <f>IF(Dataset!B1267&lt;25,1,IF(Dataset!B1267&lt;75,2,IF(Dataset!B1267&lt;120,3,4)))</f>
        <v>4</v>
      </c>
      <c r="D1267" s="29">
        <f t="shared" si="152"/>
        <v>3.2</v>
      </c>
      <c r="E1267" s="29">
        <f>IF(Dataset!C1267&lt;=1,0.3,IF(Dataset!C1267=2,0.4,IF(Dataset!C1267=3,0.5,IF(Dataset!C1267=4,0.65,0.8))))</f>
        <v>0.4</v>
      </c>
      <c r="F1267" s="29">
        <f>IF(Dataset!C1267&lt;=2,1,IF(Dataset!C1267=3,2,IF(Dataset!C1267=4,3,4)))</f>
        <v>1</v>
      </c>
      <c r="G1267" s="29">
        <f t="shared" si="153"/>
        <v>0.4</v>
      </c>
      <c r="H1267" s="29">
        <f>IF(Dataset!G1267&lt;=3,0.25,IF(Dataset!G1267&lt;=6,0.45,IF(Dataset!G1267&lt;=9,0.65,0.85)))</f>
        <v>0.25</v>
      </c>
      <c r="I1267" s="29">
        <f>IF(Dataset!G1267&lt;=3,1,IF(Dataset!G1267&lt;=6,2,IF(Dataset!G1267&lt;=9,3,4)))</f>
        <v>1</v>
      </c>
      <c r="J1267" s="29">
        <f t="shared" si="154"/>
        <v>0.25</v>
      </c>
      <c r="K1267" s="29">
        <f>IF(Dataset!H1267&lt;1,0.2,IF(Dataset!H1267&lt;1.3,0.45,IF(Dataset!H1267&lt;1.8,0.7,0.9)))</f>
        <v>0.45</v>
      </c>
      <c r="L1267" s="29">
        <f>IF(Dataset!H1267&lt;1,1,IF(Dataset!H1267&lt;1.3,2,IF(Dataset!H1267&lt;1.8,3,4)))</f>
        <v>2</v>
      </c>
      <c r="M1267" s="29">
        <f t="shared" si="155"/>
        <v>0.9</v>
      </c>
      <c r="N1267" s="29">
        <f>IF(Dataset!F1267=1,0.75,IF(Dataset!F1267=2,0.45,0.2))</f>
        <v>0.45</v>
      </c>
      <c r="O1267" s="29">
        <f>IF(Dataset!F1267=1,3,IF(Dataset!F1267=2,2,1))</f>
        <v>2</v>
      </c>
      <c r="P1267" s="29">
        <f t="shared" si="156"/>
        <v>0.9</v>
      </c>
      <c r="Q1267" s="29">
        <f>IF(Dataset!K1267&lt;5,0.2,IF(Dataset!K1267&lt;10,0.45,IF(Dataset!K1267&lt;18,0.7,0.9)))</f>
        <v>0.2</v>
      </c>
      <c r="R1267" s="29">
        <f>IF(Dataset!K1267&lt;5,1,IF(Dataset!K1267&lt;10,2,IF(Dataset!K1267&lt;18,3,4)))</f>
        <v>1</v>
      </c>
      <c r="S1267" s="29">
        <f t="shared" si="157"/>
        <v>0.2</v>
      </c>
      <c r="T1267" s="29">
        <f t="shared" si="158"/>
        <v>1.016</v>
      </c>
      <c r="U1267" s="29" t="str">
        <f t="shared" si="159"/>
        <v>Low</v>
      </c>
    </row>
    <row r="1268" spans="1:21" ht="15" customHeight="1" x14ac:dyDescent="0.25">
      <c r="A1268" s="29">
        <f>Dataset!A1268</f>
        <v>1264</v>
      </c>
      <c r="B1268" s="29">
        <f>IF(Dataset!B1268&lt;25,0.3,IF(Dataset!B1268&lt;75,0.5,IF(Dataset!B1268&lt;120,0.65,0.8)))</f>
        <v>0.5</v>
      </c>
      <c r="C1268" s="29">
        <f>IF(Dataset!B1268&lt;25,1,IF(Dataset!B1268&lt;75,2,IF(Dataset!B1268&lt;120,3,4)))</f>
        <v>2</v>
      </c>
      <c r="D1268" s="29">
        <f t="shared" si="152"/>
        <v>1</v>
      </c>
      <c r="E1268" s="29">
        <f>IF(Dataset!C1268&lt;=1,0.3,IF(Dataset!C1268=2,0.4,IF(Dataset!C1268=3,0.5,IF(Dataset!C1268=4,0.65,0.8))))</f>
        <v>0.8</v>
      </c>
      <c r="F1268" s="29">
        <f>IF(Dataset!C1268&lt;=2,1,IF(Dataset!C1268=3,2,IF(Dataset!C1268=4,3,4)))</f>
        <v>4</v>
      </c>
      <c r="G1268" s="29">
        <f t="shared" si="153"/>
        <v>3.2</v>
      </c>
      <c r="H1268" s="29">
        <f>IF(Dataset!G1268&lt;=3,0.25,IF(Dataset!G1268&lt;=6,0.45,IF(Dataset!G1268&lt;=9,0.65,0.85)))</f>
        <v>0.25</v>
      </c>
      <c r="I1268" s="29">
        <f>IF(Dataset!G1268&lt;=3,1,IF(Dataset!G1268&lt;=6,2,IF(Dataset!G1268&lt;=9,3,4)))</f>
        <v>1</v>
      </c>
      <c r="J1268" s="29">
        <f t="shared" si="154"/>
        <v>0.25</v>
      </c>
      <c r="K1268" s="29">
        <f>IF(Dataset!H1268&lt;1,0.2,IF(Dataset!H1268&lt;1.3,0.45,IF(Dataset!H1268&lt;1.8,0.7,0.9)))</f>
        <v>0.7</v>
      </c>
      <c r="L1268" s="29">
        <f>IF(Dataset!H1268&lt;1,1,IF(Dataset!H1268&lt;1.3,2,IF(Dataset!H1268&lt;1.8,3,4)))</f>
        <v>3</v>
      </c>
      <c r="M1268" s="29">
        <f t="shared" si="155"/>
        <v>2.0999999999999996</v>
      </c>
      <c r="N1268" s="29">
        <f>IF(Dataset!F1268=1,0.75,IF(Dataset!F1268=2,0.45,0.2))</f>
        <v>0.75</v>
      </c>
      <c r="O1268" s="29">
        <f>IF(Dataset!F1268=1,3,IF(Dataset!F1268=2,2,1))</f>
        <v>3</v>
      </c>
      <c r="P1268" s="29">
        <f t="shared" si="156"/>
        <v>2.25</v>
      </c>
      <c r="Q1268" s="29">
        <f>IF(Dataset!K1268&lt;5,0.2,IF(Dataset!K1268&lt;10,0.45,IF(Dataset!K1268&lt;18,0.7,0.9)))</f>
        <v>0.7</v>
      </c>
      <c r="R1268" s="29">
        <f>IF(Dataset!K1268&lt;5,1,IF(Dataset!K1268&lt;10,2,IF(Dataset!K1268&lt;18,3,4)))</f>
        <v>3</v>
      </c>
      <c r="S1268" s="29">
        <f t="shared" si="157"/>
        <v>2.0999999999999996</v>
      </c>
      <c r="T1268" s="29">
        <f t="shared" si="158"/>
        <v>1.7010000000000001</v>
      </c>
      <c r="U1268" s="29" t="str">
        <f t="shared" si="159"/>
        <v>Medium</v>
      </c>
    </row>
    <row r="1269" spans="1:21" ht="15" customHeight="1" x14ac:dyDescent="0.25">
      <c r="A1269" s="29">
        <f>Dataset!A1269</f>
        <v>1265</v>
      </c>
      <c r="B1269" s="29">
        <f>IF(Dataset!B1269&lt;25,0.3,IF(Dataset!B1269&lt;75,0.5,IF(Dataset!B1269&lt;120,0.65,0.8)))</f>
        <v>0.65</v>
      </c>
      <c r="C1269" s="29">
        <f>IF(Dataset!B1269&lt;25,1,IF(Dataset!B1269&lt;75,2,IF(Dataset!B1269&lt;120,3,4)))</f>
        <v>3</v>
      </c>
      <c r="D1269" s="29">
        <f t="shared" si="152"/>
        <v>1.9500000000000002</v>
      </c>
      <c r="E1269" s="29">
        <f>IF(Dataset!C1269&lt;=1,0.3,IF(Dataset!C1269=2,0.4,IF(Dataset!C1269=3,0.5,IF(Dataset!C1269=4,0.65,0.8))))</f>
        <v>0.3</v>
      </c>
      <c r="F1269" s="29">
        <f>IF(Dataset!C1269&lt;=2,1,IF(Dataset!C1269=3,2,IF(Dataset!C1269=4,3,4)))</f>
        <v>1</v>
      </c>
      <c r="G1269" s="29">
        <f t="shared" si="153"/>
        <v>0.3</v>
      </c>
      <c r="H1269" s="29">
        <f>IF(Dataset!G1269&lt;=3,0.25,IF(Dataset!G1269&lt;=6,0.45,IF(Dataset!G1269&lt;=9,0.65,0.85)))</f>
        <v>0.45</v>
      </c>
      <c r="I1269" s="29">
        <f>IF(Dataset!G1269&lt;=3,1,IF(Dataset!G1269&lt;=6,2,IF(Dataset!G1269&lt;=9,3,4)))</f>
        <v>2</v>
      </c>
      <c r="J1269" s="29">
        <f t="shared" si="154"/>
        <v>0.9</v>
      </c>
      <c r="K1269" s="29">
        <f>IF(Dataset!H1269&lt;1,0.2,IF(Dataset!H1269&lt;1.3,0.45,IF(Dataset!H1269&lt;1.8,0.7,0.9)))</f>
        <v>0.9</v>
      </c>
      <c r="L1269" s="29">
        <f>IF(Dataset!H1269&lt;1,1,IF(Dataset!H1269&lt;1.3,2,IF(Dataset!H1269&lt;1.8,3,4)))</f>
        <v>4</v>
      </c>
      <c r="M1269" s="29">
        <f t="shared" si="155"/>
        <v>3.6</v>
      </c>
      <c r="N1269" s="29">
        <f>IF(Dataset!F1269=1,0.75,IF(Dataset!F1269=2,0.45,0.2))</f>
        <v>0.45</v>
      </c>
      <c r="O1269" s="29">
        <f>IF(Dataset!F1269=1,3,IF(Dataset!F1269=2,2,1))</f>
        <v>2</v>
      </c>
      <c r="P1269" s="29">
        <f t="shared" si="156"/>
        <v>0.9</v>
      </c>
      <c r="Q1269" s="29">
        <f>IF(Dataset!K1269&lt;5,0.2,IF(Dataset!K1269&lt;10,0.45,IF(Dataset!K1269&lt;18,0.7,0.9)))</f>
        <v>0.2</v>
      </c>
      <c r="R1269" s="29">
        <f>IF(Dataset!K1269&lt;5,1,IF(Dataset!K1269&lt;10,2,IF(Dataset!K1269&lt;18,3,4)))</f>
        <v>1</v>
      </c>
      <c r="S1269" s="29">
        <f t="shared" si="157"/>
        <v>0.2</v>
      </c>
      <c r="T1269" s="29">
        <f t="shared" si="158"/>
        <v>1.5550000000000002</v>
      </c>
      <c r="U1269" s="29" t="str">
        <f t="shared" si="159"/>
        <v>Medium</v>
      </c>
    </row>
    <row r="1270" spans="1:21" ht="15" customHeight="1" x14ac:dyDescent="0.25">
      <c r="A1270" s="29">
        <f>Dataset!A1270</f>
        <v>1266</v>
      </c>
      <c r="B1270" s="29">
        <f>IF(Dataset!B1270&lt;25,0.3,IF(Dataset!B1270&lt;75,0.5,IF(Dataset!B1270&lt;120,0.65,0.8)))</f>
        <v>0.65</v>
      </c>
      <c r="C1270" s="29">
        <f>IF(Dataset!B1270&lt;25,1,IF(Dataset!B1270&lt;75,2,IF(Dataset!B1270&lt;120,3,4)))</f>
        <v>3</v>
      </c>
      <c r="D1270" s="29">
        <f t="shared" si="152"/>
        <v>1.9500000000000002</v>
      </c>
      <c r="E1270" s="29">
        <f>IF(Dataset!C1270&lt;=1,0.3,IF(Dataset!C1270=2,0.4,IF(Dataset!C1270=3,0.5,IF(Dataset!C1270=4,0.65,0.8))))</f>
        <v>0.5</v>
      </c>
      <c r="F1270" s="29">
        <f>IF(Dataset!C1270&lt;=2,1,IF(Dataset!C1270=3,2,IF(Dataset!C1270=4,3,4)))</f>
        <v>2</v>
      </c>
      <c r="G1270" s="29">
        <f t="shared" si="153"/>
        <v>1</v>
      </c>
      <c r="H1270" s="29">
        <f>IF(Dataset!G1270&lt;=3,0.25,IF(Dataset!G1270&lt;=6,0.45,IF(Dataset!G1270&lt;=9,0.65,0.85)))</f>
        <v>0.45</v>
      </c>
      <c r="I1270" s="29">
        <f>IF(Dataset!G1270&lt;=3,1,IF(Dataset!G1270&lt;=6,2,IF(Dataset!G1270&lt;=9,3,4)))</f>
        <v>2</v>
      </c>
      <c r="J1270" s="29">
        <f t="shared" si="154"/>
        <v>0.9</v>
      </c>
      <c r="K1270" s="29">
        <f>IF(Dataset!H1270&lt;1,0.2,IF(Dataset!H1270&lt;1.3,0.45,IF(Dataset!H1270&lt;1.8,0.7,0.9)))</f>
        <v>0.45</v>
      </c>
      <c r="L1270" s="29">
        <f>IF(Dataset!H1270&lt;1,1,IF(Dataset!H1270&lt;1.3,2,IF(Dataset!H1270&lt;1.8,3,4)))</f>
        <v>2</v>
      </c>
      <c r="M1270" s="29">
        <f t="shared" si="155"/>
        <v>0.9</v>
      </c>
      <c r="N1270" s="29">
        <f>IF(Dataset!F1270=1,0.75,IF(Dataset!F1270=2,0.45,0.2))</f>
        <v>0.45</v>
      </c>
      <c r="O1270" s="29">
        <f>IF(Dataset!F1270=1,3,IF(Dataset!F1270=2,2,1))</f>
        <v>2</v>
      </c>
      <c r="P1270" s="29">
        <f t="shared" si="156"/>
        <v>0.9</v>
      </c>
      <c r="Q1270" s="29">
        <f>IF(Dataset!K1270&lt;5,0.2,IF(Dataset!K1270&lt;10,0.45,IF(Dataset!K1270&lt;18,0.7,0.9)))</f>
        <v>0.45</v>
      </c>
      <c r="R1270" s="29">
        <f>IF(Dataset!K1270&lt;5,1,IF(Dataset!K1270&lt;10,2,IF(Dataset!K1270&lt;18,3,4)))</f>
        <v>2</v>
      </c>
      <c r="S1270" s="29">
        <f t="shared" si="157"/>
        <v>0.9</v>
      </c>
      <c r="T1270" s="29">
        <f t="shared" si="158"/>
        <v>1.103</v>
      </c>
      <c r="U1270" s="29" t="str">
        <f t="shared" si="159"/>
        <v>Low</v>
      </c>
    </row>
    <row r="1271" spans="1:21" ht="15" customHeight="1" x14ac:dyDescent="0.25">
      <c r="A1271" s="29">
        <f>Dataset!A1271</f>
        <v>1267</v>
      </c>
      <c r="B1271" s="29">
        <f>IF(Dataset!B1271&lt;25,0.3,IF(Dataset!B1271&lt;75,0.5,IF(Dataset!B1271&lt;120,0.65,0.8)))</f>
        <v>0.65</v>
      </c>
      <c r="C1271" s="29">
        <f>IF(Dataset!B1271&lt;25,1,IF(Dataset!B1271&lt;75,2,IF(Dataset!B1271&lt;120,3,4)))</f>
        <v>3</v>
      </c>
      <c r="D1271" s="29">
        <f t="shared" si="152"/>
        <v>1.9500000000000002</v>
      </c>
      <c r="E1271" s="29">
        <f>IF(Dataset!C1271&lt;=1,0.3,IF(Dataset!C1271=2,0.4,IF(Dataset!C1271=3,0.5,IF(Dataset!C1271=4,0.65,0.8))))</f>
        <v>0.5</v>
      </c>
      <c r="F1271" s="29">
        <f>IF(Dataset!C1271&lt;=2,1,IF(Dataset!C1271=3,2,IF(Dataset!C1271=4,3,4)))</f>
        <v>2</v>
      </c>
      <c r="G1271" s="29">
        <f t="shared" si="153"/>
        <v>1</v>
      </c>
      <c r="H1271" s="29">
        <f>IF(Dataset!G1271&lt;=3,0.25,IF(Dataset!G1271&lt;=6,0.45,IF(Dataset!G1271&lt;=9,0.65,0.85)))</f>
        <v>0.25</v>
      </c>
      <c r="I1271" s="29">
        <f>IF(Dataset!G1271&lt;=3,1,IF(Dataset!G1271&lt;=6,2,IF(Dataset!G1271&lt;=9,3,4)))</f>
        <v>1</v>
      </c>
      <c r="J1271" s="29">
        <f t="shared" si="154"/>
        <v>0.25</v>
      </c>
      <c r="K1271" s="29">
        <f>IF(Dataset!H1271&lt;1,0.2,IF(Dataset!H1271&lt;1.3,0.45,IF(Dataset!H1271&lt;1.8,0.7,0.9)))</f>
        <v>0.9</v>
      </c>
      <c r="L1271" s="29">
        <f>IF(Dataset!H1271&lt;1,1,IF(Dataset!H1271&lt;1.3,2,IF(Dataset!H1271&lt;1.8,3,4)))</f>
        <v>4</v>
      </c>
      <c r="M1271" s="29">
        <f t="shared" si="155"/>
        <v>3.6</v>
      </c>
      <c r="N1271" s="29">
        <f>IF(Dataset!F1271=1,0.75,IF(Dataset!F1271=2,0.45,0.2))</f>
        <v>0.75</v>
      </c>
      <c r="O1271" s="29">
        <f>IF(Dataset!F1271=1,3,IF(Dataset!F1271=2,2,1))</f>
        <v>3</v>
      </c>
      <c r="P1271" s="29">
        <f t="shared" si="156"/>
        <v>2.25</v>
      </c>
      <c r="Q1271" s="29">
        <f>IF(Dataset!K1271&lt;5,0.2,IF(Dataset!K1271&lt;10,0.45,IF(Dataset!K1271&lt;18,0.7,0.9)))</f>
        <v>0.45</v>
      </c>
      <c r="R1271" s="29">
        <f>IF(Dataset!K1271&lt;5,1,IF(Dataset!K1271&lt;10,2,IF(Dataset!K1271&lt;18,3,4)))</f>
        <v>2</v>
      </c>
      <c r="S1271" s="29">
        <f t="shared" si="157"/>
        <v>0.9</v>
      </c>
      <c r="T1271" s="29">
        <f t="shared" si="158"/>
        <v>1.7560000000000002</v>
      </c>
      <c r="U1271" s="29" t="str">
        <f t="shared" si="159"/>
        <v>High</v>
      </c>
    </row>
    <row r="1272" spans="1:21" ht="15" customHeight="1" x14ac:dyDescent="0.25">
      <c r="A1272" s="29">
        <f>Dataset!A1272</f>
        <v>1268</v>
      </c>
      <c r="B1272" s="29">
        <f>IF(Dataset!B1272&lt;25,0.3,IF(Dataset!B1272&lt;75,0.5,IF(Dataset!B1272&lt;120,0.65,0.8)))</f>
        <v>0.5</v>
      </c>
      <c r="C1272" s="29">
        <f>IF(Dataset!B1272&lt;25,1,IF(Dataset!B1272&lt;75,2,IF(Dataset!B1272&lt;120,3,4)))</f>
        <v>2</v>
      </c>
      <c r="D1272" s="29">
        <f t="shared" si="152"/>
        <v>1</v>
      </c>
      <c r="E1272" s="29">
        <f>IF(Dataset!C1272&lt;=1,0.3,IF(Dataset!C1272=2,0.4,IF(Dataset!C1272=3,0.5,IF(Dataset!C1272=4,0.65,0.8))))</f>
        <v>0.4</v>
      </c>
      <c r="F1272" s="29">
        <f>IF(Dataset!C1272&lt;=2,1,IF(Dataset!C1272=3,2,IF(Dataset!C1272=4,3,4)))</f>
        <v>1</v>
      </c>
      <c r="G1272" s="29">
        <f t="shared" si="153"/>
        <v>0.4</v>
      </c>
      <c r="H1272" s="29">
        <f>IF(Dataset!G1272&lt;=3,0.25,IF(Dataset!G1272&lt;=6,0.45,IF(Dataset!G1272&lt;=9,0.65,0.85)))</f>
        <v>0.85</v>
      </c>
      <c r="I1272" s="29">
        <f>IF(Dataset!G1272&lt;=3,1,IF(Dataset!G1272&lt;=6,2,IF(Dataset!G1272&lt;=9,3,4)))</f>
        <v>4</v>
      </c>
      <c r="J1272" s="29">
        <f t="shared" si="154"/>
        <v>3.4</v>
      </c>
      <c r="K1272" s="29">
        <f>IF(Dataset!H1272&lt;1,0.2,IF(Dataset!H1272&lt;1.3,0.45,IF(Dataset!H1272&lt;1.8,0.7,0.9)))</f>
        <v>0.45</v>
      </c>
      <c r="L1272" s="29">
        <f>IF(Dataset!H1272&lt;1,1,IF(Dataset!H1272&lt;1.3,2,IF(Dataset!H1272&lt;1.8,3,4)))</f>
        <v>2</v>
      </c>
      <c r="M1272" s="29">
        <f t="shared" si="155"/>
        <v>0.9</v>
      </c>
      <c r="N1272" s="29">
        <f>IF(Dataset!F1272=1,0.75,IF(Dataset!F1272=2,0.45,0.2))</f>
        <v>0.2</v>
      </c>
      <c r="O1272" s="29">
        <f>IF(Dataset!F1272=1,3,IF(Dataset!F1272=2,2,1))</f>
        <v>1</v>
      </c>
      <c r="P1272" s="29">
        <f t="shared" si="156"/>
        <v>0.2</v>
      </c>
      <c r="Q1272" s="29">
        <f>IF(Dataset!K1272&lt;5,0.2,IF(Dataset!K1272&lt;10,0.45,IF(Dataset!K1272&lt;18,0.7,0.9)))</f>
        <v>0.45</v>
      </c>
      <c r="R1272" s="29">
        <f>IF(Dataset!K1272&lt;5,1,IF(Dataset!K1272&lt;10,2,IF(Dataset!K1272&lt;18,3,4)))</f>
        <v>2</v>
      </c>
      <c r="S1272" s="29">
        <f t="shared" si="157"/>
        <v>0.9</v>
      </c>
      <c r="T1272" s="29">
        <f t="shared" si="158"/>
        <v>1.2780000000000002</v>
      </c>
      <c r="U1272" s="29" t="str">
        <f t="shared" si="159"/>
        <v>Low</v>
      </c>
    </row>
    <row r="1273" spans="1:21" ht="15" customHeight="1" x14ac:dyDescent="0.25">
      <c r="A1273" s="29">
        <f>Dataset!A1273</f>
        <v>1269</v>
      </c>
      <c r="B1273" s="29">
        <f>IF(Dataset!B1273&lt;25,0.3,IF(Dataset!B1273&lt;75,0.5,IF(Dataset!B1273&lt;120,0.65,0.8)))</f>
        <v>0.65</v>
      </c>
      <c r="C1273" s="29">
        <f>IF(Dataset!B1273&lt;25,1,IF(Dataset!B1273&lt;75,2,IF(Dataset!B1273&lt;120,3,4)))</f>
        <v>3</v>
      </c>
      <c r="D1273" s="29">
        <f t="shared" si="152"/>
        <v>1.9500000000000002</v>
      </c>
      <c r="E1273" s="29">
        <f>IF(Dataset!C1273&lt;=1,0.3,IF(Dataset!C1273=2,0.4,IF(Dataset!C1273=3,0.5,IF(Dataset!C1273=4,0.65,0.8))))</f>
        <v>0.5</v>
      </c>
      <c r="F1273" s="29">
        <f>IF(Dataset!C1273&lt;=2,1,IF(Dataset!C1273=3,2,IF(Dataset!C1273=4,3,4)))</f>
        <v>2</v>
      </c>
      <c r="G1273" s="29">
        <f t="shared" si="153"/>
        <v>1</v>
      </c>
      <c r="H1273" s="29">
        <f>IF(Dataset!G1273&lt;=3,0.25,IF(Dataset!G1273&lt;=6,0.45,IF(Dataset!G1273&lt;=9,0.65,0.85)))</f>
        <v>0.25</v>
      </c>
      <c r="I1273" s="29">
        <f>IF(Dataset!G1273&lt;=3,1,IF(Dataset!G1273&lt;=6,2,IF(Dataset!G1273&lt;=9,3,4)))</f>
        <v>1</v>
      </c>
      <c r="J1273" s="29">
        <f t="shared" si="154"/>
        <v>0.25</v>
      </c>
      <c r="K1273" s="29">
        <f>IF(Dataset!H1273&lt;1,0.2,IF(Dataset!H1273&lt;1.3,0.45,IF(Dataset!H1273&lt;1.8,0.7,0.9)))</f>
        <v>0.2</v>
      </c>
      <c r="L1273" s="29">
        <f>IF(Dataset!H1273&lt;1,1,IF(Dataset!H1273&lt;1.3,2,IF(Dataset!H1273&lt;1.8,3,4)))</f>
        <v>1</v>
      </c>
      <c r="M1273" s="29">
        <f t="shared" si="155"/>
        <v>0.2</v>
      </c>
      <c r="N1273" s="29">
        <f>IF(Dataset!F1273=1,0.75,IF(Dataset!F1273=2,0.45,0.2))</f>
        <v>0.45</v>
      </c>
      <c r="O1273" s="29">
        <f>IF(Dataset!F1273=1,3,IF(Dataset!F1273=2,2,1))</f>
        <v>2</v>
      </c>
      <c r="P1273" s="29">
        <f t="shared" si="156"/>
        <v>0.9</v>
      </c>
      <c r="Q1273" s="29">
        <f>IF(Dataset!K1273&lt;5,0.2,IF(Dataset!K1273&lt;10,0.45,IF(Dataset!K1273&lt;18,0.7,0.9)))</f>
        <v>0.2</v>
      </c>
      <c r="R1273" s="29">
        <f>IF(Dataset!K1273&lt;5,1,IF(Dataset!K1273&lt;10,2,IF(Dataset!K1273&lt;18,3,4)))</f>
        <v>1</v>
      </c>
      <c r="S1273" s="29">
        <f t="shared" si="157"/>
        <v>0.2</v>
      </c>
      <c r="T1273" s="29">
        <f t="shared" si="158"/>
        <v>0.70700000000000007</v>
      </c>
      <c r="U1273" s="29" t="str">
        <f t="shared" si="159"/>
        <v>Low</v>
      </c>
    </row>
    <row r="1274" spans="1:21" ht="15" customHeight="1" x14ac:dyDescent="0.25">
      <c r="A1274" s="29">
        <f>Dataset!A1274</f>
        <v>1270</v>
      </c>
      <c r="B1274" s="29">
        <f>IF(Dataset!B1274&lt;25,0.3,IF(Dataset!B1274&lt;75,0.5,IF(Dataset!B1274&lt;120,0.65,0.8)))</f>
        <v>0.3</v>
      </c>
      <c r="C1274" s="29">
        <f>IF(Dataset!B1274&lt;25,1,IF(Dataset!B1274&lt;75,2,IF(Dataset!B1274&lt;120,3,4)))</f>
        <v>1</v>
      </c>
      <c r="D1274" s="29">
        <f t="shared" si="152"/>
        <v>0.3</v>
      </c>
      <c r="E1274" s="29">
        <f>IF(Dataset!C1274&lt;=1,0.3,IF(Dataset!C1274=2,0.4,IF(Dataset!C1274=3,0.5,IF(Dataset!C1274=4,0.65,0.8))))</f>
        <v>0.65</v>
      </c>
      <c r="F1274" s="29">
        <f>IF(Dataset!C1274&lt;=2,1,IF(Dataset!C1274=3,2,IF(Dataset!C1274=4,3,4)))</f>
        <v>3</v>
      </c>
      <c r="G1274" s="29">
        <f t="shared" si="153"/>
        <v>1.9500000000000002</v>
      </c>
      <c r="H1274" s="29">
        <f>IF(Dataset!G1274&lt;=3,0.25,IF(Dataset!G1274&lt;=6,0.45,IF(Dataset!G1274&lt;=9,0.65,0.85)))</f>
        <v>0.65</v>
      </c>
      <c r="I1274" s="29">
        <f>IF(Dataset!G1274&lt;=3,1,IF(Dataset!G1274&lt;=6,2,IF(Dataset!G1274&lt;=9,3,4)))</f>
        <v>3</v>
      </c>
      <c r="J1274" s="29">
        <f t="shared" si="154"/>
        <v>1.9500000000000002</v>
      </c>
      <c r="K1274" s="29">
        <f>IF(Dataset!H1274&lt;1,0.2,IF(Dataset!H1274&lt;1.3,0.45,IF(Dataset!H1274&lt;1.8,0.7,0.9)))</f>
        <v>0.7</v>
      </c>
      <c r="L1274" s="29">
        <f>IF(Dataset!H1274&lt;1,1,IF(Dataset!H1274&lt;1.3,2,IF(Dataset!H1274&lt;1.8,3,4)))</f>
        <v>3</v>
      </c>
      <c r="M1274" s="29">
        <f t="shared" si="155"/>
        <v>2.0999999999999996</v>
      </c>
      <c r="N1274" s="29">
        <f>IF(Dataset!F1274=1,0.75,IF(Dataset!F1274=2,0.45,0.2))</f>
        <v>0.2</v>
      </c>
      <c r="O1274" s="29">
        <f>IF(Dataset!F1274=1,3,IF(Dataset!F1274=2,2,1))</f>
        <v>1</v>
      </c>
      <c r="P1274" s="29">
        <f t="shared" si="156"/>
        <v>0.2</v>
      </c>
      <c r="Q1274" s="29">
        <f>IF(Dataset!K1274&lt;5,0.2,IF(Dataset!K1274&lt;10,0.45,IF(Dataset!K1274&lt;18,0.7,0.9)))</f>
        <v>0.7</v>
      </c>
      <c r="R1274" s="29">
        <f>IF(Dataset!K1274&lt;5,1,IF(Dataset!K1274&lt;10,2,IF(Dataset!K1274&lt;18,3,4)))</f>
        <v>3</v>
      </c>
      <c r="S1274" s="29">
        <f t="shared" si="157"/>
        <v>2.0999999999999996</v>
      </c>
      <c r="T1274" s="29">
        <f t="shared" si="158"/>
        <v>1.5350000000000001</v>
      </c>
      <c r="U1274" s="29" t="str">
        <f t="shared" si="159"/>
        <v>Medium</v>
      </c>
    </row>
    <row r="1275" spans="1:21" ht="15" customHeight="1" x14ac:dyDescent="0.25">
      <c r="A1275" s="29">
        <f>Dataset!A1275</f>
        <v>1271</v>
      </c>
      <c r="B1275" s="29">
        <f>IF(Dataset!B1275&lt;25,0.3,IF(Dataset!B1275&lt;75,0.5,IF(Dataset!B1275&lt;120,0.65,0.8)))</f>
        <v>0.8</v>
      </c>
      <c r="C1275" s="29">
        <f>IF(Dataset!B1275&lt;25,1,IF(Dataset!B1275&lt;75,2,IF(Dataset!B1275&lt;120,3,4)))</f>
        <v>4</v>
      </c>
      <c r="D1275" s="29">
        <f t="shared" si="152"/>
        <v>3.2</v>
      </c>
      <c r="E1275" s="29">
        <f>IF(Dataset!C1275&lt;=1,0.3,IF(Dataset!C1275=2,0.4,IF(Dataset!C1275=3,0.5,IF(Dataset!C1275=4,0.65,0.8))))</f>
        <v>0.8</v>
      </c>
      <c r="F1275" s="29">
        <f>IF(Dataset!C1275&lt;=2,1,IF(Dataset!C1275=3,2,IF(Dataset!C1275=4,3,4)))</f>
        <v>4</v>
      </c>
      <c r="G1275" s="29">
        <f t="shared" si="153"/>
        <v>3.2</v>
      </c>
      <c r="H1275" s="29">
        <f>IF(Dataset!G1275&lt;=3,0.25,IF(Dataset!G1275&lt;=6,0.45,IF(Dataset!G1275&lt;=9,0.65,0.85)))</f>
        <v>0.45</v>
      </c>
      <c r="I1275" s="29">
        <f>IF(Dataset!G1275&lt;=3,1,IF(Dataset!G1275&lt;=6,2,IF(Dataset!G1275&lt;=9,3,4)))</f>
        <v>2</v>
      </c>
      <c r="J1275" s="29">
        <f t="shared" si="154"/>
        <v>0.9</v>
      </c>
      <c r="K1275" s="29">
        <f>IF(Dataset!H1275&lt;1,0.2,IF(Dataset!H1275&lt;1.3,0.45,IF(Dataset!H1275&lt;1.8,0.7,0.9)))</f>
        <v>0.7</v>
      </c>
      <c r="L1275" s="29">
        <f>IF(Dataset!H1275&lt;1,1,IF(Dataset!H1275&lt;1.3,2,IF(Dataset!H1275&lt;1.8,3,4)))</f>
        <v>3</v>
      </c>
      <c r="M1275" s="29">
        <f t="shared" si="155"/>
        <v>2.0999999999999996</v>
      </c>
      <c r="N1275" s="29">
        <f>IF(Dataset!F1275=1,0.75,IF(Dataset!F1275=2,0.45,0.2))</f>
        <v>0.75</v>
      </c>
      <c r="O1275" s="29">
        <f>IF(Dataset!F1275=1,3,IF(Dataset!F1275=2,2,1))</f>
        <v>3</v>
      </c>
      <c r="P1275" s="29">
        <f t="shared" si="156"/>
        <v>2.25</v>
      </c>
      <c r="Q1275" s="29">
        <f>IF(Dataset!K1275&lt;5,0.2,IF(Dataset!K1275&lt;10,0.45,IF(Dataset!K1275&lt;18,0.7,0.9)))</f>
        <v>0.7</v>
      </c>
      <c r="R1275" s="29">
        <f>IF(Dataset!K1275&lt;5,1,IF(Dataset!K1275&lt;10,2,IF(Dataset!K1275&lt;18,3,4)))</f>
        <v>3</v>
      </c>
      <c r="S1275" s="29">
        <f t="shared" si="157"/>
        <v>2.0999999999999996</v>
      </c>
      <c r="T1275" s="29">
        <f t="shared" si="158"/>
        <v>2.2269999999999999</v>
      </c>
      <c r="U1275" s="29" t="str">
        <f t="shared" si="159"/>
        <v>High</v>
      </c>
    </row>
    <row r="1276" spans="1:21" ht="15" customHeight="1" x14ac:dyDescent="0.25">
      <c r="A1276" s="29">
        <f>Dataset!A1276</f>
        <v>1272</v>
      </c>
      <c r="B1276" s="29">
        <f>IF(Dataset!B1276&lt;25,0.3,IF(Dataset!B1276&lt;75,0.5,IF(Dataset!B1276&lt;120,0.65,0.8)))</f>
        <v>0.8</v>
      </c>
      <c r="C1276" s="29">
        <f>IF(Dataset!B1276&lt;25,1,IF(Dataset!B1276&lt;75,2,IF(Dataset!B1276&lt;120,3,4)))</f>
        <v>4</v>
      </c>
      <c r="D1276" s="29">
        <f t="shared" si="152"/>
        <v>3.2</v>
      </c>
      <c r="E1276" s="29">
        <f>IF(Dataset!C1276&lt;=1,0.3,IF(Dataset!C1276=2,0.4,IF(Dataset!C1276=3,0.5,IF(Dataset!C1276=4,0.65,0.8))))</f>
        <v>0.5</v>
      </c>
      <c r="F1276" s="29">
        <f>IF(Dataset!C1276&lt;=2,1,IF(Dataset!C1276=3,2,IF(Dataset!C1276=4,3,4)))</f>
        <v>2</v>
      </c>
      <c r="G1276" s="29">
        <f t="shared" si="153"/>
        <v>1</v>
      </c>
      <c r="H1276" s="29">
        <f>IF(Dataset!G1276&lt;=3,0.25,IF(Dataset!G1276&lt;=6,0.45,IF(Dataset!G1276&lt;=9,0.65,0.85)))</f>
        <v>0.45</v>
      </c>
      <c r="I1276" s="29">
        <f>IF(Dataset!G1276&lt;=3,1,IF(Dataset!G1276&lt;=6,2,IF(Dataset!G1276&lt;=9,3,4)))</f>
        <v>2</v>
      </c>
      <c r="J1276" s="29">
        <f t="shared" si="154"/>
        <v>0.9</v>
      </c>
      <c r="K1276" s="29">
        <f>IF(Dataset!H1276&lt;1,0.2,IF(Dataset!H1276&lt;1.3,0.45,IF(Dataset!H1276&lt;1.8,0.7,0.9)))</f>
        <v>0.9</v>
      </c>
      <c r="L1276" s="29">
        <f>IF(Dataset!H1276&lt;1,1,IF(Dataset!H1276&lt;1.3,2,IF(Dataset!H1276&lt;1.8,3,4)))</f>
        <v>4</v>
      </c>
      <c r="M1276" s="29">
        <f t="shared" si="155"/>
        <v>3.6</v>
      </c>
      <c r="N1276" s="29">
        <f>IF(Dataset!F1276=1,0.75,IF(Dataset!F1276=2,0.45,0.2))</f>
        <v>0.75</v>
      </c>
      <c r="O1276" s="29">
        <f>IF(Dataset!F1276=1,3,IF(Dataset!F1276=2,2,1))</f>
        <v>3</v>
      </c>
      <c r="P1276" s="29">
        <f t="shared" si="156"/>
        <v>2.25</v>
      </c>
      <c r="Q1276" s="29">
        <f>IF(Dataset!K1276&lt;5,0.2,IF(Dataset!K1276&lt;10,0.45,IF(Dataset!K1276&lt;18,0.7,0.9)))</f>
        <v>0.45</v>
      </c>
      <c r="R1276" s="29">
        <f>IF(Dataset!K1276&lt;5,1,IF(Dataset!K1276&lt;10,2,IF(Dataset!K1276&lt;18,3,4)))</f>
        <v>2</v>
      </c>
      <c r="S1276" s="29">
        <f t="shared" si="157"/>
        <v>0.9</v>
      </c>
      <c r="T1276" s="29">
        <f t="shared" si="158"/>
        <v>2.1110000000000002</v>
      </c>
      <c r="U1276" s="29" t="str">
        <f t="shared" si="159"/>
        <v>High</v>
      </c>
    </row>
    <row r="1277" spans="1:21" ht="15" customHeight="1" x14ac:dyDescent="0.25">
      <c r="A1277" s="29">
        <f>Dataset!A1277</f>
        <v>1273</v>
      </c>
      <c r="B1277" s="29">
        <f>IF(Dataset!B1277&lt;25,0.3,IF(Dataset!B1277&lt;75,0.5,IF(Dataset!B1277&lt;120,0.65,0.8)))</f>
        <v>0.65</v>
      </c>
      <c r="C1277" s="29">
        <f>IF(Dataset!B1277&lt;25,1,IF(Dataset!B1277&lt;75,2,IF(Dataset!B1277&lt;120,3,4)))</f>
        <v>3</v>
      </c>
      <c r="D1277" s="29">
        <f t="shared" si="152"/>
        <v>1.9500000000000002</v>
      </c>
      <c r="E1277" s="29">
        <f>IF(Dataset!C1277&lt;=1,0.3,IF(Dataset!C1277=2,0.4,IF(Dataset!C1277=3,0.5,IF(Dataset!C1277=4,0.65,0.8))))</f>
        <v>0.4</v>
      </c>
      <c r="F1277" s="29">
        <f>IF(Dataset!C1277&lt;=2,1,IF(Dataset!C1277=3,2,IF(Dataset!C1277=4,3,4)))</f>
        <v>1</v>
      </c>
      <c r="G1277" s="29">
        <f t="shared" si="153"/>
        <v>0.4</v>
      </c>
      <c r="H1277" s="29">
        <f>IF(Dataset!G1277&lt;=3,0.25,IF(Dataset!G1277&lt;=6,0.45,IF(Dataset!G1277&lt;=9,0.65,0.85)))</f>
        <v>0.65</v>
      </c>
      <c r="I1277" s="29">
        <f>IF(Dataset!G1277&lt;=3,1,IF(Dataset!G1277&lt;=6,2,IF(Dataset!G1277&lt;=9,3,4)))</f>
        <v>3</v>
      </c>
      <c r="J1277" s="29">
        <f t="shared" si="154"/>
        <v>1.9500000000000002</v>
      </c>
      <c r="K1277" s="29">
        <f>IF(Dataset!H1277&lt;1,0.2,IF(Dataset!H1277&lt;1.3,0.45,IF(Dataset!H1277&lt;1.8,0.7,0.9)))</f>
        <v>0.9</v>
      </c>
      <c r="L1277" s="29">
        <f>IF(Dataset!H1277&lt;1,1,IF(Dataset!H1277&lt;1.3,2,IF(Dataset!H1277&lt;1.8,3,4)))</f>
        <v>4</v>
      </c>
      <c r="M1277" s="29">
        <f t="shared" si="155"/>
        <v>3.6</v>
      </c>
      <c r="N1277" s="29">
        <f>IF(Dataset!F1277=1,0.75,IF(Dataset!F1277=2,0.45,0.2))</f>
        <v>0.45</v>
      </c>
      <c r="O1277" s="29">
        <f>IF(Dataset!F1277=1,3,IF(Dataset!F1277=2,2,1))</f>
        <v>2</v>
      </c>
      <c r="P1277" s="29">
        <f t="shared" si="156"/>
        <v>0.9</v>
      </c>
      <c r="Q1277" s="29">
        <f>IF(Dataset!K1277&lt;5,0.2,IF(Dataset!K1277&lt;10,0.45,IF(Dataset!K1277&lt;18,0.7,0.9)))</f>
        <v>0.2</v>
      </c>
      <c r="R1277" s="29">
        <f>IF(Dataset!K1277&lt;5,1,IF(Dataset!K1277&lt;10,2,IF(Dataset!K1277&lt;18,3,4)))</f>
        <v>1</v>
      </c>
      <c r="S1277" s="29">
        <f t="shared" si="157"/>
        <v>0.2</v>
      </c>
      <c r="T1277" s="29">
        <f t="shared" si="158"/>
        <v>1.7790000000000001</v>
      </c>
      <c r="U1277" s="29" t="str">
        <f t="shared" si="159"/>
        <v>High</v>
      </c>
    </row>
    <row r="1278" spans="1:21" ht="15" customHeight="1" x14ac:dyDescent="0.25">
      <c r="A1278" s="29">
        <f>Dataset!A1278</f>
        <v>1274</v>
      </c>
      <c r="B1278" s="29">
        <f>IF(Dataset!B1278&lt;25,0.3,IF(Dataset!B1278&lt;75,0.5,IF(Dataset!B1278&lt;120,0.65,0.8)))</f>
        <v>0.8</v>
      </c>
      <c r="C1278" s="29">
        <f>IF(Dataset!B1278&lt;25,1,IF(Dataset!B1278&lt;75,2,IF(Dataset!B1278&lt;120,3,4)))</f>
        <v>4</v>
      </c>
      <c r="D1278" s="29">
        <f t="shared" si="152"/>
        <v>3.2</v>
      </c>
      <c r="E1278" s="29">
        <f>IF(Dataset!C1278&lt;=1,0.3,IF(Dataset!C1278=2,0.4,IF(Dataset!C1278=3,0.5,IF(Dataset!C1278=4,0.65,0.8))))</f>
        <v>0.65</v>
      </c>
      <c r="F1278" s="29">
        <f>IF(Dataset!C1278&lt;=2,1,IF(Dataset!C1278=3,2,IF(Dataset!C1278=4,3,4)))</f>
        <v>3</v>
      </c>
      <c r="G1278" s="29">
        <f t="shared" si="153"/>
        <v>1.9500000000000002</v>
      </c>
      <c r="H1278" s="29">
        <f>IF(Dataset!G1278&lt;=3,0.25,IF(Dataset!G1278&lt;=6,0.45,IF(Dataset!G1278&lt;=9,0.65,0.85)))</f>
        <v>0.45</v>
      </c>
      <c r="I1278" s="29">
        <f>IF(Dataset!G1278&lt;=3,1,IF(Dataset!G1278&lt;=6,2,IF(Dataset!G1278&lt;=9,3,4)))</f>
        <v>2</v>
      </c>
      <c r="J1278" s="29">
        <f t="shared" si="154"/>
        <v>0.9</v>
      </c>
      <c r="K1278" s="29">
        <f>IF(Dataset!H1278&lt;1,0.2,IF(Dataset!H1278&lt;1.3,0.45,IF(Dataset!H1278&lt;1.8,0.7,0.9)))</f>
        <v>0.7</v>
      </c>
      <c r="L1278" s="29">
        <f>IF(Dataset!H1278&lt;1,1,IF(Dataset!H1278&lt;1.3,2,IF(Dataset!H1278&lt;1.8,3,4)))</f>
        <v>3</v>
      </c>
      <c r="M1278" s="29">
        <f t="shared" si="155"/>
        <v>2.0999999999999996</v>
      </c>
      <c r="N1278" s="29">
        <f>IF(Dataset!F1278=1,0.75,IF(Dataset!F1278=2,0.45,0.2))</f>
        <v>0.2</v>
      </c>
      <c r="O1278" s="29">
        <f>IF(Dataset!F1278=1,3,IF(Dataset!F1278=2,2,1))</f>
        <v>1</v>
      </c>
      <c r="P1278" s="29">
        <f t="shared" si="156"/>
        <v>0.2</v>
      </c>
      <c r="Q1278" s="29">
        <f>IF(Dataset!K1278&lt;5,0.2,IF(Dataset!K1278&lt;10,0.45,IF(Dataset!K1278&lt;18,0.7,0.9)))</f>
        <v>0.45</v>
      </c>
      <c r="R1278" s="29">
        <f>IF(Dataset!K1278&lt;5,1,IF(Dataset!K1278&lt;10,2,IF(Dataset!K1278&lt;18,3,4)))</f>
        <v>2</v>
      </c>
      <c r="S1278" s="29">
        <f t="shared" si="157"/>
        <v>0.9</v>
      </c>
      <c r="T1278" s="29">
        <f t="shared" si="158"/>
        <v>1.679</v>
      </c>
      <c r="U1278" s="29" t="str">
        <f t="shared" si="159"/>
        <v>Medium</v>
      </c>
    </row>
    <row r="1279" spans="1:21" ht="15" customHeight="1" x14ac:dyDescent="0.25">
      <c r="A1279" s="29">
        <f>Dataset!A1279</f>
        <v>1275</v>
      </c>
      <c r="B1279" s="29">
        <f>IF(Dataset!B1279&lt;25,0.3,IF(Dataset!B1279&lt;75,0.5,IF(Dataset!B1279&lt;120,0.65,0.8)))</f>
        <v>0.8</v>
      </c>
      <c r="C1279" s="29">
        <f>IF(Dataset!B1279&lt;25,1,IF(Dataset!B1279&lt;75,2,IF(Dataset!B1279&lt;120,3,4)))</f>
        <v>4</v>
      </c>
      <c r="D1279" s="29">
        <f t="shared" si="152"/>
        <v>3.2</v>
      </c>
      <c r="E1279" s="29">
        <f>IF(Dataset!C1279&lt;=1,0.3,IF(Dataset!C1279=2,0.4,IF(Dataset!C1279=3,0.5,IF(Dataset!C1279=4,0.65,0.8))))</f>
        <v>0.65</v>
      </c>
      <c r="F1279" s="29">
        <f>IF(Dataset!C1279&lt;=2,1,IF(Dataset!C1279=3,2,IF(Dataset!C1279=4,3,4)))</f>
        <v>3</v>
      </c>
      <c r="G1279" s="29">
        <f t="shared" si="153"/>
        <v>1.9500000000000002</v>
      </c>
      <c r="H1279" s="29">
        <f>IF(Dataset!G1279&lt;=3,0.25,IF(Dataset!G1279&lt;=6,0.45,IF(Dataset!G1279&lt;=9,0.65,0.85)))</f>
        <v>0.65</v>
      </c>
      <c r="I1279" s="29">
        <f>IF(Dataset!G1279&lt;=3,1,IF(Dataset!G1279&lt;=6,2,IF(Dataset!G1279&lt;=9,3,4)))</f>
        <v>3</v>
      </c>
      <c r="J1279" s="29">
        <f t="shared" si="154"/>
        <v>1.9500000000000002</v>
      </c>
      <c r="K1279" s="29">
        <f>IF(Dataset!H1279&lt;1,0.2,IF(Dataset!H1279&lt;1.3,0.45,IF(Dataset!H1279&lt;1.8,0.7,0.9)))</f>
        <v>0.9</v>
      </c>
      <c r="L1279" s="29">
        <f>IF(Dataset!H1279&lt;1,1,IF(Dataset!H1279&lt;1.3,2,IF(Dataset!H1279&lt;1.8,3,4)))</f>
        <v>4</v>
      </c>
      <c r="M1279" s="29">
        <f t="shared" si="155"/>
        <v>3.6</v>
      </c>
      <c r="N1279" s="29">
        <f>IF(Dataset!F1279=1,0.75,IF(Dataset!F1279=2,0.45,0.2))</f>
        <v>0.45</v>
      </c>
      <c r="O1279" s="29">
        <f>IF(Dataset!F1279=1,3,IF(Dataset!F1279=2,2,1))</f>
        <v>2</v>
      </c>
      <c r="P1279" s="29">
        <f t="shared" si="156"/>
        <v>0.9</v>
      </c>
      <c r="Q1279" s="29">
        <f>IF(Dataset!K1279&lt;5,0.2,IF(Dataset!K1279&lt;10,0.45,IF(Dataset!K1279&lt;18,0.7,0.9)))</f>
        <v>0.45</v>
      </c>
      <c r="R1279" s="29">
        <f>IF(Dataset!K1279&lt;5,1,IF(Dataset!K1279&lt;10,2,IF(Dataset!K1279&lt;18,3,4)))</f>
        <v>2</v>
      </c>
      <c r="S1279" s="29">
        <f t="shared" si="157"/>
        <v>0.9</v>
      </c>
      <c r="T1279" s="29">
        <f t="shared" si="158"/>
        <v>2.319</v>
      </c>
      <c r="U1279" s="29" t="str">
        <f t="shared" si="159"/>
        <v>High</v>
      </c>
    </row>
    <row r="1280" spans="1:21" ht="15" customHeight="1" x14ac:dyDescent="0.25">
      <c r="A1280" s="29">
        <f>Dataset!A1280</f>
        <v>1276</v>
      </c>
      <c r="B1280" s="29">
        <f>IF(Dataset!B1280&lt;25,0.3,IF(Dataset!B1280&lt;75,0.5,IF(Dataset!B1280&lt;120,0.65,0.8)))</f>
        <v>0.65</v>
      </c>
      <c r="C1280" s="29">
        <f>IF(Dataset!B1280&lt;25,1,IF(Dataset!B1280&lt;75,2,IF(Dataset!B1280&lt;120,3,4)))</f>
        <v>3</v>
      </c>
      <c r="D1280" s="29">
        <f t="shared" si="152"/>
        <v>1.9500000000000002</v>
      </c>
      <c r="E1280" s="29">
        <f>IF(Dataset!C1280&lt;=1,0.3,IF(Dataset!C1280=2,0.4,IF(Dataset!C1280=3,0.5,IF(Dataset!C1280=4,0.65,0.8))))</f>
        <v>0.4</v>
      </c>
      <c r="F1280" s="29">
        <f>IF(Dataset!C1280&lt;=2,1,IF(Dataset!C1280=3,2,IF(Dataset!C1280=4,3,4)))</f>
        <v>1</v>
      </c>
      <c r="G1280" s="29">
        <f t="shared" si="153"/>
        <v>0.4</v>
      </c>
      <c r="H1280" s="29">
        <f>IF(Dataset!G1280&lt;=3,0.25,IF(Dataset!G1280&lt;=6,0.45,IF(Dataset!G1280&lt;=9,0.65,0.85)))</f>
        <v>0.65</v>
      </c>
      <c r="I1280" s="29">
        <f>IF(Dataset!G1280&lt;=3,1,IF(Dataset!G1280&lt;=6,2,IF(Dataset!G1280&lt;=9,3,4)))</f>
        <v>3</v>
      </c>
      <c r="J1280" s="29">
        <f t="shared" si="154"/>
        <v>1.9500000000000002</v>
      </c>
      <c r="K1280" s="29">
        <f>IF(Dataset!H1280&lt;1,0.2,IF(Dataset!H1280&lt;1.3,0.45,IF(Dataset!H1280&lt;1.8,0.7,0.9)))</f>
        <v>0.2</v>
      </c>
      <c r="L1280" s="29">
        <f>IF(Dataset!H1280&lt;1,1,IF(Dataset!H1280&lt;1.3,2,IF(Dataset!H1280&lt;1.8,3,4)))</f>
        <v>1</v>
      </c>
      <c r="M1280" s="29">
        <f t="shared" si="155"/>
        <v>0.2</v>
      </c>
      <c r="N1280" s="29">
        <f>IF(Dataset!F1280=1,0.75,IF(Dataset!F1280=2,0.45,0.2))</f>
        <v>0.75</v>
      </c>
      <c r="O1280" s="29">
        <f>IF(Dataset!F1280=1,3,IF(Dataset!F1280=2,2,1))</f>
        <v>3</v>
      </c>
      <c r="P1280" s="29">
        <f t="shared" si="156"/>
        <v>2.25</v>
      </c>
      <c r="Q1280" s="29">
        <f>IF(Dataset!K1280&lt;5,0.2,IF(Dataset!K1280&lt;10,0.45,IF(Dataset!K1280&lt;18,0.7,0.9)))</f>
        <v>0.2</v>
      </c>
      <c r="R1280" s="29">
        <f>IF(Dataset!K1280&lt;5,1,IF(Dataset!K1280&lt;10,2,IF(Dataset!K1280&lt;18,3,4)))</f>
        <v>1</v>
      </c>
      <c r="S1280" s="29">
        <f t="shared" si="157"/>
        <v>0.2</v>
      </c>
      <c r="T1280" s="29">
        <f t="shared" si="158"/>
        <v>1.0980000000000003</v>
      </c>
      <c r="U1280" s="29" t="str">
        <f t="shared" si="159"/>
        <v>Low</v>
      </c>
    </row>
    <row r="1281" spans="1:21" ht="15" customHeight="1" x14ac:dyDescent="0.25">
      <c r="A1281" s="29">
        <f>Dataset!A1281</f>
        <v>1277</v>
      </c>
      <c r="B1281" s="29">
        <f>IF(Dataset!B1281&lt;25,0.3,IF(Dataset!B1281&lt;75,0.5,IF(Dataset!B1281&lt;120,0.65,0.8)))</f>
        <v>0.8</v>
      </c>
      <c r="C1281" s="29">
        <f>IF(Dataset!B1281&lt;25,1,IF(Dataset!B1281&lt;75,2,IF(Dataset!B1281&lt;120,3,4)))</f>
        <v>4</v>
      </c>
      <c r="D1281" s="29">
        <f t="shared" si="152"/>
        <v>3.2</v>
      </c>
      <c r="E1281" s="29">
        <f>IF(Dataset!C1281&lt;=1,0.3,IF(Dataset!C1281=2,0.4,IF(Dataset!C1281=3,0.5,IF(Dataset!C1281=4,0.65,0.8))))</f>
        <v>0.65</v>
      </c>
      <c r="F1281" s="29">
        <f>IF(Dataset!C1281&lt;=2,1,IF(Dataset!C1281=3,2,IF(Dataset!C1281=4,3,4)))</f>
        <v>3</v>
      </c>
      <c r="G1281" s="29">
        <f t="shared" si="153"/>
        <v>1.9500000000000002</v>
      </c>
      <c r="H1281" s="29">
        <f>IF(Dataset!G1281&lt;=3,0.25,IF(Dataset!G1281&lt;=6,0.45,IF(Dataset!G1281&lt;=9,0.65,0.85)))</f>
        <v>0.85</v>
      </c>
      <c r="I1281" s="29">
        <f>IF(Dataset!G1281&lt;=3,1,IF(Dataset!G1281&lt;=6,2,IF(Dataset!G1281&lt;=9,3,4)))</f>
        <v>4</v>
      </c>
      <c r="J1281" s="29">
        <f t="shared" si="154"/>
        <v>3.4</v>
      </c>
      <c r="K1281" s="29">
        <f>IF(Dataset!H1281&lt;1,0.2,IF(Dataset!H1281&lt;1.3,0.45,IF(Dataset!H1281&lt;1.8,0.7,0.9)))</f>
        <v>0.9</v>
      </c>
      <c r="L1281" s="29">
        <f>IF(Dataset!H1281&lt;1,1,IF(Dataset!H1281&lt;1.3,2,IF(Dataset!H1281&lt;1.8,3,4)))</f>
        <v>4</v>
      </c>
      <c r="M1281" s="29">
        <f t="shared" si="155"/>
        <v>3.6</v>
      </c>
      <c r="N1281" s="29">
        <f>IF(Dataset!F1281=1,0.75,IF(Dataset!F1281=2,0.45,0.2))</f>
        <v>0.2</v>
      </c>
      <c r="O1281" s="29">
        <f>IF(Dataset!F1281=1,3,IF(Dataset!F1281=2,2,1))</f>
        <v>1</v>
      </c>
      <c r="P1281" s="29">
        <f t="shared" si="156"/>
        <v>0.2</v>
      </c>
      <c r="Q1281" s="29">
        <f>IF(Dataset!K1281&lt;5,0.2,IF(Dataset!K1281&lt;10,0.45,IF(Dataset!K1281&lt;18,0.7,0.9)))</f>
        <v>0.7</v>
      </c>
      <c r="R1281" s="29">
        <f>IF(Dataset!K1281&lt;5,1,IF(Dataset!K1281&lt;10,2,IF(Dataset!K1281&lt;18,3,4)))</f>
        <v>3</v>
      </c>
      <c r="S1281" s="29">
        <f t="shared" si="157"/>
        <v>2.0999999999999996</v>
      </c>
      <c r="T1281" s="29">
        <f t="shared" si="158"/>
        <v>2.7069999999999999</v>
      </c>
      <c r="U1281" s="29" t="str">
        <f t="shared" si="159"/>
        <v>High</v>
      </c>
    </row>
    <row r="1282" spans="1:21" ht="15" customHeight="1" x14ac:dyDescent="0.25">
      <c r="A1282" s="29">
        <f>Dataset!A1282</f>
        <v>1278</v>
      </c>
      <c r="B1282" s="29">
        <f>IF(Dataset!B1282&lt;25,0.3,IF(Dataset!B1282&lt;75,0.5,IF(Dataset!B1282&lt;120,0.65,0.8)))</f>
        <v>0.65</v>
      </c>
      <c r="C1282" s="29">
        <f>IF(Dataset!B1282&lt;25,1,IF(Dataset!B1282&lt;75,2,IF(Dataset!B1282&lt;120,3,4)))</f>
        <v>3</v>
      </c>
      <c r="D1282" s="29">
        <f t="shared" si="152"/>
        <v>1.9500000000000002</v>
      </c>
      <c r="E1282" s="29">
        <f>IF(Dataset!C1282&lt;=1,0.3,IF(Dataset!C1282=2,0.4,IF(Dataset!C1282=3,0.5,IF(Dataset!C1282=4,0.65,0.8))))</f>
        <v>0.5</v>
      </c>
      <c r="F1282" s="29">
        <f>IF(Dataset!C1282&lt;=2,1,IF(Dataset!C1282=3,2,IF(Dataset!C1282=4,3,4)))</f>
        <v>2</v>
      </c>
      <c r="G1282" s="29">
        <f t="shared" si="153"/>
        <v>1</v>
      </c>
      <c r="H1282" s="29">
        <f>IF(Dataset!G1282&lt;=3,0.25,IF(Dataset!G1282&lt;=6,0.45,IF(Dataset!G1282&lt;=9,0.65,0.85)))</f>
        <v>0.45</v>
      </c>
      <c r="I1282" s="29">
        <f>IF(Dataset!G1282&lt;=3,1,IF(Dataset!G1282&lt;=6,2,IF(Dataset!G1282&lt;=9,3,4)))</f>
        <v>2</v>
      </c>
      <c r="J1282" s="29">
        <f t="shared" si="154"/>
        <v>0.9</v>
      </c>
      <c r="K1282" s="29">
        <f>IF(Dataset!H1282&lt;1,0.2,IF(Dataset!H1282&lt;1.3,0.45,IF(Dataset!H1282&lt;1.8,0.7,0.9)))</f>
        <v>0.7</v>
      </c>
      <c r="L1282" s="29">
        <f>IF(Dataset!H1282&lt;1,1,IF(Dataset!H1282&lt;1.3,2,IF(Dataset!H1282&lt;1.8,3,4)))</f>
        <v>3</v>
      </c>
      <c r="M1282" s="29">
        <f t="shared" si="155"/>
        <v>2.0999999999999996</v>
      </c>
      <c r="N1282" s="29">
        <f>IF(Dataset!F1282=1,0.75,IF(Dataset!F1282=2,0.45,0.2))</f>
        <v>0.75</v>
      </c>
      <c r="O1282" s="29">
        <f>IF(Dataset!F1282=1,3,IF(Dataset!F1282=2,2,1))</f>
        <v>3</v>
      </c>
      <c r="P1282" s="29">
        <f t="shared" si="156"/>
        <v>2.25</v>
      </c>
      <c r="Q1282" s="29">
        <f>IF(Dataset!K1282&lt;5,0.2,IF(Dataset!K1282&lt;10,0.45,IF(Dataset!K1282&lt;18,0.7,0.9)))</f>
        <v>0.45</v>
      </c>
      <c r="R1282" s="29">
        <f>IF(Dataset!K1282&lt;5,1,IF(Dataset!K1282&lt;10,2,IF(Dataset!K1282&lt;18,3,4)))</f>
        <v>2</v>
      </c>
      <c r="S1282" s="29">
        <f t="shared" si="157"/>
        <v>0.9</v>
      </c>
      <c r="T1282" s="29">
        <f t="shared" si="158"/>
        <v>1.526</v>
      </c>
      <c r="U1282" s="29" t="str">
        <f t="shared" si="159"/>
        <v>Medium</v>
      </c>
    </row>
    <row r="1283" spans="1:21" ht="15" customHeight="1" x14ac:dyDescent="0.25">
      <c r="A1283" s="29">
        <f>Dataset!A1283</f>
        <v>1279</v>
      </c>
      <c r="B1283" s="29">
        <f>IF(Dataset!B1283&lt;25,0.3,IF(Dataset!B1283&lt;75,0.5,IF(Dataset!B1283&lt;120,0.65,0.8)))</f>
        <v>0.5</v>
      </c>
      <c r="C1283" s="29">
        <f>IF(Dataset!B1283&lt;25,1,IF(Dataset!B1283&lt;75,2,IF(Dataset!B1283&lt;120,3,4)))</f>
        <v>2</v>
      </c>
      <c r="D1283" s="29">
        <f t="shared" si="152"/>
        <v>1</v>
      </c>
      <c r="E1283" s="29">
        <f>IF(Dataset!C1283&lt;=1,0.3,IF(Dataset!C1283=2,0.4,IF(Dataset!C1283=3,0.5,IF(Dataset!C1283=4,0.65,0.8))))</f>
        <v>0.65</v>
      </c>
      <c r="F1283" s="29">
        <f>IF(Dataset!C1283&lt;=2,1,IF(Dataset!C1283=3,2,IF(Dataset!C1283=4,3,4)))</f>
        <v>3</v>
      </c>
      <c r="G1283" s="29">
        <f t="shared" si="153"/>
        <v>1.9500000000000002</v>
      </c>
      <c r="H1283" s="29">
        <f>IF(Dataset!G1283&lt;=3,0.25,IF(Dataset!G1283&lt;=6,0.45,IF(Dataset!G1283&lt;=9,0.65,0.85)))</f>
        <v>0.65</v>
      </c>
      <c r="I1283" s="29">
        <f>IF(Dataset!G1283&lt;=3,1,IF(Dataset!G1283&lt;=6,2,IF(Dataset!G1283&lt;=9,3,4)))</f>
        <v>3</v>
      </c>
      <c r="J1283" s="29">
        <f t="shared" si="154"/>
        <v>1.9500000000000002</v>
      </c>
      <c r="K1283" s="29">
        <f>IF(Dataset!H1283&lt;1,0.2,IF(Dataset!H1283&lt;1.3,0.45,IF(Dataset!H1283&lt;1.8,0.7,0.9)))</f>
        <v>0.2</v>
      </c>
      <c r="L1283" s="29">
        <f>IF(Dataset!H1283&lt;1,1,IF(Dataset!H1283&lt;1.3,2,IF(Dataset!H1283&lt;1.8,3,4)))</f>
        <v>1</v>
      </c>
      <c r="M1283" s="29">
        <f t="shared" si="155"/>
        <v>0.2</v>
      </c>
      <c r="N1283" s="29">
        <f>IF(Dataset!F1283=1,0.75,IF(Dataset!F1283=2,0.45,0.2))</f>
        <v>0.45</v>
      </c>
      <c r="O1283" s="29">
        <f>IF(Dataset!F1283=1,3,IF(Dataset!F1283=2,2,1))</f>
        <v>2</v>
      </c>
      <c r="P1283" s="29">
        <f t="shared" si="156"/>
        <v>0.9</v>
      </c>
      <c r="Q1283" s="29">
        <f>IF(Dataset!K1283&lt;5,0.2,IF(Dataset!K1283&lt;10,0.45,IF(Dataset!K1283&lt;18,0.7,0.9)))</f>
        <v>0.7</v>
      </c>
      <c r="R1283" s="29">
        <f>IF(Dataset!K1283&lt;5,1,IF(Dataset!K1283&lt;10,2,IF(Dataset!K1283&lt;18,3,4)))</f>
        <v>3</v>
      </c>
      <c r="S1283" s="29">
        <f t="shared" si="157"/>
        <v>2.0999999999999996</v>
      </c>
      <c r="T1283" s="29">
        <f t="shared" si="158"/>
        <v>1.2750000000000001</v>
      </c>
      <c r="U1283" s="29" t="str">
        <f t="shared" si="159"/>
        <v>Low</v>
      </c>
    </row>
    <row r="1284" spans="1:21" ht="15" customHeight="1" x14ac:dyDescent="0.25">
      <c r="A1284" s="29">
        <f>Dataset!A1284</f>
        <v>1280</v>
      </c>
      <c r="B1284" s="29">
        <f>IF(Dataset!B1284&lt;25,0.3,IF(Dataset!B1284&lt;75,0.5,IF(Dataset!B1284&lt;120,0.65,0.8)))</f>
        <v>0.65</v>
      </c>
      <c r="C1284" s="29">
        <f>IF(Dataset!B1284&lt;25,1,IF(Dataset!B1284&lt;75,2,IF(Dataset!B1284&lt;120,3,4)))</f>
        <v>3</v>
      </c>
      <c r="D1284" s="29">
        <f t="shared" si="152"/>
        <v>1.9500000000000002</v>
      </c>
      <c r="E1284" s="29">
        <f>IF(Dataset!C1284&lt;=1,0.3,IF(Dataset!C1284=2,0.4,IF(Dataset!C1284=3,0.5,IF(Dataset!C1284=4,0.65,0.8))))</f>
        <v>0.5</v>
      </c>
      <c r="F1284" s="29">
        <f>IF(Dataset!C1284&lt;=2,1,IF(Dataset!C1284=3,2,IF(Dataset!C1284=4,3,4)))</f>
        <v>2</v>
      </c>
      <c r="G1284" s="29">
        <f t="shared" si="153"/>
        <v>1</v>
      </c>
      <c r="H1284" s="29">
        <f>IF(Dataset!G1284&lt;=3,0.25,IF(Dataset!G1284&lt;=6,0.45,IF(Dataset!G1284&lt;=9,0.65,0.85)))</f>
        <v>0.65</v>
      </c>
      <c r="I1284" s="29">
        <f>IF(Dataset!G1284&lt;=3,1,IF(Dataset!G1284&lt;=6,2,IF(Dataset!G1284&lt;=9,3,4)))</f>
        <v>3</v>
      </c>
      <c r="J1284" s="29">
        <f t="shared" si="154"/>
        <v>1.9500000000000002</v>
      </c>
      <c r="K1284" s="29">
        <f>IF(Dataset!H1284&lt;1,0.2,IF(Dataset!H1284&lt;1.3,0.45,IF(Dataset!H1284&lt;1.8,0.7,0.9)))</f>
        <v>0.9</v>
      </c>
      <c r="L1284" s="29">
        <f>IF(Dataset!H1284&lt;1,1,IF(Dataset!H1284&lt;1.3,2,IF(Dataset!H1284&lt;1.8,3,4)))</f>
        <v>4</v>
      </c>
      <c r="M1284" s="29">
        <f t="shared" si="155"/>
        <v>3.6</v>
      </c>
      <c r="N1284" s="29">
        <f>IF(Dataset!F1284=1,0.75,IF(Dataset!F1284=2,0.45,0.2))</f>
        <v>0.45</v>
      </c>
      <c r="O1284" s="29">
        <f>IF(Dataset!F1284=1,3,IF(Dataset!F1284=2,2,1))</f>
        <v>2</v>
      </c>
      <c r="P1284" s="29">
        <f t="shared" si="156"/>
        <v>0.9</v>
      </c>
      <c r="Q1284" s="29">
        <f>IF(Dataset!K1284&lt;5,0.2,IF(Dataset!K1284&lt;10,0.45,IF(Dataset!K1284&lt;18,0.7,0.9)))</f>
        <v>0.45</v>
      </c>
      <c r="R1284" s="29">
        <f>IF(Dataset!K1284&lt;5,1,IF(Dataset!K1284&lt;10,2,IF(Dataset!K1284&lt;18,3,4)))</f>
        <v>2</v>
      </c>
      <c r="S1284" s="29">
        <f t="shared" si="157"/>
        <v>0.9</v>
      </c>
      <c r="T1284" s="29">
        <f t="shared" si="158"/>
        <v>1.9610000000000003</v>
      </c>
      <c r="U1284" s="29" t="str">
        <f t="shared" si="159"/>
        <v>High</v>
      </c>
    </row>
    <row r="1285" spans="1:21" ht="15" customHeight="1" x14ac:dyDescent="0.25">
      <c r="A1285" s="29">
        <f>Dataset!A1285</f>
        <v>1281</v>
      </c>
      <c r="B1285" s="29">
        <f>IF(Dataset!B1285&lt;25,0.3,IF(Dataset!B1285&lt;75,0.5,IF(Dataset!B1285&lt;120,0.65,0.8)))</f>
        <v>0.8</v>
      </c>
      <c r="C1285" s="29">
        <f>IF(Dataset!B1285&lt;25,1,IF(Dataset!B1285&lt;75,2,IF(Dataset!B1285&lt;120,3,4)))</f>
        <v>4</v>
      </c>
      <c r="D1285" s="29">
        <f t="shared" ref="D1285:D1348" si="160">B1285*C1285</f>
        <v>3.2</v>
      </c>
      <c r="E1285" s="29">
        <f>IF(Dataset!C1285&lt;=1,0.3,IF(Dataset!C1285=2,0.4,IF(Dataset!C1285=3,0.5,IF(Dataset!C1285=4,0.65,0.8))))</f>
        <v>0.5</v>
      </c>
      <c r="F1285" s="29">
        <f>IF(Dataset!C1285&lt;=2,1,IF(Dataset!C1285=3,2,IF(Dataset!C1285=4,3,4)))</f>
        <v>2</v>
      </c>
      <c r="G1285" s="29">
        <f t="shared" ref="G1285:G1348" si="161">E1285*F1285</f>
        <v>1</v>
      </c>
      <c r="H1285" s="29">
        <f>IF(Dataset!G1285&lt;=3,0.25,IF(Dataset!G1285&lt;=6,0.45,IF(Dataset!G1285&lt;=9,0.65,0.85)))</f>
        <v>0.65</v>
      </c>
      <c r="I1285" s="29">
        <f>IF(Dataset!G1285&lt;=3,1,IF(Dataset!G1285&lt;=6,2,IF(Dataset!G1285&lt;=9,3,4)))</f>
        <v>3</v>
      </c>
      <c r="J1285" s="29">
        <f t="shared" ref="J1285:J1348" si="162">H1285*I1285</f>
        <v>1.9500000000000002</v>
      </c>
      <c r="K1285" s="29">
        <f>IF(Dataset!H1285&lt;1,0.2,IF(Dataset!H1285&lt;1.3,0.45,IF(Dataset!H1285&lt;1.8,0.7,0.9)))</f>
        <v>0.7</v>
      </c>
      <c r="L1285" s="29">
        <f>IF(Dataset!H1285&lt;1,1,IF(Dataset!H1285&lt;1.3,2,IF(Dataset!H1285&lt;1.8,3,4)))</f>
        <v>3</v>
      </c>
      <c r="M1285" s="29">
        <f t="shared" ref="M1285:M1348" si="163">K1285*L1285</f>
        <v>2.0999999999999996</v>
      </c>
      <c r="N1285" s="29">
        <f>IF(Dataset!F1285=1,0.75,IF(Dataset!F1285=2,0.45,0.2))</f>
        <v>0.75</v>
      </c>
      <c r="O1285" s="29">
        <f>IF(Dataset!F1285=1,3,IF(Dataset!F1285=2,2,1))</f>
        <v>3</v>
      </c>
      <c r="P1285" s="29">
        <f t="shared" ref="P1285:P1348" si="164">N1285*O1285</f>
        <v>2.25</v>
      </c>
      <c r="Q1285" s="29">
        <f>IF(Dataset!K1285&lt;5,0.2,IF(Dataset!K1285&lt;10,0.45,IF(Dataset!K1285&lt;18,0.7,0.9)))</f>
        <v>0.45</v>
      </c>
      <c r="R1285" s="29">
        <f>IF(Dataset!K1285&lt;5,1,IF(Dataset!K1285&lt;10,2,IF(Dataset!K1285&lt;18,3,4)))</f>
        <v>2</v>
      </c>
      <c r="S1285" s="29">
        <f t="shared" ref="S1285:S1348" si="165">Q1285*R1285</f>
        <v>0.9</v>
      </c>
      <c r="T1285" s="29">
        <f t="shared" ref="T1285:T1348" si="166">$Y$6*D1285+$Y$7*G1285+$Y$8*J1285+$Y$9*M1285+$Y$10*P1285+$Y$11*S1285</f>
        <v>1.9610000000000001</v>
      </c>
      <c r="U1285" s="29" t="str">
        <f t="shared" ref="U1285:U1348" si="167">IF(T1285&lt;=$Y$15,"Low",IF(T1285&lt;=$Y$16,"Medium","High"))</f>
        <v>High</v>
      </c>
    </row>
    <row r="1286" spans="1:21" ht="15" customHeight="1" x14ac:dyDescent="0.25">
      <c r="A1286" s="29">
        <f>Dataset!A1286</f>
        <v>1282</v>
      </c>
      <c r="B1286" s="29">
        <f>IF(Dataset!B1286&lt;25,0.3,IF(Dataset!B1286&lt;75,0.5,IF(Dataset!B1286&lt;120,0.65,0.8)))</f>
        <v>0.8</v>
      </c>
      <c r="C1286" s="29">
        <f>IF(Dataset!B1286&lt;25,1,IF(Dataset!B1286&lt;75,2,IF(Dataset!B1286&lt;120,3,4)))</f>
        <v>4</v>
      </c>
      <c r="D1286" s="29">
        <f t="shared" si="160"/>
        <v>3.2</v>
      </c>
      <c r="E1286" s="29">
        <f>IF(Dataset!C1286&lt;=1,0.3,IF(Dataset!C1286=2,0.4,IF(Dataset!C1286=3,0.5,IF(Dataset!C1286=4,0.65,0.8))))</f>
        <v>0.4</v>
      </c>
      <c r="F1286" s="29">
        <f>IF(Dataset!C1286&lt;=2,1,IF(Dataset!C1286=3,2,IF(Dataset!C1286=4,3,4)))</f>
        <v>1</v>
      </c>
      <c r="G1286" s="29">
        <f t="shared" si="161"/>
        <v>0.4</v>
      </c>
      <c r="H1286" s="29">
        <f>IF(Dataset!G1286&lt;=3,0.25,IF(Dataset!G1286&lt;=6,0.45,IF(Dataset!G1286&lt;=9,0.65,0.85)))</f>
        <v>0.25</v>
      </c>
      <c r="I1286" s="29">
        <f>IF(Dataset!G1286&lt;=3,1,IF(Dataset!G1286&lt;=6,2,IF(Dataset!G1286&lt;=9,3,4)))</f>
        <v>1</v>
      </c>
      <c r="J1286" s="29">
        <f t="shared" si="162"/>
        <v>0.25</v>
      </c>
      <c r="K1286" s="29">
        <f>IF(Dataset!H1286&lt;1,0.2,IF(Dataset!H1286&lt;1.3,0.45,IF(Dataset!H1286&lt;1.8,0.7,0.9)))</f>
        <v>0.9</v>
      </c>
      <c r="L1286" s="29">
        <f>IF(Dataset!H1286&lt;1,1,IF(Dataset!H1286&lt;1.3,2,IF(Dataset!H1286&lt;1.8,3,4)))</f>
        <v>4</v>
      </c>
      <c r="M1286" s="29">
        <f t="shared" si="163"/>
        <v>3.6</v>
      </c>
      <c r="N1286" s="29">
        <f>IF(Dataset!F1286=1,0.75,IF(Dataset!F1286=2,0.45,0.2))</f>
        <v>0.75</v>
      </c>
      <c r="O1286" s="29">
        <f>IF(Dataset!F1286=1,3,IF(Dataset!F1286=2,2,1))</f>
        <v>3</v>
      </c>
      <c r="P1286" s="29">
        <f t="shared" si="164"/>
        <v>2.25</v>
      </c>
      <c r="Q1286" s="29">
        <f>IF(Dataset!K1286&lt;5,0.2,IF(Dataset!K1286&lt;10,0.45,IF(Dataset!K1286&lt;18,0.7,0.9)))</f>
        <v>0.45</v>
      </c>
      <c r="R1286" s="29">
        <f>IF(Dataset!K1286&lt;5,1,IF(Dataset!K1286&lt;10,2,IF(Dataset!K1286&lt;18,3,4)))</f>
        <v>2</v>
      </c>
      <c r="S1286" s="29">
        <f t="shared" si="165"/>
        <v>0.9</v>
      </c>
      <c r="T1286" s="29">
        <f t="shared" si="166"/>
        <v>1.8970000000000002</v>
      </c>
      <c r="U1286" s="29" t="str">
        <f t="shared" si="167"/>
        <v>High</v>
      </c>
    </row>
    <row r="1287" spans="1:21" ht="15" customHeight="1" x14ac:dyDescent="0.25">
      <c r="A1287" s="29">
        <f>Dataset!A1287</f>
        <v>1283</v>
      </c>
      <c r="B1287" s="29">
        <f>IF(Dataset!B1287&lt;25,0.3,IF(Dataset!B1287&lt;75,0.5,IF(Dataset!B1287&lt;120,0.65,0.8)))</f>
        <v>0.5</v>
      </c>
      <c r="C1287" s="29">
        <f>IF(Dataset!B1287&lt;25,1,IF(Dataset!B1287&lt;75,2,IF(Dataset!B1287&lt;120,3,4)))</f>
        <v>2</v>
      </c>
      <c r="D1287" s="29">
        <f t="shared" si="160"/>
        <v>1</v>
      </c>
      <c r="E1287" s="29">
        <f>IF(Dataset!C1287&lt;=1,0.3,IF(Dataset!C1287=2,0.4,IF(Dataset!C1287=3,0.5,IF(Dataset!C1287=4,0.65,0.8))))</f>
        <v>0.65</v>
      </c>
      <c r="F1287" s="29">
        <f>IF(Dataset!C1287&lt;=2,1,IF(Dataset!C1287=3,2,IF(Dataset!C1287=4,3,4)))</f>
        <v>3</v>
      </c>
      <c r="G1287" s="29">
        <f t="shared" si="161"/>
        <v>1.9500000000000002</v>
      </c>
      <c r="H1287" s="29">
        <f>IF(Dataset!G1287&lt;=3,0.25,IF(Dataset!G1287&lt;=6,0.45,IF(Dataset!G1287&lt;=9,0.65,0.85)))</f>
        <v>0.25</v>
      </c>
      <c r="I1287" s="29">
        <f>IF(Dataset!G1287&lt;=3,1,IF(Dataset!G1287&lt;=6,2,IF(Dataset!G1287&lt;=9,3,4)))</f>
        <v>1</v>
      </c>
      <c r="J1287" s="29">
        <f t="shared" si="162"/>
        <v>0.25</v>
      </c>
      <c r="K1287" s="29">
        <f>IF(Dataset!H1287&lt;1,0.2,IF(Dataset!H1287&lt;1.3,0.45,IF(Dataset!H1287&lt;1.8,0.7,0.9)))</f>
        <v>0.9</v>
      </c>
      <c r="L1287" s="29">
        <f>IF(Dataset!H1287&lt;1,1,IF(Dataset!H1287&lt;1.3,2,IF(Dataset!H1287&lt;1.8,3,4)))</f>
        <v>4</v>
      </c>
      <c r="M1287" s="29">
        <f t="shared" si="163"/>
        <v>3.6</v>
      </c>
      <c r="N1287" s="29">
        <f>IF(Dataset!F1287=1,0.75,IF(Dataset!F1287=2,0.45,0.2))</f>
        <v>0.75</v>
      </c>
      <c r="O1287" s="29">
        <f>IF(Dataset!F1287=1,3,IF(Dataset!F1287=2,2,1))</f>
        <v>3</v>
      </c>
      <c r="P1287" s="29">
        <f t="shared" si="164"/>
        <v>2.25</v>
      </c>
      <c r="Q1287" s="29">
        <f>IF(Dataset!K1287&lt;5,0.2,IF(Dataset!K1287&lt;10,0.45,IF(Dataset!K1287&lt;18,0.7,0.9)))</f>
        <v>0.45</v>
      </c>
      <c r="R1287" s="29">
        <f>IF(Dataset!K1287&lt;5,1,IF(Dataset!K1287&lt;10,2,IF(Dataset!K1287&lt;18,3,4)))</f>
        <v>2</v>
      </c>
      <c r="S1287" s="29">
        <f t="shared" si="165"/>
        <v>0.9</v>
      </c>
      <c r="T1287" s="29">
        <f t="shared" si="166"/>
        <v>1.7180000000000002</v>
      </c>
      <c r="U1287" s="29" t="str">
        <f t="shared" si="167"/>
        <v>Medium</v>
      </c>
    </row>
    <row r="1288" spans="1:21" ht="15" customHeight="1" x14ac:dyDescent="0.25">
      <c r="A1288" s="29">
        <f>Dataset!A1288</f>
        <v>1284</v>
      </c>
      <c r="B1288" s="29">
        <f>IF(Dataset!B1288&lt;25,0.3,IF(Dataset!B1288&lt;75,0.5,IF(Dataset!B1288&lt;120,0.65,0.8)))</f>
        <v>0.5</v>
      </c>
      <c r="C1288" s="29">
        <f>IF(Dataset!B1288&lt;25,1,IF(Dataset!B1288&lt;75,2,IF(Dataset!B1288&lt;120,3,4)))</f>
        <v>2</v>
      </c>
      <c r="D1288" s="29">
        <f t="shared" si="160"/>
        <v>1</v>
      </c>
      <c r="E1288" s="29">
        <f>IF(Dataset!C1288&lt;=1,0.3,IF(Dataset!C1288=2,0.4,IF(Dataset!C1288=3,0.5,IF(Dataset!C1288=4,0.65,0.8))))</f>
        <v>0.4</v>
      </c>
      <c r="F1288" s="29">
        <f>IF(Dataset!C1288&lt;=2,1,IF(Dataset!C1288=3,2,IF(Dataset!C1288=4,3,4)))</f>
        <v>1</v>
      </c>
      <c r="G1288" s="29">
        <f t="shared" si="161"/>
        <v>0.4</v>
      </c>
      <c r="H1288" s="29">
        <f>IF(Dataset!G1288&lt;=3,0.25,IF(Dataset!G1288&lt;=6,0.45,IF(Dataset!G1288&lt;=9,0.65,0.85)))</f>
        <v>0.45</v>
      </c>
      <c r="I1288" s="29">
        <f>IF(Dataset!G1288&lt;=3,1,IF(Dataset!G1288&lt;=6,2,IF(Dataset!G1288&lt;=9,3,4)))</f>
        <v>2</v>
      </c>
      <c r="J1288" s="29">
        <f t="shared" si="162"/>
        <v>0.9</v>
      </c>
      <c r="K1288" s="29">
        <f>IF(Dataset!H1288&lt;1,0.2,IF(Dataset!H1288&lt;1.3,0.45,IF(Dataset!H1288&lt;1.8,0.7,0.9)))</f>
        <v>0.2</v>
      </c>
      <c r="L1288" s="29">
        <f>IF(Dataset!H1288&lt;1,1,IF(Dataset!H1288&lt;1.3,2,IF(Dataset!H1288&lt;1.8,3,4)))</f>
        <v>1</v>
      </c>
      <c r="M1288" s="29">
        <f t="shared" si="163"/>
        <v>0.2</v>
      </c>
      <c r="N1288" s="29">
        <f>IF(Dataset!F1288=1,0.75,IF(Dataset!F1288=2,0.45,0.2))</f>
        <v>0.2</v>
      </c>
      <c r="O1288" s="29">
        <f>IF(Dataset!F1288=1,3,IF(Dataset!F1288=2,2,1))</f>
        <v>1</v>
      </c>
      <c r="P1288" s="29">
        <f t="shared" si="164"/>
        <v>0.2</v>
      </c>
      <c r="Q1288" s="29">
        <f>IF(Dataset!K1288&lt;5,0.2,IF(Dataset!K1288&lt;10,0.45,IF(Dataset!K1288&lt;18,0.7,0.9)))</f>
        <v>0.45</v>
      </c>
      <c r="R1288" s="29">
        <f>IF(Dataset!K1288&lt;5,1,IF(Dataset!K1288&lt;10,2,IF(Dataset!K1288&lt;18,3,4)))</f>
        <v>2</v>
      </c>
      <c r="S1288" s="29">
        <f t="shared" si="165"/>
        <v>0.9</v>
      </c>
      <c r="T1288" s="29">
        <f t="shared" si="166"/>
        <v>0.6100000000000001</v>
      </c>
      <c r="U1288" s="29" t="str">
        <f t="shared" si="167"/>
        <v>Low</v>
      </c>
    </row>
    <row r="1289" spans="1:21" ht="15" customHeight="1" x14ac:dyDescent="0.25">
      <c r="A1289" s="29">
        <f>Dataset!A1289</f>
        <v>1285</v>
      </c>
      <c r="B1289" s="29">
        <f>IF(Dataset!B1289&lt;25,0.3,IF(Dataset!B1289&lt;75,0.5,IF(Dataset!B1289&lt;120,0.65,0.8)))</f>
        <v>0.5</v>
      </c>
      <c r="C1289" s="29">
        <f>IF(Dataset!B1289&lt;25,1,IF(Dataset!B1289&lt;75,2,IF(Dataset!B1289&lt;120,3,4)))</f>
        <v>2</v>
      </c>
      <c r="D1289" s="29">
        <f t="shared" si="160"/>
        <v>1</v>
      </c>
      <c r="E1289" s="29">
        <f>IF(Dataset!C1289&lt;=1,0.3,IF(Dataset!C1289=2,0.4,IF(Dataset!C1289=3,0.5,IF(Dataset!C1289=4,0.65,0.8))))</f>
        <v>0.65</v>
      </c>
      <c r="F1289" s="29">
        <f>IF(Dataset!C1289&lt;=2,1,IF(Dataset!C1289=3,2,IF(Dataset!C1289=4,3,4)))</f>
        <v>3</v>
      </c>
      <c r="G1289" s="29">
        <f t="shared" si="161"/>
        <v>1.9500000000000002</v>
      </c>
      <c r="H1289" s="29">
        <f>IF(Dataset!G1289&lt;=3,0.25,IF(Dataset!G1289&lt;=6,0.45,IF(Dataset!G1289&lt;=9,0.65,0.85)))</f>
        <v>0.45</v>
      </c>
      <c r="I1289" s="29">
        <f>IF(Dataset!G1289&lt;=3,1,IF(Dataset!G1289&lt;=6,2,IF(Dataset!G1289&lt;=9,3,4)))</f>
        <v>2</v>
      </c>
      <c r="J1289" s="29">
        <f t="shared" si="162"/>
        <v>0.9</v>
      </c>
      <c r="K1289" s="29">
        <f>IF(Dataset!H1289&lt;1,0.2,IF(Dataset!H1289&lt;1.3,0.45,IF(Dataset!H1289&lt;1.8,0.7,0.9)))</f>
        <v>0.45</v>
      </c>
      <c r="L1289" s="29">
        <f>IF(Dataset!H1289&lt;1,1,IF(Dataset!H1289&lt;1.3,2,IF(Dataset!H1289&lt;1.8,3,4)))</f>
        <v>2</v>
      </c>
      <c r="M1289" s="29">
        <f t="shared" si="163"/>
        <v>0.9</v>
      </c>
      <c r="N1289" s="29">
        <f>IF(Dataset!F1289=1,0.75,IF(Dataset!F1289=2,0.45,0.2))</f>
        <v>0.45</v>
      </c>
      <c r="O1289" s="29">
        <f>IF(Dataset!F1289=1,3,IF(Dataset!F1289=2,2,1))</f>
        <v>2</v>
      </c>
      <c r="P1289" s="29">
        <f t="shared" si="164"/>
        <v>0.9</v>
      </c>
      <c r="Q1289" s="29">
        <f>IF(Dataset!K1289&lt;5,0.2,IF(Dataset!K1289&lt;10,0.45,IF(Dataset!K1289&lt;18,0.7,0.9)))</f>
        <v>0.45</v>
      </c>
      <c r="R1289" s="29">
        <f>IF(Dataset!K1289&lt;5,1,IF(Dataset!K1289&lt;10,2,IF(Dataset!K1289&lt;18,3,4)))</f>
        <v>2</v>
      </c>
      <c r="S1289" s="29">
        <f t="shared" si="165"/>
        <v>0.9</v>
      </c>
      <c r="T1289" s="29">
        <f t="shared" si="166"/>
        <v>1.0650000000000002</v>
      </c>
      <c r="U1289" s="29" t="str">
        <f t="shared" si="167"/>
        <v>Low</v>
      </c>
    </row>
    <row r="1290" spans="1:21" ht="15" customHeight="1" x14ac:dyDescent="0.25">
      <c r="A1290" s="29">
        <f>Dataset!A1290</f>
        <v>1286</v>
      </c>
      <c r="B1290" s="29">
        <f>IF(Dataset!B1290&lt;25,0.3,IF(Dataset!B1290&lt;75,0.5,IF(Dataset!B1290&lt;120,0.65,0.8)))</f>
        <v>0.3</v>
      </c>
      <c r="C1290" s="29">
        <f>IF(Dataset!B1290&lt;25,1,IF(Dataset!B1290&lt;75,2,IF(Dataset!B1290&lt;120,3,4)))</f>
        <v>1</v>
      </c>
      <c r="D1290" s="29">
        <f t="shared" si="160"/>
        <v>0.3</v>
      </c>
      <c r="E1290" s="29">
        <f>IF(Dataset!C1290&lt;=1,0.3,IF(Dataset!C1290=2,0.4,IF(Dataset!C1290=3,0.5,IF(Dataset!C1290=4,0.65,0.8))))</f>
        <v>0.65</v>
      </c>
      <c r="F1290" s="29">
        <f>IF(Dataset!C1290&lt;=2,1,IF(Dataset!C1290=3,2,IF(Dataset!C1290=4,3,4)))</f>
        <v>3</v>
      </c>
      <c r="G1290" s="29">
        <f t="shared" si="161"/>
        <v>1.9500000000000002</v>
      </c>
      <c r="H1290" s="29">
        <f>IF(Dataset!G1290&lt;=3,0.25,IF(Dataset!G1290&lt;=6,0.45,IF(Dataset!G1290&lt;=9,0.65,0.85)))</f>
        <v>0.25</v>
      </c>
      <c r="I1290" s="29">
        <f>IF(Dataset!G1290&lt;=3,1,IF(Dataset!G1290&lt;=6,2,IF(Dataset!G1290&lt;=9,3,4)))</f>
        <v>1</v>
      </c>
      <c r="J1290" s="29">
        <f t="shared" si="162"/>
        <v>0.25</v>
      </c>
      <c r="K1290" s="29">
        <f>IF(Dataset!H1290&lt;1,0.2,IF(Dataset!H1290&lt;1.3,0.45,IF(Dataset!H1290&lt;1.8,0.7,0.9)))</f>
        <v>0.9</v>
      </c>
      <c r="L1290" s="29">
        <f>IF(Dataset!H1290&lt;1,1,IF(Dataset!H1290&lt;1.3,2,IF(Dataset!H1290&lt;1.8,3,4)))</f>
        <v>4</v>
      </c>
      <c r="M1290" s="29">
        <f t="shared" si="163"/>
        <v>3.6</v>
      </c>
      <c r="N1290" s="29">
        <f>IF(Dataset!F1290=1,0.75,IF(Dataset!F1290=2,0.45,0.2))</f>
        <v>0.45</v>
      </c>
      <c r="O1290" s="29">
        <f>IF(Dataset!F1290=1,3,IF(Dataset!F1290=2,2,1))</f>
        <v>2</v>
      </c>
      <c r="P1290" s="29">
        <f t="shared" si="164"/>
        <v>0.9</v>
      </c>
      <c r="Q1290" s="29">
        <f>IF(Dataset!K1290&lt;5,0.2,IF(Dataset!K1290&lt;10,0.45,IF(Dataset!K1290&lt;18,0.7,0.9)))</f>
        <v>0.45</v>
      </c>
      <c r="R1290" s="29">
        <f>IF(Dataset!K1290&lt;5,1,IF(Dataset!K1290&lt;10,2,IF(Dataset!K1290&lt;18,3,4)))</f>
        <v>2</v>
      </c>
      <c r="S1290" s="29">
        <f t="shared" si="165"/>
        <v>0.9</v>
      </c>
      <c r="T1290" s="29">
        <f t="shared" si="166"/>
        <v>1.4570000000000003</v>
      </c>
      <c r="U1290" s="29" t="str">
        <f t="shared" si="167"/>
        <v>Medium</v>
      </c>
    </row>
    <row r="1291" spans="1:21" ht="15" customHeight="1" x14ac:dyDescent="0.25">
      <c r="A1291" s="29">
        <f>Dataset!A1291</f>
        <v>1287</v>
      </c>
      <c r="B1291" s="29">
        <f>IF(Dataset!B1291&lt;25,0.3,IF(Dataset!B1291&lt;75,0.5,IF(Dataset!B1291&lt;120,0.65,0.8)))</f>
        <v>0.65</v>
      </c>
      <c r="C1291" s="29">
        <f>IF(Dataset!B1291&lt;25,1,IF(Dataset!B1291&lt;75,2,IF(Dataset!B1291&lt;120,3,4)))</f>
        <v>3</v>
      </c>
      <c r="D1291" s="29">
        <f t="shared" si="160"/>
        <v>1.9500000000000002</v>
      </c>
      <c r="E1291" s="29">
        <f>IF(Dataset!C1291&lt;=1,0.3,IF(Dataset!C1291=2,0.4,IF(Dataset!C1291=3,0.5,IF(Dataset!C1291=4,0.65,0.8))))</f>
        <v>0.65</v>
      </c>
      <c r="F1291" s="29">
        <f>IF(Dataset!C1291&lt;=2,1,IF(Dataset!C1291=3,2,IF(Dataset!C1291=4,3,4)))</f>
        <v>3</v>
      </c>
      <c r="G1291" s="29">
        <f t="shared" si="161"/>
        <v>1.9500000000000002</v>
      </c>
      <c r="H1291" s="29">
        <f>IF(Dataset!G1291&lt;=3,0.25,IF(Dataset!G1291&lt;=6,0.45,IF(Dataset!G1291&lt;=9,0.65,0.85)))</f>
        <v>0.65</v>
      </c>
      <c r="I1291" s="29">
        <f>IF(Dataset!G1291&lt;=3,1,IF(Dataset!G1291&lt;=6,2,IF(Dataset!G1291&lt;=9,3,4)))</f>
        <v>3</v>
      </c>
      <c r="J1291" s="29">
        <f t="shared" si="162"/>
        <v>1.9500000000000002</v>
      </c>
      <c r="K1291" s="29">
        <f>IF(Dataset!H1291&lt;1,0.2,IF(Dataset!H1291&lt;1.3,0.45,IF(Dataset!H1291&lt;1.8,0.7,0.9)))</f>
        <v>0.7</v>
      </c>
      <c r="L1291" s="29">
        <f>IF(Dataset!H1291&lt;1,1,IF(Dataset!H1291&lt;1.3,2,IF(Dataset!H1291&lt;1.8,3,4)))</f>
        <v>3</v>
      </c>
      <c r="M1291" s="29">
        <f t="shared" si="163"/>
        <v>2.0999999999999996</v>
      </c>
      <c r="N1291" s="29">
        <f>IF(Dataset!F1291=1,0.75,IF(Dataset!F1291=2,0.45,0.2))</f>
        <v>0.2</v>
      </c>
      <c r="O1291" s="29">
        <f>IF(Dataset!F1291=1,3,IF(Dataset!F1291=2,2,1))</f>
        <v>1</v>
      </c>
      <c r="P1291" s="29">
        <f t="shared" si="164"/>
        <v>0.2</v>
      </c>
      <c r="Q1291" s="29">
        <f>IF(Dataset!K1291&lt;5,0.2,IF(Dataset!K1291&lt;10,0.45,IF(Dataset!K1291&lt;18,0.7,0.9)))</f>
        <v>0.7</v>
      </c>
      <c r="R1291" s="29">
        <f>IF(Dataset!K1291&lt;5,1,IF(Dataset!K1291&lt;10,2,IF(Dataset!K1291&lt;18,3,4)))</f>
        <v>3</v>
      </c>
      <c r="S1291" s="29">
        <f t="shared" si="165"/>
        <v>2.0999999999999996</v>
      </c>
      <c r="T1291" s="29">
        <f t="shared" si="166"/>
        <v>1.8320000000000003</v>
      </c>
      <c r="U1291" s="29" t="str">
        <f t="shared" si="167"/>
        <v>High</v>
      </c>
    </row>
    <row r="1292" spans="1:21" ht="15" customHeight="1" x14ac:dyDescent="0.25">
      <c r="A1292" s="29">
        <f>Dataset!A1292</f>
        <v>1288</v>
      </c>
      <c r="B1292" s="29">
        <f>IF(Dataset!B1292&lt;25,0.3,IF(Dataset!B1292&lt;75,0.5,IF(Dataset!B1292&lt;120,0.65,0.8)))</f>
        <v>0.5</v>
      </c>
      <c r="C1292" s="29">
        <f>IF(Dataset!B1292&lt;25,1,IF(Dataset!B1292&lt;75,2,IF(Dataset!B1292&lt;120,3,4)))</f>
        <v>2</v>
      </c>
      <c r="D1292" s="29">
        <f t="shared" si="160"/>
        <v>1</v>
      </c>
      <c r="E1292" s="29">
        <f>IF(Dataset!C1292&lt;=1,0.3,IF(Dataset!C1292=2,0.4,IF(Dataset!C1292=3,0.5,IF(Dataset!C1292=4,0.65,0.8))))</f>
        <v>0.3</v>
      </c>
      <c r="F1292" s="29">
        <f>IF(Dataset!C1292&lt;=2,1,IF(Dataset!C1292=3,2,IF(Dataset!C1292=4,3,4)))</f>
        <v>1</v>
      </c>
      <c r="G1292" s="29">
        <f t="shared" si="161"/>
        <v>0.3</v>
      </c>
      <c r="H1292" s="29">
        <f>IF(Dataset!G1292&lt;=3,0.25,IF(Dataset!G1292&lt;=6,0.45,IF(Dataset!G1292&lt;=9,0.65,0.85)))</f>
        <v>0.45</v>
      </c>
      <c r="I1292" s="29">
        <f>IF(Dataset!G1292&lt;=3,1,IF(Dataset!G1292&lt;=6,2,IF(Dataset!G1292&lt;=9,3,4)))</f>
        <v>2</v>
      </c>
      <c r="J1292" s="29">
        <f t="shared" si="162"/>
        <v>0.9</v>
      </c>
      <c r="K1292" s="29">
        <f>IF(Dataset!H1292&lt;1,0.2,IF(Dataset!H1292&lt;1.3,0.45,IF(Dataset!H1292&lt;1.8,0.7,0.9)))</f>
        <v>0.2</v>
      </c>
      <c r="L1292" s="29">
        <f>IF(Dataset!H1292&lt;1,1,IF(Dataset!H1292&lt;1.3,2,IF(Dataset!H1292&lt;1.8,3,4)))</f>
        <v>1</v>
      </c>
      <c r="M1292" s="29">
        <f t="shared" si="163"/>
        <v>0.2</v>
      </c>
      <c r="N1292" s="29">
        <f>IF(Dataset!F1292=1,0.75,IF(Dataset!F1292=2,0.45,0.2))</f>
        <v>0.45</v>
      </c>
      <c r="O1292" s="29">
        <f>IF(Dataset!F1292=1,3,IF(Dataset!F1292=2,2,1))</f>
        <v>2</v>
      </c>
      <c r="P1292" s="29">
        <f t="shared" si="164"/>
        <v>0.9</v>
      </c>
      <c r="Q1292" s="29">
        <f>IF(Dataset!K1292&lt;5,0.2,IF(Dataset!K1292&lt;10,0.45,IF(Dataset!K1292&lt;18,0.7,0.9)))</f>
        <v>0.2</v>
      </c>
      <c r="R1292" s="29">
        <f>IF(Dataset!K1292&lt;5,1,IF(Dataset!K1292&lt;10,2,IF(Dataset!K1292&lt;18,3,4)))</f>
        <v>1</v>
      </c>
      <c r="S1292" s="29">
        <f t="shared" si="165"/>
        <v>0.2</v>
      </c>
      <c r="T1292" s="29">
        <f t="shared" si="166"/>
        <v>0.56800000000000006</v>
      </c>
      <c r="U1292" s="29" t="str">
        <f t="shared" si="167"/>
        <v>Low</v>
      </c>
    </row>
    <row r="1293" spans="1:21" ht="15" customHeight="1" x14ac:dyDescent="0.25">
      <c r="A1293" s="29">
        <f>Dataset!A1293</f>
        <v>1289</v>
      </c>
      <c r="B1293" s="29">
        <f>IF(Dataset!B1293&lt;25,0.3,IF(Dataset!B1293&lt;75,0.5,IF(Dataset!B1293&lt;120,0.65,0.8)))</f>
        <v>0.5</v>
      </c>
      <c r="C1293" s="29">
        <f>IF(Dataset!B1293&lt;25,1,IF(Dataset!B1293&lt;75,2,IF(Dataset!B1293&lt;120,3,4)))</f>
        <v>2</v>
      </c>
      <c r="D1293" s="29">
        <f t="shared" si="160"/>
        <v>1</v>
      </c>
      <c r="E1293" s="29">
        <f>IF(Dataset!C1293&lt;=1,0.3,IF(Dataset!C1293=2,0.4,IF(Dataset!C1293=3,0.5,IF(Dataset!C1293=4,0.65,0.8))))</f>
        <v>0.5</v>
      </c>
      <c r="F1293" s="29">
        <f>IF(Dataset!C1293&lt;=2,1,IF(Dataset!C1293=3,2,IF(Dataset!C1293=4,3,4)))</f>
        <v>2</v>
      </c>
      <c r="G1293" s="29">
        <f t="shared" si="161"/>
        <v>1</v>
      </c>
      <c r="H1293" s="29">
        <f>IF(Dataset!G1293&lt;=3,0.25,IF(Dataset!G1293&lt;=6,0.45,IF(Dataset!G1293&lt;=9,0.65,0.85)))</f>
        <v>0.65</v>
      </c>
      <c r="I1293" s="29">
        <f>IF(Dataset!G1293&lt;=3,1,IF(Dataset!G1293&lt;=6,2,IF(Dataset!G1293&lt;=9,3,4)))</f>
        <v>3</v>
      </c>
      <c r="J1293" s="29">
        <f t="shared" si="162"/>
        <v>1.9500000000000002</v>
      </c>
      <c r="K1293" s="29">
        <f>IF(Dataset!H1293&lt;1,0.2,IF(Dataset!H1293&lt;1.3,0.45,IF(Dataset!H1293&lt;1.8,0.7,0.9)))</f>
        <v>0.7</v>
      </c>
      <c r="L1293" s="29">
        <f>IF(Dataset!H1293&lt;1,1,IF(Dataset!H1293&lt;1.3,2,IF(Dataset!H1293&lt;1.8,3,4)))</f>
        <v>3</v>
      </c>
      <c r="M1293" s="29">
        <f t="shared" si="163"/>
        <v>2.0999999999999996</v>
      </c>
      <c r="N1293" s="29">
        <f>IF(Dataset!F1293=1,0.75,IF(Dataset!F1293=2,0.45,0.2))</f>
        <v>0.45</v>
      </c>
      <c r="O1293" s="29">
        <f>IF(Dataset!F1293=1,3,IF(Dataset!F1293=2,2,1))</f>
        <v>2</v>
      </c>
      <c r="P1293" s="29">
        <f t="shared" si="164"/>
        <v>0.9</v>
      </c>
      <c r="Q1293" s="29">
        <f>IF(Dataset!K1293&lt;5,0.2,IF(Dataset!K1293&lt;10,0.45,IF(Dataset!K1293&lt;18,0.7,0.9)))</f>
        <v>0.2</v>
      </c>
      <c r="R1293" s="29">
        <f>IF(Dataset!K1293&lt;5,1,IF(Dataset!K1293&lt;10,2,IF(Dataset!K1293&lt;18,3,4)))</f>
        <v>1</v>
      </c>
      <c r="S1293" s="29">
        <f t="shared" si="165"/>
        <v>0.2</v>
      </c>
      <c r="T1293" s="29">
        <f t="shared" si="166"/>
        <v>1.3320000000000001</v>
      </c>
      <c r="U1293" s="29" t="str">
        <f t="shared" si="167"/>
        <v>Low</v>
      </c>
    </row>
    <row r="1294" spans="1:21" ht="15" customHeight="1" x14ac:dyDescent="0.25">
      <c r="A1294" s="29">
        <f>Dataset!A1294</f>
        <v>1290</v>
      </c>
      <c r="B1294" s="29">
        <f>IF(Dataset!B1294&lt;25,0.3,IF(Dataset!B1294&lt;75,0.5,IF(Dataset!B1294&lt;120,0.65,0.8)))</f>
        <v>0.8</v>
      </c>
      <c r="C1294" s="29">
        <f>IF(Dataset!B1294&lt;25,1,IF(Dataset!B1294&lt;75,2,IF(Dataset!B1294&lt;120,3,4)))</f>
        <v>4</v>
      </c>
      <c r="D1294" s="29">
        <f t="shared" si="160"/>
        <v>3.2</v>
      </c>
      <c r="E1294" s="29">
        <f>IF(Dataset!C1294&lt;=1,0.3,IF(Dataset!C1294=2,0.4,IF(Dataset!C1294=3,0.5,IF(Dataset!C1294=4,0.65,0.8))))</f>
        <v>0.5</v>
      </c>
      <c r="F1294" s="29">
        <f>IF(Dataset!C1294&lt;=2,1,IF(Dataset!C1294=3,2,IF(Dataset!C1294=4,3,4)))</f>
        <v>2</v>
      </c>
      <c r="G1294" s="29">
        <f t="shared" si="161"/>
        <v>1</v>
      </c>
      <c r="H1294" s="29">
        <f>IF(Dataset!G1294&lt;=3,0.25,IF(Dataset!G1294&lt;=6,0.45,IF(Dataset!G1294&lt;=9,0.65,0.85)))</f>
        <v>0.25</v>
      </c>
      <c r="I1294" s="29">
        <f>IF(Dataset!G1294&lt;=3,1,IF(Dataset!G1294&lt;=6,2,IF(Dataset!G1294&lt;=9,3,4)))</f>
        <v>1</v>
      </c>
      <c r="J1294" s="29">
        <f t="shared" si="162"/>
        <v>0.25</v>
      </c>
      <c r="K1294" s="29">
        <f>IF(Dataset!H1294&lt;1,0.2,IF(Dataset!H1294&lt;1.3,0.45,IF(Dataset!H1294&lt;1.8,0.7,0.9)))</f>
        <v>0.7</v>
      </c>
      <c r="L1294" s="29">
        <f>IF(Dataset!H1294&lt;1,1,IF(Dataset!H1294&lt;1.3,2,IF(Dataset!H1294&lt;1.8,3,4)))</f>
        <v>3</v>
      </c>
      <c r="M1294" s="29">
        <f t="shared" si="163"/>
        <v>2.0999999999999996</v>
      </c>
      <c r="N1294" s="29">
        <f>IF(Dataset!F1294=1,0.75,IF(Dataset!F1294=2,0.45,0.2))</f>
        <v>0.45</v>
      </c>
      <c r="O1294" s="29">
        <f>IF(Dataset!F1294=1,3,IF(Dataset!F1294=2,2,1))</f>
        <v>2</v>
      </c>
      <c r="P1294" s="29">
        <f t="shared" si="164"/>
        <v>0.9</v>
      </c>
      <c r="Q1294" s="29">
        <f>IF(Dataset!K1294&lt;5,0.2,IF(Dataset!K1294&lt;10,0.45,IF(Dataset!K1294&lt;18,0.7,0.9)))</f>
        <v>0.45</v>
      </c>
      <c r="R1294" s="29">
        <f>IF(Dataset!K1294&lt;5,1,IF(Dataset!K1294&lt;10,2,IF(Dataset!K1294&lt;18,3,4)))</f>
        <v>2</v>
      </c>
      <c r="S1294" s="29">
        <f t="shared" si="165"/>
        <v>0.9</v>
      </c>
      <c r="T1294" s="29">
        <f t="shared" si="166"/>
        <v>1.4860000000000002</v>
      </c>
      <c r="U1294" s="29" t="str">
        <f t="shared" si="167"/>
        <v>Medium</v>
      </c>
    </row>
    <row r="1295" spans="1:21" ht="15" customHeight="1" x14ac:dyDescent="0.25">
      <c r="A1295" s="29">
        <f>Dataset!A1295</f>
        <v>1291</v>
      </c>
      <c r="B1295" s="29">
        <f>IF(Dataset!B1295&lt;25,0.3,IF(Dataset!B1295&lt;75,0.5,IF(Dataset!B1295&lt;120,0.65,0.8)))</f>
        <v>0.8</v>
      </c>
      <c r="C1295" s="29">
        <f>IF(Dataset!B1295&lt;25,1,IF(Dataset!B1295&lt;75,2,IF(Dataset!B1295&lt;120,3,4)))</f>
        <v>4</v>
      </c>
      <c r="D1295" s="29">
        <f t="shared" si="160"/>
        <v>3.2</v>
      </c>
      <c r="E1295" s="29">
        <f>IF(Dataset!C1295&lt;=1,0.3,IF(Dataset!C1295=2,0.4,IF(Dataset!C1295=3,0.5,IF(Dataset!C1295=4,0.65,0.8))))</f>
        <v>0.65</v>
      </c>
      <c r="F1295" s="29">
        <f>IF(Dataset!C1295&lt;=2,1,IF(Dataset!C1295=3,2,IF(Dataset!C1295=4,3,4)))</f>
        <v>3</v>
      </c>
      <c r="G1295" s="29">
        <f t="shared" si="161"/>
        <v>1.9500000000000002</v>
      </c>
      <c r="H1295" s="29">
        <f>IF(Dataset!G1295&lt;=3,0.25,IF(Dataset!G1295&lt;=6,0.45,IF(Dataset!G1295&lt;=9,0.65,0.85)))</f>
        <v>0.45</v>
      </c>
      <c r="I1295" s="29">
        <f>IF(Dataset!G1295&lt;=3,1,IF(Dataset!G1295&lt;=6,2,IF(Dataset!G1295&lt;=9,3,4)))</f>
        <v>2</v>
      </c>
      <c r="J1295" s="29">
        <f t="shared" si="162"/>
        <v>0.9</v>
      </c>
      <c r="K1295" s="29">
        <f>IF(Dataset!H1295&lt;1,0.2,IF(Dataset!H1295&lt;1.3,0.45,IF(Dataset!H1295&lt;1.8,0.7,0.9)))</f>
        <v>0.7</v>
      </c>
      <c r="L1295" s="29">
        <f>IF(Dataset!H1295&lt;1,1,IF(Dataset!H1295&lt;1.3,2,IF(Dataset!H1295&lt;1.8,3,4)))</f>
        <v>3</v>
      </c>
      <c r="M1295" s="29">
        <f t="shared" si="163"/>
        <v>2.0999999999999996</v>
      </c>
      <c r="N1295" s="29">
        <f>IF(Dataset!F1295=1,0.75,IF(Dataset!F1295=2,0.45,0.2))</f>
        <v>0.45</v>
      </c>
      <c r="O1295" s="29">
        <f>IF(Dataset!F1295=1,3,IF(Dataset!F1295=2,2,1))</f>
        <v>2</v>
      </c>
      <c r="P1295" s="29">
        <f t="shared" si="164"/>
        <v>0.9</v>
      </c>
      <c r="Q1295" s="29">
        <f>IF(Dataset!K1295&lt;5,0.2,IF(Dataset!K1295&lt;10,0.45,IF(Dataset!K1295&lt;18,0.7,0.9)))</f>
        <v>0.7</v>
      </c>
      <c r="R1295" s="29">
        <f>IF(Dataset!K1295&lt;5,1,IF(Dataset!K1295&lt;10,2,IF(Dataset!K1295&lt;18,3,4)))</f>
        <v>3</v>
      </c>
      <c r="S1295" s="29">
        <f t="shared" si="165"/>
        <v>2.0999999999999996</v>
      </c>
      <c r="T1295" s="29">
        <f t="shared" si="166"/>
        <v>1.917</v>
      </c>
      <c r="U1295" s="29" t="str">
        <f t="shared" si="167"/>
        <v>High</v>
      </c>
    </row>
    <row r="1296" spans="1:21" ht="15" customHeight="1" x14ac:dyDescent="0.25">
      <c r="A1296" s="29">
        <f>Dataset!A1296</f>
        <v>1292</v>
      </c>
      <c r="B1296" s="29">
        <f>IF(Dataset!B1296&lt;25,0.3,IF(Dataset!B1296&lt;75,0.5,IF(Dataset!B1296&lt;120,0.65,0.8)))</f>
        <v>0.5</v>
      </c>
      <c r="C1296" s="29">
        <f>IF(Dataset!B1296&lt;25,1,IF(Dataset!B1296&lt;75,2,IF(Dataset!B1296&lt;120,3,4)))</f>
        <v>2</v>
      </c>
      <c r="D1296" s="29">
        <f t="shared" si="160"/>
        <v>1</v>
      </c>
      <c r="E1296" s="29">
        <f>IF(Dataset!C1296&lt;=1,0.3,IF(Dataset!C1296=2,0.4,IF(Dataset!C1296=3,0.5,IF(Dataset!C1296=4,0.65,0.8))))</f>
        <v>0.8</v>
      </c>
      <c r="F1296" s="29">
        <f>IF(Dataset!C1296&lt;=2,1,IF(Dataset!C1296=3,2,IF(Dataset!C1296=4,3,4)))</f>
        <v>4</v>
      </c>
      <c r="G1296" s="29">
        <f t="shared" si="161"/>
        <v>3.2</v>
      </c>
      <c r="H1296" s="29">
        <f>IF(Dataset!G1296&lt;=3,0.25,IF(Dataset!G1296&lt;=6,0.45,IF(Dataset!G1296&lt;=9,0.65,0.85)))</f>
        <v>0.65</v>
      </c>
      <c r="I1296" s="29">
        <f>IF(Dataset!G1296&lt;=3,1,IF(Dataset!G1296&lt;=6,2,IF(Dataset!G1296&lt;=9,3,4)))</f>
        <v>3</v>
      </c>
      <c r="J1296" s="29">
        <f t="shared" si="162"/>
        <v>1.9500000000000002</v>
      </c>
      <c r="K1296" s="29">
        <f>IF(Dataset!H1296&lt;1,0.2,IF(Dataset!H1296&lt;1.3,0.45,IF(Dataset!H1296&lt;1.8,0.7,0.9)))</f>
        <v>0.45</v>
      </c>
      <c r="L1296" s="29">
        <f>IF(Dataset!H1296&lt;1,1,IF(Dataset!H1296&lt;1.3,2,IF(Dataset!H1296&lt;1.8,3,4)))</f>
        <v>2</v>
      </c>
      <c r="M1296" s="29">
        <f t="shared" si="163"/>
        <v>0.9</v>
      </c>
      <c r="N1296" s="29">
        <f>IF(Dataset!F1296=1,0.75,IF(Dataset!F1296=2,0.45,0.2))</f>
        <v>0.45</v>
      </c>
      <c r="O1296" s="29">
        <f>IF(Dataset!F1296=1,3,IF(Dataset!F1296=2,2,1))</f>
        <v>2</v>
      </c>
      <c r="P1296" s="29">
        <f t="shared" si="164"/>
        <v>0.9</v>
      </c>
      <c r="Q1296" s="29">
        <f>IF(Dataset!K1296&lt;5,0.2,IF(Dataset!K1296&lt;10,0.45,IF(Dataset!K1296&lt;18,0.7,0.9)))</f>
        <v>0.9</v>
      </c>
      <c r="R1296" s="29">
        <f>IF(Dataset!K1296&lt;5,1,IF(Dataset!K1296&lt;10,2,IF(Dataset!K1296&lt;18,3,4)))</f>
        <v>4</v>
      </c>
      <c r="S1296" s="29">
        <f t="shared" si="165"/>
        <v>3.6</v>
      </c>
      <c r="T1296" s="29">
        <f t="shared" si="166"/>
        <v>1.8280000000000003</v>
      </c>
      <c r="U1296" s="29" t="str">
        <f t="shared" si="167"/>
        <v>High</v>
      </c>
    </row>
    <row r="1297" spans="1:21" ht="15" customHeight="1" x14ac:dyDescent="0.25">
      <c r="A1297" s="29">
        <f>Dataset!A1297</f>
        <v>1293</v>
      </c>
      <c r="B1297" s="29">
        <f>IF(Dataset!B1297&lt;25,0.3,IF(Dataset!B1297&lt;75,0.5,IF(Dataset!B1297&lt;120,0.65,0.8)))</f>
        <v>0.5</v>
      </c>
      <c r="C1297" s="29">
        <f>IF(Dataset!B1297&lt;25,1,IF(Dataset!B1297&lt;75,2,IF(Dataset!B1297&lt;120,3,4)))</f>
        <v>2</v>
      </c>
      <c r="D1297" s="29">
        <f t="shared" si="160"/>
        <v>1</v>
      </c>
      <c r="E1297" s="29">
        <f>IF(Dataset!C1297&lt;=1,0.3,IF(Dataset!C1297=2,0.4,IF(Dataset!C1297=3,0.5,IF(Dataset!C1297=4,0.65,0.8))))</f>
        <v>0.5</v>
      </c>
      <c r="F1297" s="29">
        <f>IF(Dataset!C1297&lt;=2,1,IF(Dataset!C1297=3,2,IF(Dataset!C1297=4,3,4)))</f>
        <v>2</v>
      </c>
      <c r="G1297" s="29">
        <f t="shared" si="161"/>
        <v>1</v>
      </c>
      <c r="H1297" s="29">
        <f>IF(Dataset!G1297&lt;=3,0.25,IF(Dataset!G1297&lt;=6,0.45,IF(Dataset!G1297&lt;=9,0.65,0.85)))</f>
        <v>0.45</v>
      </c>
      <c r="I1297" s="29">
        <f>IF(Dataset!G1297&lt;=3,1,IF(Dataset!G1297&lt;=6,2,IF(Dataset!G1297&lt;=9,3,4)))</f>
        <v>2</v>
      </c>
      <c r="J1297" s="29">
        <f t="shared" si="162"/>
        <v>0.9</v>
      </c>
      <c r="K1297" s="29">
        <f>IF(Dataset!H1297&lt;1,0.2,IF(Dataset!H1297&lt;1.3,0.45,IF(Dataset!H1297&lt;1.8,0.7,0.9)))</f>
        <v>0.9</v>
      </c>
      <c r="L1297" s="29">
        <f>IF(Dataset!H1297&lt;1,1,IF(Dataset!H1297&lt;1.3,2,IF(Dataset!H1297&lt;1.8,3,4)))</f>
        <v>4</v>
      </c>
      <c r="M1297" s="29">
        <f t="shared" si="163"/>
        <v>3.6</v>
      </c>
      <c r="N1297" s="29">
        <f>IF(Dataset!F1297=1,0.75,IF(Dataset!F1297=2,0.45,0.2))</f>
        <v>0.2</v>
      </c>
      <c r="O1297" s="29">
        <f>IF(Dataset!F1297=1,3,IF(Dataset!F1297=2,2,1))</f>
        <v>1</v>
      </c>
      <c r="P1297" s="29">
        <f t="shared" si="164"/>
        <v>0.2</v>
      </c>
      <c r="Q1297" s="29">
        <f>IF(Dataset!K1297&lt;5,0.2,IF(Dataset!K1297&lt;10,0.45,IF(Dataset!K1297&lt;18,0.7,0.9)))</f>
        <v>0.2</v>
      </c>
      <c r="R1297" s="29">
        <f>IF(Dataset!K1297&lt;5,1,IF(Dataset!K1297&lt;10,2,IF(Dataset!K1297&lt;18,3,4)))</f>
        <v>1</v>
      </c>
      <c r="S1297" s="29">
        <f t="shared" si="165"/>
        <v>0.2</v>
      </c>
      <c r="T1297" s="29">
        <f t="shared" si="166"/>
        <v>1.4119999999999999</v>
      </c>
      <c r="U1297" s="29" t="str">
        <f t="shared" si="167"/>
        <v>Medium</v>
      </c>
    </row>
    <row r="1298" spans="1:21" ht="15" customHeight="1" x14ac:dyDescent="0.25">
      <c r="A1298" s="29">
        <f>Dataset!A1298</f>
        <v>1294</v>
      </c>
      <c r="B1298" s="29">
        <f>IF(Dataset!B1298&lt;25,0.3,IF(Dataset!B1298&lt;75,0.5,IF(Dataset!B1298&lt;120,0.65,0.8)))</f>
        <v>0.5</v>
      </c>
      <c r="C1298" s="29">
        <f>IF(Dataset!B1298&lt;25,1,IF(Dataset!B1298&lt;75,2,IF(Dataset!B1298&lt;120,3,4)))</f>
        <v>2</v>
      </c>
      <c r="D1298" s="29">
        <f t="shared" si="160"/>
        <v>1</v>
      </c>
      <c r="E1298" s="29">
        <f>IF(Dataset!C1298&lt;=1,0.3,IF(Dataset!C1298=2,0.4,IF(Dataset!C1298=3,0.5,IF(Dataset!C1298=4,0.65,0.8))))</f>
        <v>0.8</v>
      </c>
      <c r="F1298" s="29">
        <f>IF(Dataset!C1298&lt;=2,1,IF(Dataset!C1298=3,2,IF(Dataset!C1298=4,3,4)))</f>
        <v>4</v>
      </c>
      <c r="G1298" s="29">
        <f t="shared" si="161"/>
        <v>3.2</v>
      </c>
      <c r="H1298" s="29">
        <f>IF(Dataset!G1298&lt;=3,0.25,IF(Dataset!G1298&lt;=6,0.45,IF(Dataset!G1298&lt;=9,0.65,0.85)))</f>
        <v>0.65</v>
      </c>
      <c r="I1298" s="29">
        <f>IF(Dataset!G1298&lt;=3,1,IF(Dataset!G1298&lt;=6,2,IF(Dataset!G1298&lt;=9,3,4)))</f>
        <v>3</v>
      </c>
      <c r="J1298" s="29">
        <f t="shared" si="162"/>
        <v>1.9500000000000002</v>
      </c>
      <c r="K1298" s="29">
        <f>IF(Dataset!H1298&lt;1,0.2,IF(Dataset!H1298&lt;1.3,0.45,IF(Dataset!H1298&lt;1.8,0.7,0.9)))</f>
        <v>0.2</v>
      </c>
      <c r="L1298" s="29">
        <f>IF(Dataset!H1298&lt;1,1,IF(Dataset!H1298&lt;1.3,2,IF(Dataset!H1298&lt;1.8,3,4)))</f>
        <v>1</v>
      </c>
      <c r="M1298" s="29">
        <f t="shared" si="163"/>
        <v>0.2</v>
      </c>
      <c r="N1298" s="29">
        <f>IF(Dataset!F1298=1,0.75,IF(Dataset!F1298=2,0.45,0.2))</f>
        <v>0.2</v>
      </c>
      <c r="O1298" s="29">
        <f>IF(Dataset!F1298=1,3,IF(Dataset!F1298=2,2,1))</f>
        <v>1</v>
      </c>
      <c r="P1298" s="29">
        <f t="shared" si="164"/>
        <v>0.2</v>
      </c>
      <c r="Q1298" s="29">
        <f>IF(Dataset!K1298&lt;5,0.2,IF(Dataset!K1298&lt;10,0.45,IF(Dataset!K1298&lt;18,0.7,0.9)))</f>
        <v>0.7</v>
      </c>
      <c r="R1298" s="29">
        <f>IF(Dataset!K1298&lt;5,1,IF(Dataset!K1298&lt;10,2,IF(Dataset!K1298&lt;18,3,4)))</f>
        <v>3</v>
      </c>
      <c r="S1298" s="29">
        <f t="shared" si="165"/>
        <v>2.0999999999999996</v>
      </c>
      <c r="T1298" s="29">
        <f t="shared" si="166"/>
        <v>1.3800000000000003</v>
      </c>
      <c r="U1298" s="29" t="str">
        <f t="shared" si="167"/>
        <v>Medium</v>
      </c>
    </row>
    <row r="1299" spans="1:21" ht="15" customHeight="1" x14ac:dyDescent="0.25">
      <c r="A1299" s="29">
        <f>Dataset!A1299</f>
        <v>1295</v>
      </c>
      <c r="B1299" s="29">
        <f>IF(Dataset!B1299&lt;25,0.3,IF(Dataset!B1299&lt;75,0.5,IF(Dataset!B1299&lt;120,0.65,0.8)))</f>
        <v>0.8</v>
      </c>
      <c r="C1299" s="29">
        <f>IF(Dataset!B1299&lt;25,1,IF(Dataset!B1299&lt;75,2,IF(Dataset!B1299&lt;120,3,4)))</f>
        <v>4</v>
      </c>
      <c r="D1299" s="29">
        <f t="shared" si="160"/>
        <v>3.2</v>
      </c>
      <c r="E1299" s="29">
        <f>IF(Dataset!C1299&lt;=1,0.3,IF(Dataset!C1299=2,0.4,IF(Dataset!C1299=3,0.5,IF(Dataset!C1299=4,0.65,0.8))))</f>
        <v>0.4</v>
      </c>
      <c r="F1299" s="29">
        <f>IF(Dataset!C1299&lt;=2,1,IF(Dataset!C1299=3,2,IF(Dataset!C1299=4,3,4)))</f>
        <v>1</v>
      </c>
      <c r="G1299" s="29">
        <f t="shared" si="161"/>
        <v>0.4</v>
      </c>
      <c r="H1299" s="29">
        <f>IF(Dataset!G1299&lt;=3,0.25,IF(Dataset!G1299&lt;=6,0.45,IF(Dataset!G1299&lt;=9,0.65,0.85)))</f>
        <v>0.45</v>
      </c>
      <c r="I1299" s="29">
        <f>IF(Dataset!G1299&lt;=3,1,IF(Dataset!G1299&lt;=6,2,IF(Dataset!G1299&lt;=9,3,4)))</f>
        <v>2</v>
      </c>
      <c r="J1299" s="29">
        <f t="shared" si="162"/>
        <v>0.9</v>
      </c>
      <c r="K1299" s="29">
        <f>IF(Dataset!H1299&lt;1,0.2,IF(Dataset!H1299&lt;1.3,0.45,IF(Dataset!H1299&lt;1.8,0.7,0.9)))</f>
        <v>0.9</v>
      </c>
      <c r="L1299" s="29">
        <f>IF(Dataset!H1299&lt;1,1,IF(Dataset!H1299&lt;1.3,2,IF(Dataset!H1299&lt;1.8,3,4)))</f>
        <v>4</v>
      </c>
      <c r="M1299" s="29">
        <f t="shared" si="163"/>
        <v>3.6</v>
      </c>
      <c r="N1299" s="29">
        <f>IF(Dataset!F1299=1,0.75,IF(Dataset!F1299=2,0.45,0.2))</f>
        <v>0.45</v>
      </c>
      <c r="O1299" s="29">
        <f>IF(Dataset!F1299=1,3,IF(Dataset!F1299=2,2,1))</f>
        <v>2</v>
      </c>
      <c r="P1299" s="29">
        <f t="shared" si="164"/>
        <v>0.9</v>
      </c>
      <c r="Q1299" s="29">
        <f>IF(Dataset!K1299&lt;5,0.2,IF(Dataset!K1299&lt;10,0.45,IF(Dataset!K1299&lt;18,0.7,0.9)))</f>
        <v>0.2</v>
      </c>
      <c r="R1299" s="29">
        <f>IF(Dataset!K1299&lt;5,1,IF(Dataset!K1299&lt;10,2,IF(Dataset!K1299&lt;18,3,4)))</f>
        <v>1</v>
      </c>
      <c r="S1299" s="29">
        <f t="shared" si="165"/>
        <v>0.2</v>
      </c>
      <c r="T1299" s="29">
        <f t="shared" si="166"/>
        <v>1.7940000000000003</v>
      </c>
      <c r="U1299" s="29" t="str">
        <f t="shared" si="167"/>
        <v>High</v>
      </c>
    </row>
    <row r="1300" spans="1:21" ht="15" customHeight="1" x14ac:dyDescent="0.25">
      <c r="A1300" s="29">
        <f>Dataset!A1300</f>
        <v>1296</v>
      </c>
      <c r="B1300" s="29">
        <f>IF(Dataset!B1300&lt;25,0.3,IF(Dataset!B1300&lt;75,0.5,IF(Dataset!B1300&lt;120,0.65,0.8)))</f>
        <v>0.5</v>
      </c>
      <c r="C1300" s="29">
        <f>IF(Dataset!B1300&lt;25,1,IF(Dataset!B1300&lt;75,2,IF(Dataset!B1300&lt;120,3,4)))</f>
        <v>2</v>
      </c>
      <c r="D1300" s="29">
        <f t="shared" si="160"/>
        <v>1</v>
      </c>
      <c r="E1300" s="29">
        <f>IF(Dataset!C1300&lt;=1,0.3,IF(Dataset!C1300=2,0.4,IF(Dataset!C1300=3,0.5,IF(Dataset!C1300=4,0.65,0.8))))</f>
        <v>0.5</v>
      </c>
      <c r="F1300" s="29">
        <f>IF(Dataset!C1300&lt;=2,1,IF(Dataset!C1300=3,2,IF(Dataset!C1300=4,3,4)))</f>
        <v>2</v>
      </c>
      <c r="G1300" s="29">
        <f t="shared" si="161"/>
        <v>1</v>
      </c>
      <c r="H1300" s="29">
        <f>IF(Dataset!G1300&lt;=3,0.25,IF(Dataset!G1300&lt;=6,0.45,IF(Dataset!G1300&lt;=9,0.65,0.85)))</f>
        <v>0.45</v>
      </c>
      <c r="I1300" s="29">
        <f>IF(Dataset!G1300&lt;=3,1,IF(Dataset!G1300&lt;=6,2,IF(Dataset!G1300&lt;=9,3,4)))</f>
        <v>2</v>
      </c>
      <c r="J1300" s="29">
        <f t="shared" si="162"/>
        <v>0.9</v>
      </c>
      <c r="K1300" s="29">
        <f>IF(Dataset!H1300&lt;1,0.2,IF(Dataset!H1300&lt;1.3,0.45,IF(Dataset!H1300&lt;1.8,0.7,0.9)))</f>
        <v>0.45</v>
      </c>
      <c r="L1300" s="29">
        <f>IF(Dataset!H1300&lt;1,1,IF(Dataset!H1300&lt;1.3,2,IF(Dataset!H1300&lt;1.8,3,4)))</f>
        <v>2</v>
      </c>
      <c r="M1300" s="29">
        <f t="shared" si="163"/>
        <v>0.9</v>
      </c>
      <c r="N1300" s="29">
        <f>IF(Dataset!F1300=1,0.75,IF(Dataset!F1300=2,0.45,0.2))</f>
        <v>0.45</v>
      </c>
      <c r="O1300" s="29">
        <f>IF(Dataset!F1300=1,3,IF(Dataset!F1300=2,2,1))</f>
        <v>2</v>
      </c>
      <c r="P1300" s="29">
        <f t="shared" si="164"/>
        <v>0.9</v>
      </c>
      <c r="Q1300" s="29">
        <f>IF(Dataset!K1300&lt;5,0.2,IF(Dataset!K1300&lt;10,0.45,IF(Dataset!K1300&lt;18,0.7,0.9)))</f>
        <v>0.45</v>
      </c>
      <c r="R1300" s="29">
        <f>IF(Dataset!K1300&lt;5,1,IF(Dataset!K1300&lt;10,2,IF(Dataset!K1300&lt;18,3,4)))</f>
        <v>2</v>
      </c>
      <c r="S1300" s="29">
        <f t="shared" si="165"/>
        <v>0.9</v>
      </c>
      <c r="T1300" s="29">
        <f t="shared" si="166"/>
        <v>0.93199999999999994</v>
      </c>
      <c r="U1300" s="29" t="str">
        <f t="shared" si="167"/>
        <v>Low</v>
      </c>
    </row>
    <row r="1301" spans="1:21" ht="15" customHeight="1" x14ac:dyDescent="0.25">
      <c r="A1301" s="29">
        <f>Dataset!A1301</f>
        <v>1297</v>
      </c>
      <c r="B1301" s="29">
        <f>IF(Dataset!B1301&lt;25,0.3,IF(Dataset!B1301&lt;75,0.5,IF(Dataset!B1301&lt;120,0.65,0.8)))</f>
        <v>0.3</v>
      </c>
      <c r="C1301" s="29">
        <f>IF(Dataset!B1301&lt;25,1,IF(Dataset!B1301&lt;75,2,IF(Dataset!B1301&lt;120,3,4)))</f>
        <v>1</v>
      </c>
      <c r="D1301" s="29">
        <f t="shared" si="160"/>
        <v>0.3</v>
      </c>
      <c r="E1301" s="29">
        <f>IF(Dataset!C1301&lt;=1,0.3,IF(Dataset!C1301=2,0.4,IF(Dataset!C1301=3,0.5,IF(Dataset!C1301=4,0.65,0.8))))</f>
        <v>0.3</v>
      </c>
      <c r="F1301" s="29">
        <f>IF(Dataset!C1301&lt;=2,1,IF(Dataset!C1301=3,2,IF(Dataset!C1301=4,3,4)))</f>
        <v>1</v>
      </c>
      <c r="G1301" s="29">
        <f t="shared" si="161"/>
        <v>0.3</v>
      </c>
      <c r="H1301" s="29">
        <f>IF(Dataset!G1301&lt;=3,0.25,IF(Dataset!G1301&lt;=6,0.45,IF(Dataset!G1301&lt;=9,0.65,0.85)))</f>
        <v>0.45</v>
      </c>
      <c r="I1301" s="29">
        <f>IF(Dataset!G1301&lt;=3,1,IF(Dataset!G1301&lt;=6,2,IF(Dataset!G1301&lt;=9,3,4)))</f>
        <v>2</v>
      </c>
      <c r="J1301" s="29">
        <f t="shared" si="162"/>
        <v>0.9</v>
      </c>
      <c r="K1301" s="29">
        <f>IF(Dataset!H1301&lt;1,0.2,IF(Dataset!H1301&lt;1.3,0.45,IF(Dataset!H1301&lt;1.8,0.7,0.9)))</f>
        <v>0.45</v>
      </c>
      <c r="L1301" s="29">
        <f>IF(Dataset!H1301&lt;1,1,IF(Dataset!H1301&lt;1.3,2,IF(Dataset!H1301&lt;1.8,3,4)))</f>
        <v>2</v>
      </c>
      <c r="M1301" s="29">
        <f t="shared" si="163"/>
        <v>0.9</v>
      </c>
      <c r="N1301" s="29">
        <f>IF(Dataset!F1301=1,0.75,IF(Dataset!F1301=2,0.45,0.2))</f>
        <v>0.2</v>
      </c>
      <c r="O1301" s="29">
        <f>IF(Dataset!F1301=1,3,IF(Dataset!F1301=2,2,1))</f>
        <v>1</v>
      </c>
      <c r="P1301" s="29">
        <f t="shared" si="164"/>
        <v>0.2</v>
      </c>
      <c r="Q1301" s="29">
        <f>IF(Dataset!K1301&lt;5,0.2,IF(Dataset!K1301&lt;10,0.45,IF(Dataset!K1301&lt;18,0.7,0.9)))</f>
        <v>0.2</v>
      </c>
      <c r="R1301" s="29">
        <f>IF(Dataset!K1301&lt;5,1,IF(Dataset!K1301&lt;10,2,IF(Dataset!K1301&lt;18,3,4)))</f>
        <v>1</v>
      </c>
      <c r="S1301" s="29">
        <f t="shared" si="165"/>
        <v>0.2</v>
      </c>
      <c r="T1301" s="29">
        <f t="shared" si="166"/>
        <v>0.54</v>
      </c>
      <c r="U1301" s="29" t="str">
        <f t="shared" si="167"/>
        <v>Low</v>
      </c>
    </row>
    <row r="1302" spans="1:21" ht="15" customHeight="1" x14ac:dyDescent="0.25">
      <c r="A1302" s="29">
        <f>Dataset!A1302</f>
        <v>1298</v>
      </c>
      <c r="B1302" s="29">
        <f>IF(Dataset!B1302&lt;25,0.3,IF(Dataset!B1302&lt;75,0.5,IF(Dataset!B1302&lt;120,0.65,0.8)))</f>
        <v>0.5</v>
      </c>
      <c r="C1302" s="29">
        <f>IF(Dataset!B1302&lt;25,1,IF(Dataset!B1302&lt;75,2,IF(Dataset!B1302&lt;120,3,4)))</f>
        <v>2</v>
      </c>
      <c r="D1302" s="29">
        <f t="shared" si="160"/>
        <v>1</v>
      </c>
      <c r="E1302" s="29">
        <f>IF(Dataset!C1302&lt;=1,0.3,IF(Dataset!C1302=2,0.4,IF(Dataset!C1302=3,0.5,IF(Dataset!C1302=4,0.65,0.8))))</f>
        <v>0.65</v>
      </c>
      <c r="F1302" s="29">
        <f>IF(Dataset!C1302&lt;=2,1,IF(Dataset!C1302=3,2,IF(Dataset!C1302=4,3,4)))</f>
        <v>3</v>
      </c>
      <c r="G1302" s="29">
        <f t="shared" si="161"/>
        <v>1.9500000000000002</v>
      </c>
      <c r="H1302" s="29">
        <f>IF(Dataset!G1302&lt;=3,0.25,IF(Dataset!G1302&lt;=6,0.45,IF(Dataset!G1302&lt;=9,0.65,0.85)))</f>
        <v>0.65</v>
      </c>
      <c r="I1302" s="29">
        <f>IF(Dataset!G1302&lt;=3,1,IF(Dataset!G1302&lt;=6,2,IF(Dataset!G1302&lt;=9,3,4)))</f>
        <v>3</v>
      </c>
      <c r="J1302" s="29">
        <f t="shared" si="162"/>
        <v>1.9500000000000002</v>
      </c>
      <c r="K1302" s="29">
        <f>IF(Dataset!H1302&lt;1,0.2,IF(Dataset!H1302&lt;1.3,0.45,IF(Dataset!H1302&lt;1.8,0.7,0.9)))</f>
        <v>0.9</v>
      </c>
      <c r="L1302" s="29">
        <f>IF(Dataset!H1302&lt;1,1,IF(Dataset!H1302&lt;1.3,2,IF(Dataset!H1302&lt;1.8,3,4)))</f>
        <v>4</v>
      </c>
      <c r="M1302" s="29">
        <f t="shared" si="163"/>
        <v>3.6</v>
      </c>
      <c r="N1302" s="29">
        <f>IF(Dataset!F1302=1,0.75,IF(Dataset!F1302=2,0.45,0.2))</f>
        <v>0.75</v>
      </c>
      <c r="O1302" s="29">
        <f>IF(Dataset!F1302=1,3,IF(Dataset!F1302=2,2,1))</f>
        <v>3</v>
      </c>
      <c r="P1302" s="29">
        <f t="shared" si="164"/>
        <v>2.25</v>
      </c>
      <c r="Q1302" s="29">
        <f>IF(Dataset!K1302&lt;5,0.2,IF(Dataset!K1302&lt;10,0.45,IF(Dataset!K1302&lt;18,0.7,0.9)))</f>
        <v>0.45</v>
      </c>
      <c r="R1302" s="29">
        <f>IF(Dataset!K1302&lt;5,1,IF(Dataset!K1302&lt;10,2,IF(Dataset!K1302&lt;18,3,4)))</f>
        <v>2</v>
      </c>
      <c r="S1302" s="29">
        <f t="shared" si="165"/>
        <v>0.9</v>
      </c>
      <c r="T1302" s="29">
        <f t="shared" si="166"/>
        <v>2.0580000000000003</v>
      </c>
      <c r="U1302" s="29" t="str">
        <f t="shared" si="167"/>
        <v>High</v>
      </c>
    </row>
    <row r="1303" spans="1:21" ht="15" customHeight="1" x14ac:dyDescent="0.25">
      <c r="A1303" s="29">
        <f>Dataset!A1303</f>
        <v>1299</v>
      </c>
      <c r="B1303" s="29">
        <f>IF(Dataset!B1303&lt;25,0.3,IF(Dataset!B1303&lt;75,0.5,IF(Dataset!B1303&lt;120,0.65,0.8)))</f>
        <v>0.8</v>
      </c>
      <c r="C1303" s="29">
        <f>IF(Dataset!B1303&lt;25,1,IF(Dataset!B1303&lt;75,2,IF(Dataset!B1303&lt;120,3,4)))</f>
        <v>4</v>
      </c>
      <c r="D1303" s="29">
        <f t="shared" si="160"/>
        <v>3.2</v>
      </c>
      <c r="E1303" s="29">
        <f>IF(Dataset!C1303&lt;=1,0.3,IF(Dataset!C1303=2,0.4,IF(Dataset!C1303=3,0.5,IF(Dataset!C1303=4,0.65,0.8))))</f>
        <v>0.4</v>
      </c>
      <c r="F1303" s="29">
        <f>IF(Dataset!C1303&lt;=2,1,IF(Dataset!C1303=3,2,IF(Dataset!C1303=4,3,4)))</f>
        <v>1</v>
      </c>
      <c r="G1303" s="29">
        <f t="shared" si="161"/>
        <v>0.4</v>
      </c>
      <c r="H1303" s="29">
        <f>IF(Dataset!G1303&lt;=3,0.25,IF(Dataset!G1303&lt;=6,0.45,IF(Dataset!G1303&lt;=9,0.65,0.85)))</f>
        <v>0.65</v>
      </c>
      <c r="I1303" s="29">
        <f>IF(Dataset!G1303&lt;=3,1,IF(Dataset!G1303&lt;=6,2,IF(Dataset!G1303&lt;=9,3,4)))</f>
        <v>3</v>
      </c>
      <c r="J1303" s="29">
        <f t="shared" si="162"/>
        <v>1.9500000000000002</v>
      </c>
      <c r="K1303" s="29">
        <f>IF(Dataset!H1303&lt;1,0.2,IF(Dataset!H1303&lt;1.3,0.45,IF(Dataset!H1303&lt;1.8,0.7,0.9)))</f>
        <v>0.7</v>
      </c>
      <c r="L1303" s="29">
        <f>IF(Dataset!H1303&lt;1,1,IF(Dataset!H1303&lt;1.3,2,IF(Dataset!H1303&lt;1.8,3,4)))</f>
        <v>3</v>
      </c>
      <c r="M1303" s="29">
        <f t="shared" si="163"/>
        <v>2.0999999999999996</v>
      </c>
      <c r="N1303" s="29">
        <f>IF(Dataset!F1303=1,0.75,IF(Dataset!F1303=2,0.45,0.2))</f>
        <v>0.2</v>
      </c>
      <c r="O1303" s="29">
        <f>IF(Dataset!F1303=1,3,IF(Dataset!F1303=2,2,1))</f>
        <v>1</v>
      </c>
      <c r="P1303" s="29">
        <f t="shared" si="164"/>
        <v>0.2</v>
      </c>
      <c r="Q1303" s="29">
        <f>IF(Dataset!K1303&lt;5,0.2,IF(Dataset!K1303&lt;10,0.45,IF(Dataset!K1303&lt;18,0.7,0.9)))</f>
        <v>0.2</v>
      </c>
      <c r="R1303" s="29">
        <f>IF(Dataset!K1303&lt;5,1,IF(Dataset!K1303&lt;10,2,IF(Dataset!K1303&lt;18,3,4)))</f>
        <v>1</v>
      </c>
      <c r="S1303" s="29">
        <f t="shared" si="165"/>
        <v>0.2</v>
      </c>
      <c r="T1303" s="29">
        <f t="shared" si="166"/>
        <v>1.5739999999999998</v>
      </c>
      <c r="U1303" s="29" t="str">
        <f t="shared" si="167"/>
        <v>Medium</v>
      </c>
    </row>
    <row r="1304" spans="1:21" ht="15" customHeight="1" x14ac:dyDescent="0.25">
      <c r="A1304" s="29">
        <f>Dataset!A1304</f>
        <v>1300</v>
      </c>
      <c r="B1304" s="29">
        <f>IF(Dataset!B1304&lt;25,0.3,IF(Dataset!B1304&lt;75,0.5,IF(Dataset!B1304&lt;120,0.65,0.8)))</f>
        <v>0.5</v>
      </c>
      <c r="C1304" s="29">
        <f>IF(Dataset!B1304&lt;25,1,IF(Dataset!B1304&lt;75,2,IF(Dataset!B1304&lt;120,3,4)))</f>
        <v>2</v>
      </c>
      <c r="D1304" s="29">
        <f t="shared" si="160"/>
        <v>1</v>
      </c>
      <c r="E1304" s="29">
        <f>IF(Dataset!C1304&lt;=1,0.3,IF(Dataset!C1304=2,0.4,IF(Dataset!C1304=3,0.5,IF(Dataset!C1304=4,0.65,0.8))))</f>
        <v>0.5</v>
      </c>
      <c r="F1304" s="29">
        <f>IF(Dataset!C1304&lt;=2,1,IF(Dataset!C1304=3,2,IF(Dataset!C1304=4,3,4)))</f>
        <v>2</v>
      </c>
      <c r="G1304" s="29">
        <f t="shared" si="161"/>
        <v>1</v>
      </c>
      <c r="H1304" s="29">
        <f>IF(Dataset!G1304&lt;=3,0.25,IF(Dataset!G1304&lt;=6,0.45,IF(Dataset!G1304&lt;=9,0.65,0.85)))</f>
        <v>0.45</v>
      </c>
      <c r="I1304" s="29">
        <f>IF(Dataset!G1304&lt;=3,1,IF(Dataset!G1304&lt;=6,2,IF(Dataset!G1304&lt;=9,3,4)))</f>
        <v>2</v>
      </c>
      <c r="J1304" s="29">
        <f t="shared" si="162"/>
        <v>0.9</v>
      </c>
      <c r="K1304" s="29">
        <f>IF(Dataset!H1304&lt;1,0.2,IF(Dataset!H1304&lt;1.3,0.45,IF(Dataset!H1304&lt;1.8,0.7,0.9)))</f>
        <v>0.9</v>
      </c>
      <c r="L1304" s="29">
        <f>IF(Dataset!H1304&lt;1,1,IF(Dataset!H1304&lt;1.3,2,IF(Dataset!H1304&lt;1.8,3,4)))</f>
        <v>4</v>
      </c>
      <c r="M1304" s="29">
        <f t="shared" si="163"/>
        <v>3.6</v>
      </c>
      <c r="N1304" s="29">
        <f>IF(Dataset!F1304=1,0.75,IF(Dataset!F1304=2,0.45,0.2))</f>
        <v>0.75</v>
      </c>
      <c r="O1304" s="29">
        <f>IF(Dataset!F1304=1,3,IF(Dataset!F1304=2,2,1))</f>
        <v>3</v>
      </c>
      <c r="P1304" s="29">
        <f t="shared" si="164"/>
        <v>2.25</v>
      </c>
      <c r="Q1304" s="29">
        <f>IF(Dataset!K1304&lt;5,0.2,IF(Dataset!K1304&lt;10,0.45,IF(Dataset!K1304&lt;18,0.7,0.9)))</f>
        <v>0.2</v>
      </c>
      <c r="R1304" s="29">
        <f>IF(Dataset!K1304&lt;5,1,IF(Dataset!K1304&lt;10,2,IF(Dataset!K1304&lt;18,3,4)))</f>
        <v>1</v>
      </c>
      <c r="S1304" s="29">
        <f t="shared" si="165"/>
        <v>0.2</v>
      </c>
      <c r="T1304" s="29">
        <f t="shared" si="166"/>
        <v>1.617</v>
      </c>
      <c r="U1304" s="29" t="str">
        <f t="shared" si="167"/>
        <v>Medium</v>
      </c>
    </row>
    <row r="1305" spans="1:21" ht="15" customHeight="1" x14ac:dyDescent="0.25">
      <c r="A1305" s="29">
        <f>Dataset!A1305</f>
        <v>1301</v>
      </c>
      <c r="B1305" s="29">
        <f>IF(Dataset!B1305&lt;25,0.3,IF(Dataset!B1305&lt;75,0.5,IF(Dataset!B1305&lt;120,0.65,0.8)))</f>
        <v>0.5</v>
      </c>
      <c r="C1305" s="29">
        <f>IF(Dataset!B1305&lt;25,1,IF(Dataset!B1305&lt;75,2,IF(Dataset!B1305&lt;120,3,4)))</f>
        <v>2</v>
      </c>
      <c r="D1305" s="29">
        <f t="shared" si="160"/>
        <v>1</v>
      </c>
      <c r="E1305" s="29">
        <f>IF(Dataset!C1305&lt;=1,0.3,IF(Dataset!C1305=2,0.4,IF(Dataset!C1305=3,0.5,IF(Dataset!C1305=4,0.65,0.8))))</f>
        <v>0.65</v>
      </c>
      <c r="F1305" s="29">
        <f>IF(Dataset!C1305&lt;=2,1,IF(Dataset!C1305=3,2,IF(Dataset!C1305=4,3,4)))</f>
        <v>3</v>
      </c>
      <c r="G1305" s="29">
        <f t="shared" si="161"/>
        <v>1.9500000000000002</v>
      </c>
      <c r="H1305" s="29">
        <f>IF(Dataset!G1305&lt;=3,0.25,IF(Dataset!G1305&lt;=6,0.45,IF(Dataset!G1305&lt;=9,0.65,0.85)))</f>
        <v>0.85</v>
      </c>
      <c r="I1305" s="29">
        <f>IF(Dataset!G1305&lt;=3,1,IF(Dataset!G1305&lt;=6,2,IF(Dataset!G1305&lt;=9,3,4)))</f>
        <v>4</v>
      </c>
      <c r="J1305" s="29">
        <f t="shared" si="162"/>
        <v>3.4</v>
      </c>
      <c r="K1305" s="29">
        <f>IF(Dataset!H1305&lt;1,0.2,IF(Dataset!H1305&lt;1.3,0.45,IF(Dataset!H1305&lt;1.8,0.7,0.9)))</f>
        <v>0.9</v>
      </c>
      <c r="L1305" s="29">
        <f>IF(Dataset!H1305&lt;1,1,IF(Dataset!H1305&lt;1.3,2,IF(Dataset!H1305&lt;1.8,3,4)))</f>
        <v>4</v>
      </c>
      <c r="M1305" s="29">
        <f t="shared" si="163"/>
        <v>3.6</v>
      </c>
      <c r="N1305" s="29">
        <f>IF(Dataset!F1305=1,0.75,IF(Dataset!F1305=2,0.45,0.2))</f>
        <v>0.45</v>
      </c>
      <c r="O1305" s="29">
        <f>IF(Dataset!F1305=1,3,IF(Dataset!F1305=2,2,1))</f>
        <v>2</v>
      </c>
      <c r="P1305" s="29">
        <f t="shared" si="164"/>
        <v>0.9</v>
      </c>
      <c r="Q1305" s="29">
        <f>IF(Dataset!K1305&lt;5,0.2,IF(Dataset!K1305&lt;10,0.45,IF(Dataset!K1305&lt;18,0.7,0.9)))</f>
        <v>0.45</v>
      </c>
      <c r="R1305" s="29">
        <f>IF(Dataset!K1305&lt;5,1,IF(Dataset!K1305&lt;10,2,IF(Dataset!K1305&lt;18,3,4)))</f>
        <v>2</v>
      </c>
      <c r="S1305" s="29">
        <f t="shared" si="165"/>
        <v>0.9</v>
      </c>
      <c r="T1305" s="29">
        <f t="shared" si="166"/>
        <v>2.2129999999999996</v>
      </c>
      <c r="U1305" s="29" t="str">
        <f t="shared" si="167"/>
        <v>High</v>
      </c>
    </row>
    <row r="1306" spans="1:21" ht="15" customHeight="1" x14ac:dyDescent="0.25">
      <c r="A1306" s="29">
        <f>Dataset!A1306</f>
        <v>1302</v>
      </c>
      <c r="B1306" s="29">
        <f>IF(Dataset!B1306&lt;25,0.3,IF(Dataset!B1306&lt;75,0.5,IF(Dataset!B1306&lt;120,0.65,0.8)))</f>
        <v>0.5</v>
      </c>
      <c r="C1306" s="29">
        <f>IF(Dataset!B1306&lt;25,1,IF(Dataset!B1306&lt;75,2,IF(Dataset!B1306&lt;120,3,4)))</f>
        <v>2</v>
      </c>
      <c r="D1306" s="29">
        <f t="shared" si="160"/>
        <v>1</v>
      </c>
      <c r="E1306" s="29">
        <f>IF(Dataset!C1306&lt;=1,0.3,IF(Dataset!C1306=2,0.4,IF(Dataset!C1306=3,0.5,IF(Dataset!C1306=4,0.65,0.8))))</f>
        <v>0.5</v>
      </c>
      <c r="F1306" s="29">
        <f>IF(Dataset!C1306&lt;=2,1,IF(Dataset!C1306=3,2,IF(Dataset!C1306=4,3,4)))</f>
        <v>2</v>
      </c>
      <c r="G1306" s="29">
        <f t="shared" si="161"/>
        <v>1</v>
      </c>
      <c r="H1306" s="29">
        <f>IF(Dataset!G1306&lt;=3,0.25,IF(Dataset!G1306&lt;=6,0.45,IF(Dataset!G1306&lt;=9,0.65,0.85)))</f>
        <v>0.45</v>
      </c>
      <c r="I1306" s="29">
        <f>IF(Dataset!G1306&lt;=3,1,IF(Dataset!G1306&lt;=6,2,IF(Dataset!G1306&lt;=9,3,4)))</f>
        <v>2</v>
      </c>
      <c r="J1306" s="29">
        <f t="shared" si="162"/>
        <v>0.9</v>
      </c>
      <c r="K1306" s="29">
        <f>IF(Dataset!H1306&lt;1,0.2,IF(Dataset!H1306&lt;1.3,0.45,IF(Dataset!H1306&lt;1.8,0.7,0.9)))</f>
        <v>0.7</v>
      </c>
      <c r="L1306" s="29">
        <f>IF(Dataset!H1306&lt;1,1,IF(Dataset!H1306&lt;1.3,2,IF(Dataset!H1306&lt;1.8,3,4)))</f>
        <v>3</v>
      </c>
      <c r="M1306" s="29">
        <f t="shared" si="163"/>
        <v>2.0999999999999996</v>
      </c>
      <c r="N1306" s="29">
        <f>IF(Dataset!F1306=1,0.75,IF(Dataset!F1306=2,0.45,0.2))</f>
        <v>0.2</v>
      </c>
      <c r="O1306" s="29">
        <f>IF(Dataset!F1306=1,3,IF(Dataset!F1306=2,2,1))</f>
        <v>1</v>
      </c>
      <c r="P1306" s="29">
        <f t="shared" si="164"/>
        <v>0.2</v>
      </c>
      <c r="Q1306" s="29">
        <f>IF(Dataset!K1306&lt;5,0.2,IF(Dataset!K1306&lt;10,0.45,IF(Dataset!K1306&lt;18,0.7,0.9)))</f>
        <v>0.2</v>
      </c>
      <c r="R1306" s="29">
        <f>IF(Dataset!K1306&lt;5,1,IF(Dataset!K1306&lt;10,2,IF(Dataset!K1306&lt;18,3,4)))</f>
        <v>1</v>
      </c>
      <c r="S1306" s="29">
        <f t="shared" si="165"/>
        <v>0.2</v>
      </c>
      <c r="T1306" s="29">
        <f t="shared" si="166"/>
        <v>1.052</v>
      </c>
      <c r="U1306" s="29" t="str">
        <f t="shared" si="167"/>
        <v>Low</v>
      </c>
    </row>
    <row r="1307" spans="1:21" ht="15" customHeight="1" x14ac:dyDescent="0.25">
      <c r="A1307" s="29">
        <f>Dataset!A1307</f>
        <v>1303</v>
      </c>
      <c r="B1307" s="29">
        <f>IF(Dataset!B1307&lt;25,0.3,IF(Dataset!B1307&lt;75,0.5,IF(Dataset!B1307&lt;120,0.65,0.8)))</f>
        <v>0.3</v>
      </c>
      <c r="C1307" s="29">
        <f>IF(Dataset!B1307&lt;25,1,IF(Dataset!B1307&lt;75,2,IF(Dataset!B1307&lt;120,3,4)))</f>
        <v>1</v>
      </c>
      <c r="D1307" s="29">
        <f t="shared" si="160"/>
        <v>0.3</v>
      </c>
      <c r="E1307" s="29">
        <f>IF(Dataset!C1307&lt;=1,0.3,IF(Dataset!C1307=2,0.4,IF(Dataset!C1307=3,0.5,IF(Dataset!C1307=4,0.65,0.8))))</f>
        <v>0.3</v>
      </c>
      <c r="F1307" s="29">
        <f>IF(Dataset!C1307&lt;=2,1,IF(Dataset!C1307=3,2,IF(Dataset!C1307=4,3,4)))</f>
        <v>1</v>
      </c>
      <c r="G1307" s="29">
        <f t="shared" si="161"/>
        <v>0.3</v>
      </c>
      <c r="H1307" s="29">
        <f>IF(Dataset!G1307&lt;=3,0.25,IF(Dataset!G1307&lt;=6,0.45,IF(Dataset!G1307&lt;=9,0.65,0.85)))</f>
        <v>0.65</v>
      </c>
      <c r="I1307" s="29">
        <f>IF(Dataset!G1307&lt;=3,1,IF(Dataset!G1307&lt;=6,2,IF(Dataset!G1307&lt;=9,3,4)))</f>
        <v>3</v>
      </c>
      <c r="J1307" s="29">
        <f t="shared" si="162"/>
        <v>1.9500000000000002</v>
      </c>
      <c r="K1307" s="29">
        <f>IF(Dataset!H1307&lt;1,0.2,IF(Dataset!H1307&lt;1.3,0.45,IF(Dataset!H1307&lt;1.8,0.7,0.9)))</f>
        <v>0.9</v>
      </c>
      <c r="L1307" s="29">
        <f>IF(Dataset!H1307&lt;1,1,IF(Dataset!H1307&lt;1.3,2,IF(Dataset!H1307&lt;1.8,3,4)))</f>
        <v>4</v>
      </c>
      <c r="M1307" s="29">
        <f t="shared" si="163"/>
        <v>3.6</v>
      </c>
      <c r="N1307" s="29">
        <f>IF(Dataset!F1307=1,0.75,IF(Dataset!F1307=2,0.45,0.2))</f>
        <v>0.45</v>
      </c>
      <c r="O1307" s="29">
        <f>IF(Dataset!F1307=1,3,IF(Dataset!F1307=2,2,1))</f>
        <v>2</v>
      </c>
      <c r="P1307" s="29">
        <f t="shared" si="164"/>
        <v>0.9</v>
      </c>
      <c r="Q1307" s="29">
        <f>IF(Dataset!K1307&lt;5,0.2,IF(Dataset!K1307&lt;10,0.45,IF(Dataset!K1307&lt;18,0.7,0.9)))</f>
        <v>0.2</v>
      </c>
      <c r="R1307" s="29">
        <f>IF(Dataset!K1307&lt;5,1,IF(Dataset!K1307&lt;10,2,IF(Dataset!K1307&lt;18,3,4)))</f>
        <v>1</v>
      </c>
      <c r="S1307" s="29">
        <f t="shared" si="165"/>
        <v>0.2</v>
      </c>
      <c r="T1307" s="29">
        <f t="shared" si="166"/>
        <v>1.4680000000000002</v>
      </c>
      <c r="U1307" s="29" t="str">
        <f t="shared" si="167"/>
        <v>Medium</v>
      </c>
    </row>
    <row r="1308" spans="1:21" ht="15" customHeight="1" x14ac:dyDescent="0.25">
      <c r="A1308" s="29">
        <f>Dataset!A1308</f>
        <v>1304</v>
      </c>
      <c r="B1308" s="29">
        <f>IF(Dataset!B1308&lt;25,0.3,IF(Dataset!B1308&lt;75,0.5,IF(Dataset!B1308&lt;120,0.65,0.8)))</f>
        <v>0.5</v>
      </c>
      <c r="C1308" s="29">
        <f>IF(Dataset!B1308&lt;25,1,IF(Dataset!B1308&lt;75,2,IF(Dataset!B1308&lt;120,3,4)))</f>
        <v>2</v>
      </c>
      <c r="D1308" s="29">
        <f t="shared" si="160"/>
        <v>1</v>
      </c>
      <c r="E1308" s="29">
        <f>IF(Dataset!C1308&lt;=1,0.3,IF(Dataset!C1308=2,0.4,IF(Dataset!C1308=3,0.5,IF(Dataset!C1308=4,0.65,0.8))))</f>
        <v>0.3</v>
      </c>
      <c r="F1308" s="29">
        <f>IF(Dataset!C1308&lt;=2,1,IF(Dataset!C1308=3,2,IF(Dataset!C1308=4,3,4)))</f>
        <v>1</v>
      </c>
      <c r="G1308" s="29">
        <f t="shared" si="161"/>
        <v>0.3</v>
      </c>
      <c r="H1308" s="29">
        <f>IF(Dataset!G1308&lt;=3,0.25,IF(Dataset!G1308&lt;=6,0.45,IF(Dataset!G1308&lt;=9,0.65,0.85)))</f>
        <v>0.85</v>
      </c>
      <c r="I1308" s="29">
        <f>IF(Dataset!G1308&lt;=3,1,IF(Dataset!G1308&lt;=6,2,IF(Dataset!G1308&lt;=9,3,4)))</f>
        <v>4</v>
      </c>
      <c r="J1308" s="29">
        <f t="shared" si="162"/>
        <v>3.4</v>
      </c>
      <c r="K1308" s="29">
        <f>IF(Dataset!H1308&lt;1,0.2,IF(Dataset!H1308&lt;1.3,0.45,IF(Dataset!H1308&lt;1.8,0.7,0.9)))</f>
        <v>0.2</v>
      </c>
      <c r="L1308" s="29">
        <f>IF(Dataset!H1308&lt;1,1,IF(Dataset!H1308&lt;1.3,2,IF(Dataset!H1308&lt;1.8,3,4)))</f>
        <v>1</v>
      </c>
      <c r="M1308" s="29">
        <f t="shared" si="163"/>
        <v>0.2</v>
      </c>
      <c r="N1308" s="29">
        <f>IF(Dataset!F1308=1,0.75,IF(Dataset!F1308=2,0.45,0.2))</f>
        <v>0.75</v>
      </c>
      <c r="O1308" s="29">
        <f>IF(Dataset!F1308=1,3,IF(Dataset!F1308=2,2,1))</f>
        <v>3</v>
      </c>
      <c r="P1308" s="29">
        <f t="shared" si="164"/>
        <v>2.25</v>
      </c>
      <c r="Q1308" s="29">
        <f>IF(Dataset!K1308&lt;5,0.2,IF(Dataset!K1308&lt;10,0.45,IF(Dataset!K1308&lt;18,0.7,0.9)))</f>
        <v>0.2</v>
      </c>
      <c r="R1308" s="29">
        <f>IF(Dataset!K1308&lt;5,1,IF(Dataset!K1308&lt;10,2,IF(Dataset!K1308&lt;18,3,4)))</f>
        <v>1</v>
      </c>
      <c r="S1308" s="29">
        <f t="shared" si="165"/>
        <v>0.2</v>
      </c>
      <c r="T1308" s="29">
        <f t="shared" si="166"/>
        <v>1.2030000000000001</v>
      </c>
      <c r="U1308" s="29" t="str">
        <f t="shared" si="167"/>
        <v>Low</v>
      </c>
    </row>
    <row r="1309" spans="1:21" ht="15" customHeight="1" x14ac:dyDescent="0.25">
      <c r="A1309" s="29">
        <f>Dataset!A1309</f>
        <v>1305</v>
      </c>
      <c r="B1309" s="29">
        <f>IF(Dataset!B1309&lt;25,0.3,IF(Dataset!B1309&lt;75,0.5,IF(Dataset!B1309&lt;120,0.65,0.8)))</f>
        <v>0.5</v>
      </c>
      <c r="C1309" s="29">
        <f>IF(Dataset!B1309&lt;25,1,IF(Dataset!B1309&lt;75,2,IF(Dataset!B1309&lt;120,3,4)))</f>
        <v>2</v>
      </c>
      <c r="D1309" s="29">
        <f t="shared" si="160"/>
        <v>1</v>
      </c>
      <c r="E1309" s="29">
        <f>IF(Dataset!C1309&lt;=1,0.3,IF(Dataset!C1309=2,0.4,IF(Dataset!C1309=3,0.5,IF(Dataset!C1309=4,0.65,0.8))))</f>
        <v>0.5</v>
      </c>
      <c r="F1309" s="29">
        <f>IF(Dataset!C1309&lt;=2,1,IF(Dataset!C1309=3,2,IF(Dataset!C1309=4,3,4)))</f>
        <v>2</v>
      </c>
      <c r="G1309" s="29">
        <f t="shared" si="161"/>
        <v>1</v>
      </c>
      <c r="H1309" s="29">
        <f>IF(Dataset!G1309&lt;=3,0.25,IF(Dataset!G1309&lt;=6,0.45,IF(Dataset!G1309&lt;=9,0.65,0.85)))</f>
        <v>0.65</v>
      </c>
      <c r="I1309" s="29">
        <f>IF(Dataset!G1309&lt;=3,1,IF(Dataset!G1309&lt;=6,2,IF(Dataset!G1309&lt;=9,3,4)))</f>
        <v>3</v>
      </c>
      <c r="J1309" s="29">
        <f t="shared" si="162"/>
        <v>1.9500000000000002</v>
      </c>
      <c r="K1309" s="29">
        <f>IF(Dataset!H1309&lt;1,0.2,IF(Dataset!H1309&lt;1.3,0.45,IF(Dataset!H1309&lt;1.8,0.7,0.9)))</f>
        <v>0.9</v>
      </c>
      <c r="L1309" s="29">
        <f>IF(Dataset!H1309&lt;1,1,IF(Dataset!H1309&lt;1.3,2,IF(Dataset!H1309&lt;1.8,3,4)))</f>
        <v>4</v>
      </c>
      <c r="M1309" s="29">
        <f t="shared" si="163"/>
        <v>3.6</v>
      </c>
      <c r="N1309" s="29">
        <f>IF(Dataset!F1309=1,0.75,IF(Dataset!F1309=2,0.45,0.2))</f>
        <v>0.2</v>
      </c>
      <c r="O1309" s="29">
        <f>IF(Dataset!F1309=1,3,IF(Dataset!F1309=2,2,1))</f>
        <v>1</v>
      </c>
      <c r="P1309" s="29">
        <f t="shared" si="164"/>
        <v>0.2</v>
      </c>
      <c r="Q1309" s="29">
        <f>IF(Dataset!K1309&lt;5,0.2,IF(Dataset!K1309&lt;10,0.45,IF(Dataset!K1309&lt;18,0.7,0.9)))</f>
        <v>0.45</v>
      </c>
      <c r="R1309" s="29">
        <f>IF(Dataset!K1309&lt;5,1,IF(Dataset!K1309&lt;10,2,IF(Dataset!K1309&lt;18,3,4)))</f>
        <v>2</v>
      </c>
      <c r="S1309" s="29">
        <f t="shared" si="165"/>
        <v>0.9</v>
      </c>
      <c r="T1309" s="29">
        <f t="shared" si="166"/>
        <v>1.7200000000000002</v>
      </c>
      <c r="U1309" s="29" t="str">
        <f t="shared" si="167"/>
        <v>Medium</v>
      </c>
    </row>
    <row r="1310" spans="1:21" ht="15" customHeight="1" x14ac:dyDescent="0.25">
      <c r="A1310" s="29">
        <f>Dataset!A1310</f>
        <v>1306</v>
      </c>
      <c r="B1310" s="29">
        <f>IF(Dataset!B1310&lt;25,0.3,IF(Dataset!B1310&lt;75,0.5,IF(Dataset!B1310&lt;120,0.65,0.8)))</f>
        <v>0.8</v>
      </c>
      <c r="C1310" s="29">
        <f>IF(Dataset!B1310&lt;25,1,IF(Dataset!B1310&lt;75,2,IF(Dataset!B1310&lt;120,3,4)))</f>
        <v>4</v>
      </c>
      <c r="D1310" s="29">
        <f t="shared" si="160"/>
        <v>3.2</v>
      </c>
      <c r="E1310" s="29">
        <f>IF(Dataset!C1310&lt;=1,0.3,IF(Dataset!C1310=2,0.4,IF(Dataset!C1310=3,0.5,IF(Dataset!C1310=4,0.65,0.8))))</f>
        <v>0.5</v>
      </c>
      <c r="F1310" s="29">
        <f>IF(Dataset!C1310&lt;=2,1,IF(Dataset!C1310=3,2,IF(Dataset!C1310=4,3,4)))</f>
        <v>2</v>
      </c>
      <c r="G1310" s="29">
        <f t="shared" si="161"/>
        <v>1</v>
      </c>
      <c r="H1310" s="29">
        <f>IF(Dataset!G1310&lt;=3,0.25,IF(Dataset!G1310&lt;=6,0.45,IF(Dataset!G1310&lt;=9,0.65,0.85)))</f>
        <v>0.45</v>
      </c>
      <c r="I1310" s="29">
        <f>IF(Dataset!G1310&lt;=3,1,IF(Dataset!G1310&lt;=6,2,IF(Dataset!G1310&lt;=9,3,4)))</f>
        <v>2</v>
      </c>
      <c r="J1310" s="29">
        <f t="shared" si="162"/>
        <v>0.9</v>
      </c>
      <c r="K1310" s="29">
        <f>IF(Dataset!H1310&lt;1,0.2,IF(Dataset!H1310&lt;1.3,0.45,IF(Dataset!H1310&lt;1.8,0.7,0.9)))</f>
        <v>0.9</v>
      </c>
      <c r="L1310" s="29">
        <f>IF(Dataset!H1310&lt;1,1,IF(Dataset!H1310&lt;1.3,2,IF(Dataset!H1310&lt;1.8,3,4)))</f>
        <v>4</v>
      </c>
      <c r="M1310" s="29">
        <f t="shared" si="163"/>
        <v>3.6</v>
      </c>
      <c r="N1310" s="29">
        <f>IF(Dataset!F1310=1,0.75,IF(Dataset!F1310=2,0.45,0.2))</f>
        <v>0.45</v>
      </c>
      <c r="O1310" s="29">
        <f>IF(Dataset!F1310=1,3,IF(Dataset!F1310=2,2,1))</f>
        <v>2</v>
      </c>
      <c r="P1310" s="29">
        <f t="shared" si="164"/>
        <v>0.9</v>
      </c>
      <c r="Q1310" s="29">
        <f>IF(Dataset!K1310&lt;5,0.2,IF(Dataset!K1310&lt;10,0.45,IF(Dataset!K1310&lt;18,0.7,0.9)))</f>
        <v>0.45</v>
      </c>
      <c r="R1310" s="29">
        <f>IF(Dataset!K1310&lt;5,1,IF(Dataset!K1310&lt;10,2,IF(Dataset!K1310&lt;18,3,4)))</f>
        <v>2</v>
      </c>
      <c r="S1310" s="29">
        <f t="shared" si="165"/>
        <v>0.9</v>
      </c>
      <c r="T1310" s="29">
        <f t="shared" si="166"/>
        <v>1.9760000000000002</v>
      </c>
      <c r="U1310" s="29" t="str">
        <f t="shared" si="167"/>
        <v>High</v>
      </c>
    </row>
    <row r="1311" spans="1:21" ht="15" customHeight="1" x14ac:dyDescent="0.25">
      <c r="A1311" s="29">
        <f>Dataset!A1311</f>
        <v>1307</v>
      </c>
      <c r="B1311" s="29">
        <f>IF(Dataset!B1311&lt;25,0.3,IF(Dataset!B1311&lt;75,0.5,IF(Dataset!B1311&lt;120,0.65,0.8)))</f>
        <v>0.3</v>
      </c>
      <c r="C1311" s="29">
        <f>IF(Dataset!B1311&lt;25,1,IF(Dataset!B1311&lt;75,2,IF(Dataset!B1311&lt;120,3,4)))</f>
        <v>1</v>
      </c>
      <c r="D1311" s="29">
        <f t="shared" si="160"/>
        <v>0.3</v>
      </c>
      <c r="E1311" s="29">
        <f>IF(Dataset!C1311&lt;=1,0.3,IF(Dataset!C1311=2,0.4,IF(Dataset!C1311=3,0.5,IF(Dataset!C1311=4,0.65,0.8))))</f>
        <v>0.4</v>
      </c>
      <c r="F1311" s="29">
        <f>IF(Dataset!C1311&lt;=2,1,IF(Dataset!C1311=3,2,IF(Dataset!C1311=4,3,4)))</f>
        <v>1</v>
      </c>
      <c r="G1311" s="29">
        <f t="shared" si="161"/>
        <v>0.4</v>
      </c>
      <c r="H1311" s="29">
        <f>IF(Dataset!G1311&lt;=3,0.25,IF(Dataset!G1311&lt;=6,0.45,IF(Dataset!G1311&lt;=9,0.65,0.85)))</f>
        <v>0.25</v>
      </c>
      <c r="I1311" s="29">
        <f>IF(Dataset!G1311&lt;=3,1,IF(Dataset!G1311&lt;=6,2,IF(Dataset!G1311&lt;=9,3,4)))</f>
        <v>1</v>
      </c>
      <c r="J1311" s="29">
        <f t="shared" si="162"/>
        <v>0.25</v>
      </c>
      <c r="K1311" s="29">
        <f>IF(Dataset!H1311&lt;1,0.2,IF(Dataset!H1311&lt;1.3,0.45,IF(Dataset!H1311&lt;1.8,0.7,0.9)))</f>
        <v>0.9</v>
      </c>
      <c r="L1311" s="29">
        <f>IF(Dataset!H1311&lt;1,1,IF(Dataset!H1311&lt;1.3,2,IF(Dataset!H1311&lt;1.8,3,4)))</f>
        <v>4</v>
      </c>
      <c r="M1311" s="29">
        <f t="shared" si="163"/>
        <v>3.6</v>
      </c>
      <c r="N1311" s="29">
        <f>IF(Dataset!F1311=1,0.75,IF(Dataset!F1311=2,0.45,0.2))</f>
        <v>0.45</v>
      </c>
      <c r="O1311" s="29">
        <f>IF(Dataset!F1311=1,3,IF(Dataset!F1311=2,2,1))</f>
        <v>2</v>
      </c>
      <c r="P1311" s="29">
        <f t="shared" si="164"/>
        <v>0.9</v>
      </c>
      <c r="Q1311" s="29">
        <f>IF(Dataset!K1311&lt;5,0.2,IF(Dataset!K1311&lt;10,0.45,IF(Dataset!K1311&lt;18,0.7,0.9)))</f>
        <v>0.2</v>
      </c>
      <c r="R1311" s="29">
        <f>IF(Dataset!K1311&lt;5,1,IF(Dataset!K1311&lt;10,2,IF(Dataset!K1311&lt;18,3,4)))</f>
        <v>1</v>
      </c>
      <c r="S1311" s="29">
        <f t="shared" si="165"/>
        <v>0.2</v>
      </c>
      <c r="T1311" s="29">
        <f t="shared" si="166"/>
        <v>1.1420000000000001</v>
      </c>
      <c r="U1311" s="29" t="str">
        <f t="shared" si="167"/>
        <v>Low</v>
      </c>
    </row>
    <row r="1312" spans="1:21" ht="15" customHeight="1" x14ac:dyDescent="0.25">
      <c r="A1312" s="29">
        <f>Dataset!A1312</f>
        <v>1308</v>
      </c>
      <c r="B1312" s="29">
        <f>IF(Dataset!B1312&lt;25,0.3,IF(Dataset!B1312&lt;75,0.5,IF(Dataset!B1312&lt;120,0.65,0.8)))</f>
        <v>0.5</v>
      </c>
      <c r="C1312" s="29">
        <f>IF(Dataset!B1312&lt;25,1,IF(Dataset!B1312&lt;75,2,IF(Dataset!B1312&lt;120,3,4)))</f>
        <v>2</v>
      </c>
      <c r="D1312" s="29">
        <f t="shared" si="160"/>
        <v>1</v>
      </c>
      <c r="E1312" s="29">
        <f>IF(Dataset!C1312&lt;=1,0.3,IF(Dataset!C1312=2,0.4,IF(Dataset!C1312=3,0.5,IF(Dataset!C1312=4,0.65,0.8))))</f>
        <v>0.65</v>
      </c>
      <c r="F1312" s="29">
        <f>IF(Dataset!C1312&lt;=2,1,IF(Dataset!C1312=3,2,IF(Dataset!C1312=4,3,4)))</f>
        <v>3</v>
      </c>
      <c r="G1312" s="29">
        <f t="shared" si="161"/>
        <v>1.9500000000000002</v>
      </c>
      <c r="H1312" s="29">
        <f>IF(Dataset!G1312&lt;=3,0.25,IF(Dataset!G1312&lt;=6,0.45,IF(Dataset!G1312&lt;=9,0.65,0.85)))</f>
        <v>0.45</v>
      </c>
      <c r="I1312" s="29">
        <f>IF(Dataset!G1312&lt;=3,1,IF(Dataset!G1312&lt;=6,2,IF(Dataset!G1312&lt;=9,3,4)))</f>
        <v>2</v>
      </c>
      <c r="J1312" s="29">
        <f t="shared" si="162"/>
        <v>0.9</v>
      </c>
      <c r="K1312" s="29">
        <f>IF(Dataset!H1312&lt;1,0.2,IF(Dataset!H1312&lt;1.3,0.45,IF(Dataset!H1312&lt;1.8,0.7,0.9)))</f>
        <v>0.2</v>
      </c>
      <c r="L1312" s="29">
        <f>IF(Dataset!H1312&lt;1,1,IF(Dataset!H1312&lt;1.3,2,IF(Dataset!H1312&lt;1.8,3,4)))</f>
        <v>1</v>
      </c>
      <c r="M1312" s="29">
        <f t="shared" si="163"/>
        <v>0.2</v>
      </c>
      <c r="N1312" s="29">
        <f>IF(Dataset!F1312=1,0.75,IF(Dataset!F1312=2,0.45,0.2))</f>
        <v>0.45</v>
      </c>
      <c r="O1312" s="29">
        <f>IF(Dataset!F1312=1,3,IF(Dataset!F1312=2,2,1))</f>
        <v>2</v>
      </c>
      <c r="P1312" s="29">
        <f t="shared" si="164"/>
        <v>0.9</v>
      </c>
      <c r="Q1312" s="29">
        <f>IF(Dataset!K1312&lt;5,0.2,IF(Dataset!K1312&lt;10,0.45,IF(Dataset!K1312&lt;18,0.7,0.9)))</f>
        <v>0.45</v>
      </c>
      <c r="R1312" s="29">
        <f>IF(Dataset!K1312&lt;5,1,IF(Dataset!K1312&lt;10,2,IF(Dataset!K1312&lt;18,3,4)))</f>
        <v>2</v>
      </c>
      <c r="S1312" s="29">
        <f t="shared" si="165"/>
        <v>0.9</v>
      </c>
      <c r="T1312" s="29">
        <f t="shared" si="166"/>
        <v>0.89700000000000013</v>
      </c>
      <c r="U1312" s="29" t="str">
        <f t="shared" si="167"/>
        <v>Low</v>
      </c>
    </row>
    <row r="1313" spans="1:21" ht="15" customHeight="1" x14ac:dyDescent="0.25">
      <c r="A1313" s="29">
        <f>Dataset!A1313</f>
        <v>1309</v>
      </c>
      <c r="B1313" s="29">
        <f>IF(Dataset!B1313&lt;25,0.3,IF(Dataset!B1313&lt;75,0.5,IF(Dataset!B1313&lt;120,0.65,0.8)))</f>
        <v>0.5</v>
      </c>
      <c r="C1313" s="29">
        <f>IF(Dataset!B1313&lt;25,1,IF(Dataset!B1313&lt;75,2,IF(Dataset!B1313&lt;120,3,4)))</f>
        <v>2</v>
      </c>
      <c r="D1313" s="29">
        <f t="shared" si="160"/>
        <v>1</v>
      </c>
      <c r="E1313" s="29">
        <f>IF(Dataset!C1313&lt;=1,0.3,IF(Dataset!C1313=2,0.4,IF(Dataset!C1313=3,0.5,IF(Dataset!C1313=4,0.65,0.8))))</f>
        <v>0.4</v>
      </c>
      <c r="F1313" s="29">
        <f>IF(Dataset!C1313&lt;=2,1,IF(Dataset!C1313=3,2,IF(Dataset!C1313=4,3,4)))</f>
        <v>1</v>
      </c>
      <c r="G1313" s="29">
        <f t="shared" si="161"/>
        <v>0.4</v>
      </c>
      <c r="H1313" s="29">
        <f>IF(Dataset!G1313&lt;=3,0.25,IF(Dataset!G1313&lt;=6,0.45,IF(Dataset!G1313&lt;=9,0.65,0.85)))</f>
        <v>0.25</v>
      </c>
      <c r="I1313" s="29">
        <f>IF(Dataset!G1313&lt;=3,1,IF(Dataset!G1313&lt;=6,2,IF(Dataset!G1313&lt;=9,3,4)))</f>
        <v>1</v>
      </c>
      <c r="J1313" s="29">
        <f t="shared" si="162"/>
        <v>0.25</v>
      </c>
      <c r="K1313" s="29">
        <f>IF(Dataset!H1313&lt;1,0.2,IF(Dataset!H1313&lt;1.3,0.45,IF(Dataset!H1313&lt;1.8,0.7,0.9)))</f>
        <v>0.9</v>
      </c>
      <c r="L1313" s="29">
        <f>IF(Dataset!H1313&lt;1,1,IF(Dataset!H1313&lt;1.3,2,IF(Dataset!H1313&lt;1.8,3,4)))</f>
        <v>4</v>
      </c>
      <c r="M1313" s="29">
        <f t="shared" si="163"/>
        <v>3.6</v>
      </c>
      <c r="N1313" s="29">
        <f>IF(Dataset!F1313=1,0.75,IF(Dataset!F1313=2,0.45,0.2))</f>
        <v>0.45</v>
      </c>
      <c r="O1313" s="29">
        <f>IF(Dataset!F1313=1,3,IF(Dataset!F1313=2,2,1))</f>
        <v>2</v>
      </c>
      <c r="P1313" s="29">
        <f t="shared" si="164"/>
        <v>0.9</v>
      </c>
      <c r="Q1313" s="29">
        <f>IF(Dataset!K1313&lt;5,0.2,IF(Dataset!K1313&lt;10,0.45,IF(Dataset!K1313&lt;18,0.7,0.9)))</f>
        <v>0.2</v>
      </c>
      <c r="R1313" s="29">
        <f>IF(Dataset!K1313&lt;5,1,IF(Dataset!K1313&lt;10,2,IF(Dataset!K1313&lt;18,3,4)))</f>
        <v>1</v>
      </c>
      <c r="S1313" s="29">
        <f t="shared" si="165"/>
        <v>0.2</v>
      </c>
      <c r="T1313" s="29">
        <f t="shared" si="166"/>
        <v>1.268</v>
      </c>
      <c r="U1313" s="29" t="str">
        <f t="shared" si="167"/>
        <v>Low</v>
      </c>
    </row>
    <row r="1314" spans="1:21" ht="15" customHeight="1" x14ac:dyDescent="0.25">
      <c r="A1314" s="29">
        <f>Dataset!A1314</f>
        <v>1310</v>
      </c>
      <c r="B1314" s="29">
        <f>IF(Dataset!B1314&lt;25,0.3,IF(Dataset!B1314&lt;75,0.5,IF(Dataset!B1314&lt;120,0.65,0.8)))</f>
        <v>0.3</v>
      </c>
      <c r="C1314" s="29">
        <f>IF(Dataset!B1314&lt;25,1,IF(Dataset!B1314&lt;75,2,IF(Dataset!B1314&lt;120,3,4)))</f>
        <v>1</v>
      </c>
      <c r="D1314" s="29">
        <f t="shared" si="160"/>
        <v>0.3</v>
      </c>
      <c r="E1314" s="29">
        <f>IF(Dataset!C1314&lt;=1,0.3,IF(Dataset!C1314=2,0.4,IF(Dataset!C1314=3,0.5,IF(Dataset!C1314=4,0.65,0.8))))</f>
        <v>0.65</v>
      </c>
      <c r="F1314" s="29">
        <f>IF(Dataset!C1314&lt;=2,1,IF(Dataset!C1314=3,2,IF(Dataset!C1314=4,3,4)))</f>
        <v>3</v>
      </c>
      <c r="G1314" s="29">
        <f t="shared" si="161"/>
        <v>1.9500000000000002</v>
      </c>
      <c r="H1314" s="29">
        <f>IF(Dataset!G1314&lt;=3,0.25,IF(Dataset!G1314&lt;=6,0.45,IF(Dataset!G1314&lt;=9,0.65,0.85)))</f>
        <v>0.45</v>
      </c>
      <c r="I1314" s="29">
        <f>IF(Dataset!G1314&lt;=3,1,IF(Dataset!G1314&lt;=6,2,IF(Dataset!G1314&lt;=9,3,4)))</f>
        <v>2</v>
      </c>
      <c r="J1314" s="29">
        <f t="shared" si="162"/>
        <v>0.9</v>
      </c>
      <c r="K1314" s="29">
        <f>IF(Dataset!H1314&lt;1,0.2,IF(Dataset!H1314&lt;1.3,0.45,IF(Dataset!H1314&lt;1.8,0.7,0.9)))</f>
        <v>0.9</v>
      </c>
      <c r="L1314" s="29">
        <f>IF(Dataset!H1314&lt;1,1,IF(Dataset!H1314&lt;1.3,2,IF(Dataset!H1314&lt;1.8,3,4)))</f>
        <v>4</v>
      </c>
      <c r="M1314" s="29">
        <f t="shared" si="163"/>
        <v>3.6</v>
      </c>
      <c r="N1314" s="29">
        <f>IF(Dataset!F1314=1,0.75,IF(Dataset!F1314=2,0.45,0.2))</f>
        <v>0.45</v>
      </c>
      <c r="O1314" s="29">
        <f>IF(Dataset!F1314=1,3,IF(Dataset!F1314=2,2,1))</f>
        <v>2</v>
      </c>
      <c r="P1314" s="29">
        <f t="shared" si="164"/>
        <v>0.9</v>
      </c>
      <c r="Q1314" s="29">
        <f>IF(Dataset!K1314&lt;5,0.2,IF(Dataset!K1314&lt;10,0.45,IF(Dataset!K1314&lt;18,0.7,0.9)))</f>
        <v>0.7</v>
      </c>
      <c r="R1314" s="29">
        <f>IF(Dataset!K1314&lt;5,1,IF(Dataset!K1314&lt;10,2,IF(Dataset!K1314&lt;18,3,4)))</f>
        <v>3</v>
      </c>
      <c r="S1314" s="29">
        <f t="shared" si="165"/>
        <v>2.0999999999999996</v>
      </c>
      <c r="T1314" s="29">
        <f t="shared" si="166"/>
        <v>1.7550000000000001</v>
      </c>
      <c r="U1314" s="29" t="str">
        <f t="shared" si="167"/>
        <v>Medium</v>
      </c>
    </row>
    <row r="1315" spans="1:21" ht="15" customHeight="1" x14ac:dyDescent="0.25">
      <c r="A1315" s="29">
        <f>Dataset!A1315</f>
        <v>1311</v>
      </c>
      <c r="B1315" s="29">
        <f>IF(Dataset!B1315&lt;25,0.3,IF(Dataset!B1315&lt;75,0.5,IF(Dataset!B1315&lt;120,0.65,0.8)))</f>
        <v>0.65</v>
      </c>
      <c r="C1315" s="29">
        <f>IF(Dataset!B1315&lt;25,1,IF(Dataset!B1315&lt;75,2,IF(Dataset!B1315&lt;120,3,4)))</f>
        <v>3</v>
      </c>
      <c r="D1315" s="29">
        <f t="shared" si="160"/>
        <v>1.9500000000000002</v>
      </c>
      <c r="E1315" s="29">
        <f>IF(Dataset!C1315&lt;=1,0.3,IF(Dataset!C1315=2,0.4,IF(Dataset!C1315=3,0.5,IF(Dataset!C1315=4,0.65,0.8))))</f>
        <v>0.5</v>
      </c>
      <c r="F1315" s="29">
        <f>IF(Dataset!C1315&lt;=2,1,IF(Dataset!C1315=3,2,IF(Dataset!C1315=4,3,4)))</f>
        <v>2</v>
      </c>
      <c r="G1315" s="29">
        <f t="shared" si="161"/>
        <v>1</v>
      </c>
      <c r="H1315" s="29">
        <f>IF(Dataset!G1315&lt;=3,0.25,IF(Dataset!G1315&lt;=6,0.45,IF(Dataset!G1315&lt;=9,0.65,0.85)))</f>
        <v>0.65</v>
      </c>
      <c r="I1315" s="29">
        <f>IF(Dataset!G1315&lt;=3,1,IF(Dataset!G1315&lt;=6,2,IF(Dataset!G1315&lt;=9,3,4)))</f>
        <v>3</v>
      </c>
      <c r="J1315" s="29">
        <f t="shared" si="162"/>
        <v>1.9500000000000002</v>
      </c>
      <c r="K1315" s="29">
        <f>IF(Dataset!H1315&lt;1,0.2,IF(Dataset!H1315&lt;1.3,0.45,IF(Dataset!H1315&lt;1.8,0.7,0.9)))</f>
        <v>0.7</v>
      </c>
      <c r="L1315" s="29">
        <f>IF(Dataset!H1315&lt;1,1,IF(Dataset!H1315&lt;1.3,2,IF(Dataset!H1315&lt;1.8,3,4)))</f>
        <v>3</v>
      </c>
      <c r="M1315" s="29">
        <f t="shared" si="163"/>
        <v>2.0999999999999996</v>
      </c>
      <c r="N1315" s="29">
        <f>IF(Dataset!F1315=1,0.75,IF(Dataset!F1315=2,0.45,0.2))</f>
        <v>0.75</v>
      </c>
      <c r="O1315" s="29">
        <f>IF(Dataset!F1315=1,3,IF(Dataset!F1315=2,2,1))</f>
        <v>3</v>
      </c>
      <c r="P1315" s="29">
        <f t="shared" si="164"/>
        <v>2.25</v>
      </c>
      <c r="Q1315" s="29">
        <f>IF(Dataset!K1315&lt;5,0.2,IF(Dataset!K1315&lt;10,0.45,IF(Dataset!K1315&lt;18,0.7,0.9)))</f>
        <v>0.45</v>
      </c>
      <c r="R1315" s="29">
        <f>IF(Dataset!K1315&lt;5,1,IF(Dataset!K1315&lt;10,2,IF(Dataset!K1315&lt;18,3,4)))</f>
        <v>2</v>
      </c>
      <c r="S1315" s="29">
        <f t="shared" si="165"/>
        <v>0.9</v>
      </c>
      <c r="T1315" s="29">
        <f t="shared" si="166"/>
        <v>1.7360000000000002</v>
      </c>
      <c r="U1315" s="29" t="str">
        <f t="shared" si="167"/>
        <v>Medium</v>
      </c>
    </row>
    <row r="1316" spans="1:21" ht="15" customHeight="1" x14ac:dyDescent="0.25">
      <c r="A1316" s="29">
        <f>Dataset!A1316</f>
        <v>1312</v>
      </c>
      <c r="B1316" s="29">
        <f>IF(Dataset!B1316&lt;25,0.3,IF(Dataset!B1316&lt;75,0.5,IF(Dataset!B1316&lt;120,0.65,0.8)))</f>
        <v>0.5</v>
      </c>
      <c r="C1316" s="29">
        <f>IF(Dataset!B1316&lt;25,1,IF(Dataset!B1316&lt;75,2,IF(Dataset!B1316&lt;120,3,4)))</f>
        <v>2</v>
      </c>
      <c r="D1316" s="29">
        <f t="shared" si="160"/>
        <v>1</v>
      </c>
      <c r="E1316" s="29">
        <f>IF(Dataset!C1316&lt;=1,0.3,IF(Dataset!C1316=2,0.4,IF(Dataset!C1316=3,0.5,IF(Dataset!C1316=4,0.65,0.8))))</f>
        <v>0.4</v>
      </c>
      <c r="F1316" s="29">
        <f>IF(Dataset!C1316&lt;=2,1,IF(Dataset!C1316=3,2,IF(Dataset!C1316=4,3,4)))</f>
        <v>1</v>
      </c>
      <c r="G1316" s="29">
        <f t="shared" si="161"/>
        <v>0.4</v>
      </c>
      <c r="H1316" s="29">
        <f>IF(Dataset!G1316&lt;=3,0.25,IF(Dataset!G1316&lt;=6,0.45,IF(Dataset!G1316&lt;=9,0.65,0.85)))</f>
        <v>0.45</v>
      </c>
      <c r="I1316" s="29">
        <f>IF(Dataset!G1316&lt;=3,1,IF(Dataset!G1316&lt;=6,2,IF(Dataset!G1316&lt;=9,3,4)))</f>
        <v>2</v>
      </c>
      <c r="J1316" s="29">
        <f t="shared" si="162"/>
        <v>0.9</v>
      </c>
      <c r="K1316" s="29">
        <f>IF(Dataset!H1316&lt;1,0.2,IF(Dataset!H1316&lt;1.3,0.45,IF(Dataset!H1316&lt;1.8,0.7,0.9)))</f>
        <v>0.7</v>
      </c>
      <c r="L1316" s="29">
        <f>IF(Dataset!H1316&lt;1,1,IF(Dataset!H1316&lt;1.3,2,IF(Dataset!H1316&lt;1.8,3,4)))</f>
        <v>3</v>
      </c>
      <c r="M1316" s="29">
        <f t="shared" si="163"/>
        <v>2.0999999999999996</v>
      </c>
      <c r="N1316" s="29">
        <f>IF(Dataset!F1316=1,0.75,IF(Dataset!F1316=2,0.45,0.2))</f>
        <v>0.45</v>
      </c>
      <c r="O1316" s="29">
        <f>IF(Dataset!F1316=1,3,IF(Dataset!F1316=2,2,1))</f>
        <v>2</v>
      </c>
      <c r="P1316" s="29">
        <f t="shared" si="164"/>
        <v>0.9</v>
      </c>
      <c r="Q1316" s="29">
        <f>IF(Dataset!K1316&lt;5,0.2,IF(Dataset!K1316&lt;10,0.45,IF(Dataset!K1316&lt;18,0.7,0.9)))</f>
        <v>0.45</v>
      </c>
      <c r="R1316" s="29">
        <f>IF(Dataset!K1316&lt;5,1,IF(Dataset!K1316&lt;10,2,IF(Dataset!K1316&lt;18,3,4)))</f>
        <v>2</v>
      </c>
      <c r="S1316" s="29">
        <f t="shared" si="165"/>
        <v>0.9</v>
      </c>
      <c r="T1316" s="29">
        <f t="shared" si="166"/>
        <v>1.1360000000000001</v>
      </c>
      <c r="U1316" s="29" t="str">
        <f t="shared" si="167"/>
        <v>Low</v>
      </c>
    </row>
    <row r="1317" spans="1:21" ht="15" customHeight="1" x14ac:dyDescent="0.25">
      <c r="A1317" s="29">
        <f>Dataset!A1317</f>
        <v>1313</v>
      </c>
      <c r="B1317" s="29">
        <f>IF(Dataset!B1317&lt;25,0.3,IF(Dataset!B1317&lt;75,0.5,IF(Dataset!B1317&lt;120,0.65,0.8)))</f>
        <v>0.3</v>
      </c>
      <c r="C1317" s="29">
        <f>IF(Dataset!B1317&lt;25,1,IF(Dataset!B1317&lt;75,2,IF(Dataset!B1317&lt;120,3,4)))</f>
        <v>1</v>
      </c>
      <c r="D1317" s="29">
        <f t="shared" si="160"/>
        <v>0.3</v>
      </c>
      <c r="E1317" s="29">
        <f>IF(Dataset!C1317&lt;=1,0.3,IF(Dataset!C1317=2,0.4,IF(Dataset!C1317=3,0.5,IF(Dataset!C1317=4,0.65,0.8))))</f>
        <v>0.4</v>
      </c>
      <c r="F1317" s="29">
        <f>IF(Dataset!C1317&lt;=2,1,IF(Dataset!C1317=3,2,IF(Dataset!C1317=4,3,4)))</f>
        <v>1</v>
      </c>
      <c r="G1317" s="29">
        <f t="shared" si="161"/>
        <v>0.4</v>
      </c>
      <c r="H1317" s="29">
        <f>IF(Dataset!G1317&lt;=3,0.25,IF(Dataset!G1317&lt;=6,0.45,IF(Dataset!G1317&lt;=9,0.65,0.85)))</f>
        <v>0.65</v>
      </c>
      <c r="I1317" s="29">
        <f>IF(Dataset!G1317&lt;=3,1,IF(Dataset!G1317&lt;=6,2,IF(Dataset!G1317&lt;=9,3,4)))</f>
        <v>3</v>
      </c>
      <c r="J1317" s="29">
        <f t="shared" si="162"/>
        <v>1.9500000000000002</v>
      </c>
      <c r="K1317" s="29">
        <f>IF(Dataset!H1317&lt;1,0.2,IF(Dataset!H1317&lt;1.3,0.45,IF(Dataset!H1317&lt;1.8,0.7,0.9)))</f>
        <v>0.9</v>
      </c>
      <c r="L1317" s="29">
        <f>IF(Dataset!H1317&lt;1,1,IF(Dataset!H1317&lt;1.3,2,IF(Dataset!H1317&lt;1.8,3,4)))</f>
        <v>4</v>
      </c>
      <c r="M1317" s="29">
        <f t="shared" si="163"/>
        <v>3.6</v>
      </c>
      <c r="N1317" s="29">
        <f>IF(Dataset!F1317=1,0.75,IF(Dataset!F1317=2,0.45,0.2))</f>
        <v>0.2</v>
      </c>
      <c r="O1317" s="29">
        <f>IF(Dataset!F1317=1,3,IF(Dataset!F1317=2,2,1))</f>
        <v>1</v>
      </c>
      <c r="P1317" s="29">
        <f t="shared" si="164"/>
        <v>0.2</v>
      </c>
      <c r="Q1317" s="29">
        <f>IF(Dataset!K1317&lt;5,0.2,IF(Dataset!K1317&lt;10,0.45,IF(Dataset!K1317&lt;18,0.7,0.9)))</f>
        <v>0.45</v>
      </c>
      <c r="R1317" s="29">
        <f>IF(Dataset!K1317&lt;5,1,IF(Dataset!K1317&lt;10,2,IF(Dataset!K1317&lt;18,3,4)))</f>
        <v>2</v>
      </c>
      <c r="S1317" s="29">
        <f t="shared" si="165"/>
        <v>0.9</v>
      </c>
      <c r="T1317" s="29">
        <f t="shared" si="166"/>
        <v>1.5100000000000002</v>
      </c>
      <c r="U1317" s="29" t="str">
        <f t="shared" si="167"/>
        <v>Medium</v>
      </c>
    </row>
    <row r="1318" spans="1:21" ht="15" customHeight="1" x14ac:dyDescent="0.25">
      <c r="A1318" s="29">
        <f>Dataset!A1318</f>
        <v>1314</v>
      </c>
      <c r="B1318" s="29">
        <f>IF(Dataset!B1318&lt;25,0.3,IF(Dataset!B1318&lt;75,0.5,IF(Dataset!B1318&lt;120,0.65,0.8)))</f>
        <v>0.5</v>
      </c>
      <c r="C1318" s="29">
        <f>IF(Dataset!B1318&lt;25,1,IF(Dataset!B1318&lt;75,2,IF(Dataset!B1318&lt;120,3,4)))</f>
        <v>2</v>
      </c>
      <c r="D1318" s="29">
        <f t="shared" si="160"/>
        <v>1</v>
      </c>
      <c r="E1318" s="29">
        <f>IF(Dataset!C1318&lt;=1,0.3,IF(Dataset!C1318=2,0.4,IF(Dataset!C1318=3,0.5,IF(Dataset!C1318=4,0.65,0.8))))</f>
        <v>0.5</v>
      </c>
      <c r="F1318" s="29">
        <f>IF(Dataset!C1318&lt;=2,1,IF(Dataset!C1318=3,2,IF(Dataset!C1318=4,3,4)))</f>
        <v>2</v>
      </c>
      <c r="G1318" s="29">
        <f t="shared" si="161"/>
        <v>1</v>
      </c>
      <c r="H1318" s="29">
        <f>IF(Dataset!G1318&lt;=3,0.25,IF(Dataset!G1318&lt;=6,0.45,IF(Dataset!G1318&lt;=9,0.65,0.85)))</f>
        <v>0.45</v>
      </c>
      <c r="I1318" s="29">
        <f>IF(Dataset!G1318&lt;=3,1,IF(Dataset!G1318&lt;=6,2,IF(Dataset!G1318&lt;=9,3,4)))</f>
        <v>2</v>
      </c>
      <c r="J1318" s="29">
        <f t="shared" si="162"/>
        <v>0.9</v>
      </c>
      <c r="K1318" s="29">
        <f>IF(Dataset!H1318&lt;1,0.2,IF(Dataset!H1318&lt;1.3,0.45,IF(Dataset!H1318&lt;1.8,0.7,0.9)))</f>
        <v>0.9</v>
      </c>
      <c r="L1318" s="29">
        <f>IF(Dataset!H1318&lt;1,1,IF(Dataset!H1318&lt;1.3,2,IF(Dataset!H1318&lt;1.8,3,4)))</f>
        <v>4</v>
      </c>
      <c r="M1318" s="29">
        <f t="shared" si="163"/>
        <v>3.6</v>
      </c>
      <c r="N1318" s="29">
        <f>IF(Dataset!F1318=1,0.75,IF(Dataset!F1318=2,0.45,0.2))</f>
        <v>0.75</v>
      </c>
      <c r="O1318" s="29">
        <f>IF(Dataset!F1318=1,3,IF(Dataset!F1318=2,2,1))</f>
        <v>3</v>
      </c>
      <c r="P1318" s="29">
        <f t="shared" si="164"/>
        <v>2.25</v>
      </c>
      <c r="Q1318" s="29">
        <f>IF(Dataset!K1318&lt;5,0.2,IF(Dataset!K1318&lt;10,0.45,IF(Dataset!K1318&lt;18,0.7,0.9)))</f>
        <v>0.45</v>
      </c>
      <c r="R1318" s="29">
        <f>IF(Dataset!K1318&lt;5,1,IF(Dataset!K1318&lt;10,2,IF(Dataset!K1318&lt;18,3,4)))</f>
        <v>2</v>
      </c>
      <c r="S1318" s="29">
        <f t="shared" si="165"/>
        <v>0.9</v>
      </c>
      <c r="T1318" s="29">
        <f t="shared" si="166"/>
        <v>1.7150000000000001</v>
      </c>
      <c r="U1318" s="29" t="str">
        <f t="shared" si="167"/>
        <v>Medium</v>
      </c>
    </row>
    <row r="1319" spans="1:21" ht="15" customHeight="1" x14ac:dyDescent="0.25">
      <c r="A1319" s="29">
        <f>Dataset!A1319</f>
        <v>1315</v>
      </c>
      <c r="B1319" s="29">
        <f>IF(Dataset!B1319&lt;25,0.3,IF(Dataset!B1319&lt;75,0.5,IF(Dataset!B1319&lt;120,0.65,0.8)))</f>
        <v>0.5</v>
      </c>
      <c r="C1319" s="29">
        <f>IF(Dataset!B1319&lt;25,1,IF(Dataset!B1319&lt;75,2,IF(Dataset!B1319&lt;120,3,4)))</f>
        <v>2</v>
      </c>
      <c r="D1319" s="29">
        <f t="shared" si="160"/>
        <v>1</v>
      </c>
      <c r="E1319" s="29">
        <f>IF(Dataset!C1319&lt;=1,0.3,IF(Dataset!C1319=2,0.4,IF(Dataset!C1319=3,0.5,IF(Dataset!C1319=4,0.65,0.8))))</f>
        <v>0.3</v>
      </c>
      <c r="F1319" s="29">
        <f>IF(Dataset!C1319&lt;=2,1,IF(Dataset!C1319=3,2,IF(Dataset!C1319=4,3,4)))</f>
        <v>1</v>
      </c>
      <c r="G1319" s="29">
        <f t="shared" si="161"/>
        <v>0.3</v>
      </c>
      <c r="H1319" s="29">
        <f>IF(Dataset!G1319&lt;=3,0.25,IF(Dataset!G1319&lt;=6,0.45,IF(Dataset!G1319&lt;=9,0.65,0.85)))</f>
        <v>0.65</v>
      </c>
      <c r="I1319" s="29">
        <f>IF(Dataset!G1319&lt;=3,1,IF(Dataset!G1319&lt;=6,2,IF(Dataset!G1319&lt;=9,3,4)))</f>
        <v>3</v>
      </c>
      <c r="J1319" s="29">
        <f t="shared" si="162"/>
        <v>1.9500000000000002</v>
      </c>
      <c r="K1319" s="29">
        <f>IF(Dataset!H1319&lt;1,0.2,IF(Dataset!H1319&lt;1.3,0.45,IF(Dataset!H1319&lt;1.8,0.7,0.9)))</f>
        <v>0.7</v>
      </c>
      <c r="L1319" s="29">
        <f>IF(Dataset!H1319&lt;1,1,IF(Dataset!H1319&lt;1.3,2,IF(Dataset!H1319&lt;1.8,3,4)))</f>
        <v>3</v>
      </c>
      <c r="M1319" s="29">
        <f t="shared" si="163"/>
        <v>2.0999999999999996</v>
      </c>
      <c r="N1319" s="29">
        <f>IF(Dataset!F1319=1,0.75,IF(Dataset!F1319=2,0.45,0.2))</f>
        <v>0.45</v>
      </c>
      <c r="O1319" s="29">
        <f>IF(Dataset!F1319=1,3,IF(Dataset!F1319=2,2,1))</f>
        <v>2</v>
      </c>
      <c r="P1319" s="29">
        <f t="shared" si="164"/>
        <v>0.9</v>
      </c>
      <c r="Q1319" s="29">
        <f>IF(Dataset!K1319&lt;5,0.2,IF(Dataset!K1319&lt;10,0.45,IF(Dataset!K1319&lt;18,0.7,0.9)))</f>
        <v>0.2</v>
      </c>
      <c r="R1319" s="29">
        <f>IF(Dataset!K1319&lt;5,1,IF(Dataset!K1319&lt;10,2,IF(Dataset!K1319&lt;18,3,4)))</f>
        <v>1</v>
      </c>
      <c r="S1319" s="29">
        <f t="shared" si="165"/>
        <v>0.2</v>
      </c>
      <c r="T1319" s="29">
        <f t="shared" si="166"/>
        <v>1.2340000000000002</v>
      </c>
      <c r="U1319" s="29" t="str">
        <f t="shared" si="167"/>
        <v>Low</v>
      </c>
    </row>
    <row r="1320" spans="1:21" ht="15" customHeight="1" x14ac:dyDescent="0.25">
      <c r="A1320" s="29">
        <f>Dataset!A1320</f>
        <v>1316</v>
      </c>
      <c r="B1320" s="29">
        <f>IF(Dataset!B1320&lt;25,0.3,IF(Dataset!B1320&lt;75,0.5,IF(Dataset!B1320&lt;120,0.65,0.8)))</f>
        <v>0.5</v>
      </c>
      <c r="C1320" s="29">
        <f>IF(Dataset!B1320&lt;25,1,IF(Dataset!B1320&lt;75,2,IF(Dataset!B1320&lt;120,3,4)))</f>
        <v>2</v>
      </c>
      <c r="D1320" s="29">
        <f t="shared" si="160"/>
        <v>1</v>
      </c>
      <c r="E1320" s="29">
        <f>IF(Dataset!C1320&lt;=1,0.3,IF(Dataset!C1320=2,0.4,IF(Dataset!C1320=3,0.5,IF(Dataset!C1320=4,0.65,0.8))))</f>
        <v>0.5</v>
      </c>
      <c r="F1320" s="29">
        <f>IF(Dataset!C1320&lt;=2,1,IF(Dataset!C1320=3,2,IF(Dataset!C1320=4,3,4)))</f>
        <v>2</v>
      </c>
      <c r="G1320" s="29">
        <f t="shared" si="161"/>
        <v>1</v>
      </c>
      <c r="H1320" s="29">
        <f>IF(Dataset!G1320&lt;=3,0.25,IF(Dataset!G1320&lt;=6,0.45,IF(Dataset!G1320&lt;=9,0.65,0.85)))</f>
        <v>0.65</v>
      </c>
      <c r="I1320" s="29">
        <f>IF(Dataset!G1320&lt;=3,1,IF(Dataset!G1320&lt;=6,2,IF(Dataset!G1320&lt;=9,3,4)))</f>
        <v>3</v>
      </c>
      <c r="J1320" s="29">
        <f t="shared" si="162"/>
        <v>1.9500000000000002</v>
      </c>
      <c r="K1320" s="29">
        <f>IF(Dataset!H1320&lt;1,0.2,IF(Dataset!H1320&lt;1.3,0.45,IF(Dataset!H1320&lt;1.8,0.7,0.9)))</f>
        <v>0.45</v>
      </c>
      <c r="L1320" s="29">
        <f>IF(Dataset!H1320&lt;1,1,IF(Dataset!H1320&lt;1.3,2,IF(Dataset!H1320&lt;1.8,3,4)))</f>
        <v>2</v>
      </c>
      <c r="M1320" s="29">
        <f t="shared" si="163"/>
        <v>0.9</v>
      </c>
      <c r="N1320" s="29">
        <f>IF(Dataset!F1320=1,0.75,IF(Dataset!F1320=2,0.45,0.2))</f>
        <v>0.45</v>
      </c>
      <c r="O1320" s="29">
        <f>IF(Dataset!F1320=1,3,IF(Dataset!F1320=2,2,1))</f>
        <v>2</v>
      </c>
      <c r="P1320" s="29">
        <f t="shared" si="164"/>
        <v>0.9</v>
      </c>
      <c r="Q1320" s="29">
        <f>IF(Dataset!K1320&lt;5,0.2,IF(Dataset!K1320&lt;10,0.45,IF(Dataset!K1320&lt;18,0.7,0.9)))</f>
        <v>0.2</v>
      </c>
      <c r="R1320" s="29">
        <f>IF(Dataset!K1320&lt;5,1,IF(Dataset!K1320&lt;10,2,IF(Dataset!K1320&lt;18,3,4)))</f>
        <v>1</v>
      </c>
      <c r="S1320" s="29">
        <f t="shared" si="165"/>
        <v>0.2</v>
      </c>
      <c r="T1320" s="29">
        <f t="shared" si="166"/>
        <v>1.044</v>
      </c>
      <c r="U1320" s="29" t="str">
        <f t="shared" si="167"/>
        <v>Low</v>
      </c>
    </row>
    <row r="1321" spans="1:21" ht="15" customHeight="1" x14ac:dyDescent="0.25">
      <c r="A1321" s="29">
        <f>Dataset!A1321</f>
        <v>1317</v>
      </c>
      <c r="B1321" s="29">
        <f>IF(Dataset!B1321&lt;25,0.3,IF(Dataset!B1321&lt;75,0.5,IF(Dataset!B1321&lt;120,0.65,0.8)))</f>
        <v>0.8</v>
      </c>
      <c r="C1321" s="29">
        <f>IF(Dataset!B1321&lt;25,1,IF(Dataset!B1321&lt;75,2,IF(Dataset!B1321&lt;120,3,4)))</f>
        <v>4</v>
      </c>
      <c r="D1321" s="29">
        <f t="shared" si="160"/>
        <v>3.2</v>
      </c>
      <c r="E1321" s="29">
        <f>IF(Dataset!C1321&lt;=1,0.3,IF(Dataset!C1321=2,0.4,IF(Dataset!C1321=3,0.5,IF(Dataset!C1321=4,0.65,0.8))))</f>
        <v>0.8</v>
      </c>
      <c r="F1321" s="29">
        <f>IF(Dataset!C1321&lt;=2,1,IF(Dataset!C1321=3,2,IF(Dataset!C1321=4,3,4)))</f>
        <v>4</v>
      </c>
      <c r="G1321" s="29">
        <f t="shared" si="161"/>
        <v>3.2</v>
      </c>
      <c r="H1321" s="29">
        <f>IF(Dataset!G1321&lt;=3,0.25,IF(Dataset!G1321&lt;=6,0.45,IF(Dataset!G1321&lt;=9,0.65,0.85)))</f>
        <v>0.65</v>
      </c>
      <c r="I1321" s="29">
        <f>IF(Dataset!G1321&lt;=3,1,IF(Dataset!G1321&lt;=6,2,IF(Dataset!G1321&lt;=9,3,4)))</f>
        <v>3</v>
      </c>
      <c r="J1321" s="29">
        <f t="shared" si="162"/>
        <v>1.9500000000000002</v>
      </c>
      <c r="K1321" s="29">
        <f>IF(Dataset!H1321&lt;1,0.2,IF(Dataset!H1321&lt;1.3,0.45,IF(Dataset!H1321&lt;1.8,0.7,0.9)))</f>
        <v>0.45</v>
      </c>
      <c r="L1321" s="29">
        <f>IF(Dataset!H1321&lt;1,1,IF(Dataset!H1321&lt;1.3,2,IF(Dataset!H1321&lt;1.8,3,4)))</f>
        <v>2</v>
      </c>
      <c r="M1321" s="29">
        <f t="shared" si="163"/>
        <v>0.9</v>
      </c>
      <c r="N1321" s="29">
        <f>IF(Dataset!F1321=1,0.75,IF(Dataset!F1321=2,0.45,0.2))</f>
        <v>0.2</v>
      </c>
      <c r="O1321" s="29">
        <f>IF(Dataset!F1321=1,3,IF(Dataset!F1321=2,2,1))</f>
        <v>1</v>
      </c>
      <c r="P1321" s="29">
        <f t="shared" si="164"/>
        <v>0.2</v>
      </c>
      <c r="Q1321" s="29">
        <f>IF(Dataset!K1321&lt;5,0.2,IF(Dataset!K1321&lt;10,0.45,IF(Dataset!K1321&lt;18,0.7,0.9)))</f>
        <v>0.9</v>
      </c>
      <c r="R1321" s="29">
        <f>IF(Dataset!K1321&lt;5,1,IF(Dataset!K1321&lt;10,2,IF(Dataset!K1321&lt;18,3,4)))</f>
        <v>4</v>
      </c>
      <c r="S1321" s="29">
        <f t="shared" si="165"/>
        <v>3.6</v>
      </c>
      <c r="T1321" s="29">
        <f t="shared" si="166"/>
        <v>2.1540000000000004</v>
      </c>
      <c r="U1321" s="29" t="str">
        <f t="shared" si="167"/>
        <v>High</v>
      </c>
    </row>
    <row r="1322" spans="1:21" ht="15" customHeight="1" x14ac:dyDescent="0.25">
      <c r="A1322" s="29">
        <f>Dataset!A1322</f>
        <v>1318</v>
      </c>
      <c r="B1322" s="29">
        <f>IF(Dataset!B1322&lt;25,0.3,IF(Dataset!B1322&lt;75,0.5,IF(Dataset!B1322&lt;120,0.65,0.8)))</f>
        <v>0.65</v>
      </c>
      <c r="C1322" s="29">
        <f>IF(Dataset!B1322&lt;25,1,IF(Dataset!B1322&lt;75,2,IF(Dataset!B1322&lt;120,3,4)))</f>
        <v>3</v>
      </c>
      <c r="D1322" s="29">
        <f t="shared" si="160"/>
        <v>1.9500000000000002</v>
      </c>
      <c r="E1322" s="29">
        <f>IF(Dataset!C1322&lt;=1,0.3,IF(Dataset!C1322=2,0.4,IF(Dataset!C1322=3,0.5,IF(Dataset!C1322=4,0.65,0.8))))</f>
        <v>0.65</v>
      </c>
      <c r="F1322" s="29">
        <f>IF(Dataset!C1322&lt;=2,1,IF(Dataset!C1322=3,2,IF(Dataset!C1322=4,3,4)))</f>
        <v>3</v>
      </c>
      <c r="G1322" s="29">
        <f t="shared" si="161"/>
        <v>1.9500000000000002</v>
      </c>
      <c r="H1322" s="29">
        <f>IF(Dataset!G1322&lt;=3,0.25,IF(Dataset!G1322&lt;=6,0.45,IF(Dataset!G1322&lt;=9,0.65,0.85)))</f>
        <v>0.25</v>
      </c>
      <c r="I1322" s="29">
        <f>IF(Dataset!G1322&lt;=3,1,IF(Dataset!G1322&lt;=6,2,IF(Dataset!G1322&lt;=9,3,4)))</f>
        <v>1</v>
      </c>
      <c r="J1322" s="29">
        <f t="shared" si="162"/>
        <v>0.25</v>
      </c>
      <c r="K1322" s="29">
        <f>IF(Dataset!H1322&lt;1,0.2,IF(Dataset!H1322&lt;1.3,0.45,IF(Dataset!H1322&lt;1.8,0.7,0.9)))</f>
        <v>0.45</v>
      </c>
      <c r="L1322" s="29">
        <f>IF(Dataset!H1322&lt;1,1,IF(Dataset!H1322&lt;1.3,2,IF(Dataset!H1322&lt;1.8,3,4)))</f>
        <v>2</v>
      </c>
      <c r="M1322" s="29">
        <f t="shared" si="163"/>
        <v>0.9</v>
      </c>
      <c r="N1322" s="29">
        <f>IF(Dataset!F1322=1,0.75,IF(Dataset!F1322=2,0.45,0.2))</f>
        <v>0.45</v>
      </c>
      <c r="O1322" s="29">
        <f>IF(Dataset!F1322=1,3,IF(Dataset!F1322=2,2,1))</f>
        <v>2</v>
      </c>
      <c r="P1322" s="29">
        <f t="shared" si="164"/>
        <v>0.9</v>
      </c>
      <c r="Q1322" s="29">
        <f>IF(Dataset!K1322&lt;5,0.2,IF(Dataset!K1322&lt;10,0.45,IF(Dataset!K1322&lt;18,0.7,0.9)))</f>
        <v>0.7</v>
      </c>
      <c r="R1322" s="29">
        <f>IF(Dataset!K1322&lt;5,1,IF(Dataset!K1322&lt;10,2,IF(Dataset!K1322&lt;18,3,4)))</f>
        <v>3</v>
      </c>
      <c r="S1322" s="29">
        <f t="shared" si="165"/>
        <v>2.0999999999999996</v>
      </c>
      <c r="T1322" s="29">
        <f t="shared" si="166"/>
        <v>1.274</v>
      </c>
      <c r="U1322" s="29" t="str">
        <f t="shared" si="167"/>
        <v>Low</v>
      </c>
    </row>
    <row r="1323" spans="1:21" ht="15" customHeight="1" x14ac:dyDescent="0.25">
      <c r="A1323" s="29">
        <f>Dataset!A1323</f>
        <v>1319</v>
      </c>
      <c r="B1323" s="29">
        <f>IF(Dataset!B1323&lt;25,0.3,IF(Dataset!B1323&lt;75,0.5,IF(Dataset!B1323&lt;120,0.65,0.8)))</f>
        <v>0.65</v>
      </c>
      <c r="C1323" s="29">
        <f>IF(Dataset!B1323&lt;25,1,IF(Dataset!B1323&lt;75,2,IF(Dataset!B1323&lt;120,3,4)))</f>
        <v>3</v>
      </c>
      <c r="D1323" s="29">
        <f t="shared" si="160"/>
        <v>1.9500000000000002</v>
      </c>
      <c r="E1323" s="29">
        <f>IF(Dataset!C1323&lt;=1,0.3,IF(Dataset!C1323=2,0.4,IF(Dataset!C1323=3,0.5,IF(Dataset!C1323=4,0.65,0.8))))</f>
        <v>0.5</v>
      </c>
      <c r="F1323" s="29">
        <f>IF(Dataset!C1323&lt;=2,1,IF(Dataset!C1323=3,2,IF(Dataset!C1323=4,3,4)))</f>
        <v>2</v>
      </c>
      <c r="G1323" s="29">
        <f t="shared" si="161"/>
        <v>1</v>
      </c>
      <c r="H1323" s="29">
        <f>IF(Dataset!G1323&lt;=3,0.25,IF(Dataset!G1323&lt;=6,0.45,IF(Dataset!G1323&lt;=9,0.65,0.85)))</f>
        <v>0.45</v>
      </c>
      <c r="I1323" s="29">
        <f>IF(Dataset!G1323&lt;=3,1,IF(Dataset!G1323&lt;=6,2,IF(Dataset!G1323&lt;=9,3,4)))</f>
        <v>2</v>
      </c>
      <c r="J1323" s="29">
        <f t="shared" si="162"/>
        <v>0.9</v>
      </c>
      <c r="K1323" s="29">
        <f>IF(Dataset!H1323&lt;1,0.2,IF(Dataset!H1323&lt;1.3,0.45,IF(Dataset!H1323&lt;1.8,0.7,0.9)))</f>
        <v>0.2</v>
      </c>
      <c r="L1323" s="29">
        <f>IF(Dataset!H1323&lt;1,1,IF(Dataset!H1323&lt;1.3,2,IF(Dataset!H1323&lt;1.8,3,4)))</f>
        <v>1</v>
      </c>
      <c r="M1323" s="29">
        <f t="shared" si="163"/>
        <v>0.2</v>
      </c>
      <c r="N1323" s="29">
        <f>IF(Dataset!F1323=1,0.75,IF(Dataset!F1323=2,0.45,0.2))</f>
        <v>0.2</v>
      </c>
      <c r="O1323" s="29">
        <f>IF(Dataset!F1323=1,3,IF(Dataset!F1323=2,2,1))</f>
        <v>1</v>
      </c>
      <c r="P1323" s="29">
        <f t="shared" si="164"/>
        <v>0.2</v>
      </c>
      <c r="Q1323" s="29">
        <f>IF(Dataset!K1323&lt;5,0.2,IF(Dataset!K1323&lt;10,0.45,IF(Dataset!K1323&lt;18,0.7,0.9)))</f>
        <v>0.45</v>
      </c>
      <c r="R1323" s="29">
        <f>IF(Dataset!K1323&lt;5,1,IF(Dataset!K1323&lt;10,2,IF(Dataset!K1323&lt;18,3,4)))</f>
        <v>2</v>
      </c>
      <c r="S1323" s="29">
        <f t="shared" si="165"/>
        <v>0.9</v>
      </c>
      <c r="T1323" s="29">
        <f t="shared" si="166"/>
        <v>0.8650000000000001</v>
      </c>
      <c r="U1323" s="29" t="str">
        <f t="shared" si="167"/>
        <v>Low</v>
      </c>
    </row>
    <row r="1324" spans="1:21" ht="15" customHeight="1" x14ac:dyDescent="0.25">
      <c r="A1324" s="29">
        <f>Dataset!A1324</f>
        <v>1320</v>
      </c>
      <c r="B1324" s="29">
        <f>IF(Dataset!B1324&lt;25,0.3,IF(Dataset!B1324&lt;75,0.5,IF(Dataset!B1324&lt;120,0.65,0.8)))</f>
        <v>0.65</v>
      </c>
      <c r="C1324" s="29">
        <f>IF(Dataset!B1324&lt;25,1,IF(Dataset!B1324&lt;75,2,IF(Dataset!B1324&lt;120,3,4)))</f>
        <v>3</v>
      </c>
      <c r="D1324" s="29">
        <f t="shared" si="160"/>
        <v>1.9500000000000002</v>
      </c>
      <c r="E1324" s="29">
        <f>IF(Dataset!C1324&lt;=1,0.3,IF(Dataset!C1324=2,0.4,IF(Dataset!C1324=3,0.5,IF(Dataset!C1324=4,0.65,0.8))))</f>
        <v>0.65</v>
      </c>
      <c r="F1324" s="29">
        <f>IF(Dataset!C1324&lt;=2,1,IF(Dataset!C1324=3,2,IF(Dataset!C1324=4,3,4)))</f>
        <v>3</v>
      </c>
      <c r="G1324" s="29">
        <f t="shared" si="161"/>
        <v>1.9500000000000002</v>
      </c>
      <c r="H1324" s="29">
        <f>IF(Dataset!G1324&lt;=3,0.25,IF(Dataset!G1324&lt;=6,0.45,IF(Dataset!G1324&lt;=9,0.65,0.85)))</f>
        <v>0.65</v>
      </c>
      <c r="I1324" s="29">
        <f>IF(Dataset!G1324&lt;=3,1,IF(Dataset!G1324&lt;=6,2,IF(Dataset!G1324&lt;=9,3,4)))</f>
        <v>3</v>
      </c>
      <c r="J1324" s="29">
        <f t="shared" si="162"/>
        <v>1.9500000000000002</v>
      </c>
      <c r="K1324" s="29">
        <f>IF(Dataset!H1324&lt;1,0.2,IF(Dataset!H1324&lt;1.3,0.45,IF(Dataset!H1324&lt;1.8,0.7,0.9)))</f>
        <v>0.9</v>
      </c>
      <c r="L1324" s="29">
        <f>IF(Dataset!H1324&lt;1,1,IF(Dataset!H1324&lt;1.3,2,IF(Dataset!H1324&lt;1.8,3,4)))</f>
        <v>4</v>
      </c>
      <c r="M1324" s="29">
        <f t="shared" si="163"/>
        <v>3.6</v>
      </c>
      <c r="N1324" s="29">
        <f>IF(Dataset!F1324=1,0.75,IF(Dataset!F1324=2,0.45,0.2))</f>
        <v>0.75</v>
      </c>
      <c r="O1324" s="29">
        <f>IF(Dataset!F1324=1,3,IF(Dataset!F1324=2,2,1))</f>
        <v>3</v>
      </c>
      <c r="P1324" s="29">
        <f t="shared" si="164"/>
        <v>2.25</v>
      </c>
      <c r="Q1324" s="29">
        <f>IF(Dataset!K1324&lt;5,0.2,IF(Dataset!K1324&lt;10,0.45,IF(Dataset!K1324&lt;18,0.7,0.9)))</f>
        <v>0.7</v>
      </c>
      <c r="R1324" s="29">
        <f>IF(Dataset!K1324&lt;5,1,IF(Dataset!K1324&lt;10,2,IF(Dataset!K1324&lt;18,3,4)))</f>
        <v>3</v>
      </c>
      <c r="S1324" s="29">
        <f t="shared" si="165"/>
        <v>2.0999999999999996</v>
      </c>
      <c r="T1324" s="29">
        <f t="shared" si="166"/>
        <v>2.3970000000000002</v>
      </c>
      <c r="U1324" s="29" t="str">
        <f t="shared" si="167"/>
        <v>High</v>
      </c>
    </row>
    <row r="1325" spans="1:21" ht="15" customHeight="1" x14ac:dyDescent="0.25">
      <c r="A1325" s="29">
        <f>Dataset!A1325</f>
        <v>1321</v>
      </c>
      <c r="B1325" s="29">
        <f>IF(Dataset!B1325&lt;25,0.3,IF(Dataset!B1325&lt;75,0.5,IF(Dataset!B1325&lt;120,0.65,0.8)))</f>
        <v>0.65</v>
      </c>
      <c r="C1325" s="29">
        <f>IF(Dataset!B1325&lt;25,1,IF(Dataset!B1325&lt;75,2,IF(Dataset!B1325&lt;120,3,4)))</f>
        <v>3</v>
      </c>
      <c r="D1325" s="29">
        <f t="shared" si="160"/>
        <v>1.9500000000000002</v>
      </c>
      <c r="E1325" s="29">
        <f>IF(Dataset!C1325&lt;=1,0.3,IF(Dataset!C1325=2,0.4,IF(Dataset!C1325=3,0.5,IF(Dataset!C1325=4,0.65,0.8))))</f>
        <v>0.65</v>
      </c>
      <c r="F1325" s="29">
        <f>IF(Dataset!C1325&lt;=2,1,IF(Dataset!C1325=3,2,IF(Dataset!C1325=4,3,4)))</f>
        <v>3</v>
      </c>
      <c r="G1325" s="29">
        <f t="shared" si="161"/>
        <v>1.9500000000000002</v>
      </c>
      <c r="H1325" s="29">
        <f>IF(Dataset!G1325&lt;=3,0.25,IF(Dataset!G1325&lt;=6,0.45,IF(Dataset!G1325&lt;=9,0.65,0.85)))</f>
        <v>0.45</v>
      </c>
      <c r="I1325" s="29">
        <f>IF(Dataset!G1325&lt;=3,1,IF(Dataset!G1325&lt;=6,2,IF(Dataset!G1325&lt;=9,3,4)))</f>
        <v>2</v>
      </c>
      <c r="J1325" s="29">
        <f t="shared" si="162"/>
        <v>0.9</v>
      </c>
      <c r="K1325" s="29">
        <f>IF(Dataset!H1325&lt;1,0.2,IF(Dataset!H1325&lt;1.3,0.45,IF(Dataset!H1325&lt;1.8,0.7,0.9)))</f>
        <v>0.9</v>
      </c>
      <c r="L1325" s="29">
        <f>IF(Dataset!H1325&lt;1,1,IF(Dataset!H1325&lt;1.3,2,IF(Dataset!H1325&lt;1.8,3,4)))</f>
        <v>4</v>
      </c>
      <c r="M1325" s="29">
        <f t="shared" si="163"/>
        <v>3.6</v>
      </c>
      <c r="N1325" s="29">
        <f>IF(Dataset!F1325=1,0.75,IF(Dataset!F1325=2,0.45,0.2))</f>
        <v>0.45</v>
      </c>
      <c r="O1325" s="29">
        <f>IF(Dataset!F1325=1,3,IF(Dataset!F1325=2,2,1))</f>
        <v>2</v>
      </c>
      <c r="P1325" s="29">
        <f t="shared" si="164"/>
        <v>0.9</v>
      </c>
      <c r="Q1325" s="29">
        <f>IF(Dataset!K1325&lt;5,0.2,IF(Dataset!K1325&lt;10,0.45,IF(Dataset!K1325&lt;18,0.7,0.9)))</f>
        <v>0.7</v>
      </c>
      <c r="R1325" s="29">
        <f>IF(Dataset!K1325&lt;5,1,IF(Dataset!K1325&lt;10,2,IF(Dataset!K1325&lt;18,3,4)))</f>
        <v>3</v>
      </c>
      <c r="S1325" s="29">
        <f t="shared" si="165"/>
        <v>2.0999999999999996</v>
      </c>
      <c r="T1325" s="29">
        <f t="shared" si="166"/>
        <v>2.052</v>
      </c>
      <c r="U1325" s="29" t="str">
        <f t="shared" si="167"/>
        <v>High</v>
      </c>
    </row>
    <row r="1326" spans="1:21" ht="15" customHeight="1" x14ac:dyDescent="0.25">
      <c r="A1326" s="29">
        <f>Dataset!A1326</f>
        <v>1322</v>
      </c>
      <c r="B1326" s="29">
        <f>IF(Dataset!B1326&lt;25,0.3,IF(Dataset!B1326&lt;75,0.5,IF(Dataset!B1326&lt;120,0.65,0.8)))</f>
        <v>0.5</v>
      </c>
      <c r="C1326" s="29">
        <f>IF(Dataset!B1326&lt;25,1,IF(Dataset!B1326&lt;75,2,IF(Dataset!B1326&lt;120,3,4)))</f>
        <v>2</v>
      </c>
      <c r="D1326" s="29">
        <f t="shared" si="160"/>
        <v>1</v>
      </c>
      <c r="E1326" s="29">
        <f>IF(Dataset!C1326&lt;=1,0.3,IF(Dataset!C1326=2,0.4,IF(Dataset!C1326=3,0.5,IF(Dataset!C1326=4,0.65,0.8))))</f>
        <v>0.65</v>
      </c>
      <c r="F1326" s="29">
        <f>IF(Dataset!C1326&lt;=2,1,IF(Dataset!C1326=3,2,IF(Dataset!C1326=4,3,4)))</f>
        <v>3</v>
      </c>
      <c r="G1326" s="29">
        <f t="shared" si="161"/>
        <v>1.9500000000000002</v>
      </c>
      <c r="H1326" s="29">
        <f>IF(Dataset!G1326&lt;=3,0.25,IF(Dataset!G1326&lt;=6,0.45,IF(Dataset!G1326&lt;=9,0.65,0.85)))</f>
        <v>0.65</v>
      </c>
      <c r="I1326" s="29">
        <f>IF(Dataset!G1326&lt;=3,1,IF(Dataset!G1326&lt;=6,2,IF(Dataset!G1326&lt;=9,3,4)))</f>
        <v>3</v>
      </c>
      <c r="J1326" s="29">
        <f t="shared" si="162"/>
        <v>1.9500000000000002</v>
      </c>
      <c r="K1326" s="29">
        <f>IF(Dataset!H1326&lt;1,0.2,IF(Dataset!H1326&lt;1.3,0.45,IF(Dataset!H1326&lt;1.8,0.7,0.9)))</f>
        <v>0.9</v>
      </c>
      <c r="L1326" s="29">
        <f>IF(Dataset!H1326&lt;1,1,IF(Dataset!H1326&lt;1.3,2,IF(Dataset!H1326&lt;1.8,3,4)))</f>
        <v>4</v>
      </c>
      <c r="M1326" s="29">
        <f t="shared" si="163"/>
        <v>3.6</v>
      </c>
      <c r="N1326" s="29">
        <f>IF(Dataset!F1326=1,0.75,IF(Dataset!F1326=2,0.45,0.2))</f>
        <v>0.2</v>
      </c>
      <c r="O1326" s="29">
        <f>IF(Dataset!F1326=1,3,IF(Dataset!F1326=2,2,1))</f>
        <v>1</v>
      </c>
      <c r="P1326" s="29">
        <f t="shared" si="164"/>
        <v>0.2</v>
      </c>
      <c r="Q1326" s="29">
        <f>IF(Dataset!K1326&lt;5,0.2,IF(Dataset!K1326&lt;10,0.45,IF(Dataset!K1326&lt;18,0.7,0.9)))</f>
        <v>0.7</v>
      </c>
      <c r="R1326" s="29">
        <f>IF(Dataset!K1326&lt;5,1,IF(Dataset!K1326&lt;10,2,IF(Dataset!K1326&lt;18,3,4)))</f>
        <v>3</v>
      </c>
      <c r="S1326" s="29">
        <f t="shared" si="165"/>
        <v>2.0999999999999996</v>
      </c>
      <c r="T1326" s="29">
        <f t="shared" si="166"/>
        <v>2.0210000000000004</v>
      </c>
      <c r="U1326" s="29" t="str">
        <f t="shared" si="167"/>
        <v>High</v>
      </c>
    </row>
    <row r="1327" spans="1:21" ht="15" customHeight="1" x14ac:dyDescent="0.25">
      <c r="A1327" s="29">
        <f>Dataset!A1327</f>
        <v>1323</v>
      </c>
      <c r="B1327" s="29">
        <f>IF(Dataset!B1327&lt;25,0.3,IF(Dataset!B1327&lt;75,0.5,IF(Dataset!B1327&lt;120,0.65,0.8)))</f>
        <v>0.5</v>
      </c>
      <c r="C1327" s="29">
        <f>IF(Dataset!B1327&lt;25,1,IF(Dataset!B1327&lt;75,2,IF(Dataset!B1327&lt;120,3,4)))</f>
        <v>2</v>
      </c>
      <c r="D1327" s="29">
        <f t="shared" si="160"/>
        <v>1</v>
      </c>
      <c r="E1327" s="29">
        <f>IF(Dataset!C1327&lt;=1,0.3,IF(Dataset!C1327=2,0.4,IF(Dataset!C1327=3,0.5,IF(Dataset!C1327=4,0.65,0.8))))</f>
        <v>0.5</v>
      </c>
      <c r="F1327" s="29">
        <f>IF(Dataset!C1327&lt;=2,1,IF(Dataset!C1327=3,2,IF(Dataset!C1327=4,3,4)))</f>
        <v>2</v>
      </c>
      <c r="G1327" s="29">
        <f t="shared" si="161"/>
        <v>1</v>
      </c>
      <c r="H1327" s="29">
        <f>IF(Dataset!G1327&lt;=3,0.25,IF(Dataset!G1327&lt;=6,0.45,IF(Dataset!G1327&lt;=9,0.65,0.85)))</f>
        <v>0.45</v>
      </c>
      <c r="I1327" s="29">
        <f>IF(Dataset!G1327&lt;=3,1,IF(Dataset!G1327&lt;=6,2,IF(Dataset!G1327&lt;=9,3,4)))</f>
        <v>2</v>
      </c>
      <c r="J1327" s="29">
        <f t="shared" si="162"/>
        <v>0.9</v>
      </c>
      <c r="K1327" s="29">
        <f>IF(Dataset!H1327&lt;1,0.2,IF(Dataset!H1327&lt;1.3,0.45,IF(Dataset!H1327&lt;1.8,0.7,0.9)))</f>
        <v>0.9</v>
      </c>
      <c r="L1327" s="29">
        <f>IF(Dataset!H1327&lt;1,1,IF(Dataset!H1327&lt;1.3,2,IF(Dataset!H1327&lt;1.8,3,4)))</f>
        <v>4</v>
      </c>
      <c r="M1327" s="29">
        <f t="shared" si="163"/>
        <v>3.6</v>
      </c>
      <c r="N1327" s="29">
        <f>IF(Dataset!F1327=1,0.75,IF(Dataset!F1327=2,0.45,0.2))</f>
        <v>0.2</v>
      </c>
      <c r="O1327" s="29">
        <f>IF(Dataset!F1327=1,3,IF(Dataset!F1327=2,2,1))</f>
        <v>1</v>
      </c>
      <c r="P1327" s="29">
        <f t="shared" si="164"/>
        <v>0.2</v>
      </c>
      <c r="Q1327" s="29">
        <f>IF(Dataset!K1327&lt;5,0.2,IF(Dataset!K1327&lt;10,0.45,IF(Dataset!K1327&lt;18,0.7,0.9)))</f>
        <v>0.45</v>
      </c>
      <c r="R1327" s="29">
        <f>IF(Dataset!K1327&lt;5,1,IF(Dataset!K1327&lt;10,2,IF(Dataset!K1327&lt;18,3,4)))</f>
        <v>2</v>
      </c>
      <c r="S1327" s="29">
        <f t="shared" si="165"/>
        <v>0.9</v>
      </c>
      <c r="T1327" s="29">
        <f t="shared" si="166"/>
        <v>1.51</v>
      </c>
      <c r="U1327" s="29" t="str">
        <f t="shared" si="167"/>
        <v>Medium</v>
      </c>
    </row>
    <row r="1328" spans="1:21" ht="15" customHeight="1" x14ac:dyDescent="0.25">
      <c r="A1328" s="29">
        <f>Dataset!A1328</f>
        <v>1324</v>
      </c>
      <c r="B1328" s="29">
        <f>IF(Dataset!B1328&lt;25,0.3,IF(Dataset!B1328&lt;75,0.5,IF(Dataset!B1328&lt;120,0.65,0.8)))</f>
        <v>0.5</v>
      </c>
      <c r="C1328" s="29">
        <f>IF(Dataset!B1328&lt;25,1,IF(Dataset!B1328&lt;75,2,IF(Dataset!B1328&lt;120,3,4)))</f>
        <v>2</v>
      </c>
      <c r="D1328" s="29">
        <f t="shared" si="160"/>
        <v>1</v>
      </c>
      <c r="E1328" s="29">
        <f>IF(Dataset!C1328&lt;=1,0.3,IF(Dataset!C1328=2,0.4,IF(Dataset!C1328=3,0.5,IF(Dataset!C1328=4,0.65,0.8))))</f>
        <v>0.5</v>
      </c>
      <c r="F1328" s="29">
        <f>IF(Dataset!C1328&lt;=2,1,IF(Dataset!C1328=3,2,IF(Dataset!C1328=4,3,4)))</f>
        <v>2</v>
      </c>
      <c r="G1328" s="29">
        <f t="shared" si="161"/>
        <v>1</v>
      </c>
      <c r="H1328" s="29">
        <f>IF(Dataset!G1328&lt;=3,0.25,IF(Dataset!G1328&lt;=6,0.45,IF(Dataset!G1328&lt;=9,0.65,0.85)))</f>
        <v>0.45</v>
      </c>
      <c r="I1328" s="29">
        <f>IF(Dataset!G1328&lt;=3,1,IF(Dataset!G1328&lt;=6,2,IF(Dataset!G1328&lt;=9,3,4)))</f>
        <v>2</v>
      </c>
      <c r="J1328" s="29">
        <f t="shared" si="162"/>
        <v>0.9</v>
      </c>
      <c r="K1328" s="29">
        <f>IF(Dataset!H1328&lt;1,0.2,IF(Dataset!H1328&lt;1.3,0.45,IF(Dataset!H1328&lt;1.8,0.7,0.9)))</f>
        <v>0.7</v>
      </c>
      <c r="L1328" s="29">
        <f>IF(Dataset!H1328&lt;1,1,IF(Dataset!H1328&lt;1.3,2,IF(Dataset!H1328&lt;1.8,3,4)))</f>
        <v>3</v>
      </c>
      <c r="M1328" s="29">
        <f t="shared" si="163"/>
        <v>2.0999999999999996</v>
      </c>
      <c r="N1328" s="29">
        <f>IF(Dataset!F1328=1,0.75,IF(Dataset!F1328=2,0.45,0.2))</f>
        <v>0.45</v>
      </c>
      <c r="O1328" s="29">
        <f>IF(Dataset!F1328=1,3,IF(Dataset!F1328=2,2,1))</f>
        <v>2</v>
      </c>
      <c r="P1328" s="29">
        <f t="shared" si="164"/>
        <v>0.9</v>
      </c>
      <c r="Q1328" s="29">
        <f>IF(Dataset!K1328&lt;5,0.2,IF(Dataset!K1328&lt;10,0.45,IF(Dataset!K1328&lt;18,0.7,0.9)))</f>
        <v>0.45</v>
      </c>
      <c r="R1328" s="29">
        <f>IF(Dataset!K1328&lt;5,1,IF(Dataset!K1328&lt;10,2,IF(Dataset!K1328&lt;18,3,4)))</f>
        <v>2</v>
      </c>
      <c r="S1328" s="29">
        <f t="shared" si="165"/>
        <v>0.9</v>
      </c>
      <c r="T1328" s="29">
        <f t="shared" si="166"/>
        <v>1.2200000000000002</v>
      </c>
      <c r="U1328" s="29" t="str">
        <f t="shared" si="167"/>
        <v>Low</v>
      </c>
    </row>
    <row r="1329" spans="1:21" ht="15" customHeight="1" x14ac:dyDescent="0.25">
      <c r="A1329" s="29">
        <f>Dataset!A1329</f>
        <v>1325</v>
      </c>
      <c r="B1329" s="29">
        <f>IF(Dataset!B1329&lt;25,0.3,IF(Dataset!B1329&lt;75,0.5,IF(Dataset!B1329&lt;120,0.65,0.8)))</f>
        <v>0.5</v>
      </c>
      <c r="C1329" s="29">
        <f>IF(Dataset!B1329&lt;25,1,IF(Dataset!B1329&lt;75,2,IF(Dataset!B1329&lt;120,3,4)))</f>
        <v>2</v>
      </c>
      <c r="D1329" s="29">
        <f t="shared" si="160"/>
        <v>1</v>
      </c>
      <c r="E1329" s="29">
        <f>IF(Dataset!C1329&lt;=1,0.3,IF(Dataset!C1329=2,0.4,IF(Dataset!C1329=3,0.5,IF(Dataset!C1329=4,0.65,0.8))))</f>
        <v>0.5</v>
      </c>
      <c r="F1329" s="29">
        <f>IF(Dataset!C1329&lt;=2,1,IF(Dataset!C1329=3,2,IF(Dataset!C1329=4,3,4)))</f>
        <v>2</v>
      </c>
      <c r="G1329" s="29">
        <f t="shared" si="161"/>
        <v>1</v>
      </c>
      <c r="H1329" s="29">
        <f>IF(Dataset!G1329&lt;=3,0.25,IF(Dataset!G1329&lt;=6,0.45,IF(Dataset!G1329&lt;=9,0.65,0.85)))</f>
        <v>0.65</v>
      </c>
      <c r="I1329" s="29">
        <f>IF(Dataset!G1329&lt;=3,1,IF(Dataset!G1329&lt;=6,2,IF(Dataset!G1329&lt;=9,3,4)))</f>
        <v>3</v>
      </c>
      <c r="J1329" s="29">
        <f t="shared" si="162"/>
        <v>1.9500000000000002</v>
      </c>
      <c r="K1329" s="29">
        <f>IF(Dataset!H1329&lt;1,0.2,IF(Dataset!H1329&lt;1.3,0.45,IF(Dataset!H1329&lt;1.8,0.7,0.9)))</f>
        <v>0.7</v>
      </c>
      <c r="L1329" s="29">
        <f>IF(Dataset!H1329&lt;1,1,IF(Dataset!H1329&lt;1.3,2,IF(Dataset!H1329&lt;1.8,3,4)))</f>
        <v>3</v>
      </c>
      <c r="M1329" s="29">
        <f t="shared" si="163"/>
        <v>2.0999999999999996</v>
      </c>
      <c r="N1329" s="29">
        <f>IF(Dataset!F1329=1,0.75,IF(Dataset!F1329=2,0.45,0.2))</f>
        <v>0.45</v>
      </c>
      <c r="O1329" s="29">
        <f>IF(Dataset!F1329=1,3,IF(Dataset!F1329=2,2,1))</f>
        <v>2</v>
      </c>
      <c r="P1329" s="29">
        <f t="shared" si="164"/>
        <v>0.9</v>
      </c>
      <c r="Q1329" s="29">
        <f>IF(Dataset!K1329&lt;5,0.2,IF(Dataset!K1329&lt;10,0.45,IF(Dataset!K1329&lt;18,0.7,0.9)))</f>
        <v>0.45</v>
      </c>
      <c r="R1329" s="29">
        <f>IF(Dataset!K1329&lt;5,1,IF(Dataset!K1329&lt;10,2,IF(Dataset!K1329&lt;18,3,4)))</f>
        <v>2</v>
      </c>
      <c r="S1329" s="29">
        <f t="shared" si="165"/>
        <v>0.9</v>
      </c>
      <c r="T1329" s="29">
        <f t="shared" si="166"/>
        <v>1.4300000000000002</v>
      </c>
      <c r="U1329" s="29" t="str">
        <f t="shared" si="167"/>
        <v>Medium</v>
      </c>
    </row>
    <row r="1330" spans="1:21" ht="15" customHeight="1" x14ac:dyDescent="0.25">
      <c r="A1330" s="29">
        <f>Dataset!A1330</f>
        <v>1326</v>
      </c>
      <c r="B1330" s="29">
        <f>IF(Dataset!B1330&lt;25,0.3,IF(Dataset!B1330&lt;75,0.5,IF(Dataset!B1330&lt;120,0.65,0.8)))</f>
        <v>0.3</v>
      </c>
      <c r="C1330" s="29">
        <f>IF(Dataset!B1330&lt;25,1,IF(Dataset!B1330&lt;75,2,IF(Dataset!B1330&lt;120,3,4)))</f>
        <v>1</v>
      </c>
      <c r="D1330" s="29">
        <f t="shared" si="160"/>
        <v>0.3</v>
      </c>
      <c r="E1330" s="29">
        <f>IF(Dataset!C1330&lt;=1,0.3,IF(Dataset!C1330=2,0.4,IF(Dataset!C1330=3,0.5,IF(Dataset!C1330=4,0.65,0.8))))</f>
        <v>0.3</v>
      </c>
      <c r="F1330" s="29">
        <f>IF(Dataset!C1330&lt;=2,1,IF(Dataset!C1330=3,2,IF(Dataset!C1330=4,3,4)))</f>
        <v>1</v>
      </c>
      <c r="G1330" s="29">
        <f t="shared" si="161"/>
        <v>0.3</v>
      </c>
      <c r="H1330" s="29">
        <f>IF(Dataset!G1330&lt;=3,0.25,IF(Dataset!G1330&lt;=6,0.45,IF(Dataset!G1330&lt;=9,0.65,0.85)))</f>
        <v>0.65</v>
      </c>
      <c r="I1330" s="29">
        <f>IF(Dataset!G1330&lt;=3,1,IF(Dataset!G1330&lt;=6,2,IF(Dataset!G1330&lt;=9,3,4)))</f>
        <v>3</v>
      </c>
      <c r="J1330" s="29">
        <f t="shared" si="162"/>
        <v>1.9500000000000002</v>
      </c>
      <c r="K1330" s="29">
        <f>IF(Dataset!H1330&lt;1,0.2,IF(Dataset!H1330&lt;1.3,0.45,IF(Dataset!H1330&lt;1.8,0.7,0.9)))</f>
        <v>0.2</v>
      </c>
      <c r="L1330" s="29">
        <f>IF(Dataset!H1330&lt;1,1,IF(Dataset!H1330&lt;1.3,2,IF(Dataset!H1330&lt;1.8,3,4)))</f>
        <v>1</v>
      </c>
      <c r="M1330" s="29">
        <f t="shared" si="163"/>
        <v>0.2</v>
      </c>
      <c r="N1330" s="29">
        <f>IF(Dataset!F1330=1,0.75,IF(Dataset!F1330=2,0.45,0.2))</f>
        <v>0.45</v>
      </c>
      <c r="O1330" s="29">
        <f>IF(Dataset!F1330=1,3,IF(Dataset!F1330=2,2,1))</f>
        <v>2</v>
      </c>
      <c r="P1330" s="29">
        <f t="shared" si="164"/>
        <v>0.9</v>
      </c>
      <c r="Q1330" s="29">
        <f>IF(Dataset!K1330&lt;5,0.2,IF(Dataset!K1330&lt;10,0.45,IF(Dataset!K1330&lt;18,0.7,0.9)))</f>
        <v>0.2</v>
      </c>
      <c r="R1330" s="29">
        <f>IF(Dataset!K1330&lt;5,1,IF(Dataset!K1330&lt;10,2,IF(Dataset!K1330&lt;18,3,4)))</f>
        <v>1</v>
      </c>
      <c r="S1330" s="29">
        <f t="shared" si="165"/>
        <v>0.2</v>
      </c>
      <c r="T1330" s="29">
        <f t="shared" si="166"/>
        <v>0.65200000000000014</v>
      </c>
      <c r="U1330" s="29" t="str">
        <f t="shared" si="167"/>
        <v>Low</v>
      </c>
    </row>
    <row r="1331" spans="1:21" ht="15" customHeight="1" x14ac:dyDescent="0.25">
      <c r="A1331" s="29">
        <f>Dataset!A1331</f>
        <v>1327</v>
      </c>
      <c r="B1331" s="29">
        <f>IF(Dataset!B1331&lt;25,0.3,IF(Dataset!B1331&lt;75,0.5,IF(Dataset!B1331&lt;120,0.65,0.8)))</f>
        <v>0.3</v>
      </c>
      <c r="C1331" s="29">
        <f>IF(Dataset!B1331&lt;25,1,IF(Dataset!B1331&lt;75,2,IF(Dataset!B1331&lt;120,3,4)))</f>
        <v>1</v>
      </c>
      <c r="D1331" s="29">
        <f t="shared" si="160"/>
        <v>0.3</v>
      </c>
      <c r="E1331" s="29">
        <f>IF(Dataset!C1331&lt;=1,0.3,IF(Dataset!C1331=2,0.4,IF(Dataset!C1331=3,0.5,IF(Dataset!C1331=4,0.65,0.8))))</f>
        <v>0.5</v>
      </c>
      <c r="F1331" s="29">
        <f>IF(Dataset!C1331&lt;=2,1,IF(Dataset!C1331=3,2,IF(Dataset!C1331=4,3,4)))</f>
        <v>2</v>
      </c>
      <c r="G1331" s="29">
        <f t="shared" si="161"/>
        <v>1</v>
      </c>
      <c r="H1331" s="29">
        <f>IF(Dataset!G1331&lt;=3,0.25,IF(Dataset!G1331&lt;=6,0.45,IF(Dataset!G1331&lt;=9,0.65,0.85)))</f>
        <v>0.25</v>
      </c>
      <c r="I1331" s="29">
        <f>IF(Dataset!G1331&lt;=3,1,IF(Dataset!G1331&lt;=6,2,IF(Dataset!G1331&lt;=9,3,4)))</f>
        <v>1</v>
      </c>
      <c r="J1331" s="29">
        <f t="shared" si="162"/>
        <v>0.25</v>
      </c>
      <c r="K1331" s="29">
        <f>IF(Dataset!H1331&lt;1,0.2,IF(Dataset!H1331&lt;1.3,0.45,IF(Dataset!H1331&lt;1.8,0.7,0.9)))</f>
        <v>0.9</v>
      </c>
      <c r="L1331" s="29">
        <f>IF(Dataset!H1331&lt;1,1,IF(Dataset!H1331&lt;1.3,2,IF(Dataset!H1331&lt;1.8,3,4)))</f>
        <v>4</v>
      </c>
      <c r="M1331" s="29">
        <f t="shared" si="163"/>
        <v>3.6</v>
      </c>
      <c r="N1331" s="29">
        <f>IF(Dataset!F1331=1,0.75,IF(Dataset!F1331=2,0.45,0.2))</f>
        <v>0.75</v>
      </c>
      <c r="O1331" s="29">
        <f>IF(Dataset!F1331=1,3,IF(Dataset!F1331=2,2,1))</f>
        <v>3</v>
      </c>
      <c r="P1331" s="29">
        <f t="shared" si="164"/>
        <v>2.25</v>
      </c>
      <c r="Q1331" s="29">
        <f>IF(Dataset!K1331&lt;5,0.2,IF(Dataset!K1331&lt;10,0.45,IF(Dataset!K1331&lt;18,0.7,0.9)))</f>
        <v>0.45</v>
      </c>
      <c r="R1331" s="29">
        <f>IF(Dataset!K1331&lt;5,1,IF(Dataset!K1331&lt;10,2,IF(Dataset!K1331&lt;18,3,4)))</f>
        <v>2</v>
      </c>
      <c r="S1331" s="29">
        <f t="shared" si="165"/>
        <v>0.9</v>
      </c>
      <c r="T1331" s="29">
        <f t="shared" si="166"/>
        <v>1.4590000000000003</v>
      </c>
      <c r="U1331" s="29" t="str">
        <f t="shared" si="167"/>
        <v>Medium</v>
      </c>
    </row>
    <row r="1332" spans="1:21" ht="15" customHeight="1" x14ac:dyDescent="0.25">
      <c r="A1332" s="29">
        <f>Dataset!A1332</f>
        <v>1328</v>
      </c>
      <c r="B1332" s="29">
        <f>IF(Dataset!B1332&lt;25,0.3,IF(Dataset!B1332&lt;75,0.5,IF(Dataset!B1332&lt;120,0.65,0.8)))</f>
        <v>0.5</v>
      </c>
      <c r="C1332" s="29">
        <f>IF(Dataset!B1332&lt;25,1,IF(Dataset!B1332&lt;75,2,IF(Dataset!B1332&lt;120,3,4)))</f>
        <v>2</v>
      </c>
      <c r="D1332" s="29">
        <f t="shared" si="160"/>
        <v>1</v>
      </c>
      <c r="E1332" s="29">
        <f>IF(Dataset!C1332&lt;=1,0.3,IF(Dataset!C1332=2,0.4,IF(Dataset!C1332=3,0.5,IF(Dataset!C1332=4,0.65,0.8))))</f>
        <v>0.8</v>
      </c>
      <c r="F1332" s="29">
        <f>IF(Dataset!C1332&lt;=2,1,IF(Dataset!C1332=3,2,IF(Dataset!C1332=4,3,4)))</f>
        <v>4</v>
      </c>
      <c r="G1332" s="29">
        <f t="shared" si="161"/>
        <v>3.2</v>
      </c>
      <c r="H1332" s="29">
        <f>IF(Dataset!G1332&lt;=3,0.25,IF(Dataset!G1332&lt;=6,0.45,IF(Dataset!G1332&lt;=9,0.65,0.85)))</f>
        <v>0.25</v>
      </c>
      <c r="I1332" s="29">
        <f>IF(Dataset!G1332&lt;=3,1,IF(Dataset!G1332&lt;=6,2,IF(Dataset!G1332&lt;=9,3,4)))</f>
        <v>1</v>
      </c>
      <c r="J1332" s="29">
        <f t="shared" si="162"/>
        <v>0.25</v>
      </c>
      <c r="K1332" s="29">
        <f>IF(Dataset!H1332&lt;1,0.2,IF(Dataset!H1332&lt;1.3,0.45,IF(Dataset!H1332&lt;1.8,0.7,0.9)))</f>
        <v>0.9</v>
      </c>
      <c r="L1332" s="29">
        <f>IF(Dataset!H1332&lt;1,1,IF(Dataset!H1332&lt;1.3,2,IF(Dataset!H1332&lt;1.8,3,4)))</f>
        <v>4</v>
      </c>
      <c r="M1332" s="29">
        <f t="shared" si="163"/>
        <v>3.6</v>
      </c>
      <c r="N1332" s="29">
        <f>IF(Dataset!F1332=1,0.75,IF(Dataset!F1332=2,0.45,0.2))</f>
        <v>0.2</v>
      </c>
      <c r="O1332" s="29">
        <f>IF(Dataset!F1332=1,3,IF(Dataset!F1332=2,2,1))</f>
        <v>1</v>
      </c>
      <c r="P1332" s="29">
        <f t="shared" si="164"/>
        <v>0.2</v>
      </c>
      <c r="Q1332" s="29">
        <f>IF(Dataset!K1332&lt;5,0.2,IF(Dataset!K1332&lt;10,0.45,IF(Dataset!K1332&lt;18,0.7,0.9)))</f>
        <v>0.9</v>
      </c>
      <c r="R1332" s="29">
        <f>IF(Dataset!K1332&lt;5,1,IF(Dataset!K1332&lt;10,2,IF(Dataset!K1332&lt;18,3,4)))</f>
        <v>4</v>
      </c>
      <c r="S1332" s="29">
        <f t="shared" si="165"/>
        <v>3.6</v>
      </c>
      <c r="T1332" s="29">
        <f t="shared" si="166"/>
        <v>2.0660000000000003</v>
      </c>
      <c r="U1332" s="29" t="str">
        <f t="shared" si="167"/>
        <v>High</v>
      </c>
    </row>
    <row r="1333" spans="1:21" ht="15" customHeight="1" x14ac:dyDescent="0.25">
      <c r="A1333" s="29">
        <f>Dataset!A1333</f>
        <v>1329</v>
      </c>
      <c r="B1333" s="29">
        <f>IF(Dataset!B1333&lt;25,0.3,IF(Dataset!B1333&lt;75,0.5,IF(Dataset!B1333&lt;120,0.65,0.8)))</f>
        <v>0.8</v>
      </c>
      <c r="C1333" s="29">
        <f>IF(Dataset!B1333&lt;25,1,IF(Dataset!B1333&lt;75,2,IF(Dataset!B1333&lt;120,3,4)))</f>
        <v>4</v>
      </c>
      <c r="D1333" s="29">
        <f t="shared" si="160"/>
        <v>3.2</v>
      </c>
      <c r="E1333" s="29">
        <f>IF(Dataset!C1333&lt;=1,0.3,IF(Dataset!C1333=2,0.4,IF(Dataset!C1333=3,0.5,IF(Dataset!C1333=4,0.65,0.8))))</f>
        <v>0.8</v>
      </c>
      <c r="F1333" s="29">
        <f>IF(Dataset!C1333&lt;=2,1,IF(Dataset!C1333=3,2,IF(Dataset!C1333=4,3,4)))</f>
        <v>4</v>
      </c>
      <c r="G1333" s="29">
        <f t="shared" si="161"/>
        <v>3.2</v>
      </c>
      <c r="H1333" s="29">
        <f>IF(Dataset!G1333&lt;=3,0.25,IF(Dataset!G1333&lt;=6,0.45,IF(Dataset!G1333&lt;=9,0.65,0.85)))</f>
        <v>0.85</v>
      </c>
      <c r="I1333" s="29">
        <f>IF(Dataset!G1333&lt;=3,1,IF(Dataset!G1333&lt;=6,2,IF(Dataset!G1333&lt;=9,3,4)))</f>
        <v>4</v>
      </c>
      <c r="J1333" s="29">
        <f t="shared" si="162"/>
        <v>3.4</v>
      </c>
      <c r="K1333" s="29">
        <f>IF(Dataset!H1333&lt;1,0.2,IF(Dataset!H1333&lt;1.3,0.45,IF(Dataset!H1333&lt;1.8,0.7,0.9)))</f>
        <v>0.9</v>
      </c>
      <c r="L1333" s="29">
        <f>IF(Dataset!H1333&lt;1,1,IF(Dataset!H1333&lt;1.3,2,IF(Dataset!H1333&lt;1.8,3,4)))</f>
        <v>4</v>
      </c>
      <c r="M1333" s="29">
        <f t="shared" si="163"/>
        <v>3.6</v>
      </c>
      <c r="N1333" s="29">
        <f>IF(Dataset!F1333=1,0.75,IF(Dataset!F1333=2,0.45,0.2))</f>
        <v>0.2</v>
      </c>
      <c r="O1333" s="29">
        <f>IF(Dataset!F1333=1,3,IF(Dataset!F1333=2,2,1))</f>
        <v>1</v>
      </c>
      <c r="P1333" s="29">
        <f t="shared" si="164"/>
        <v>0.2</v>
      </c>
      <c r="Q1333" s="29">
        <f>IF(Dataset!K1333&lt;5,0.2,IF(Dataset!K1333&lt;10,0.45,IF(Dataset!K1333&lt;18,0.7,0.9)))</f>
        <v>0.9</v>
      </c>
      <c r="R1333" s="29">
        <f>IF(Dataset!K1333&lt;5,1,IF(Dataset!K1333&lt;10,2,IF(Dataset!K1333&lt;18,3,4)))</f>
        <v>4</v>
      </c>
      <c r="S1333" s="29">
        <f t="shared" si="165"/>
        <v>3.6</v>
      </c>
      <c r="T1333" s="29">
        <f t="shared" si="166"/>
        <v>3.0920000000000001</v>
      </c>
      <c r="U1333" s="29" t="str">
        <f t="shared" si="167"/>
        <v>High</v>
      </c>
    </row>
    <row r="1334" spans="1:21" ht="15" customHeight="1" x14ac:dyDescent="0.25">
      <c r="A1334" s="29">
        <f>Dataset!A1334</f>
        <v>1330</v>
      </c>
      <c r="B1334" s="29">
        <f>IF(Dataset!B1334&lt;25,0.3,IF(Dataset!B1334&lt;75,0.5,IF(Dataset!B1334&lt;120,0.65,0.8)))</f>
        <v>0.5</v>
      </c>
      <c r="C1334" s="29">
        <f>IF(Dataset!B1334&lt;25,1,IF(Dataset!B1334&lt;75,2,IF(Dataset!B1334&lt;120,3,4)))</f>
        <v>2</v>
      </c>
      <c r="D1334" s="29">
        <f t="shared" si="160"/>
        <v>1</v>
      </c>
      <c r="E1334" s="29">
        <f>IF(Dataset!C1334&lt;=1,0.3,IF(Dataset!C1334=2,0.4,IF(Dataset!C1334=3,0.5,IF(Dataset!C1334=4,0.65,0.8))))</f>
        <v>0.4</v>
      </c>
      <c r="F1334" s="29">
        <f>IF(Dataset!C1334&lt;=2,1,IF(Dataset!C1334=3,2,IF(Dataset!C1334=4,3,4)))</f>
        <v>1</v>
      </c>
      <c r="G1334" s="29">
        <f t="shared" si="161"/>
        <v>0.4</v>
      </c>
      <c r="H1334" s="29">
        <f>IF(Dataset!G1334&lt;=3,0.25,IF(Dataset!G1334&lt;=6,0.45,IF(Dataset!G1334&lt;=9,0.65,0.85)))</f>
        <v>0.65</v>
      </c>
      <c r="I1334" s="29">
        <f>IF(Dataset!G1334&lt;=3,1,IF(Dataset!G1334&lt;=6,2,IF(Dataset!G1334&lt;=9,3,4)))</f>
        <v>3</v>
      </c>
      <c r="J1334" s="29">
        <f t="shared" si="162"/>
        <v>1.9500000000000002</v>
      </c>
      <c r="K1334" s="29">
        <f>IF(Dataset!H1334&lt;1,0.2,IF(Dataset!H1334&lt;1.3,0.45,IF(Dataset!H1334&lt;1.8,0.7,0.9)))</f>
        <v>0.9</v>
      </c>
      <c r="L1334" s="29">
        <f>IF(Dataset!H1334&lt;1,1,IF(Dataset!H1334&lt;1.3,2,IF(Dataset!H1334&lt;1.8,3,4)))</f>
        <v>4</v>
      </c>
      <c r="M1334" s="29">
        <f t="shared" si="163"/>
        <v>3.6</v>
      </c>
      <c r="N1334" s="29">
        <f>IF(Dataset!F1334=1,0.75,IF(Dataset!F1334=2,0.45,0.2))</f>
        <v>0.45</v>
      </c>
      <c r="O1334" s="29">
        <f>IF(Dataset!F1334=1,3,IF(Dataset!F1334=2,2,1))</f>
        <v>2</v>
      </c>
      <c r="P1334" s="29">
        <f t="shared" si="164"/>
        <v>0.9</v>
      </c>
      <c r="Q1334" s="29">
        <f>IF(Dataset!K1334&lt;5,0.2,IF(Dataset!K1334&lt;10,0.45,IF(Dataset!K1334&lt;18,0.7,0.9)))</f>
        <v>0.2</v>
      </c>
      <c r="R1334" s="29">
        <f>IF(Dataset!K1334&lt;5,1,IF(Dataset!K1334&lt;10,2,IF(Dataset!K1334&lt;18,3,4)))</f>
        <v>1</v>
      </c>
      <c r="S1334" s="29">
        <f t="shared" si="165"/>
        <v>0.2</v>
      </c>
      <c r="T1334" s="29">
        <f t="shared" si="166"/>
        <v>1.6080000000000003</v>
      </c>
      <c r="U1334" s="29" t="str">
        <f t="shared" si="167"/>
        <v>Medium</v>
      </c>
    </row>
    <row r="1335" spans="1:21" ht="15" customHeight="1" x14ac:dyDescent="0.25">
      <c r="A1335" s="29">
        <f>Dataset!A1335</f>
        <v>1331</v>
      </c>
      <c r="B1335" s="29">
        <f>IF(Dataset!B1335&lt;25,0.3,IF(Dataset!B1335&lt;75,0.5,IF(Dataset!B1335&lt;120,0.65,0.8)))</f>
        <v>0.5</v>
      </c>
      <c r="C1335" s="29">
        <f>IF(Dataset!B1335&lt;25,1,IF(Dataset!B1335&lt;75,2,IF(Dataset!B1335&lt;120,3,4)))</f>
        <v>2</v>
      </c>
      <c r="D1335" s="29">
        <f t="shared" si="160"/>
        <v>1</v>
      </c>
      <c r="E1335" s="29">
        <f>IF(Dataset!C1335&lt;=1,0.3,IF(Dataset!C1335=2,0.4,IF(Dataset!C1335=3,0.5,IF(Dataset!C1335=4,0.65,0.8))))</f>
        <v>0.5</v>
      </c>
      <c r="F1335" s="29">
        <f>IF(Dataset!C1335&lt;=2,1,IF(Dataset!C1335=3,2,IF(Dataset!C1335=4,3,4)))</f>
        <v>2</v>
      </c>
      <c r="G1335" s="29">
        <f t="shared" si="161"/>
        <v>1</v>
      </c>
      <c r="H1335" s="29">
        <f>IF(Dataset!G1335&lt;=3,0.25,IF(Dataset!G1335&lt;=6,0.45,IF(Dataset!G1335&lt;=9,0.65,0.85)))</f>
        <v>0.45</v>
      </c>
      <c r="I1335" s="29">
        <f>IF(Dataset!G1335&lt;=3,1,IF(Dataset!G1335&lt;=6,2,IF(Dataset!G1335&lt;=9,3,4)))</f>
        <v>2</v>
      </c>
      <c r="J1335" s="29">
        <f t="shared" si="162"/>
        <v>0.9</v>
      </c>
      <c r="K1335" s="29">
        <f>IF(Dataset!H1335&lt;1,0.2,IF(Dataset!H1335&lt;1.3,0.45,IF(Dataset!H1335&lt;1.8,0.7,0.9)))</f>
        <v>0.9</v>
      </c>
      <c r="L1335" s="29">
        <f>IF(Dataset!H1335&lt;1,1,IF(Dataset!H1335&lt;1.3,2,IF(Dataset!H1335&lt;1.8,3,4)))</f>
        <v>4</v>
      </c>
      <c r="M1335" s="29">
        <f t="shared" si="163"/>
        <v>3.6</v>
      </c>
      <c r="N1335" s="29">
        <f>IF(Dataset!F1335=1,0.75,IF(Dataset!F1335=2,0.45,0.2))</f>
        <v>0.75</v>
      </c>
      <c r="O1335" s="29">
        <f>IF(Dataset!F1335=1,3,IF(Dataset!F1335=2,2,1))</f>
        <v>3</v>
      </c>
      <c r="P1335" s="29">
        <f t="shared" si="164"/>
        <v>2.25</v>
      </c>
      <c r="Q1335" s="29">
        <f>IF(Dataset!K1335&lt;5,0.2,IF(Dataset!K1335&lt;10,0.45,IF(Dataset!K1335&lt;18,0.7,0.9)))</f>
        <v>0.45</v>
      </c>
      <c r="R1335" s="29">
        <f>IF(Dataset!K1335&lt;5,1,IF(Dataset!K1335&lt;10,2,IF(Dataset!K1335&lt;18,3,4)))</f>
        <v>2</v>
      </c>
      <c r="S1335" s="29">
        <f t="shared" si="165"/>
        <v>0.9</v>
      </c>
      <c r="T1335" s="29">
        <f t="shared" si="166"/>
        <v>1.7150000000000001</v>
      </c>
      <c r="U1335" s="29" t="str">
        <f t="shared" si="167"/>
        <v>Medium</v>
      </c>
    </row>
    <row r="1336" spans="1:21" ht="15" customHeight="1" x14ac:dyDescent="0.25">
      <c r="A1336" s="29">
        <f>Dataset!A1336</f>
        <v>1332</v>
      </c>
      <c r="B1336" s="29">
        <f>IF(Dataset!B1336&lt;25,0.3,IF(Dataset!B1336&lt;75,0.5,IF(Dataset!B1336&lt;120,0.65,0.8)))</f>
        <v>0.3</v>
      </c>
      <c r="C1336" s="29">
        <f>IF(Dataset!B1336&lt;25,1,IF(Dataset!B1336&lt;75,2,IF(Dataset!B1336&lt;120,3,4)))</f>
        <v>1</v>
      </c>
      <c r="D1336" s="29">
        <f t="shared" si="160"/>
        <v>0.3</v>
      </c>
      <c r="E1336" s="29">
        <f>IF(Dataset!C1336&lt;=1,0.3,IF(Dataset!C1336=2,0.4,IF(Dataset!C1336=3,0.5,IF(Dataset!C1336=4,0.65,0.8))))</f>
        <v>0.5</v>
      </c>
      <c r="F1336" s="29">
        <f>IF(Dataset!C1336&lt;=2,1,IF(Dataset!C1336=3,2,IF(Dataset!C1336=4,3,4)))</f>
        <v>2</v>
      </c>
      <c r="G1336" s="29">
        <f t="shared" si="161"/>
        <v>1</v>
      </c>
      <c r="H1336" s="29">
        <f>IF(Dataset!G1336&lt;=3,0.25,IF(Dataset!G1336&lt;=6,0.45,IF(Dataset!G1336&lt;=9,0.65,0.85)))</f>
        <v>0.45</v>
      </c>
      <c r="I1336" s="29">
        <f>IF(Dataset!G1336&lt;=3,1,IF(Dataset!G1336&lt;=6,2,IF(Dataset!G1336&lt;=9,3,4)))</f>
        <v>2</v>
      </c>
      <c r="J1336" s="29">
        <f t="shared" si="162"/>
        <v>0.9</v>
      </c>
      <c r="K1336" s="29">
        <f>IF(Dataset!H1336&lt;1,0.2,IF(Dataset!H1336&lt;1.3,0.45,IF(Dataset!H1336&lt;1.8,0.7,0.9)))</f>
        <v>0.9</v>
      </c>
      <c r="L1336" s="29">
        <f>IF(Dataset!H1336&lt;1,1,IF(Dataset!H1336&lt;1.3,2,IF(Dataset!H1336&lt;1.8,3,4)))</f>
        <v>4</v>
      </c>
      <c r="M1336" s="29">
        <f t="shared" si="163"/>
        <v>3.6</v>
      </c>
      <c r="N1336" s="29">
        <f>IF(Dataset!F1336=1,0.75,IF(Dataset!F1336=2,0.45,0.2))</f>
        <v>0.45</v>
      </c>
      <c r="O1336" s="29">
        <f>IF(Dataset!F1336=1,3,IF(Dataset!F1336=2,2,1))</f>
        <v>2</v>
      </c>
      <c r="P1336" s="29">
        <f t="shared" si="164"/>
        <v>0.9</v>
      </c>
      <c r="Q1336" s="29">
        <f>IF(Dataset!K1336&lt;5,0.2,IF(Dataset!K1336&lt;10,0.45,IF(Dataset!K1336&lt;18,0.7,0.9)))</f>
        <v>0.2</v>
      </c>
      <c r="R1336" s="29">
        <f>IF(Dataset!K1336&lt;5,1,IF(Dataset!K1336&lt;10,2,IF(Dataset!K1336&lt;18,3,4)))</f>
        <v>1</v>
      </c>
      <c r="S1336" s="29">
        <f t="shared" si="165"/>
        <v>0.2</v>
      </c>
      <c r="T1336" s="29">
        <f t="shared" si="166"/>
        <v>1.3560000000000001</v>
      </c>
      <c r="U1336" s="29" t="str">
        <f t="shared" si="167"/>
        <v>Medium</v>
      </c>
    </row>
    <row r="1337" spans="1:21" ht="15" customHeight="1" x14ac:dyDescent="0.25">
      <c r="A1337" s="29">
        <f>Dataset!A1337</f>
        <v>1333</v>
      </c>
      <c r="B1337" s="29">
        <f>IF(Dataset!B1337&lt;25,0.3,IF(Dataset!B1337&lt;75,0.5,IF(Dataset!B1337&lt;120,0.65,0.8)))</f>
        <v>0.8</v>
      </c>
      <c r="C1337" s="29">
        <f>IF(Dataset!B1337&lt;25,1,IF(Dataset!B1337&lt;75,2,IF(Dataset!B1337&lt;120,3,4)))</f>
        <v>4</v>
      </c>
      <c r="D1337" s="29">
        <f t="shared" si="160"/>
        <v>3.2</v>
      </c>
      <c r="E1337" s="29">
        <f>IF(Dataset!C1337&lt;=1,0.3,IF(Dataset!C1337=2,0.4,IF(Dataset!C1337=3,0.5,IF(Dataset!C1337=4,0.65,0.8))))</f>
        <v>0.5</v>
      </c>
      <c r="F1337" s="29">
        <f>IF(Dataset!C1337&lt;=2,1,IF(Dataset!C1337=3,2,IF(Dataset!C1337=4,3,4)))</f>
        <v>2</v>
      </c>
      <c r="G1337" s="29">
        <f t="shared" si="161"/>
        <v>1</v>
      </c>
      <c r="H1337" s="29">
        <f>IF(Dataset!G1337&lt;=3,0.25,IF(Dataset!G1337&lt;=6,0.45,IF(Dataset!G1337&lt;=9,0.65,0.85)))</f>
        <v>0.45</v>
      </c>
      <c r="I1337" s="29">
        <f>IF(Dataset!G1337&lt;=3,1,IF(Dataset!G1337&lt;=6,2,IF(Dataset!G1337&lt;=9,3,4)))</f>
        <v>2</v>
      </c>
      <c r="J1337" s="29">
        <f t="shared" si="162"/>
        <v>0.9</v>
      </c>
      <c r="K1337" s="29">
        <f>IF(Dataset!H1337&lt;1,0.2,IF(Dataset!H1337&lt;1.3,0.45,IF(Dataset!H1337&lt;1.8,0.7,0.9)))</f>
        <v>0.45</v>
      </c>
      <c r="L1337" s="29">
        <f>IF(Dataset!H1337&lt;1,1,IF(Dataset!H1337&lt;1.3,2,IF(Dataset!H1337&lt;1.8,3,4)))</f>
        <v>2</v>
      </c>
      <c r="M1337" s="29">
        <f t="shared" si="163"/>
        <v>0.9</v>
      </c>
      <c r="N1337" s="29">
        <f>IF(Dataset!F1337=1,0.75,IF(Dataset!F1337=2,0.45,0.2))</f>
        <v>0.75</v>
      </c>
      <c r="O1337" s="29">
        <f>IF(Dataset!F1337=1,3,IF(Dataset!F1337=2,2,1))</f>
        <v>3</v>
      </c>
      <c r="P1337" s="29">
        <f t="shared" si="164"/>
        <v>2.25</v>
      </c>
      <c r="Q1337" s="29">
        <f>IF(Dataset!K1337&lt;5,0.2,IF(Dataset!K1337&lt;10,0.45,IF(Dataset!K1337&lt;18,0.7,0.9)))</f>
        <v>0.45</v>
      </c>
      <c r="R1337" s="29">
        <f>IF(Dataset!K1337&lt;5,1,IF(Dataset!K1337&lt;10,2,IF(Dataset!K1337&lt;18,3,4)))</f>
        <v>2</v>
      </c>
      <c r="S1337" s="29">
        <f t="shared" si="165"/>
        <v>0.9</v>
      </c>
      <c r="T1337" s="29">
        <f t="shared" si="166"/>
        <v>1.4630000000000003</v>
      </c>
      <c r="U1337" s="29" t="str">
        <f t="shared" si="167"/>
        <v>Medium</v>
      </c>
    </row>
    <row r="1338" spans="1:21" ht="15" customHeight="1" x14ac:dyDescent="0.25">
      <c r="A1338" s="29">
        <f>Dataset!A1338</f>
        <v>1334</v>
      </c>
      <c r="B1338" s="29">
        <f>IF(Dataset!B1338&lt;25,0.3,IF(Dataset!B1338&lt;75,0.5,IF(Dataset!B1338&lt;120,0.65,0.8)))</f>
        <v>0.5</v>
      </c>
      <c r="C1338" s="29">
        <f>IF(Dataset!B1338&lt;25,1,IF(Dataset!B1338&lt;75,2,IF(Dataset!B1338&lt;120,3,4)))</f>
        <v>2</v>
      </c>
      <c r="D1338" s="29">
        <f t="shared" si="160"/>
        <v>1</v>
      </c>
      <c r="E1338" s="29">
        <f>IF(Dataset!C1338&lt;=1,0.3,IF(Dataset!C1338=2,0.4,IF(Dataset!C1338=3,0.5,IF(Dataset!C1338=4,0.65,0.8))))</f>
        <v>0.65</v>
      </c>
      <c r="F1338" s="29">
        <f>IF(Dataset!C1338&lt;=2,1,IF(Dataset!C1338=3,2,IF(Dataset!C1338=4,3,4)))</f>
        <v>3</v>
      </c>
      <c r="G1338" s="29">
        <f t="shared" si="161"/>
        <v>1.9500000000000002</v>
      </c>
      <c r="H1338" s="29">
        <f>IF(Dataset!G1338&lt;=3,0.25,IF(Dataset!G1338&lt;=6,0.45,IF(Dataset!G1338&lt;=9,0.65,0.85)))</f>
        <v>0.45</v>
      </c>
      <c r="I1338" s="29">
        <f>IF(Dataset!G1338&lt;=3,1,IF(Dataset!G1338&lt;=6,2,IF(Dataset!G1338&lt;=9,3,4)))</f>
        <v>2</v>
      </c>
      <c r="J1338" s="29">
        <f t="shared" si="162"/>
        <v>0.9</v>
      </c>
      <c r="K1338" s="29">
        <f>IF(Dataset!H1338&lt;1,0.2,IF(Dataset!H1338&lt;1.3,0.45,IF(Dataset!H1338&lt;1.8,0.7,0.9)))</f>
        <v>0.2</v>
      </c>
      <c r="L1338" s="29">
        <f>IF(Dataset!H1338&lt;1,1,IF(Dataset!H1338&lt;1.3,2,IF(Dataset!H1338&lt;1.8,3,4)))</f>
        <v>1</v>
      </c>
      <c r="M1338" s="29">
        <f t="shared" si="163"/>
        <v>0.2</v>
      </c>
      <c r="N1338" s="29">
        <f>IF(Dataset!F1338=1,0.75,IF(Dataset!F1338=2,0.45,0.2))</f>
        <v>0.45</v>
      </c>
      <c r="O1338" s="29">
        <f>IF(Dataset!F1338=1,3,IF(Dataset!F1338=2,2,1))</f>
        <v>2</v>
      </c>
      <c r="P1338" s="29">
        <f t="shared" si="164"/>
        <v>0.9</v>
      </c>
      <c r="Q1338" s="29">
        <f>IF(Dataset!K1338&lt;5,0.2,IF(Dataset!K1338&lt;10,0.45,IF(Dataset!K1338&lt;18,0.7,0.9)))</f>
        <v>0.7</v>
      </c>
      <c r="R1338" s="29">
        <f>IF(Dataset!K1338&lt;5,1,IF(Dataset!K1338&lt;10,2,IF(Dataset!K1338&lt;18,3,4)))</f>
        <v>3</v>
      </c>
      <c r="S1338" s="29">
        <f t="shared" si="165"/>
        <v>2.0999999999999996</v>
      </c>
      <c r="T1338" s="29">
        <f t="shared" si="166"/>
        <v>1.0650000000000002</v>
      </c>
      <c r="U1338" s="29" t="str">
        <f t="shared" si="167"/>
        <v>Low</v>
      </c>
    </row>
    <row r="1339" spans="1:21" ht="15" customHeight="1" x14ac:dyDescent="0.25">
      <c r="A1339" s="29">
        <f>Dataset!A1339</f>
        <v>1335</v>
      </c>
      <c r="B1339" s="29">
        <f>IF(Dataset!B1339&lt;25,0.3,IF(Dataset!B1339&lt;75,0.5,IF(Dataset!B1339&lt;120,0.65,0.8)))</f>
        <v>0.3</v>
      </c>
      <c r="C1339" s="29">
        <f>IF(Dataset!B1339&lt;25,1,IF(Dataset!B1339&lt;75,2,IF(Dataset!B1339&lt;120,3,4)))</f>
        <v>1</v>
      </c>
      <c r="D1339" s="29">
        <f t="shared" si="160"/>
        <v>0.3</v>
      </c>
      <c r="E1339" s="29">
        <f>IF(Dataset!C1339&lt;=1,0.3,IF(Dataset!C1339=2,0.4,IF(Dataset!C1339=3,0.5,IF(Dataset!C1339=4,0.65,0.8))))</f>
        <v>0.3</v>
      </c>
      <c r="F1339" s="29">
        <f>IF(Dataset!C1339&lt;=2,1,IF(Dataset!C1339=3,2,IF(Dataset!C1339=4,3,4)))</f>
        <v>1</v>
      </c>
      <c r="G1339" s="29">
        <f t="shared" si="161"/>
        <v>0.3</v>
      </c>
      <c r="H1339" s="29">
        <f>IF(Dataset!G1339&lt;=3,0.25,IF(Dataset!G1339&lt;=6,0.45,IF(Dataset!G1339&lt;=9,0.65,0.85)))</f>
        <v>0.45</v>
      </c>
      <c r="I1339" s="29">
        <f>IF(Dataset!G1339&lt;=3,1,IF(Dataset!G1339&lt;=6,2,IF(Dataset!G1339&lt;=9,3,4)))</f>
        <v>2</v>
      </c>
      <c r="J1339" s="29">
        <f t="shared" si="162"/>
        <v>0.9</v>
      </c>
      <c r="K1339" s="29">
        <f>IF(Dataset!H1339&lt;1,0.2,IF(Dataset!H1339&lt;1.3,0.45,IF(Dataset!H1339&lt;1.8,0.7,0.9)))</f>
        <v>0.7</v>
      </c>
      <c r="L1339" s="29">
        <f>IF(Dataset!H1339&lt;1,1,IF(Dataset!H1339&lt;1.3,2,IF(Dataset!H1339&lt;1.8,3,4)))</f>
        <v>3</v>
      </c>
      <c r="M1339" s="29">
        <f t="shared" si="163"/>
        <v>2.0999999999999996</v>
      </c>
      <c r="N1339" s="29">
        <f>IF(Dataset!F1339=1,0.75,IF(Dataset!F1339=2,0.45,0.2))</f>
        <v>0.45</v>
      </c>
      <c r="O1339" s="29">
        <f>IF(Dataset!F1339=1,3,IF(Dataset!F1339=2,2,1))</f>
        <v>2</v>
      </c>
      <c r="P1339" s="29">
        <f t="shared" si="164"/>
        <v>0.9</v>
      </c>
      <c r="Q1339" s="29">
        <f>IF(Dataset!K1339&lt;5,0.2,IF(Dataset!K1339&lt;10,0.45,IF(Dataset!K1339&lt;18,0.7,0.9)))</f>
        <v>0.2</v>
      </c>
      <c r="R1339" s="29">
        <f>IF(Dataset!K1339&lt;5,1,IF(Dataset!K1339&lt;10,2,IF(Dataset!K1339&lt;18,3,4)))</f>
        <v>1</v>
      </c>
      <c r="S1339" s="29">
        <f t="shared" si="165"/>
        <v>0.2</v>
      </c>
      <c r="T1339" s="29">
        <f t="shared" si="166"/>
        <v>0.89799999999999991</v>
      </c>
      <c r="U1339" s="29" t="str">
        <f t="shared" si="167"/>
        <v>Low</v>
      </c>
    </row>
    <row r="1340" spans="1:21" ht="15" customHeight="1" x14ac:dyDescent="0.25">
      <c r="A1340" s="29">
        <f>Dataset!A1340</f>
        <v>1336</v>
      </c>
      <c r="B1340" s="29">
        <f>IF(Dataset!B1340&lt;25,0.3,IF(Dataset!B1340&lt;75,0.5,IF(Dataset!B1340&lt;120,0.65,0.8)))</f>
        <v>0.5</v>
      </c>
      <c r="C1340" s="29">
        <f>IF(Dataset!B1340&lt;25,1,IF(Dataset!B1340&lt;75,2,IF(Dataset!B1340&lt;120,3,4)))</f>
        <v>2</v>
      </c>
      <c r="D1340" s="29">
        <f t="shared" si="160"/>
        <v>1</v>
      </c>
      <c r="E1340" s="29">
        <f>IF(Dataset!C1340&lt;=1,0.3,IF(Dataset!C1340=2,0.4,IF(Dataset!C1340=3,0.5,IF(Dataset!C1340=4,0.65,0.8))))</f>
        <v>0.65</v>
      </c>
      <c r="F1340" s="29">
        <f>IF(Dataset!C1340&lt;=2,1,IF(Dataset!C1340=3,2,IF(Dataset!C1340=4,3,4)))</f>
        <v>3</v>
      </c>
      <c r="G1340" s="29">
        <f t="shared" si="161"/>
        <v>1.9500000000000002</v>
      </c>
      <c r="H1340" s="29">
        <f>IF(Dataset!G1340&lt;=3,0.25,IF(Dataset!G1340&lt;=6,0.45,IF(Dataset!G1340&lt;=9,0.65,0.85)))</f>
        <v>0.45</v>
      </c>
      <c r="I1340" s="29">
        <f>IF(Dataset!G1340&lt;=3,1,IF(Dataset!G1340&lt;=6,2,IF(Dataset!G1340&lt;=9,3,4)))</f>
        <v>2</v>
      </c>
      <c r="J1340" s="29">
        <f t="shared" si="162"/>
        <v>0.9</v>
      </c>
      <c r="K1340" s="29">
        <f>IF(Dataset!H1340&lt;1,0.2,IF(Dataset!H1340&lt;1.3,0.45,IF(Dataset!H1340&lt;1.8,0.7,0.9)))</f>
        <v>0.7</v>
      </c>
      <c r="L1340" s="29">
        <f>IF(Dataset!H1340&lt;1,1,IF(Dataset!H1340&lt;1.3,2,IF(Dataset!H1340&lt;1.8,3,4)))</f>
        <v>3</v>
      </c>
      <c r="M1340" s="29">
        <f t="shared" si="163"/>
        <v>2.0999999999999996</v>
      </c>
      <c r="N1340" s="29">
        <f>IF(Dataset!F1340=1,0.75,IF(Dataset!F1340=2,0.45,0.2))</f>
        <v>0.75</v>
      </c>
      <c r="O1340" s="29">
        <f>IF(Dataset!F1340=1,3,IF(Dataset!F1340=2,2,1))</f>
        <v>3</v>
      </c>
      <c r="P1340" s="29">
        <f t="shared" si="164"/>
        <v>2.25</v>
      </c>
      <c r="Q1340" s="29">
        <f>IF(Dataset!K1340&lt;5,0.2,IF(Dataset!K1340&lt;10,0.45,IF(Dataset!K1340&lt;18,0.7,0.9)))</f>
        <v>0.7</v>
      </c>
      <c r="R1340" s="29">
        <f>IF(Dataset!K1340&lt;5,1,IF(Dataset!K1340&lt;10,2,IF(Dataset!K1340&lt;18,3,4)))</f>
        <v>3</v>
      </c>
      <c r="S1340" s="29">
        <f t="shared" si="165"/>
        <v>2.0999999999999996</v>
      </c>
      <c r="T1340" s="29">
        <f t="shared" si="166"/>
        <v>1.6560000000000001</v>
      </c>
      <c r="U1340" s="29" t="str">
        <f t="shared" si="167"/>
        <v>Medium</v>
      </c>
    </row>
    <row r="1341" spans="1:21" ht="15" customHeight="1" x14ac:dyDescent="0.25">
      <c r="A1341" s="29">
        <f>Dataset!A1341</f>
        <v>1337</v>
      </c>
      <c r="B1341" s="29">
        <f>IF(Dataset!B1341&lt;25,0.3,IF(Dataset!B1341&lt;75,0.5,IF(Dataset!B1341&lt;120,0.65,0.8)))</f>
        <v>0.65</v>
      </c>
      <c r="C1341" s="29">
        <f>IF(Dataset!B1341&lt;25,1,IF(Dataset!B1341&lt;75,2,IF(Dataset!B1341&lt;120,3,4)))</f>
        <v>3</v>
      </c>
      <c r="D1341" s="29">
        <f t="shared" si="160"/>
        <v>1.9500000000000002</v>
      </c>
      <c r="E1341" s="29">
        <f>IF(Dataset!C1341&lt;=1,0.3,IF(Dataset!C1341=2,0.4,IF(Dataset!C1341=3,0.5,IF(Dataset!C1341=4,0.65,0.8))))</f>
        <v>0.8</v>
      </c>
      <c r="F1341" s="29">
        <f>IF(Dataset!C1341&lt;=2,1,IF(Dataset!C1341=3,2,IF(Dataset!C1341=4,3,4)))</f>
        <v>4</v>
      </c>
      <c r="G1341" s="29">
        <f t="shared" si="161"/>
        <v>3.2</v>
      </c>
      <c r="H1341" s="29">
        <f>IF(Dataset!G1341&lt;=3,0.25,IF(Dataset!G1341&lt;=6,0.45,IF(Dataset!G1341&lt;=9,0.65,0.85)))</f>
        <v>0.65</v>
      </c>
      <c r="I1341" s="29">
        <f>IF(Dataset!G1341&lt;=3,1,IF(Dataset!G1341&lt;=6,2,IF(Dataset!G1341&lt;=9,3,4)))</f>
        <v>3</v>
      </c>
      <c r="J1341" s="29">
        <f t="shared" si="162"/>
        <v>1.9500000000000002</v>
      </c>
      <c r="K1341" s="29">
        <f>IF(Dataset!H1341&lt;1,0.2,IF(Dataset!H1341&lt;1.3,0.45,IF(Dataset!H1341&lt;1.8,0.7,0.9)))</f>
        <v>0.9</v>
      </c>
      <c r="L1341" s="29">
        <f>IF(Dataset!H1341&lt;1,1,IF(Dataset!H1341&lt;1.3,2,IF(Dataset!H1341&lt;1.8,3,4)))</f>
        <v>4</v>
      </c>
      <c r="M1341" s="29">
        <f t="shared" si="163"/>
        <v>3.6</v>
      </c>
      <c r="N1341" s="29">
        <f>IF(Dataset!F1341=1,0.75,IF(Dataset!F1341=2,0.45,0.2))</f>
        <v>0.45</v>
      </c>
      <c r="O1341" s="29">
        <f>IF(Dataset!F1341=1,3,IF(Dataset!F1341=2,2,1))</f>
        <v>2</v>
      </c>
      <c r="P1341" s="29">
        <f t="shared" si="164"/>
        <v>0.9</v>
      </c>
      <c r="Q1341" s="29">
        <f>IF(Dataset!K1341&lt;5,0.2,IF(Dataset!K1341&lt;10,0.45,IF(Dataset!K1341&lt;18,0.7,0.9)))</f>
        <v>0.9</v>
      </c>
      <c r="R1341" s="29">
        <f>IF(Dataset!K1341&lt;5,1,IF(Dataset!K1341&lt;10,2,IF(Dataset!K1341&lt;18,3,4)))</f>
        <v>4</v>
      </c>
      <c r="S1341" s="29">
        <f t="shared" si="165"/>
        <v>3.6</v>
      </c>
      <c r="T1341" s="29">
        <f t="shared" si="166"/>
        <v>2.6470000000000002</v>
      </c>
      <c r="U1341" s="29" t="str">
        <f t="shared" si="167"/>
        <v>High</v>
      </c>
    </row>
    <row r="1342" spans="1:21" ht="15" customHeight="1" x14ac:dyDescent="0.25">
      <c r="A1342" s="29">
        <f>Dataset!A1342</f>
        <v>1338</v>
      </c>
      <c r="B1342" s="29">
        <f>IF(Dataset!B1342&lt;25,0.3,IF(Dataset!B1342&lt;75,0.5,IF(Dataset!B1342&lt;120,0.65,0.8)))</f>
        <v>0.3</v>
      </c>
      <c r="C1342" s="29">
        <f>IF(Dataset!B1342&lt;25,1,IF(Dataset!B1342&lt;75,2,IF(Dataset!B1342&lt;120,3,4)))</f>
        <v>1</v>
      </c>
      <c r="D1342" s="29">
        <f t="shared" si="160"/>
        <v>0.3</v>
      </c>
      <c r="E1342" s="29">
        <f>IF(Dataset!C1342&lt;=1,0.3,IF(Dataset!C1342=2,0.4,IF(Dataset!C1342=3,0.5,IF(Dataset!C1342=4,0.65,0.8))))</f>
        <v>0.65</v>
      </c>
      <c r="F1342" s="29">
        <f>IF(Dataset!C1342&lt;=2,1,IF(Dataset!C1342=3,2,IF(Dataset!C1342=4,3,4)))</f>
        <v>3</v>
      </c>
      <c r="G1342" s="29">
        <f t="shared" si="161"/>
        <v>1.9500000000000002</v>
      </c>
      <c r="H1342" s="29">
        <f>IF(Dataset!G1342&lt;=3,0.25,IF(Dataset!G1342&lt;=6,0.45,IF(Dataset!G1342&lt;=9,0.65,0.85)))</f>
        <v>0.45</v>
      </c>
      <c r="I1342" s="29">
        <f>IF(Dataset!G1342&lt;=3,1,IF(Dataset!G1342&lt;=6,2,IF(Dataset!G1342&lt;=9,3,4)))</f>
        <v>2</v>
      </c>
      <c r="J1342" s="29">
        <f t="shared" si="162"/>
        <v>0.9</v>
      </c>
      <c r="K1342" s="29">
        <f>IF(Dataset!H1342&lt;1,0.2,IF(Dataset!H1342&lt;1.3,0.45,IF(Dataset!H1342&lt;1.8,0.7,0.9)))</f>
        <v>0.45</v>
      </c>
      <c r="L1342" s="29">
        <f>IF(Dataset!H1342&lt;1,1,IF(Dataset!H1342&lt;1.3,2,IF(Dataset!H1342&lt;1.8,3,4)))</f>
        <v>2</v>
      </c>
      <c r="M1342" s="29">
        <f t="shared" si="163"/>
        <v>0.9</v>
      </c>
      <c r="N1342" s="29">
        <f>IF(Dataset!F1342=1,0.75,IF(Dataset!F1342=2,0.45,0.2))</f>
        <v>0.2</v>
      </c>
      <c r="O1342" s="29">
        <f>IF(Dataset!F1342=1,3,IF(Dataset!F1342=2,2,1))</f>
        <v>1</v>
      </c>
      <c r="P1342" s="29">
        <f t="shared" si="164"/>
        <v>0.2</v>
      </c>
      <c r="Q1342" s="29">
        <f>IF(Dataset!K1342&lt;5,0.2,IF(Dataset!K1342&lt;10,0.45,IF(Dataset!K1342&lt;18,0.7,0.9)))</f>
        <v>0.45</v>
      </c>
      <c r="R1342" s="29">
        <f>IF(Dataset!K1342&lt;5,1,IF(Dataset!K1342&lt;10,2,IF(Dataset!K1342&lt;18,3,4)))</f>
        <v>2</v>
      </c>
      <c r="S1342" s="29">
        <f t="shared" si="165"/>
        <v>0.9</v>
      </c>
      <c r="T1342" s="29">
        <f t="shared" si="166"/>
        <v>0.86900000000000011</v>
      </c>
      <c r="U1342" s="29" t="str">
        <f t="shared" si="167"/>
        <v>Low</v>
      </c>
    </row>
    <row r="1343" spans="1:21" ht="15" customHeight="1" x14ac:dyDescent="0.25">
      <c r="A1343" s="29">
        <f>Dataset!A1343</f>
        <v>1339</v>
      </c>
      <c r="B1343" s="29">
        <f>IF(Dataset!B1343&lt;25,0.3,IF(Dataset!B1343&lt;75,0.5,IF(Dataset!B1343&lt;120,0.65,0.8)))</f>
        <v>0.5</v>
      </c>
      <c r="C1343" s="29">
        <f>IF(Dataset!B1343&lt;25,1,IF(Dataset!B1343&lt;75,2,IF(Dataset!B1343&lt;120,3,4)))</f>
        <v>2</v>
      </c>
      <c r="D1343" s="29">
        <f t="shared" si="160"/>
        <v>1</v>
      </c>
      <c r="E1343" s="29">
        <f>IF(Dataset!C1343&lt;=1,0.3,IF(Dataset!C1343=2,0.4,IF(Dataset!C1343=3,0.5,IF(Dataset!C1343=4,0.65,0.8))))</f>
        <v>0.65</v>
      </c>
      <c r="F1343" s="29">
        <f>IF(Dataset!C1343&lt;=2,1,IF(Dataset!C1343=3,2,IF(Dataset!C1343=4,3,4)))</f>
        <v>3</v>
      </c>
      <c r="G1343" s="29">
        <f t="shared" si="161"/>
        <v>1.9500000000000002</v>
      </c>
      <c r="H1343" s="29">
        <f>IF(Dataset!G1343&lt;=3,0.25,IF(Dataset!G1343&lt;=6,0.45,IF(Dataset!G1343&lt;=9,0.65,0.85)))</f>
        <v>0.45</v>
      </c>
      <c r="I1343" s="29">
        <f>IF(Dataset!G1343&lt;=3,1,IF(Dataset!G1343&lt;=6,2,IF(Dataset!G1343&lt;=9,3,4)))</f>
        <v>2</v>
      </c>
      <c r="J1343" s="29">
        <f t="shared" si="162"/>
        <v>0.9</v>
      </c>
      <c r="K1343" s="29">
        <f>IF(Dataset!H1343&lt;1,0.2,IF(Dataset!H1343&lt;1.3,0.45,IF(Dataset!H1343&lt;1.8,0.7,0.9)))</f>
        <v>0.9</v>
      </c>
      <c r="L1343" s="29">
        <f>IF(Dataset!H1343&lt;1,1,IF(Dataset!H1343&lt;1.3,2,IF(Dataset!H1343&lt;1.8,3,4)))</f>
        <v>4</v>
      </c>
      <c r="M1343" s="29">
        <f t="shared" si="163"/>
        <v>3.6</v>
      </c>
      <c r="N1343" s="29">
        <f>IF(Dataset!F1343=1,0.75,IF(Dataset!F1343=2,0.45,0.2))</f>
        <v>0.75</v>
      </c>
      <c r="O1343" s="29">
        <f>IF(Dataset!F1343=1,3,IF(Dataset!F1343=2,2,1))</f>
        <v>3</v>
      </c>
      <c r="P1343" s="29">
        <f t="shared" si="164"/>
        <v>2.25</v>
      </c>
      <c r="Q1343" s="29">
        <f>IF(Dataset!K1343&lt;5,0.2,IF(Dataset!K1343&lt;10,0.45,IF(Dataset!K1343&lt;18,0.7,0.9)))</f>
        <v>0.7</v>
      </c>
      <c r="R1343" s="29">
        <f>IF(Dataset!K1343&lt;5,1,IF(Dataset!K1343&lt;10,2,IF(Dataset!K1343&lt;18,3,4)))</f>
        <v>3</v>
      </c>
      <c r="S1343" s="29">
        <f t="shared" si="165"/>
        <v>2.0999999999999996</v>
      </c>
      <c r="T1343" s="29">
        <f t="shared" si="166"/>
        <v>2.016</v>
      </c>
      <c r="U1343" s="29" t="str">
        <f t="shared" si="167"/>
        <v>High</v>
      </c>
    </row>
    <row r="1344" spans="1:21" ht="15" customHeight="1" x14ac:dyDescent="0.25">
      <c r="A1344" s="29">
        <f>Dataset!A1344</f>
        <v>1340</v>
      </c>
      <c r="B1344" s="29">
        <f>IF(Dataset!B1344&lt;25,0.3,IF(Dataset!B1344&lt;75,0.5,IF(Dataset!B1344&lt;120,0.65,0.8)))</f>
        <v>0.5</v>
      </c>
      <c r="C1344" s="29">
        <f>IF(Dataset!B1344&lt;25,1,IF(Dataset!B1344&lt;75,2,IF(Dataset!B1344&lt;120,3,4)))</f>
        <v>2</v>
      </c>
      <c r="D1344" s="29">
        <f t="shared" si="160"/>
        <v>1</v>
      </c>
      <c r="E1344" s="29">
        <f>IF(Dataset!C1344&lt;=1,0.3,IF(Dataset!C1344=2,0.4,IF(Dataset!C1344=3,0.5,IF(Dataset!C1344=4,0.65,0.8))))</f>
        <v>0.5</v>
      </c>
      <c r="F1344" s="29">
        <f>IF(Dataset!C1344&lt;=2,1,IF(Dataset!C1344=3,2,IF(Dataset!C1344=4,3,4)))</f>
        <v>2</v>
      </c>
      <c r="G1344" s="29">
        <f t="shared" si="161"/>
        <v>1</v>
      </c>
      <c r="H1344" s="29">
        <f>IF(Dataset!G1344&lt;=3,0.25,IF(Dataset!G1344&lt;=6,0.45,IF(Dataset!G1344&lt;=9,0.65,0.85)))</f>
        <v>0.45</v>
      </c>
      <c r="I1344" s="29">
        <f>IF(Dataset!G1344&lt;=3,1,IF(Dataset!G1344&lt;=6,2,IF(Dataset!G1344&lt;=9,3,4)))</f>
        <v>2</v>
      </c>
      <c r="J1344" s="29">
        <f t="shared" si="162"/>
        <v>0.9</v>
      </c>
      <c r="K1344" s="29">
        <f>IF(Dataset!H1344&lt;1,0.2,IF(Dataset!H1344&lt;1.3,0.45,IF(Dataset!H1344&lt;1.8,0.7,0.9)))</f>
        <v>0.7</v>
      </c>
      <c r="L1344" s="29">
        <f>IF(Dataset!H1344&lt;1,1,IF(Dataset!H1344&lt;1.3,2,IF(Dataset!H1344&lt;1.8,3,4)))</f>
        <v>3</v>
      </c>
      <c r="M1344" s="29">
        <f t="shared" si="163"/>
        <v>2.0999999999999996</v>
      </c>
      <c r="N1344" s="29">
        <f>IF(Dataset!F1344=1,0.75,IF(Dataset!F1344=2,0.45,0.2))</f>
        <v>0.45</v>
      </c>
      <c r="O1344" s="29">
        <f>IF(Dataset!F1344=1,3,IF(Dataset!F1344=2,2,1))</f>
        <v>2</v>
      </c>
      <c r="P1344" s="29">
        <f t="shared" si="164"/>
        <v>0.9</v>
      </c>
      <c r="Q1344" s="29">
        <f>IF(Dataset!K1344&lt;5,0.2,IF(Dataset!K1344&lt;10,0.45,IF(Dataset!K1344&lt;18,0.7,0.9)))</f>
        <v>0.2</v>
      </c>
      <c r="R1344" s="29">
        <f>IF(Dataset!K1344&lt;5,1,IF(Dataset!K1344&lt;10,2,IF(Dataset!K1344&lt;18,3,4)))</f>
        <v>1</v>
      </c>
      <c r="S1344" s="29">
        <f t="shared" si="165"/>
        <v>0.2</v>
      </c>
      <c r="T1344" s="29">
        <f t="shared" si="166"/>
        <v>1.1220000000000001</v>
      </c>
      <c r="U1344" s="29" t="str">
        <f t="shared" si="167"/>
        <v>Low</v>
      </c>
    </row>
    <row r="1345" spans="1:21" ht="15" customHeight="1" x14ac:dyDescent="0.25">
      <c r="A1345" s="29">
        <f>Dataset!A1345</f>
        <v>1341</v>
      </c>
      <c r="B1345" s="29">
        <f>IF(Dataset!B1345&lt;25,0.3,IF(Dataset!B1345&lt;75,0.5,IF(Dataset!B1345&lt;120,0.65,0.8)))</f>
        <v>0.3</v>
      </c>
      <c r="C1345" s="29">
        <f>IF(Dataset!B1345&lt;25,1,IF(Dataset!B1345&lt;75,2,IF(Dataset!B1345&lt;120,3,4)))</f>
        <v>1</v>
      </c>
      <c r="D1345" s="29">
        <f t="shared" si="160"/>
        <v>0.3</v>
      </c>
      <c r="E1345" s="29">
        <f>IF(Dataset!C1345&lt;=1,0.3,IF(Dataset!C1345=2,0.4,IF(Dataset!C1345=3,0.5,IF(Dataset!C1345=4,0.65,0.8))))</f>
        <v>0.5</v>
      </c>
      <c r="F1345" s="29">
        <f>IF(Dataset!C1345&lt;=2,1,IF(Dataset!C1345=3,2,IF(Dataset!C1345=4,3,4)))</f>
        <v>2</v>
      </c>
      <c r="G1345" s="29">
        <f t="shared" si="161"/>
        <v>1</v>
      </c>
      <c r="H1345" s="29">
        <f>IF(Dataset!G1345&lt;=3,0.25,IF(Dataset!G1345&lt;=6,0.45,IF(Dataset!G1345&lt;=9,0.65,0.85)))</f>
        <v>0.45</v>
      </c>
      <c r="I1345" s="29">
        <f>IF(Dataset!G1345&lt;=3,1,IF(Dataset!G1345&lt;=6,2,IF(Dataset!G1345&lt;=9,3,4)))</f>
        <v>2</v>
      </c>
      <c r="J1345" s="29">
        <f t="shared" si="162"/>
        <v>0.9</v>
      </c>
      <c r="K1345" s="29">
        <f>IF(Dataset!H1345&lt;1,0.2,IF(Dataset!H1345&lt;1.3,0.45,IF(Dataset!H1345&lt;1.8,0.7,0.9)))</f>
        <v>0.45</v>
      </c>
      <c r="L1345" s="29">
        <f>IF(Dataset!H1345&lt;1,1,IF(Dataset!H1345&lt;1.3,2,IF(Dataset!H1345&lt;1.8,3,4)))</f>
        <v>2</v>
      </c>
      <c r="M1345" s="29">
        <f t="shared" si="163"/>
        <v>0.9</v>
      </c>
      <c r="N1345" s="29">
        <f>IF(Dataset!F1345=1,0.75,IF(Dataset!F1345=2,0.45,0.2))</f>
        <v>0.45</v>
      </c>
      <c r="O1345" s="29">
        <f>IF(Dataset!F1345=1,3,IF(Dataset!F1345=2,2,1))</f>
        <v>2</v>
      </c>
      <c r="P1345" s="29">
        <f t="shared" si="164"/>
        <v>0.9</v>
      </c>
      <c r="Q1345" s="29">
        <f>IF(Dataset!K1345&lt;5,0.2,IF(Dataset!K1345&lt;10,0.45,IF(Dataset!K1345&lt;18,0.7,0.9)))</f>
        <v>0.2</v>
      </c>
      <c r="R1345" s="29">
        <f>IF(Dataset!K1345&lt;5,1,IF(Dataset!K1345&lt;10,2,IF(Dataset!K1345&lt;18,3,4)))</f>
        <v>1</v>
      </c>
      <c r="S1345" s="29">
        <f t="shared" si="165"/>
        <v>0.2</v>
      </c>
      <c r="T1345" s="29">
        <f t="shared" si="166"/>
        <v>0.70799999999999996</v>
      </c>
      <c r="U1345" s="29" t="str">
        <f t="shared" si="167"/>
        <v>Low</v>
      </c>
    </row>
    <row r="1346" spans="1:21" ht="15" customHeight="1" x14ac:dyDescent="0.25">
      <c r="A1346" s="29">
        <f>Dataset!A1346</f>
        <v>1342</v>
      </c>
      <c r="B1346" s="29">
        <f>IF(Dataset!B1346&lt;25,0.3,IF(Dataset!B1346&lt;75,0.5,IF(Dataset!B1346&lt;120,0.65,0.8)))</f>
        <v>0.8</v>
      </c>
      <c r="C1346" s="29">
        <f>IF(Dataset!B1346&lt;25,1,IF(Dataset!B1346&lt;75,2,IF(Dataset!B1346&lt;120,3,4)))</f>
        <v>4</v>
      </c>
      <c r="D1346" s="29">
        <f t="shared" si="160"/>
        <v>3.2</v>
      </c>
      <c r="E1346" s="29">
        <f>IF(Dataset!C1346&lt;=1,0.3,IF(Dataset!C1346=2,0.4,IF(Dataset!C1346=3,0.5,IF(Dataset!C1346=4,0.65,0.8))))</f>
        <v>0.4</v>
      </c>
      <c r="F1346" s="29">
        <f>IF(Dataset!C1346&lt;=2,1,IF(Dataset!C1346=3,2,IF(Dataset!C1346=4,3,4)))</f>
        <v>1</v>
      </c>
      <c r="G1346" s="29">
        <f t="shared" si="161"/>
        <v>0.4</v>
      </c>
      <c r="H1346" s="29">
        <f>IF(Dataset!G1346&lt;=3,0.25,IF(Dataset!G1346&lt;=6,0.45,IF(Dataset!G1346&lt;=9,0.65,0.85)))</f>
        <v>0.85</v>
      </c>
      <c r="I1346" s="29">
        <f>IF(Dataset!G1346&lt;=3,1,IF(Dataset!G1346&lt;=6,2,IF(Dataset!G1346&lt;=9,3,4)))</f>
        <v>4</v>
      </c>
      <c r="J1346" s="29">
        <f t="shared" si="162"/>
        <v>3.4</v>
      </c>
      <c r="K1346" s="29">
        <f>IF(Dataset!H1346&lt;1,0.2,IF(Dataset!H1346&lt;1.3,0.45,IF(Dataset!H1346&lt;1.8,0.7,0.9)))</f>
        <v>0.9</v>
      </c>
      <c r="L1346" s="29">
        <f>IF(Dataset!H1346&lt;1,1,IF(Dataset!H1346&lt;1.3,2,IF(Dataset!H1346&lt;1.8,3,4)))</f>
        <v>4</v>
      </c>
      <c r="M1346" s="29">
        <f t="shared" si="163"/>
        <v>3.6</v>
      </c>
      <c r="N1346" s="29">
        <f>IF(Dataset!F1346=1,0.75,IF(Dataset!F1346=2,0.45,0.2))</f>
        <v>0.75</v>
      </c>
      <c r="O1346" s="29">
        <f>IF(Dataset!F1346=1,3,IF(Dataset!F1346=2,2,1))</f>
        <v>3</v>
      </c>
      <c r="P1346" s="29">
        <f t="shared" si="164"/>
        <v>2.25</v>
      </c>
      <c r="Q1346" s="29">
        <f>IF(Dataset!K1346&lt;5,0.2,IF(Dataset!K1346&lt;10,0.45,IF(Dataset!K1346&lt;18,0.7,0.9)))</f>
        <v>0.45</v>
      </c>
      <c r="R1346" s="29">
        <f>IF(Dataset!K1346&lt;5,1,IF(Dataset!K1346&lt;10,2,IF(Dataset!K1346&lt;18,3,4)))</f>
        <v>2</v>
      </c>
      <c r="S1346" s="29">
        <f t="shared" si="165"/>
        <v>0.9</v>
      </c>
      <c r="T1346" s="29">
        <f t="shared" si="166"/>
        <v>2.5270000000000001</v>
      </c>
      <c r="U1346" s="29" t="str">
        <f t="shared" si="167"/>
        <v>High</v>
      </c>
    </row>
    <row r="1347" spans="1:21" ht="15" customHeight="1" x14ac:dyDescent="0.25">
      <c r="A1347" s="29">
        <f>Dataset!A1347</f>
        <v>1343</v>
      </c>
      <c r="B1347" s="29">
        <f>IF(Dataset!B1347&lt;25,0.3,IF(Dataset!B1347&lt;75,0.5,IF(Dataset!B1347&lt;120,0.65,0.8)))</f>
        <v>0.5</v>
      </c>
      <c r="C1347" s="29">
        <f>IF(Dataset!B1347&lt;25,1,IF(Dataset!B1347&lt;75,2,IF(Dataset!B1347&lt;120,3,4)))</f>
        <v>2</v>
      </c>
      <c r="D1347" s="29">
        <f t="shared" si="160"/>
        <v>1</v>
      </c>
      <c r="E1347" s="29">
        <f>IF(Dataset!C1347&lt;=1,0.3,IF(Dataset!C1347=2,0.4,IF(Dataset!C1347=3,0.5,IF(Dataset!C1347=4,0.65,0.8))))</f>
        <v>0.65</v>
      </c>
      <c r="F1347" s="29">
        <f>IF(Dataset!C1347&lt;=2,1,IF(Dataset!C1347=3,2,IF(Dataset!C1347=4,3,4)))</f>
        <v>3</v>
      </c>
      <c r="G1347" s="29">
        <f t="shared" si="161"/>
        <v>1.9500000000000002</v>
      </c>
      <c r="H1347" s="29">
        <f>IF(Dataset!G1347&lt;=3,0.25,IF(Dataset!G1347&lt;=6,0.45,IF(Dataset!G1347&lt;=9,0.65,0.85)))</f>
        <v>0.65</v>
      </c>
      <c r="I1347" s="29">
        <f>IF(Dataset!G1347&lt;=3,1,IF(Dataset!G1347&lt;=6,2,IF(Dataset!G1347&lt;=9,3,4)))</f>
        <v>3</v>
      </c>
      <c r="J1347" s="29">
        <f t="shared" si="162"/>
        <v>1.9500000000000002</v>
      </c>
      <c r="K1347" s="29">
        <f>IF(Dataset!H1347&lt;1,0.2,IF(Dataset!H1347&lt;1.3,0.45,IF(Dataset!H1347&lt;1.8,0.7,0.9)))</f>
        <v>0.45</v>
      </c>
      <c r="L1347" s="29">
        <f>IF(Dataset!H1347&lt;1,1,IF(Dataset!H1347&lt;1.3,2,IF(Dataset!H1347&lt;1.8,3,4)))</f>
        <v>2</v>
      </c>
      <c r="M1347" s="29">
        <f t="shared" si="163"/>
        <v>0.9</v>
      </c>
      <c r="N1347" s="29">
        <f>IF(Dataset!F1347=1,0.75,IF(Dataset!F1347=2,0.45,0.2))</f>
        <v>0.45</v>
      </c>
      <c r="O1347" s="29">
        <f>IF(Dataset!F1347=1,3,IF(Dataset!F1347=2,2,1))</f>
        <v>2</v>
      </c>
      <c r="P1347" s="29">
        <f t="shared" si="164"/>
        <v>0.9</v>
      </c>
      <c r="Q1347" s="29">
        <f>IF(Dataset!K1347&lt;5,0.2,IF(Dataset!K1347&lt;10,0.45,IF(Dataset!K1347&lt;18,0.7,0.9)))</f>
        <v>0.45</v>
      </c>
      <c r="R1347" s="29">
        <f>IF(Dataset!K1347&lt;5,1,IF(Dataset!K1347&lt;10,2,IF(Dataset!K1347&lt;18,3,4)))</f>
        <v>2</v>
      </c>
      <c r="S1347" s="29">
        <f t="shared" si="165"/>
        <v>0.9</v>
      </c>
      <c r="T1347" s="29">
        <f t="shared" si="166"/>
        <v>1.2750000000000004</v>
      </c>
      <c r="U1347" s="29" t="str">
        <f t="shared" si="167"/>
        <v>Low</v>
      </c>
    </row>
    <row r="1348" spans="1:21" ht="15" customHeight="1" x14ac:dyDescent="0.25">
      <c r="A1348" s="29">
        <f>Dataset!A1348</f>
        <v>1344</v>
      </c>
      <c r="B1348" s="29">
        <f>IF(Dataset!B1348&lt;25,0.3,IF(Dataset!B1348&lt;75,0.5,IF(Dataset!B1348&lt;120,0.65,0.8)))</f>
        <v>0.5</v>
      </c>
      <c r="C1348" s="29">
        <f>IF(Dataset!B1348&lt;25,1,IF(Dataset!B1348&lt;75,2,IF(Dataset!B1348&lt;120,3,4)))</f>
        <v>2</v>
      </c>
      <c r="D1348" s="29">
        <f t="shared" si="160"/>
        <v>1</v>
      </c>
      <c r="E1348" s="29">
        <f>IF(Dataset!C1348&lt;=1,0.3,IF(Dataset!C1348=2,0.4,IF(Dataset!C1348=3,0.5,IF(Dataset!C1348=4,0.65,0.8))))</f>
        <v>0.3</v>
      </c>
      <c r="F1348" s="29">
        <f>IF(Dataset!C1348&lt;=2,1,IF(Dataset!C1348=3,2,IF(Dataset!C1348=4,3,4)))</f>
        <v>1</v>
      </c>
      <c r="G1348" s="29">
        <f t="shared" si="161"/>
        <v>0.3</v>
      </c>
      <c r="H1348" s="29">
        <f>IF(Dataset!G1348&lt;=3,0.25,IF(Dataset!G1348&lt;=6,0.45,IF(Dataset!G1348&lt;=9,0.65,0.85)))</f>
        <v>0.45</v>
      </c>
      <c r="I1348" s="29">
        <f>IF(Dataset!G1348&lt;=3,1,IF(Dataset!G1348&lt;=6,2,IF(Dataset!G1348&lt;=9,3,4)))</f>
        <v>2</v>
      </c>
      <c r="J1348" s="29">
        <f t="shared" si="162"/>
        <v>0.9</v>
      </c>
      <c r="K1348" s="29">
        <f>IF(Dataset!H1348&lt;1,0.2,IF(Dataset!H1348&lt;1.3,0.45,IF(Dataset!H1348&lt;1.8,0.7,0.9)))</f>
        <v>0.9</v>
      </c>
      <c r="L1348" s="29">
        <f>IF(Dataset!H1348&lt;1,1,IF(Dataset!H1348&lt;1.3,2,IF(Dataset!H1348&lt;1.8,3,4)))</f>
        <v>4</v>
      </c>
      <c r="M1348" s="29">
        <f t="shared" si="163"/>
        <v>3.6</v>
      </c>
      <c r="N1348" s="29">
        <f>IF(Dataset!F1348=1,0.75,IF(Dataset!F1348=2,0.45,0.2))</f>
        <v>0.45</v>
      </c>
      <c r="O1348" s="29">
        <f>IF(Dataset!F1348=1,3,IF(Dataset!F1348=2,2,1))</f>
        <v>2</v>
      </c>
      <c r="P1348" s="29">
        <f t="shared" si="164"/>
        <v>0.9</v>
      </c>
      <c r="Q1348" s="29">
        <f>IF(Dataset!K1348&lt;5,0.2,IF(Dataset!K1348&lt;10,0.45,IF(Dataset!K1348&lt;18,0.7,0.9)))</f>
        <v>0.2</v>
      </c>
      <c r="R1348" s="29">
        <f>IF(Dataset!K1348&lt;5,1,IF(Dataset!K1348&lt;10,2,IF(Dataset!K1348&lt;18,3,4)))</f>
        <v>1</v>
      </c>
      <c r="S1348" s="29">
        <f t="shared" si="165"/>
        <v>0.2</v>
      </c>
      <c r="T1348" s="29">
        <f t="shared" si="166"/>
        <v>1.3840000000000001</v>
      </c>
      <c r="U1348" s="29" t="str">
        <f t="shared" si="167"/>
        <v>Medium</v>
      </c>
    </row>
    <row r="1349" spans="1:21" ht="15" customHeight="1" x14ac:dyDescent="0.25">
      <c r="A1349" s="29">
        <f>Dataset!A1349</f>
        <v>1345</v>
      </c>
      <c r="B1349" s="29">
        <f>IF(Dataset!B1349&lt;25,0.3,IF(Dataset!B1349&lt;75,0.5,IF(Dataset!B1349&lt;120,0.65,0.8)))</f>
        <v>0.5</v>
      </c>
      <c r="C1349" s="29">
        <f>IF(Dataset!B1349&lt;25,1,IF(Dataset!B1349&lt;75,2,IF(Dataset!B1349&lt;120,3,4)))</f>
        <v>2</v>
      </c>
      <c r="D1349" s="29">
        <f t="shared" ref="D1349:D1412" si="168">B1349*C1349</f>
        <v>1</v>
      </c>
      <c r="E1349" s="29">
        <f>IF(Dataset!C1349&lt;=1,0.3,IF(Dataset!C1349=2,0.4,IF(Dataset!C1349=3,0.5,IF(Dataset!C1349=4,0.65,0.8))))</f>
        <v>0.65</v>
      </c>
      <c r="F1349" s="29">
        <f>IF(Dataset!C1349&lt;=2,1,IF(Dataset!C1349=3,2,IF(Dataset!C1349=4,3,4)))</f>
        <v>3</v>
      </c>
      <c r="G1349" s="29">
        <f t="shared" ref="G1349:G1412" si="169">E1349*F1349</f>
        <v>1.9500000000000002</v>
      </c>
      <c r="H1349" s="29">
        <f>IF(Dataset!G1349&lt;=3,0.25,IF(Dataset!G1349&lt;=6,0.45,IF(Dataset!G1349&lt;=9,0.65,0.85)))</f>
        <v>0.65</v>
      </c>
      <c r="I1349" s="29">
        <f>IF(Dataset!G1349&lt;=3,1,IF(Dataset!G1349&lt;=6,2,IF(Dataset!G1349&lt;=9,3,4)))</f>
        <v>3</v>
      </c>
      <c r="J1349" s="29">
        <f t="shared" ref="J1349:J1412" si="170">H1349*I1349</f>
        <v>1.9500000000000002</v>
      </c>
      <c r="K1349" s="29">
        <f>IF(Dataset!H1349&lt;1,0.2,IF(Dataset!H1349&lt;1.3,0.45,IF(Dataset!H1349&lt;1.8,0.7,0.9)))</f>
        <v>0.7</v>
      </c>
      <c r="L1349" s="29">
        <f>IF(Dataset!H1349&lt;1,1,IF(Dataset!H1349&lt;1.3,2,IF(Dataset!H1349&lt;1.8,3,4)))</f>
        <v>3</v>
      </c>
      <c r="M1349" s="29">
        <f t="shared" ref="M1349:M1412" si="171">K1349*L1349</f>
        <v>2.0999999999999996</v>
      </c>
      <c r="N1349" s="29">
        <f>IF(Dataset!F1349=1,0.75,IF(Dataset!F1349=2,0.45,0.2))</f>
        <v>0.75</v>
      </c>
      <c r="O1349" s="29">
        <f>IF(Dataset!F1349=1,3,IF(Dataset!F1349=2,2,1))</f>
        <v>3</v>
      </c>
      <c r="P1349" s="29">
        <f t="shared" ref="P1349:P1412" si="172">N1349*O1349</f>
        <v>2.25</v>
      </c>
      <c r="Q1349" s="29">
        <f>IF(Dataset!K1349&lt;5,0.2,IF(Dataset!K1349&lt;10,0.45,IF(Dataset!K1349&lt;18,0.7,0.9)))</f>
        <v>0.45</v>
      </c>
      <c r="R1349" s="29">
        <f>IF(Dataset!K1349&lt;5,1,IF(Dataset!K1349&lt;10,2,IF(Dataset!K1349&lt;18,3,4)))</f>
        <v>2</v>
      </c>
      <c r="S1349" s="29">
        <f t="shared" ref="S1349:S1412" si="173">Q1349*R1349</f>
        <v>0.9</v>
      </c>
      <c r="T1349" s="29">
        <f t="shared" ref="T1349:T1412" si="174">$Y$6*D1349+$Y$7*G1349+$Y$8*J1349+$Y$9*M1349+$Y$10*P1349+$Y$11*S1349</f>
        <v>1.6980000000000002</v>
      </c>
      <c r="U1349" s="29" t="str">
        <f t="shared" ref="U1349:U1412" si="175">IF(T1349&lt;=$Y$15,"Low",IF(T1349&lt;=$Y$16,"Medium","High"))</f>
        <v>Medium</v>
      </c>
    </row>
    <row r="1350" spans="1:21" ht="15" customHeight="1" x14ac:dyDescent="0.25">
      <c r="A1350" s="29">
        <f>Dataset!A1350</f>
        <v>1346</v>
      </c>
      <c r="B1350" s="29">
        <f>IF(Dataset!B1350&lt;25,0.3,IF(Dataset!B1350&lt;75,0.5,IF(Dataset!B1350&lt;120,0.65,0.8)))</f>
        <v>0.3</v>
      </c>
      <c r="C1350" s="29">
        <f>IF(Dataset!B1350&lt;25,1,IF(Dataset!B1350&lt;75,2,IF(Dataset!B1350&lt;120,3,4)))</f>
        <v>1</v>
      </c>
      <c r="D1350" s="29">
        <f t="shared" si="168"/>
        <v>0.3</v>
      </c>
      <c r="E1350" s="29">
        <f>IF(Dataset!C1350&lt;=1,0.3,IF(Dataset!C1350=2,0.4,IF(Dataset!C1350=3,0.5,IF(Dataset!C1350=4,0.65,0.8))))</f>
        <v>0.5</v>
      </c>
      <c r="F1350" s="29">
        <f>IF(Dataset!C1350&lt;=2,1,IF(Dataset!C1350=3,2,IF(Dataset!C1350=4,3,4)))</f>
        <v>2</v>
      </c>
      <c r="G1350" s="29">
        <f t="shared" si="169"/>
        <v>1</v>
      </c>
      <c r="H1350" s="29">
        <f>IF(Dataset!G1350&lt;=3,0.25,IF(Dataset!G1350&lt;=6,0.45,IF(Dataset!G1350&lt;=9,0.65,0.85)))</f>
        <v>0.25</v>
      </c>
      <c r="I1350" s="29">
        <f>IF(Dataset!G1350&lt;=3,1,IF(Dataset!G1350&lt;=6,2,IF(Dataset!G1350&lt;=9,3,4)))</f>
        <v>1</v>
      </c>
      <c r="J1350" s="29">
        <f t="shared" si="170"/>
        <v>0.25</v>
      </c>
      <c r="K1350" s="29">
        <f>IF(Dataset!H1350&lt;1,0.2,IF(Dataset!H1350&lt;1.3,0.45,IF(Dataset!H1350&lt;1.8,0.7,0.9)))</f>
        <v>0.9</v>
      </c>
      <c r="L1350" s="29">
        <f>IF(Dataset!H1350&lt;1,1,IF(Dataset!H1350&lt;1.3,2,IF(Dataset!H1350&lt;1.8,3,4)))</f>
        <v>4</v>
      </c>
      <c r="M1350" s="29">
        <f t="shared" si="171"/>
        <v>3.6</v>
      </c>
      <c r="N1350" s="29">
        <f>IF(Dataset!F1350=1,0.75,IF(Dataset!F1350=2,0.45,0.2))</f>
        <v>0.75</v>
      </c>
      <c r="O1350" s="29">
        <f>IF(Dataset!F1350=1,3,IF(Dataset!F1350=2,2,1))</f>
        <v>3</v>
      </c>
      <c r="P1350" s="29">
        <f t="shared" si="172"/>
        <v>2.25</v>
      </c>
      <c r="Q1350" s="29">
        <f>IF(Dataset!K1350&lt;5,0.2,IF(Dataset!K1350&lt;10,0.45,IF(Dataset!K1350&lt;18,0.7,0.9)))</f>
        <v>0.2</v>
      </c>
      <c r="R1350" s="29">
        <f>IF(Dataset!K1350&lt;5,1,IF(Dataset!K1350&lt;10,2,IF(Dataset!K1350&lt;18,3,4)))</f>
        <v>1</v>
      </c>
      <c r="S1350" s="29">
        <f t="shared" si="173"/>
        <v>0.2</v>
      </c>
      <c r="T1350" s="29">
        <f t="shared" si="174"/>
        <v>1.3610000000000002</v>
      </c>
      <c r="U1350" s="29" t="str">
        <f t="shared" si="175"/>
        <v>Medium</v>
      </c>
    </row>
    <row r="1351" spans="1:21" ht="15" customHeight="1" x14ac:dyDescent="0.25">
      <c r="A1351" s="29">
        <f>Dataset!A1351</f>
        <v>1347</v>
      </c>
      <c r="B1351" s="29">
        <f>IF(Dataset!B1351&lt;25,0.3,IF(Dataset!B1351&lt;75,0.5,IF(Dataset!B1351&lt;120,0.65,0.8)))</f>
        <v>0.3</v>
      </c>
      <c r="C1351" s="29">
        <f>IF(Dataset!B1351&lt;25,1,IF(Dataset!B1351&lt;75,2,IF(Dataset!B1351&lt;120,3,4)))</f>
        <v>1</v>
      </c>
      <c r="D1351" s="29">
        <f t="shared" si="168"/>
        <v>0.3</v>
      </c>
      <c r="E1351" s="29">
        <f>IF(Dataset!C1351&lt;=1,0.3,IF(Dataset!C1351=2,0.4,IF(Dataset!C1351=3,0.5,IF(Dataset!C1351=4,0.65,0.8))))</f>
        <v>0.5</v>
      </c>
      <c r="F1351" s="29">
        <f>IF(Dataset!C1351&lt;=2,1,IF(Dataset!C1351=3,2,IF(Dataset!C1351=4,3,4)))</f>
        <v>2</v>
      </c>
      <c r="G1351" s="29">
        <f t="shared" si="169"/>
        <v>1</v>
      </c>
      <c r="H1351" s="29">
        <f>IF(Dataset!G1351&lt;=3,0.25,IF(Dataset!G1351&lt;=6,0.45,IF(Dataset!G1351&lt;=9,0.65,0.85)))</f>
        <v>0.45</v>
      </c>
      <c r="I1351" s="29">
        <f>IF(Dataset!G1351&lt;=3,1,IF(Dataset!G1351&lt;=6,2,IF(Dataset!G1351&lt;=9,3,4)))</f>
        <v>2</v>
      </c>
      <c r="J1351" s="29">
        <f t="shared" si="170"/>
        <v>0.9</v>
      </c>
      <c r="K1351" s="29">
        <f>IF(Dataset!H1351&lt;1,0.2,IF(Dataset!H1351&lt;1.3,0.45,IF(Dataset!H1351&lt;1.8,0.7,0.9)))</f>
        <v>0.9</v>
      </c>
      <c r="L1351" s="29">
        <f>IF(Dataset!H1351&lt;1,1,IF(Dataset!H1351&lt;1.3,2,IF(Dataset!H1351&lt;1.8,3,4)))</f>
        <v>4</v>
      </c>
      <c r="M1351" s="29">
        <f t="shared" si="171"/>
        <v>3.6</v>
      </c>
      <c r="N1351" s="29">
        <f>IF(Dataset!F1351=1,0.75,IF(Dataset!F1351=2,0.45,0.2))</f>
        <v>0.2</v>
      </c>
      <c r="O1351" s="29">
        <f>IF(Dataset!F1351=1,3,IF(Dataset!F1351=2,2,1))</f>
        <v>1</v>
      </c>
      <c r="P1351" s="29">
        <f t="shared" si="172"/>
        <v>0.2</v>
      </c>
      <c r="Q1351" s="29">
        <f>IF(Dataset!K1351&lt;5,0.2,IF(Dataset!K1351&lt;10,0.45,IF(Dataset!K1351&lt;18,0.7,0.9)))</f>
        <v>0.2</v>
      </c>
      <c r="R1351" s="29">
        <f>IF(Dataset!K1351&lt;5,1,IF(Dataset!K1351&lt;10,2,IF(Dataset!K1351&lt;18,3,4)))</f>
        <v>1</v>
      </c>
      <c r="S1351" s="29">
        <f t="shared" si="173"/>
        <v>0.2</v>
      </c>
      <c r="T1351" s="29">
        <f t="shared" si="174"/>
        <v>1.286</v>
      </c>
      <c r="U1351" s="29" t="str">
        <f t="shared" si="175"/>
        <v>Low</v>
      </c>
    </row>
    <row r="1352" spans="1:21" ht="15" customHeight="1" x14ac:dyDescent="0.25">
      <c r="A1352" s="29">
        <f>Dataset!A1352</f>
        <v>1348</v>
      </c>
      <c r="B1352" s="29">
        <f>IF(Dataset!B1352&lt;25,0.3,IF(Dataset!B1352&lt;75,0.5,IF(Dataset!B1352&lt;120,0.65,0.8)))</f>
        <v>0.5</v>
      </c>
      <c r="C1352" s="29">
        <f>IF(Dataset!B1352&lt;25,1,IF(Dataset!B1352&lt;75,2,IF(Dataset!B1352&lt;120,3,4)))</f>
        <v>2</v>
      </c>
      <c r="D1352" s="29">
        <f t="shared" si="168"/>
        <v>1</v>
      </c>
      <c r="E1352" s="29">
        <f>IF(Dataset!C1352&lt;=1,0.3,IF(Dataset!C1352=2,0.4,IF(Dataset!C1352=3,0.5,IF(Dataset!C1352=4,0.65,0.8))))</f>
        <v>0.5</v>
      </c>
      <c r="F1352" s="29">
        <f>IF(Dataset!C1352&lt;=2,1,IF(Dataset!C1352=3,2,IF(Dataset!C1352=4,3,4)))</f>
        <v>2</v>
      </c>
      <c r="G1352" s="29">
        <f t="shared" si="169"/>
        <v>1</v>
      </c>
      <c r="H1352" s="29">
        <f>IF(Dataset!G1352&lt;=3,0.25,IF(Dataset!G1352&lt;=6,0.45,IF(Dataset!G1352&lt;=9,0.65,0.85)))</f>
        <v>0.65</v>
      </c>
      <c r="I1352" s="29">
        <f>IF(Dataset!G1352&lt;=3,1,IF(Dataset!G1352&lt;=6,2,IF(Dataset!G1352&lt;=9,3,4)))</f>
        <v>3</v>
      </c>
      <c r="J1352" s="29">
        <f t="shared" si="170"/>
        <v>1.9500000000000002</v>
      </c>
      <c r="K1352" s="29">
        <f>IF(Dataset!H1352&lt;1,0.2,IF(Dataset!H1352&lt;1.3,0.45,IF(Dataset!H1352&lt;1.8,0.7,0.9)))</f>
        <v>0.7</v>
      </c>
      <c r="L1352" s="29">
        <f>IF(Dataset!H1352&lt;1,1,IF(Dataset!H1352&lt;1.3,2,IF(Dataset!H1352&lt;1.8,3,4)))</f>
        <v>3</v>
      </c>
      <c r="M1352" s="29">
        <f t="shared" si="171"/>
        <v>2.0999999999999996</v>
      </c>
      <c r="N1352" s="29">
        <f>IF(Dataset!F1352=1,0.75,IF(Dataset!F1352=2,0.45,0.2))</f>
        <v>0.45</v>
      </c>
      <c r="O1352" s="29">
        <f>IF(Dataset!F1352=1,3,IF(Dataset!F1352=2,2,1))</f>
        <v>2</v>
      </c>
      <c r="P1352" s="29">
        <f t="shared" si="172"/>
        <v>0.9</v>
      </c>
      <c r="Q1352" s="29">
        <f>IF(Dataset!K1352&lt;5,0.2,IF(Dataset!K1352&lt;10,0.45,IF(Dataset!K1352&lt;18,0.7,0.9)))</f>
        <v>0.2</v>
      </c>
      <c r="R1352" s="29">
        <f>IF(Dataset!K1352&lt;5,1,IF(Dataset!K1352&lt;10,2,IF(Dataset!K1352&lt;18,3,4)))</f>
        <v>1</v>
      </c>
      <c r="S1352" s="29">
        <f t="shared" si="173"/>
        <v>0.2</v>
      </c>
      <c r="T1352" s="29">
        <f t="shared" si="174"/>
        <v>1.3320000000000001</v>
      </c>
      <c r="U1352" s="29" t="str">
        <f t="shared" si="175"/>
        <v>Low</v>
      </c>
    </row>
    <row r="1353" spans="1:21" ht="15" customHeight="1" x14ac:dyDescent="0.25">
      <c r="A1353" s="29">
        <f>Dataset!A1353</f>
        <v>1349</v>
      </c>
      <c r="B1353" s="29">
        <f>IF(Dataset!B1353&lt;25,0.3,IF(Dataset!B1353&lt;75,0.5,IF(Dataset!B1353&lt;120,0.65,0.8)))</f>
        <v>0.5</v>
      </c>
      <c r="C1353" s="29">
        <f>IF(Dataset!B1353&lt;25,1,IF(Dataset!B1353&lt;75,2,IF(Dataset!B1353&lt;120,3,4)))</f>
        <v>2</v>
      </c>
      <c r="D1353" s="29">
        <f t="shared" si="168"/>
        <v>1</v>
      </c>
      <c r="E1353" s="29">
        <f>IF(Dataset!C1353&lt;=1,0.3,IF(Dataset!C1353=2,0.4,IF(Dataset!C1353=3,0.5,IF(Dataset!C1353=4,0.65,0.8))))</f>
        <v>0.8</v>
      </c>
      <c r="F1353" s="29">
        <f>IF(Dataset!C1353&lt;=2,1,IF(Dataset!C1353=3,2,IF(Dataset!C1353=4,3,4)))</f>
        <v>4</v>
      </c>
      <c r="G1353" s="29">
        <f t="shared" si="169"/>
        <v>3.2</v>
      </c>
      <c r="H1353" s="29">
        <f>IF(Dataset!G1353&lt;=3,0.25,IF(Dataset!G1353&lt;=6,0.45,IF(Dataset!G1353&lt;=9,0.65,0.85)))</f>
        <v>0.45</v>
      </c>
      <c r="I1353" s="29">
        <f>IF(Dataset!G1353&lt;=3,1,IF(Dataset!G1353&lt;=6,2,IF(Dataset!G1353&lt;=9,3,4)))</f>
        <v>2</v>
      </c>
      <c r="J1353" s="29">
        <f t="shared" si="170"/>
        <v>0.9</v>
      </c>
      <c r="K1353" s="29">
        <f>IF(Dataset!H1353&lt;1,0.2,IF(Dataset!H1353&lt;1.3,0.45,IF(Dataset!H1353&lt;1.8,0.7,0.9)))</f>
        <v>0.9</v>
      </c>
      <c r="L1353" s="29">
        <f>IF(Dataset!H1353&lt;1,1,IF(Dataset!H1353&lt;1.3,2,IF(Dataset!H1353&lt;1.8,3,4)))</f>
        <v>4</v>
      </c>
      <c r="M1353" s="29">
        <f t="shared" si="171"/>
        <v>3.6</v>
      </c>
      <c r="N1353" s="29">
        <f>IF(Dataset!F1353=1,0.75,IF(Dataset!F1353=2,0.45,0.2))</f>
        <v>0.45</v>
      </c>
      <c r="O1353" s="29">
        <f>IF(Dataset!F1353=1,3,IF(Dataset!F1353=2,2,1))</f>
        <v>2</v>
      </c>
      <c r="P1353" s="29">
        <f t="shared" si="172"/>
        <v>0.9</v>
      </c>
      <c r="Q1353" s="29">
        <f>IF(Dataset!K1353&lt;5,0.2,IF(Dataset!K1353&lt;10,0.45,IF(Dataset!K1353&lt;18,0.7,0.9)))</f>
        <v>0.7</v>
      </c>
      <c r="R1353" s="29">
        <f>IF(Dataset!K1353&lt;5,1,IF(Dataset!K1353&lt;10,2,IF(Dataset!K1353&lt;18,3,4)))</f>
        <v>3</v>
      </c>
      <c r="S1353" s="29">
        <f t="shared" si="173"/>
        <v>2.0999999999999996</v>
      </c>
      <c r="T1353" s="29">
        <f t="shared" si="174"/>
        <v>2.056</v>
      </c>
      <c r="U1353" s="29" t="str">
        <f t="shared" si="175"/>
        <v>High</v>
      </c>
    </row>
    <row r="1354" spans="1:21" ht="15" customHeight="1" x14ac:dyDescent="0.25">
      <c r="A1354" s="29">
        <f>Dataset!A1354</f>
        <v>1350</v>
      </c>
      <c r="B1354" s="29">
        <f>IF(Dataset!B1354&lt;25,0.3,IF(Dataset!B1354&lt;75,0.5,IF(Dataset!B1354&lt;120,0.65,0.8)))</f>
        <v>0.5</v>
      </c>
      <c r="C1354" s="29">
        <f>IF(Dataset!B1354&lt;25,1,IF(Dataset!B1354&lt;75,2,IF(Dataset!B1354&lt;120,3,4)))</f>
        <v>2</v>
      </c>
      <c r="D1354" s="29">
        <f t="shared" si="168"/>
        <v>1</v>
      </c>
      <c r="E1354" s="29">
        <f>IF(Dataset!C1354&lt;=1,0.3,IF(Dataset!C1354=2,0.4,IF(Dataset!C1354=3,0.5,IF(Dataset!C1354=4,0.65,0.8))))</f>
        <v>0.4</v>
      </c>
      <c r="F1354" s="29">
        <f>IF(Dataset!C1354&lt;=2,1,IF(Dataset!C1354=3,2,IF(Dataset!C1354=4,3,4)))</f>
        <v>1</v>
      </c>
      <c r="G1354" s="29">
        <f t="shared" si="169"/>
        <v>0.4</v>
      </c>
      <c r="H1354" s="29">
        <f>IF(Dataset!G1354&lt;=3,0.25,IF(Dataset!G1354&lt;=6,0.45,IF(Dataset!G1354&lt;=9,0.65,0.85)))</f>
        <v>0.65</v>
      </c>
      <c r="I1354" s="29">
        <f>IF(Dataset!G1354&lt;=3,1,IF(Dataset!G1354&lt;=6,2,IF(Dataset!G1354&lt;=9,3,4)))</f>
        <v>3</v>
      </c>
      <c r="J1354" s="29">
        <f t="shared" si="170"/>
        <v>1.9500000000000002</v>
      </c>
      <c r="K1354" s="29">
        <f>IF(Dataset!H1354&lt;1,0.2,IF(Dataset!H1354&lt;1.3,0.45,IF(Dataset!H1354&lt;1.8,0.7,0.9)))</f>
        <v>0.9</v>
      </c>
      <c r="L1354" s="29">
        <f>IF(Dataset!H1354&lt;1,1,IF(Dataset!H1354&lt;1.3,2,IF(Dataset!H1354&lt;1.8,3,4)))</f>
        <v>4</v>
      </c>
      <c r="M1354" s="29">
        <f t="shared" si="171"/>
        <v>3.6</v>
      </c>
      <c r="N1354" s="29">
        <f>IF(Dataset!F1354=1,0.75,IF(Dataset!F1354=2,0.45,0.2))</f>
        <v>0.45</v>
      </c>
      <c r="O1354" s="29">
        <f>IF(Dataset!F1354=1,3,IF(Dataset!F1354=2,2,1))</f>
        <v>2</v>
      </c>
      <c r="P1354" s="29">
        <f t="shared" si="172"/>
        <v>0.9</v>
      </c>
      <c r="Q1354" s="29">
        <f>IF(Dataset!K1354&lt;5,0.2,IF(Dataset!K1354&lt;10,0.45,IF(Dataset!K1354&lt;18,0.7,0.9)))</f>
        <v>0.2</v>
      </c>
      <c r="R1354" s="29">
        <f>IF(Dataset!K1354&lt;5,1,IF(Dataset!K1354&lt;10,2,IF(Dataset!K1354&lt;18,3,4)))</f>
        <v>1</v>
      </c>
      <c r="S1354" s="29">
        <f t="shared" si="173"/>
        <v>0.2</v>
      </c>
      <c r="T1354" s="29">
        <f t="shared" si="174"/>
        <v>1.6080000000000003</v>
      </c>
      <c r="U1354" s="29" t="str">
        <f t="shared" si="175"/>
        <v>Medium</v>
      </c>
    </row>
    <row r="1355" spans="1:21" ht="15" customHeight="1" x14ac:dyDescent="0.25">
      <c r="A1355" s="29">
        <f>Dataset!A1355</f>
        <v>1351</v>
      </c>
      <c r="B1355" s="29">
        <f>IF(Dataset!B1355&lt;25,0.3,IF(Dataset!B1355&lt;75,0.5,IF(Dataset!B1355&lt;120,0.65,0.8)))</f>
        <v>0.8</v>
      </c>
      <c r="C1355" s="29">
        <f>IF(Dataset!B1355&lt;25,1,IF(Dataset!B1355&lt;75,2,IF(Dataset!B1355&lt;120,3,4)))</f>
        <v>4</v>
      </c>
      <c r="D1355" s="29">
        <f t="shared" si="168"/>
        <v>3.2</v>
      </c>
      <c r="E1355" s="29">
        <f>IF(Dataset!C1355&lt;=1,0.3,IF(Dataset!C1355=2,0.4,IF(Dataset!C1355=3,0.5,IF(Dataset!C1355=4,0.65,0.8))))</f>
        <v>0.4</v>
      </c>
      <c r="F1355" s="29">
        <f>IF(Dataset!C1355&lt;=2,1,IF(Dataset!C1355=3,2,IF(Dataset!C1355=4,3,4)))</f>
        <v>1</v>
      </c>
      <c r="G1355" s="29">
        <f t="shared" si="169"/>
        <v>0.4</v>
      </c>
      <c r="H1355" s="29">
        <f>IF(Dataset!G1355&lt;=3,0.25,IF(Dataset!G1355&lt;=6,0.45,IF(Dataset!G1355&lt;=9,0.65,0.85)))</f>
        <v>0.25</v>
      </c>
      <c r="I1355" s="29">
        <f>IF(Dataset!G1355&lt;=3,1,IF(Dataset!G1355&lt;=6,2,IF(Dataset!G1355&lt;=9,3,4)))</f>
        <v>1</v>
      </c>
      <c r="J1355" s="29">
        <f t="shared" si="170"/>
        <v>0.25</v>
      </c>
      <c r="K1355" s="29">
        <f>IF(Dataset!H1355&lt;1,0.2,IF(Dataset!H1355&lt;1.3,0.45,IF(Dataset!H1355&lt;1.8,0.7,0.9)))</f>
        <v>0.7</v>
      </c>
      <c r="L1355" s="29">
        <f>IF(Dataset!H1355&lt;1,1,IF(Dataset!H1355&lt;1.3,2,IF(Dataset!H1355&lt;1.8,3,4)))</f>
        <v>3</v>
      </c>
      <c r="M1355" s="29">
        <f t="shared" si="171"/>
        <v>2.0999999999999996</v>
      </c>
      <c r="N1355" s="29">
        <f>IF(Dataset!F1355=1,0.75,IF(Dataset!F1355=2,0.45,0.2))</f>
        <v>0.2</v>
      </c>
      <c r="O1355" s="29">
        <f>IF(Dataset!F1355=1,3,IF(Dataset!F1355=2,2,1))</f>
        <v>1</v>
      </c>
      <c r="P1355" s="29">
        <f t="shared" si="172"/>
        <v>0.2</v>
      </c>
      <c r="Q1355" s="29">
        <f>IF(Dataset!K1355&lt;5,0.2,IF(Dataset!K1355&lt;10,0.45,IF(Dataset!K1355&lt;18,0.7,0.9)))</f>
        <v>0.2</v>
      </c>
      <c r="R1355" s="29">
        <f>IF(Dataset!K1355&lt;5,1,IF(Dataset!K1355&lt;10,2,IF(Dataset!K1355&lt;18,3,4)))</f>
        <v>1</v>
      </c>
      <c r="S1355" s="29">
        <f t="shared" si="173"/>
        <v>0.2</v>
      </c>
      <c r="T1355" s="29">
        <f t="shared" si="174"/>
        <v>1.234</v>
      </c>
      <c r="U1355" s="29" t="str">
        <f t="shared" si="175"/>
        <v>Low</v>
      </c>
    </row>
    <row r="1356" spans="1:21" ht="15" customHeight="1" x14ac:dyDescent="0.25">
      <c r="A1356" s="29">
        <f>Dataset!A1356</f>
        <v>1352</v>
      </c>
      <c r="B1356" s="29">
        <f>IF(Dataset!B1356&lt;25,0.3,IF(Dataset!B1356&lt;75,0.5,IF(Dataset!B1356&lt;120,0.65,0.8)))</f>
        <v>0.65</v>
      </c>
      <c r="C1356" s="29">
        <f>IF(Dataset!B1356&lt;25,1,IF(Dataset!B1356&lt;75,2,IF(Dataset!B1356&lt;120,3,4)))</f>
        <v>3</v>
      </c>
      <c r="D1356" s="29">
        <f t="shared" si="168"/>
        <v>1.9500000000000002</v>
      </c>
      <c r="E1356" s="29">
        <f>IF(Dataset!C1356&lt;=1,0.3,IF(Dataset!C1356=2,0.4,IF(Dataset!C1356=3,0.5,IF(Dataset!C1356=4,0.65,0.8))))</f>
        <v>0.4</v>
      </c>
      <c r="F1356" s="29">
        <f>IF(Dataset!C1356&lt;=2,1,IF(Dataset!C1356=3,2,IF(Dataset!C1356=4,3,4)))</f>
        <v>1</v>
      </c>
      <c r="G1356" s="29">
        <f t="shared" si="169"/>
        <v>0.4</v>
      </c>
      <c r="H1356" s="29">
        <f>IF(Dataset!G1356&lt;=3,0.25,IF(Dataset!G1356&lt;=6,0.45,IF(Dataset!G1356&lt;=9,0.65,0.85)))</f>
        <v>0.45</v>
      </c>
      <c r="I1356" s="29">
        <f>IF(Dataset!G1356&lt;=3,1,IF(Dataset!G1356&lt;=6,2,IF(Dataset!G1356&lt;=9,3,4)))</f>
        <v>2</v>
      </c>
      <c r="J1356" s="29">
        <f t="shared" si="170"/>
        <v>0.9</v>
      </c>
      <c r="K1356" s="29">
        <f>IF(Dataset!H1356&lt;1,0.2,IF(Dataset!H1356&lt;1.3,0.45,IF(Dataset!H1356&lt;1.8,0.7,0.9)))</f>
        <v>0.7</v>
      </c>
      <c r="L1356" s="29">
        <f>IF(Dataset!H1356&lt;1,1,IF(Dataset!H1356&lt;1.3,2,IF(Dataset!H1356&lt;1.8,3,4)))</f>
        <v>3</v>
      </c>
      <c r="M1356" s="29">
        <f t="shared" si="171"/>
        <v>2.0999999999999996</v>
      </c>
      <c r="N1356" s="29">
        <f>IF(Dataset!F1356=1,0.75,IF(Dataset!F1356=2,0.45,0.2))</f>
        <v>0.45</v>
      </c>
      <c r="O1356" s="29">
        <f>IF(Dataset!F1356=1,3,IF(Dataset!F1356=2,2,1))</f>
        <v>2</v>
      </c>
      <c r="P1356" s="29">
        <f t="shared" si="172"/>
        <v>0.9</v>
      </c>
      <c r="Q1356" s="29">
        <f>IF(Dataset!K1356&lt;5,0.2,IF(Dataset!K1356&lt;10,0.45,IF(Dataset!K1356&lt;18,0.7,0.9)))</f>
        <v>0.2</v>
      </c>
      <c r="R1356" s="29">
        <f>IF(Dataset!K1356&lt;5,1,IF(Dataset!K1356&lt;10,2,IF(Dataset!K1356&lt;18,3,4)))</f>
        <v>1</v>
      </c>
      <c r="S1356" s="29">
        <f t="shared" si="173"/>
        <v>0.2</v>
      </c>
      <c r="T1356" s="29">
        <f t="shared" si="174"/>
        <v>1.2090000000000001</v>
      </c>
      <c r="U1356" s="29" t="str">
        <f t="shared" si="175"/>
        <v>Low</v>
      </c>
    </row>
    <row r="1357" spans="1:21" ht="15" customHeight="1" x14ac:dyDescent="0.25">
      <c r="A1357" s="29">
        <f>Dataset!A1357</f>
        <v>1353</v>
      </c>
      <c r="B1357" s="29">
        <f>IF(Dataset!B1357&lt;25,0.3,IF(Dataset!B1357&lt;75,0.5,IF(Dataset!B1357&lt;120,0.65,0.8)))</f>
        <v>0.3</v>
      </c>
      <c r="C1357" s="29">
        <f>IF(Dataset!B1357&lt;25,1,IF(Dataset!B1357&lt;75,2,IF(Dataset!B1357&lt;120,3,4)))</f>
        <v>1</v>
      </c>
      <c r="D1357" s="29">
        <f t="shared" si="168"/>
        <v>0.3</v>
      </c>
      <c r="E1357" s="29">
        <f>IF(Dataset!C1357&lt;=1,0.3,IF(Dataset!C1357=2,0.4,IF(Dataset!C1357=3,0.5,IF(Dataset!C1357=4,0.65,0.8))))</f>
        <v>0.65</v>
      </c>
      <c r="F1357" s="29">
        <f>IF(Dataset!C1357&lt;=2,1,IF(Dataset!C1357=3,2,IF(Dataset!C1357=4,3,4)))</f>
        <v>3</v>
      </c>
      <c r="G1357" s="29">
        <f t="shared" si="169"/>
        <v>1.9500000000000002</v>
      </c>
      <c r="H1357" s="29">
        <f>IF(Dataset!G1357&lt;=3,0.25,IF(Dataset!G1357&lt;=6,0.45,IF(Dataset!G1357&lt;=9,0.65,0.85)))</f>
        <v>0.65</v>
      </c>
      <c r="I1357" s="29">
        <f>IF(Dataset!G1357&lt;=3,1,IF(Dataset!G1357&lt;=6,2,IF(Dataset!G1357&lt;=9,3,4)))</f>
        <v>3</v>
      </c>
      <c r="J1357" s="29">
        <f t="shared" si="170"/>
        <v>1.9500000000000002</v>
      </c>
      <c r="K1357" s="29">
        <f>IF(Dataset!H1357&lt;1,0.2,IF(Dataset!H1357&lt;1.3,0.45,IF(Dataset!H1357&lt;1.8,0.7,0.9)))</f>
        <v>0.9</v>
      </c>
      <c r="L1357" s="29">
        <f>IF(Dataset!H1357&lt;1,1,IF(Dataset!H1357&lt;1.3,2,IF(Dataset!H1357&lt;1.8,3,4)))</f>
        <v>4</v>
      </c>
      <c r="M1357" s="29">
        <f t="shared" si="171"/>
        <v>3.6</v>
      </c>
      <c r="N1357" s="29">
        <f>IF(Dataset!F1357=1,0.75,IF(Dataset!F1357=2,0.45,0.2))</f>
        <v>0.2</v>
      </c>
      <c r="O1357" s="29">
        <f>IF(Dataset!F1357=1,3,IF(Dataset!F1357=2,2,1))</f>
        <v>1</v>
      </c>
      <c r="P1357" s="29">
        <f t="shared" si="172"/>
        <v>0.2</v>
      </c>
      <c r="Q1357" s="29">
        <f>IF(Dataset!K1357&lt;5,0.2,IF(Dataset!K1357&lt;10,0.45,IF(Dataset!K1357&lt;18,0.7,0.9)))</f>
        <v>0.7</v>
      </c>
      <c r="R1357" s="29">
        <f>IF(Dataset!K1357&lt;5,1,IF(Dataset!K1357&lt;10,2,IF(Dataset!K1357&lt;18,3,4)))</f>
        <v>3</v>
      </c>
      <c r="S1357" s="29">
        <f t="shared" si="173"/>
        <v>2.0999999999999996</v>
      </c>
      <c r="T1357" s="29">
        <f t="shared" si="174"/>
        <v>1.895</v>
      </c>
      <c r="U1357" s="29" t="str">
        <f t="shared" si="175"/>
        <v>High</v>
      </c>
    </row>
    <row r="1358" spans="1:21" ht="15" customHeight="1" x14ac:dyDescent="0.25">
      <c r="A1358" s="29">
        <f>Dataset!A1358</f>
        <v>1354</v>
      </c>
      <c r="B1358" s="29">
        <f>IF(Dataset!B1358&lt;25,0.3,IF(Dataset!B1358&lt;75,0.5,IF(Dataset!B1358&lt;120,0.65,0.8)))</f>
        <v>0.8</v>
      </c>
      <c r="C1358" s="29">
        <f>IF(Dataset!B1358&lt;25,1,IF(Dataset!B1358&lt;75,2,IF(Dataset!B1358&lt;120,3,4)))</f>
        <v>4</v>
      </c>
      <c r="D1358" s="29">
        <f t="shared" si="168"/>
        <v>3.2</v>
      </c>
      <c r="E1358" s="29">
        <f>IF(Dataset!C1358&lt;=1,0.3,IF(Dataset!C1358=2,0.4,IF(Dataset!C1358=3,0.5,IF(Dataset!C1358=4,0.65,0.8))))</f>
        <v>0.8</v>
      </c>
      <c r="F1358" s="29">
        <f>IF(Dataset!C1358&lt;=2,1,IF(Dataset!C1358=3,2,IF(Dataset!C1358=4,3,4)))</f>
        <v>4</v>
      </c>
      <c r="G1358" s="29">
        <f t="shared" si="169"/>
        <v>3.2</v>
      </c>
      <c r="H1358" s="29">
        <f>IF(Dataset!G1358&lt;=3,0.25,IF(Dataset!G1358&lt;=6,0.45,IF(Dataset!G1358&lt;=9,0.65,0.85)))</f>
        <v>0.65</v>
      </c>
      <c r="I1358" s="29">
        <f>IF(Dataset!G1358&lt;=3,1,IF(Dataset!G1358&lt;=6,2,IF(Dataset!G1358&lt;=9,3,4)))</f>
        <v>3</v>
      </c>
      <c r="J1358" s="29">
        <f t="shared" si="170"/>
        <v>1.9500000000000002</v>
      </c>
      <c r="K1358" s="29">
        <f>IF(Dataset!H1358&lt;1,0.2,IF(Dataset!H1358&lt;1.3,0.45,IF(Dataset!H1358&lt;1.8,0.7,0.9)))</f>
        <v>0.7</v>
      </c>
      <c r="L1358" s="29">
        <f>IF(Dataset!H1358&lt;1,1,IF(Dataset!H1358&lt;1.3,2,IF(Dataset!H1358&lt;1.8,3,4)))</f>
        <v>3</v>
      </c>
      <c r="M1358" s="29">
        <f t="shared" si="171"/>
        <v>2.0999999999999996</v>
      </c>
      <c r="N1358" s="29">
        <f>IF(Dataset!F1358=1,0.75,IF(Dataset!F1358=2,0.45,0.2))</f>
        <v>0.45</v>
      </c>
      <c r="O1358" s="29">
        <f>IF(Dataset!F1358=1,3,IF(Dataset!F1358=2,2,1))</f>
        <v>2</v>
      </c>
      <c r="P1358" s="29">
        <f t="shared" si="172"/>
        <v>0.9</v>
      </c>
      <c r="Q1358" s="29">
        <f>IF(Dataset!K1358&lt;5,0.2,IF(Dataset!K1358&lt;10,0.45,IF(Dataset!K1358&lt;18,0.7,0.9)))</f>
        <v>0.9</v>
      </c>
      <c r="R1358" s="29">
        <f>IF(Dataset!K1358&lt;5,1,IF(Dataset!K1358&lt;10,2,IF(Dataset!K1358&lt;18,3,4)))</f>
        <v>4</v>
      </c>
      <c r="S1358" s="29">
        <f t="shared" si="173"/>
        <v>3.6</v>
      </c>
      <c r="T1358" s="29">
        <f t="shared" si="174"/>
        <v>2.512</v>
      </c>
      <c r="U1358" s="29" t="str">
        <f t="shared" si="175"/>
        <v>High</v>
      </c>
    </row>
    <row r="1359" spans="1:21" ht="15" customHeight="1" x14ac:dyDescent="0.25">
      <c r="A1359" s="29">
        <f>Dataset!A1359</f>
        <v>1355</v>
      </c>
      <c r="B1359" s="29">
        <f>IF(Dataset!B1359&lt;25,0.3,IF(Dataset!B1359&lt;75,0.5,IF(Dataset!B1359&lt;120,0.65,0.8)))</f>
        <v>0.5</v>
      </c>
      <c r="C1359" s="29">
        <f>IF(Dataset!B1359&lt;25,1,IF(Dataset!B1359&lt;75,2,IF(Dataset!B1359&lt;120,3,4)))</f>
        <v>2</v>
      </c>
      <c r="D1359" s="29">
        <f t="shared" si="168"/>
        <v>1</v>
      </c>
      <c r="E1359" s="29">
        <f>IF(Dataset!C1359&lt;=1,0.3,IF(Dataset!C1359=2,0.4,IF(Dataset!C1359=3,0.5,IF(Dataset!C1359=4,0.65,0.8))))</f>
        <v>0.5</v>
      </c>
      <c r="F1359" s="29">
        <f>IF(Dataset!C1359&lt;=2,1,IF(Dataset!C1359=3,2,IF(Dataset!C1359=4,3,4)))</f>
        <v>2</v>
      </c>
      <c r="G1359" s="29">
        <f t="shared" si="169"/>
        <v>1</v>
      </c>
      <c r="H1359" s="29">
        <f>IF(Dataset!G1359&lt;=3,0.25,IF(Dataset!G1359&lt;=6,0.45,IF(Dataset!G1359&lt;=9,0.65,0.85)))</f>
        <v>0.45</v>
      </c>
      <c r="I1359" s="29">
        <f>IF(Dataset!G1359&lt;=3,1,IF(Dataset!G1359&lt;=6,2,IF(Dataset!G1359&lt;=9,3,4)))</f>
        <v>2</v>
      </c>
      <c r="J1359" s="29">
        <f t="shared" si="170"/>
        <v>0.9</v>
      </c>
      <c r="K1359" s="29">
        <f>IF(Dataset!H1359&lt;1,0.2,IF(Dataset!H1359&lt;1.3,0.45,IF(Dataset!H1359&lt;1.8,0.7,0.9)))</f>
        <v>0.45</v>
      </c>
      <c r="L1359" s="29">
        <f>IF(Dataset!H1359&lt;1,1,IF(Dataset!H1359&lt;1.3,2,IF(Dataset!H1359&lt;1.8,3,4)))</f>
        <v>2</v>
      </c>
      <c r="M1359" s="29">
        <f t="shared" si="171"/>
        <v>0.9</v>
      </c>
      <c r="N1359" s="29">
        <f>IF(Dataset!F1359=1,0.75,IF(Dataset!F1359=2,0.45,0.2))</f>
        <v>0.45</v>
      </c>
      <c r="O1359" s="29">
        <f>IF(Dataset!F1359=1,3,IF(Dataset!F1359=2,2,1))</f>
        <v>2</v>
      </c>
      <c r="P1359" s="29">
        <f t="shared" si="172"/>
        <v>0.9</v>
      </c>
      <c r="Q1359" s="29">
        <f>IF(Dataset!K1359&lt;5,0.2,IF(Dataset!K1359&lt;10,0.45,IF(Dataset!K1359&lt;18,0.7,0.9)))</f>
        <v>0.45</v>
      </c>
      <c r="R1359" s="29">
        <f>IF(Dataset!K1359&lt;5,1,IF(Dataset!K1359&lt;10,2,IF(Dataset!K1359&lt;18,3,4)))</f>
        <v>2</v>
      </c>
      <c r="S1359" s="29">
        <f t="shared" si="173"/>
        <v>0.9</v>
      </c>
      <c r="T1359" s="29">
        <f t="shared" si="174"/>
        <v>0.93199999999999994</v>
      </c>
      <c r="U1359" s="29" t="str">
        <f t="shared" si="175"/>
        <v>Low</v>
      </c>
    </row>
    <row r="1360" spans="1:21" ht="15" customHeight="1" x14ac:dyDescent="0.25">
      <c r="A1360" s="29">
        <f>Dataset!A1360</f>
        <v>1356</v>
      </c>
      <c r="B1360" s="29">
        <f>IF(Dataset!B1360&lt;25,0.3,IF(Dataset!B1360&lt;75,0.5,IF(Dataset!B1360&lt;120,0.65,0.8)))</f>
        <v>0.65</v>
      </c>
      <c r="C1360" s="29">
        <f>IF(Dataset!B1360&lt;25,1,IF(Dataset!B1360&lt;75,2,IF(Dataset!B1360&lt;120,3,4)))</f>
        <v>3</v>
      </c>
      <c r="D1360" s="29">
        <f t="shared" si="168"/>
        <v>1.9500000000000002</v>
      </c>
      <c r="E1360" s="29">
        <f>IF(Dataset!C1360&lt;=1,0.3,IF(Dataset!C1360=2,0.4,IF(Dataset!C1360=3,0.5,IF(Dataset!C1360=4,0.65,0.8))))</f>
        <v>0.8</v>
      </c>
      <c r="F1360" s="29">
        <f>IF(Dataset!C1360&lt;=2,1,IF(Dataset!C1360=3,2,IF(Dataset!C1360=4,3,4)))</f>
        <v>4</v>
      </c>
      <c r="G1360" s="29">
        <f t="shared" si="169"/>
        <v>3.2</v>
      </c>
      <c r="H1360" s="29">
        <f>IF(Dataset!G1360&lt;=3,0.25,IF(Dataset!G1360&lt;=6,0.45,IF(Dataset!G1360&lt;=9,0.65,0.85)))</f>
        <v>0.85</v>
      </c>
      <c r="I1360" s="29">
        <f>IF(Dataset!G1360&lt;=3,1,IF(Dataset!G1360&lt;=6,2,IF(Dataset!G1360&lt;=9,3,4)))</f>
        <v>4</v>
      </c>
      <c r="J1360" s="29">
        <f t="shared" si="170"/>
        <v>3.4</v>
      </c>
      <c r="K1360" s="29">
        <f>IF(Dataset!H1360&lt;1,0.2,IF(Dataset!H1360&lt;1.3,0.45,IF(Dataset!H1360&lt;1.8,0.7,0.9)))</f>
        <v>0.45</v>
      </c>
      <c r="L1360" s="29">
        <f>IF(Dataset!H1360&lt;1,1,IF(Dataset!H1360&lt;1.3,2,IF(Dataset!H1360&lt;1.8,3,4)))</f>
        <v>2</v>
      </c>
      <c r="M1360" s="29">
        <f t="shared" si="171"/>
        <v>0.9</v>
      </c>
      <c r="N1360" s="29">
        <f>IF(Dataset!F1360=1,0.75,IF(Dataset!F1360=2,0.45,0.2))</f>
        <v>0.45</v>
      </c>
      <c r="O1360" s="29">
        <f>IF(Dataset!F1360=1,3,IF(Dataset!F1360=2,2,1))</f>
        <v>2</v>
      </c>
      <c r="P1360" s="29">
        <f t="shared" si="172"/>
        <v>0.9</v>
      </c>
      <c r="Q1360" s="29">
        <f>IF(Dataset!K1360&lt;5,0.2,IF(Dataset!K1360&lt;10,0.45,IF(Dataset!K1360&lt;18,0.7,0.9)))</f>
        <v>0.9</v>
      </c>
      <c r="R1360" s="29">
        <f>IF(Dataset!K1360&lt;5,1,IF(Dataset!K1360&lt;10,2,IF(Dataset!K1360&lt;18,3,4)))</f>
        <v>4</v>
      </c>
      <c r="S1360" s="29">
        <f t="shared" si="173"/>
        <v>3.6</v>
      </c>
      <c r="T1360" s="29">
        <f t="shared" si="174"/>
        <v>2.2890000000000001</v>
      </c>
      <c r="U1360" s="29" t="str">
        <f t="shared" si="175"/>
        <v>High</v>
      </c>
    </row>
    <row r="1361" spans="1:21" ht="15" customHeight="1" x14ac:dyDescent="0.25">
      <c r="A1361" s="29">
        <f>Dataset!A1361</f>
        <v>1357</v>
      </c>
      <c r="B1361" s="29">
        <f>IF(Dataset!B1361&lt;25,0.3,IF(Dataset!B1361&lt;75,0.5,IF(Dataset!B1361&lt;120,0.65,0.8)))</f>
        <v>0.5</v>
      </c>
      <c r="C1361" s="29">
        <f>IF(Dataset!B1361&lt;25,1,IF(Dataset!B1361&lt;75,2,IF(Dataset!B1361&lt;120,3,4)))</f>
        <v>2</v>
      </c>
      <c r="D1361" s="29">
        <f t="shared" si="168"/>
        <v>1</v>
      </c>
      <c r="E1361" s="29">
        <f>IF(Dataset!C1361&lt;=1,0.3,IF(Dataset!C1361=2,0.4,IF(Dataset!C1361=3,0.5,IF(Dataset!C1361=4,0.65,0.8))))</f>
        <v>0.5</v>
      </c>
      <c r="F1361" s="29">
        <f>IF(Dataset!C1361&lt;=2,1,IF(Dataset!C1361=3,2,IF(Dataset!C1361=4,3,4)))</f>
        <v>2</v>
      </c>
      <c r="G1361" s="29">
        <f t="shared" si="169"/>
        <v>1</v>
      </c>
      <c r="H1361" s="29">
        <f>IF(Dataset!G1361&lt;=3,0.25,IF(Dataset!G1361&lt;=6,0.45,IF(Dataset!G1361&lt;=9,0.65,0.85)))</f>
        <v>0.45</v>
      </c>
      <c r="I1361" s="29">
        <f>IF(Dataset!G1361&lt;=3,1,IF(Dataset!G1361&lt;=6,2,IF(Dataset!G1361&lt;=9,3,4)))</f>
        <v>2</v>
      </c>
      <c r="J1361" s="29">
        <f t="shared" si="170"/>
        <v>0.9</v>
      </c>
      <c r="K1361" s="29">
        <f>IF(Dataset!H1361&lt;1,0.2,IF(Dataset!H1361&lt;1.3,0.45,IF(Dataset!H1361&lt;1.8,0.7,0.9)))</f>
        <v>0.9</v>
      </c>
      <c r="L1361" s="29">
        <f>IF(Dataset!H1361&lt;1,1,IF(Dataset!H1361&lt;1.3,2,IF(Dataset!H1361&lt;1.8,3,4)))</f>
        <v>4</v>
      </c>
      <c r="M1361" s="29">
        <f t="shared" si="171"/>
        <v>3.6</v>
      </c>
      <c r="N1361" s="29">
        <f>IF(Dataset!F1361=1,0.75,IF(Dataset!F1361=2,0.45,0.2))</f>
        <v>0.45</v>
      </c>
      <c r="O1361" s="29">
        <f>IF(Dataset!F1361=1,3,IF(Dataset!F1361=2,2,1))</f>
        <v>2</v>
      </c>
      <c r="P1361" s="29">
        <f t="shared" si="172"/>
        <v>0.9</v>
      </c>
      <c r="Q1361" s="29">
        <f>IF(Dataset!K1361&lt;5,0.2,IF(Dataset!K1361&lt;10,0.45,IF(Dataset!K1361&lt;18,0.7,0.9)))</f>
        <v>0.45</v>
      </c>
      <c r="R1361" s="29">
        <f>IF(Dataset!K1361&lt;5,1,IF(Dataset!K1361&lt;10,2,IF(Dataset!K1361&lt;18,3,4)))</f>
        <v>2</v>
      </c>
      <c r="S1361" s="29">
        <f t="shared" si="173"/>
        <v>0.9</v>
      </c>
      <c r="T1361" s="29">
        <f t="shared" si="174"/>
        <v>1.58</v>
      </c>
      <c r="U1361" s="29" t="str">
        <f t="shared" si="175"/>
        <v>Medium</v>
      </c>
    </row>
    <row r="1362" spans="1:21" ht="15" customHeight="1" x14ac:dyDescent="0.25">
      <c r="A1362" s="29">
        <f>Dataset!A1362</f>
        <v>1358</v>
      </c>
      <c r="B1362" s="29">
        <f>IF(Dataset!B1362&lt;25,0.3,IF(Dataset!B1362&lt;75,0.5,IF(Dataset!B1362&lt;120,0.65,0.8)))</f>
        <v>0.5</v>
      </c>
      <c r="C1362" s="29">
        <f>IF(Dataset!B1362&lt;25,1,IF(Dataset!B1362&lt;75,2,IF(Dataset!B1362&lt;120,3,4)))</f>
        <v>2</v>
      </c>
      <c r="D1362" s="29">
        <f t="shared" si="168"/>
        <v>1</v>
      </c>
      <c r="E1362" s="29">
        <f>IF(Dataset!C1362&lt;=1,0.3,IF(Dataset!C1362=2,0.4,IF(Dataset!C1362=3,0.5,IF(Dataset!C1362=4,0.65,0.8))))</f>
        <v>0.65</v>
      </c>
      <c r="F1362" s="29">
        <f>IF(Dataset!C1362&lt;=2,1,IF(Dataset!C1362=3,2,IF(Dataset!C1362=4,3,4)))</f>
        <v>3</v>
      </c>
      <c r="G1362" s="29">
        <f t="shared" si="169"/>
        <v>1.9500000000000002</v>
      </c>
      <c r="H1362" s="29">
        <f>IF(Dataset!G1362&lt;=3,0.25,IF(Dataset!G1362&lt;=6,0.45,IF(Dataset!G1362&lt;=9,0.65,0.85)))</f>
        <v>0.25</v>
      </c>
      <c r="I1362" s="29">
        <f>IF(Dataset!G1362&lt;=3,1,IF(Dataset!G1362&lt;=6,2,IF(Dataset!G1362&lt;=9,3,4)))</f>
        <v>1</v>
      </c>
      <c r="J1362" s="29">
        <f t="shared" si="170"/>
        <v>0.25</v>
      </c>
      <c r="K1362" s="29">
        <f>IF(Dataset!H1362&lt;1,0.2,IF(Dataset!H1362&lt;1.3,0.45,IF(Dataset!H1362&lt;1.8,0.7,0.9)))</f>
        <v>0.45</v>
      </c>
      <c r="L1362" s="29">
        <f>IF(Dataset!H1362&lt;1,1,IF(Dataset!H1362&lt;1.3,2,IF(Dataset!H1362&lt;1.8,3,4)))</f>
        <v>2</v>
      </c>
      <c r="M1362" s="29">
        <f t="shared" si="171"/>
        <v>0.9</v>
      </c>
      <c r="N1362" s="29">
        <f>IF(Dataset!F1362=1,0.75,IF(Dataset!F1362=2,0.45,0.2))</f>
        <v>0.45</v>
      </c>
      <c r="O1362" s="29">
        <f>IF(Dataset!F1362=1,3,IF(Dataset!F1362=2,2,1))</f>
        <v>2</v>
      </c>
      <c r="P1362" s="29">
        <f t="shared" si="172"/>
        <v>0.9</v>
      </c>
      <c r="Q1362" s="29">
        <f>IF(Dataset!K1362&lt;5,0.2,IF(Dataset!K1362&lt;10,0.45,IF(Dataset!K1362&lt;18,0.7,0.9)))</f>
        <v>0.45</v>
      </c>
      <c r="R1362" s="29">
        <f>IF(Dataset!K1362&lt;5,1,IF(Dataset!K1362&lt;10,2,IF(Dataset!K1362&lt;18,3,4)))</f>
        <v>2</v>
      </c>
      <c r="S1362" s="29">
        <f t="shared" si="173"/>
        <v>0.9</v>
      </c>
      <c r="T1362" s="29">
        <f t="shared" si="174"/>
        <v>0.93500000000000005</v>
      </c>
      <c r="U1362" s="29" t="str">
        <f t="shared" si="175"/>
        <v>Low</v>
      </c>
    </row>
    <row r="1363" spans="1:21" ht="15" customHeight="1" x14ac:dyDescent="0.25">
      <c r="A1363" s="29">
        <f>Dataset!A1363</f>
        <v>1359</v>
      </c>
      <c r="B1363" s="29">
        <f>IF(Dataset!B1363&lt;25,0.3,IF(Dataset!B1363&lt;75,0.5,IF(Dataset!B1363&lt;120,0.65,0.8)))</f>
        <v>0.3</v>
      </c>
      <c r="C1363" s="29">
        <f>IF(Dataset!B1363&lt;25,1,IF(Dataset!B1363&lt;75,2,IF(Dataset!B1363&lt;120,3,4)))</f>
        <v>1</v>
      </c>
      <c r="D1363" s="29">
        <f t="shared" si="168"/>
        <v>0.3</v>
      </c>
      <c r="E1363" s="29">
        <f>IF(Dataset!C1363&lt;=1,0.3,IF(Dataset!C1363=2,0.4,IF(Dataset!C1363=3,0.5,IF(Dataset!C1363=4,0.65,0.8))))</f>
        <v>0.3</v>
      </c>
      <c r="F1363" s="29">
        <f>IF(Dataset!C1363&lt;=2,1,IF(Dataset!C1363=3,2,IF(Dataset!C1363=4,3,4)))</f>
        <v>1</v>
      </c>
      <c r="G1363" s="29">
        <f t="shared" si="169"/>
        <v>0.3</v>
      </c>
      <c r="H1363" s="29">
        <f>IF(Dataset!G1363&lt;=3,0.25,IF(Dataset!G1363&lt;=6,0.45,IF(Dataset!G1363&lt;=9,0.65,0.85)))</f>
        <v>0.65</v>
      </c>
      <c r="I1363" s="29">
        <f>IF(Dataset!G1363&lt;=3,1,IF(Dataset!G1363&lt;=6,2,IF(Dataset!G1363&lt;=9,3,4)))</f>
        <v>3</v>
      </c>
      <c r="J1363" s="29">
        <f t="shared" si="170"/>
        <v>1.9500000000000002</v>
      </c>
      <c r="K1363" s="29">
        <f>IF(Dataset!H1363&lt;1,0.2,IF(Dataset!H1363&lt;1.3,0.45,IF(Dataset!H1363&lt;1.8,0.7,0.9)))</f>
        <v>0.9</v>
      </c>
      <c r="L1363" s="29">
        <f>IF(Dataset!H1363&lt;1,1,IF(Dataset!H1363&lt;1.3,2,IF(Dataset!H1363&lt;1.8,3,4)))</f>
        <v>4</v>
      </c>
      <c r="M1363" s="29">
        <f t="shared" si="171"/>
        <v>3.6</v>
      </c>
      <c r="N1363" s="29">
        <f>IF(Dataset!F1363=1,0.75,IF(Dataset!F1363=2,0.45,0.2))</f>
        <v>0.75</v>
      </c>
      <c r="O1363" s="29">
        <f>IF(Dataset!F1363=1,3,IF(Dataset!F1363=2,2,1))</f>
        <v>3</v>
      </c>
      <c r="P1363" s="29">
        <f t="shared" si="172"/>
        <v>2.25</v>
      </c>
      <c r="Q1363" s="29">
        <f>IF(Dataset!K1363&lt;5,0.2,IF(Dataset!K1363&lt;10,0.45,IF(Dataset!K1363&lt;18,0.7,0.9)))</f>
        <v>0.2</v>
      </c>
      <c r="R1363" s="29">
        <f>IF(Dataset!K1363&lt;5,1,IF(Dataset!K1363&lt;10,2,IF(Dataset!K1363&lt;18,3,4)))</f>
        <v>1</v>
      </c>
      <c r="S1363" s="29">
        <f t="shared" si="173"/>
        <v>0.2</v>
      </c>
      <c r="T1363" s="29">
        <f t="shared" si="174"/>
        <v>1.6030000000000002</v>
      </c>
      <c r="U1363" s="29" t="str">
        <f t="shared" si="175"/>
        <v>Medium</v>
      </c>
    </row>
    <row r="1364" spans="1:21" ht="15" customHeight="1" x14ac:dyDescent="0.25">
      <c r="A1364" s="29">
        <f>Dataset!A1364</f>
        <v>1360</v>
      </c>
      <c r="B1364" s="29">
        <f>IF(Dataset!B1364&lt;25,0.3,IF(Dataset!B1364&lt;75,0.5,IF(Dataset!B1364&lt;120,0.65,0.8)))</f>
        <v>0.65</v>
      </c>
      <c r="C1364" s="29">
        <f>IF(Dataset!B1364&lt;25,1,IF(Dataset!B1364&lt;75,2,IF(Dataset!B1364&lt;120,3,4)))</f>
        <v>3</v>
      </c>
      <c r="D1364" s="29">
        <f t="shared" si="168"/>
        <v>1.9500000000000002</v>
      </c>
      <c r="E1364" s="29">
        <f>IF(Dataset!C1364&lt;=1,0.3,IF(Dataset!C1364=2,0.4,IF(Dataset!C1364=3,0.5,IF(Dataset!C1364=4,0.65,0.8))))</f>
        <v>0.5</v>
      </c>
      <c r="F1364" s="29">
        <f>IF(Dataset!C1364&lt;=2,1,IF(Dataset!C1364=3,2,IF(Dataset!C1364=4,3,4)))</f>
        <v>2</v>
      </c>
      <c r="G1364" s="29">
        <f t="shared" si="169"/>
        <v>1</v>
      </c>
      <c r="H1364" s="29">
        <f>IF(Dataset!G1364&lt;=3,0.25,IF(Dataset!G1364&lt;=6,0.45,IF(Dataset!G1364&lt;=9,0.65,0.85)))</f>
        <v>0.65</v>
      </c>
      <c r="I1364" s="29">
        <f>IF(Dataset!G1364&lt;=3,1,IF(Dataset!G1364&lt;=6,2,IF(Dataset!G1364&lt;=9,3,4)))</f>
        <v>3</v>
      </c>
      <c r="J1364" s="29">
        <f t="shared" si="170"/>
        <v>1.9500000000000002</v>
      </c>
      <c r="K1364" s="29">
        <f>IF(Dataset!H1364&lt;1,0.2,IF(Dataset!H1364&lt;1.3,0.45,IF(Dataset!H1364&lt;1.8,0.7,0.9)))</f>
        <v>0.7</v>
      </c>
      <c r="L1364" s="29">
        <f>IF(Dataset!H1364&lt;1,1,IF(Dataset!H1364&lt;1.3,2,IF(Dataset!H1364&lt;1.8,3,4)))</f>
        <v>3</v>
      </c>
      <c r="M1364" s="29">
        <f t="shared" si="171"/>
        <v>2.0999999999999996</v>
      </c>
      <c r="N1364" s="29">
        <f>IF(Dataset!F1364=1,0.75,IF(Dataset!F1364=2,0.45,0.2))</f>
        <v>0.45</v>
      </c>
      <c r="O1364" s="29">
        <f>IF(Dataset!F1364=1,3,IF(Dataset!F1364=2,2,1))</f>
        <v>2</v>
      </c>
      <c r="P1364" s="29">
        <f t="shared" si="172"/>
        <v>0.9</v>
      </c>
      <c r="Q1364" s="29">
        <f>IF(Dataset!K1364&lt;5,0.2,IF(Dataset!K1364&lt;10,0.45,IF(Dataset!K1364&lt;18,0.7,0.9)))</f>
        <v>0.2</v>
      </c>
      <c r="R1364" s="29">
        <f>IF(Dataset!K1364&lt;5,1,IF(Dataset!K1364&lt;10,2,IF(Dataset!K1364&lt;18,3,4)))</f>
        <v>1</v>
      </c>
      <c r="S1364" s="29">
        <f t="shared" si="173"/>
        <v>0.2</v>
      </c>
      <c r="T1364" s="29">
        <f t="shared" si="174"/>
        <v>1.5030000000000001</v>
      </c>
      <c r="U1364" s="29" t="str">
        <f t="shared" si="175"/>
        <v>Medium</v>
      </c>
    </row>
    <row r="1365" spans="1:21" ht="15" customHeight="1" x14ac:dyDescent="0.25">
      <c r="A1365" s="29">
        <f>Dataset!A1365</f>
        <v>1361</v>
      </c>
      <c r="B1365" s="29">
        <f>IF(Dataset!B1365&lt;25,0.3,IF(Dataset!B1365&lt;75,0.5,IF(Dataset!B1365&lt;120,0.65,0.8)))</f>
        <v>0.65</v>
      </c>
      <c r="C1365" s="29">
        <f>IF(Dataset!B1365&lt;25,1,IF(Dataset!B1365&lt;75,2,IF(Dataset!B1365&lt;120,3,4)))</f>
        <v>3</v>
      </c>
      <c r="D1365" s="29">
        <f t="shared" si="168"/>
        <v>1.9500000000000002</v>
      </c>
      <c r="E1365" s="29">
        <f>IF(Dataset!C1365&lt;=1,0.3,IF(Dataset!C1365=2,0.4,IF(Dataset!C1365=3,0.5,IF(Dataset!C1365=4,0.65,0.8))))</f>
        <v>0.65</v>
      </c>
      <c r="F1365" s="29">
        <f>IF(Dataset!C1365&lt;=2,1,IF(Dataset!C1365=3,2,IF(Dataset!C1365=4,3,4)))</f>
        <v>3</v>
      </c>
      <c r="G1365" s="29">
        <f t="shared" si="169"/>
        <v>1.9500000000000002</v>
      </c>
      <c r="H1365" s="29">
        <f>IF(Dataset!G1365&lt;=3,0.25,IF(Dataset!G1365&lt;=6,0.45,IF(Dataset!G1365&lt;=9,0.65,0.85)))</f>
        <v>0.45</v>
      </c>
      <c r="I1365" s="29">
        <f>IF(Dataset!G1365&lt;=3,1,IF(Dataset!G1365&lt;=6,2,IF(Dataset!G1365&lt;=9,3,4)))</f>
        <v>2</v>
      </c>
      <c r="J1365" s="29">
        <f t="shared" si="170"/>
        <v>0.9</v>
      </c>
      <c r="K1365" s="29">
        <f>IF(Dataset!H1365&lt;1,0.2,IF(Dataset!H1365&lt;1.3,0.45,IF(Dataset!H1365&lt;1.8,0.7,0.9)))</f>
        <v>0.9</v>
      </c>
      <c r="L1365" s="29">
        <f>IF(Dataset!H1365&lt;1,1,IF(Dataset!H1365&lt;1.3,2,IF(Dataset!H1365&lt;1.8,3,4)))</f>
        <v>4</v>
      </c>
      <c r="M1365" s="29">
        <f t="shared" si="171"/>
        <v>3.6</v>
      </c>
      <c r="N1365" s="29">
        <f>IF(Dataset!F1365=1,0.75,IF(Dataset!F1365=2,0.45,0.2))</f>
        <v>0.45</v>
      </c>
      <c r="O1365" s="29">
        <f>IF(Dataset!F1365=1,3,IF(Dataset!F1365=2,2,1))</f>
        <v>2</v>
      </c>
      <c r="P1365" s="29">
        <f t="shared" si="172"/>
        <v>0.9</v>
      </c>
      <c r="Q1365" s="29">
        <f>IF(Dataset!K1365&lt;5,0.2,IF(Dataset!K1365&lt;10,0.45,IF(Dataset!K1365&lt;18,0.7,0.9)))</f>
        <v>0.7</v>
      </c>
      <c r="R1365" s="29">
        <f>IF(Dataset!K1365&lt;5,1,IF(Dataset!K1365&lt;10,2,IF(Dataset!K1365&lt;18,3,4)))</f>
        <v>3</v>
      </c>
      <c r="S1365" s="29">
        <f t="shared" si="173"/>
        <v>2.0999999999999996</v>
      </c>
      <c r="T1365" s="29">
        <f t="shared" si="174"/>
        <v>2.052</v>
      </c>
      <c r="U1365" s="29" t="str">
        <f t="shared" si="175"/>
        <v>High</v>
      </c>
    </row>
    <row r="1366" spans="1:21" ht="15" customHeight="1" x14ac:dyDescent="0.25">
      <c r="A1366" s="29">
        <f>Dataset!A1366</f>
        <v>1362</v>
      </c>
      <c r="B1366" s="29">
        <f>IF(Dataset!B1366&lt;25,0.3,IF(Dataset!B1366&lt;75,0.5,IF(Dataset!B1366&lt;120,0.65,0.8)))</f>
        <v>0.3</v>
      </c>
      <c r="C1366" s="29">
        <f>IF(Dataset!B1366&lt;25,1,IF(Dataset!B1366&lt;75,2,IF(Dataset!B1366&lt;120,3,4)))</f>
        <v>1</v>
      </c>
      <c r="D1366" s="29">
        <f t="shared" si="168"/>
        <v>0.3</v>
      </c>
      <c r="E1366" s="29">
        <f>IF(Dataset!C1366&lt;=1,0.3,IF(Dataset!C1366=2,0.4,IF(Dataset!C1366=3,0.5,IF(Dataset!C1366=4,0.65,0.8))))</f>
        <v>0.5</v>
      </c>
      <c r="F1366" s="29">
        <f>IF(Dataset!C1366&lt;=2,1,IF(Dataset!C1366=3,2,IF(Dataset!C1366=4,3,4)))</f>
        <v>2</v>
      </c>
      <c r="G1366" s="29">
        <f t="shared" si="169"/>
        <v>1</v>
      </c>
      <c r="H1366" s="29">
        <f>IF(Dataset!G1366&lt;=3,0.25,IF(Dataset!G1366&lt;=6,0.45,IF(Dataset!G1366&lt;=9,0.65,0.85)))</f>
        <v>0.65</v>
      </c>
      <c r="I1366" s="29">
        <f>IF(Dataset!G1366&lt;=3,1,IF(Dataset!G1366&lt;=6,2,IF(Dataset!G1366&lt;=9,3,4)))</f>
        <v>3</v>
      </c>
      <c r="J1366" s="29">
        <f t="shared" si="170"/>
        <v>1.9500000000000002</v>
      </c>
      <c r="K1366" s="29">
        <f>IF(Dataset!H1366&lt;1,0.2,IF(Dataset!H1366&lt;1.3,0.45,IF(Dataset!H1366&lt;1.8,0.7,0.9)))</f>
        <v>0.9</v>
      </c>
      <c r="L1366" s="29">
        <f>IF(Dataset!H1366&lt;1,1,IF(Dataset!H1366&lt;1.3,2,IF(Dataset!H1366&lt;1.8,3,4)))</f>
        <v>4</v>
      </c>
      <c r="M1366" s="29">
        <f t="shared" si="171"/>
        <v>3.6</v>
      </c>
      <c r="N1366" s="29">
        <f>IF(Dataset!F1366=1,0.75,IF(Dataset!F1366=2,0.45,0.2))</f>
        <v>0.75</v>
      </c>
      <c r="O1366" s="29">
        <f>IF(Dataset!F1366=1,3,IF(Dataset!F1366=2,2,1))</f>
        <v>3</v>
      </c>
      <c r="P1366" s="29">
        <f t="shared" si="172"/>
        <v>2.25</v>
      </c>
      <c r="Q1366" s="29">
        <f>IF(Dataset!K1366&lt;5,0.2,IF(Dataset!K1366&lt;10,0.45,IF(Dataset!K1366&lt;18,0.7,0.9)))</f>
        <v>0.45</v>
      </c>
      <c r="R1366" s="29">
        <f>IF(Dataset!K1366&lt;5,1,IF(Dataset!K1366&lt;10,2,IF(Dataset!K1366&lt;18,3,4)))</f>
        <v>2</v>
      </c>
      <c r="S1366" s="29">
        <f t="shared" si="173"/>
        <v>0.9</v>
      </c>
      <c r="T1366" s="29">
        <f t="shared" si="174"/>
        <v>1.7990000000000002</v>
      </c>
      <c r="U1366" s="29" t="str">
        <f t="shared" si="175"/>
        <v>High</v>
      </c>
    </row>
    <row r="1367" spans="1:21" ht="15" customHeight="1" x14ac:dyDescent="0.25">
      <c r="A1367" s="29">
        <f>Dataset!A1367</f>
        <v>1363</v>
      </c>
      <c r="B1367" s="29">
        <f>IF(Dataset!B1367&lt;25,0.3,IF(Dataset!B1367&lt;75,0.5,IF(Dataset!B1367&lt;120,0.65,0.8)))</f>
        <v>0.65</v>
      </c>
      <c r="C1367" s="29">
        <f>IF(Dataset!B1367&lt;25,1,IF(Dataset!B1367&lt;75,2,IF(Dataset!B1367&lt;120,3,4)))</f>
        <v>3</v>
      </c>
      <c r="D1367" s="29">
        <f t="shared" si="168"/>
        <v>1.9500000000000002</v>
      </c>
      <c r="E1367" s="29">
        <f>IF(Dataset!C1367&lt;=1,0.3,IF(Dataset!C1367=2,0.4,IF(Dataset!C1367=3,0.5,IF(Dataset!C1367=4,0.65,0.8))))</f>
        <v>0.5</v>
      </c>
      <c r="F1367" s="29">
        <f>IF(Dataset!C1367&lt;=2,1,IF(Dataset!C1367=3,2,IF(Dataset!C1367=4,3,4)))</f>
        <v>2</v>
      </c>
      <c r="G1367" s="29">
        <f t="shared" si="169"/>
        <v>1</v>
      </c>
      <c r="H1367" s="29">
        <f>IF(Dataset!G1367&lt;=3,0.25,IF(Dataset!G1367&lt;=6,0.45,IF(Dataset!G1367&lt;=9,0.65,0.85)))</f>
        <v>0.45</v>
      </c>
      <c r="I1367" s="29">
        <f>IF(Dataset!G1367&lt;=3,1,IF(Dataset!G1367&lt;=6,2,IF(Dataset!G1367&lt;=9,3,4)))</f>
        <v>2</v>
      </c>
      <c r="J1367" s="29">
        <f t="shared" si="170"/>
        <v>0.9</v>
      </c>
      <c r="K1367" s="29">
        <f>IF(Dataset!H1367&lt;1,0.2,IF(Dataset!H1367&lt;1.3,0.45,IF(Dataset!H1367&lt;1.8,0.7,0.9)))</f>
        <v>0.9</v>
      </c>
      <c r="L1367" s="29">
        <f>IF(Dataset!H1367&lt;1,1,IF(Dataset!H1367&lt;1.3,2,IF(Dataset!H1367&lt;1.8,3,4)))</f>
        <v>4</v>
      </c>
      <c r="M1367" s="29">
        <f t="shared" si="171"/>
        <v>3.6</v>
      </c>
      <c r="N1367" s="29">
        <f>IF(Dataset!F1367=1,0.75,IF(Dataset!F1367=2,0.45,0.2))</f>
        <v>0.75</v>
      </c>
      <c r="O1367" s="29">
        <f>IF(Dataset!F1367=1,3,IF(Dataset!F1367=2,2,1))</f>
        <v>3</v>
      </c>
      <c r="P1367" s="29">
        <f t="shared" si="172"/>
        <v>2.25</v>
      </c>
      <c r="Q1367" s="29">
        <f>IF(Dataset!K1367&lt;5,0.2,IF(Dataset!K1367&lt;10,0.45,IF(Dataset!K1367&lt;18,0.7,0.9)))</f>
        <v>0.45</v>
      </c>
      <c r="R1367" s="29">
        <f>IF(Dataset!K1367&lt;5,1,IF(Dataset!K1367&lt;10,2,IF(Dataset!K1367&lt;18,3,4)))</f>
        <v>2</v>
      </c>
      <c r="S1367" s="29">
        <f t="shared" si="173"/>
        <v>0.9</v>
      </c>
      <c r="T1367" s="29">
        <f t="shared" si="174"/>
        <v>1.8860000000000003</v>
      </c>
      <c r="U1367" s="29" t="str">
        <f t="shared" si="175"/>
        <v>High</v>
      </c>
    </row>
    <row r="1368" spans="1:21" ht="15" customHeight="1" x14ac:dyDescent="0.25">
      <c r="A1368" s="29">
        <f>Dataset!A1368</f>
        <v>1364</v>
      </c>
      <c r="B1368" s="29">
        <f>IF(Dataset!B1368&lt;25,0.3,IF(Dataset!B1368&lt;75,0.5,IF(Dataset!B1368&lt;120,0.65,0.8)))</f>
        <v>0.5</v>
      </c>
      <c r="C1368" s="29">
        <f>IF(Dataset!B1368&lt;25,1,IF(Dataset!B1368&lt;75,2,IF(Dataset!B1368&lt;120,3,4)))</f>
        <v>2</v>
      </c>
      <c r="D1368" s="29">
        <f t="shared" si="168"/>
        <v>1</v>
      </c>
      <c r="E1368" s="29">
        <f>IF(Dataset!C1368&lt;=1,0.3,IF(Dataset!C1368=2,0.4,IF(Dataset!C1368=3,0.5,IF(Dataset!C1368=4,0.65,0.8))))</f>
        <v>0.65</v>
      </c>
      <c r="F1368" s="29">
        <f>IF(Dataset!C1368&lt;=2,1,IF(Dataset!C1368=3,2,IF(Dataset!C1368=4,3,4)))</f>
        <v>3</v>
      </c>
      <c r="G1368" s="29">
        <f t="shared" si="169"/>
        <v>1.9500000000000002</v>
      </c>
      <c r="H1368" s="29">
        <f>IF(Dataset!G1368&lt;=3,0.25,IF(Dataset!G1368&lt;=6,0.45,IF(Dataset!G1368&lt;=9,0.65,0.85)))</f>
        <v>0.85</v>
      </c>
      <c r="I1368" s="29">
        <f>IF(Dataset!G1368&lt;=3,1,IF(Dataset!G1368&lt;=6,2,IF(Dataset!G1368&lt;=9,3,4)))</f>
        <v>4</v>
      </c>
      <c r="J1368" s="29">
        <f t="shared" si="170"/>
        <v>3.4</v>
      </c>
      <c r="K1368" s="29">
        <f>IF(Dataset!H1368&lt;1,0.2,IF(Dataset!H1368&lt;1.3,0.45,IF(Dataset!H1368&lt;1.8,0.7,0.9)))</f>
        <v>0.9</v>
      </c>
      <c r="L1368" s="29">
        <f>IF(Dataset!H1368&lt;1,1,IF(Dataset!H1368&lt;1.3,2,IF(Dataset!H1368&lt;1.8,3,4)))</f>
        <v>4</v>
      </c>
      <c r="M1368" s="29">
        <f t="shared" si="171"/>
        <v>3.6</v>
      </c>
      <c r="N1368" s="29">
        <f>IF(Dataset!F1368=1,0.75,IF(Dataset!F1368=2,0.45,0.2))</f>
        <v>0.2</v>
      </c>
      <c r="O1368" s="29">
        <f>IF(Dataset!F1368=1,3,IF(Dataset!F1368=2,2,1))</f>
        <v>1</v>
      </c>
      <c r="P1368" s="29">
        <f t="shared" si="172"/>
        <v>0.2</v>
      </c>
      <c r="Q1368" s="29">
        <f>IF(Dataset!K1368&lt;5,0.2,IF(Dataset!K1368&lt;10,0.45,IF(Dataset!K1368&lt;18,0.7,0.9)))</f>
        <v>0.45</v>
      </c>
      <c r="R1368" s="29">
        <f>IF(Dataset!K1368&lt;5,1,IF(Dataset!K1368&lt;10,2,IF(Dataset!K1368&lt;18,3,4)))</f>
        <v>2</v>
      </c>
      <c r="S1368" s="29">
        <f t="shared" si="173"/>
        <v>0.9</v>
      </c>
      <c r="T1368" s="29">
        <f t="shared" si="174"/>
        <v>2.1429999999999998</v>
      </c>
      <c r="U1368" s="29" t="str">
        <f t="shared" si="175"/>
        <v>High</v>
      </c>
    </row>
    <row r="1369" spans="1:21" ht="15" customHeight="1" x14ac:dyDescent="0.25">
      <c r="A1369" s="29">
        <f>Dataset!A1369</f>
        <v>1365</v>
      </c>
      <c r="B1369" s="29">
        <f>IF(Dataset!B1369&lt;25,0.3,IF(Dataset!B1369&lt;75,0.5,IF(Dataset!B1369&lt;120,0.65,0.8)))</f>
        <v>0.8</v>
      </c>
      <c r="C1369" s="29">
        <f>IF(Dataset!B1369&lt;25,1,IF(Dataset!B1369&lt;75,2,IF(Dataset!B1369&lt;120,3,4)))</f>
        <v>4</v>
      </c>
      <c r="D1369" s="29">
        <f t="shared" si="168"/>
        <v>3.2</v>
      </c>
      <c r="E1369" s="29">
        <f>IF(Dataset!C1369&lt;=1,0.3,IF(Dataset!C1369=2,0.4,IF(Dataset!C1369=3,0.5,IF(Dataset!C1369=4,0.65,0.8))))</f>
        <v>0.8</v>
      </c>
      <c r="F1369" s="29">
        <f>IF(Dataset!C1369&lt;=2,1,IF(Dataset!C1369=3,2,IF(Dataset!C1369=4,3,4)))</f>
        <v>4</v>
      </c>
      <c r="G1369" s="29">
        <f t="shared" si="169"/>
        <v>3.2</v>
      </c>
      <c r="H1369" s="29">
        <f>IF(Dataset!G1369&lt;=3,0.25,IF(Dataset!G1369&lt;=6,0.45,IF(Dataset!G1369&lt;=9,0.65,0.85)))</f>
        <v>0.85</v>
      </c>
      <c r="I1369" s="29">
        <f>IF(Dataset!G1369&lt;=3,1,IF(Dataset!G1369&lt;=6,2,IF(Dataset!G1369&lt;=9,3,4)))</f>
        <v>4</v>
      </c>
      <c r="J1369" s="29">
        <f t="shared" si="170"/>
        <v>3.4</v>
      </c>
      <c r="K1369" s="29">
        <f>IF(Dataset!H1369&lt;1,0.2,IF(Dataset!H1369&lt;1.3,0.45,IF(Dataset!H1369&lt;1.8,0.7,0.9)))</f>
        <v>0.2</v>
      </c>
      <c r="L1369" s="29">
        <f>IF(Dataset!H1369&lt;1,1,IF(Dataset!H1369&lt;1.3,2,IF(Dataset!H1369&lt;1.8,3,4)))</f>
        <v>1</v>
      </c>
      <c r="M1369" s="29">
        <f t="shared" si="171"/>
        <v>0.2</v>
      </c>
      <c r="N1369" s="29">
        <f>IF(Dataset!F1369=1,0.75,IF(Dataset!F1369=2,0.45,0.2))</f>
        <v>0.45</v>
      </c>
      <c r="O1369" s="29">
        <f>IF(Dataset!F1369=1,3,IF(Dataset!F1369=2,2,1))</f>
        <v>2</v>
      </c>
      <c r="P1369" s="29">
        <f t="shared" si="172"/>
        <v>0.9</v>
      </c>
      <c r="Q1369" s="29">
        <f>IF(Dataset!K1369&lt;5,0.2,IF(Dataset!K1369&lt;10,0.45,IF(Dataset!K1369&lt;18,0.7,0.9)))</f>
        <v>0.7</v>
      </c>
      <c r="R1369" s="29">
        <f>IF(Dataset!K1369&lt;5,1,IF(Dataset!K1369&lt;10,2,IF(Dataset!K1369&lt;18,3,4)))</f>
        <v>3</v>
      </c>
      <c r="S1369" s="29">
        <f t="shared" si="173"/>
        <v>2.0999999999999996</v>
      </c>
      <c r="T1369" s="29">
        <f t="shared" si="174"/>
        <v>2.1360000000000001</v>
      </c>
      <c r="U1369" s="29" t="str">
        <f t="shared" si="175"/>
        <v>High</v>
      </c>
    </row>
    <row r="1370" spans="1:21" ht="15" customHeight="1" x14ac:dyDescent="0.25">
      <c r="A1370" s="29">
        <f>Dataset!A1370</f>
        <v>1366</v>
      </c>
      <c r="B1370" s="29">
        <f>IF(Dataset!B1370&lt;25,0.3,IF(Dataset!B1370&lt;75,0.5,IF(Dataset!B1370&lt;120,0.65,0.8)))</f>
        <v>0.65</v>
      </c>
      <c r="C1370" s="29">
        <f>IF(Dataset!B1370&lt;25,1,IF(Dataset!B1370&lt;75,2,IF(Dataset!B1370&lt;120,3,4)))</f>
        <v>3</v>
      </c>
      <c r="D1370" s="29">
        <f t="shared" si="168"/>
        <v>1.9500000000000002</v>
      </c>
      <c r="E1370" s="29">
        <f>IF(Dataset!C1370&lt;=1,0.3,IF(Dataset!C1370=2,0.4,IF(Dataset!C1370=3,0.5,IF(Dataset!C1370=4,0.65,0.8))))</f>
        <v>0.5</v>
      </c>
      <c r="F1370" s="29">
        <f>IF(Dataset!C1370&lt;=2,1,IF(Dataset!C1370=3,2,IF(Dataset!C1370=4,3,4)))</f>
        <v>2</v>
      </c>
      <c r="G1370" s="29">
        <f t="shared" si="169"/>
        <v>1</v>
      </c>
      <c r="H1370" s="29">
        <f>IF(Dataset!G1370&lt;=3,0.25,IF(Dataset!G1370&lt;=6,0.45,IF(Dataset!G1370&lt;=9,0.65,0.85)))</f>
        <v>0.65</v>
      </c>
      <c r="I1370" s="29">
        <f>IF(Dataset!G1370&lt;=3,1,IF(Dataset!G1370&lt;=6,2,IF(Dataset!G1370&lt;=9,3,4)))</f>
        <v>3</v>
      </c>
      <c r="J1370" s="29">
        <f t="shared" si="170"/>
        <v>1.9500000000000002</v>
      </c>
      <c r="K1370" s="29">
        <f>IF(Dataset!H1370&lt;1,0.2,IF(Dataset!H1370&lt;1.3,0.45,IF(Dataset!H1370&lt;1.8,0.7,0.9)))</f>
        <v>0.2</v>
      </c>
      <c r="L1370" s="29">
        <f>IF(Dataset!H1370&lt;1,1,IF(Dataset!H1370&lt;1.3,2,IF(Dataset!H1370&lt;1.8,3,4)))</f>
        <v>1</v>
      </c>
      <c r="M1370" s="29">
        <f t="shared" si="171"/>
        <v>0.2</v>
      </c>
      <c r="N1370" s="29">
        <f>IF(Dataset!F1370=1,0.75,IF(Dataset!F1370=2,0.45,0.2))</f>
        <v>0.2</v>
      </c>
      <c r="O1370" s="29">
        <f>IF(Dataset!F1370=1,3,IF(Dataset!F1370=2,2,1))</f>
        <v>1</v>
      </c>
      <c r="P1370" s="29">
        <f t="shared" si="172"/>
        <v>0.2</v>
      </c>
      <c r="Q1370" s="29">
        <f>IF(Dataset!K1370&lt;5,0.2,IF(Dataset!K1370&lt;10,0.45,IF(Dataset!K1370&lt;18,0.7,0.9)))</f>
        <v>0.2</v>
      </c>
      <c r="R1370" s="29">
        <f>IF(Dataset!K1370&lt;5,1,IF(Dataset!K1370&lt;10,2,IF(Dataset!K1370&lt;18,3,4)))</f>
        <v>1</v>
      </c>
      <c r="S1370" s="29">
        <f t="shared" si="173"/>
        <v>0.2</v>
      </c>
      <c r="T1370" s="29">
        <f t="shared" si="174"/>
        <v>0.9770000000000002</v>
      </c>
      <c r="U1370" s="29" t="str">
        <f t="shared" si="175"/>
        <v>Low</v>
      </c>
    </row>
    <row r="1371" spans="1:21" ht="15" customHeight="1" x14ac:dyDescent="0.25">
      <c r="A1371" s="29">
        <f>Dataset!A1371</f>
        <v>1367</v>
      </c>
      <c r="B1371" s="29">
        <f>IF(Dataset!B1371&lt;25,0.3,IF(Dataset!B1371&lt;75,0.5,IF(Dataset!B1371&lt;120,0.65,0.8)))</f>
        <v>0.65</v>
      </c>
      <c r="C1371" s="29">
        <f>IF(Dataset!B1371&lt;25,1,IF(Dataset!B1371&lt;75,2,IF(Dataset!B1371&lt;120,3,4)))</f>
        <v>3</v>
      </c>
      <c r="D1371" s="29">
        <f t="shared" si="168"/>
        <v>1.9500000000000002</v>
      </c>
      <c r="E1371" s="29">
        <f>IF(Dataset!C1371&lt;=1,0.3,IF(Dataset!C1371=2,0.4,IF(Dataset!C1371=3,0.5,IF(Dataset!C1371=4,0.65,0.8))))</f>
        <v>0.65</v>
      </c>
      <c r="F1371" s="29">
        <f>IF(Dataset!C1371&lt;=2,1,IF(Dataset!C1371=3,2,IF(Dataset!C1371=4,3,4)))</f>
        <v>3</v>
      </c>
      <c r="G1371" s="29">
        <f t="shared" si="169"/>
        <v>1.9500000000000002</v>
      </c>
      <c r="H1371" s="29">
        <f>IF(Dataset!G1371&lt;=3,0.25,IF(Dataset!G1371&lt;=6,0.45,IF(Dataset!G1371&lt;=9,0.65,0.85)))</f>
        <v>0.45</v>
      </c>
      <c r="I1371" s="29">
        <f>IF(Dataset!G1371&lt;=3,1,IF(Dataset!G1371&lt;=6,2,IF(Dataset!G1371&lt;=9,3,4)))</f>
        <v>2</v>
      </c>
      <c r="J1371" s="29">
        <f t="shared" si="170"/>
        <v>0.9</v>
      </c>
      <c r="K1371" s="29">
        <f>IF(Dataset!H1371&lt;1,0.2,IF(Dataset!H1371&lt;1.3,0.45,IF(Dataset!H1371&lt;1.8,0.7,0.9)))</f>
        <v>0.9</v>
      </c>
      <c r="L1371" s="29">
        <f>IF(Dataset!H1371&lt;1,1,IF(Dataset!H1371&lt;1.3,2,IF(Dataset!H1371&lt;1.8,3,4)))</f>
        <v>4</v>
      </c>
      <c r="M1371" s="29">
        <f t="shared" si="171"/>
        <v>3.6</v>
      </c>
      <c r="N1371" s="29">
        <f>IF(Dataset!F1371=1,0.75,IF(Dataset!F1371=2,0.45,0.2))</f>
        <v>0.45</v>
      </c>
      <c r="O1371" s="29">
        <f>IF(Dataset!F1371=1,3,IF(Dataset!F1371=2,2,1))</f>
        <v>2</v>
      </c>
      <c r="P1371" s="29">
        <f t="shared" si="172"/>
        <v>0.9</v>
      </c>
      <c r="Q1371" s="29">
        <f>IF(Dataset!K1371&lt;5,0.2,IF(Dataset!K1371&lt;10,0.45,IF(Dataset!K1371&lt;18,0.7,0.9)))</f>
        <v>0.7</v>
      </c>
      <c r="R1371" s="29">
        <f>IF(Dataset!K1371&lt;5,1,IF(Dataset!K1371&lt;10,2,IF(Dataset!K1371&lt;18,3,4)))</f>
        <v>3</v>
      </c>
      <c r="S1371" s="29">
        <f t="shared" si="173"/>
        <v>2.0999999999999996</v>
      </c>
      <c r="T1371" s="29">
        <f t="shared" si="174"/>
        <v>2.052</v>
      </c>
      <c r="U1371" s="29" t="str">
        <f t="shared" si="175"/>
        <v>High</v>
      </c>
    </row>
    <row r="1372" spans="1:21" ht="15" customHeight="1" x14ac:dyDescent="0.25">
      <c r="A1372" s="29">
        <f>Dataset!A1372</f>
        <v>1368</v>
      </c>
      <c r="B1372" s="29">
        <f>IF(Dataset!B1372&lt;25,0.3,IF(Dataset!B1372&lt;75,0.5,IF(Dataset!B1372&lt;120,0.65,0.8)))</f>
        <v>0.5</v>
      </c>
      <c r="C1372" s="29">
        <f>IF(Dataset!B1372&lt;25,1,IF(Dataset!B1372&lt;75,2,IF(Dataset!B1372&lt;120,3,4)))</f>
        <v>2</v>
      </c>
      <c r="D1372" s="29">
        <f t="shared" si="168"/>
        <v>1</v>
      </c>
      <c r="E1372" s="29">
        <f>IF(Dataset!C1372&lt;=1,0.3,IF(Dataset!C1372=2,0.4,IF(Dataset!C1372=3,0.5,IF(Dataset!C1372=4,0.65,0.8))))</f>
        <v>0.65</v>
      </c>
      <c r="F1372" s="29">
        <f>IF(Dataset!C1372&lt;=2,1,IF(Dataset!C1372=3,2,IF(Dataset!C1372=4,3,4)))</f>
        <v>3</v>
      </c>
      <c r="G1372" s="29">
        <f t="shared" si="169"/>
        <v>1.9500000000000002</v>
      </c>
      <c r="H1372" s="29">
        <f>IF(Dataset!G1372&lt;=3,0.25,IF(Dataset!G1372&lt;=6,0.45,IF(Dataset!G1372&lt;=9,0.65,0.85)))</f>
        <v>0.45</v>
      </c>
      <c r="I1372" s="29">
        <f>IF(Dataset!G1372&lt;=3,1,IF(Dataset!G1372&lt;=6,2,IF(Dataset!G1372&lt;=9,3,4)))</f>
        <v>2</v>
      </c>
      <c r="J1372" s="29">
        <f t="shared" si="170"/>
        <v>0.9</v>
      </c>
      <c r="K1372" s="29">
        <f>IF(Dataset!H1372&lt;1,0.2,IF(Dataset!H1372&lt;1.3,0.45,IF(Dataset!H1372&lt;1.8,0.7,0.9)))</f>
        <v>0.45</v>
      </c>
      <c r="L1372" s="29">
        <f>IF(Dataset!H1372&lt;1,1,IF(Dataset!H1372&lt;1.3,2,IF(Dataset!H1372&lt;1.8,3,4)))</f>
        <v>2</v>
      </c>
      <c r="M1372" s="29">
        <f t="shared" si="171"/>
        <v>0.9</v>
      </c>
      <c r="N1372" s="29">
        <f>IF(Dataset!F1372=1,0.75,IF(Dataset!F1372=2,0.45,0.2))</f>
        <v>0.2</v>
      </c>
      <c r="O1372" s="29">
        <f>IF(Dataset!F1372=1,3,IF(Dataset!F1372=2,2,1))</f>
        <v>1</v>
      </c>
      <c r="P1372" s="29">
        <f t="shared" si="172"/>
        <v>0.2</v>
      </c>
      <c r="Q1372" s="29">
        <f>IF(Dataset!K1372&lt;5,0.2,IF(Dataset!K1372&lt;10,0.45,IF(Dataset!K1372&lt;18,0.7,0.9)))</f>
        <v>0.45</v>
      </c>
      <c r="R1372" s="29">
        <f>IF(Dataset!K1372&lt;5,1,IF(Dataset!K1372&lt;10,2,IF(Dataset!K1372&lt;18,3,4)))</f>
        <v>2</v>
      </c>
      <c r="S1372" s="29">
        <f t="shared" si="173"/>
        <v>0.9</v>
      </c>
      <c r="T1372" s="29">
        <f t="shared" si="174"/>
        <v>0.99500000000000011</v>
      </c>
      <c r="U1372" s="29" t="str">
        <f t="shared" si="175"/>
        <v>Low</v>
      </c>
    </row>
    <row r="1373" spans="1:21" ht="15" customHeight="1" x14ac:dyDescent="0.25">
      <c r="A1373" s="29">
        <f>Dataset!A1373</f>
        <v>1369</v>
      </c>
      <c r="B1373" s="29">
        <f>IF(Dataset!B1373&lt;25,0.3,IF(Dataset!B1373&lt;75,0.5,IF(Dataset!B1373&lt;120,0.65,0.8)))</f>
        <v>0.8</v>
      </c>
      <c r="C1373" s="29">
        <f>IF(Dataset!B1373&lt;25,1,IF(Dataset!B1373&lt;75,2,IF(Dataset!B1373&lt;120,3,4)))</f>
        <v>4</v>
      </c>
      <c r="D1373" s="29">
        <f t="shared" si="168"/>
        <v>3.2</v>
      </c>
      <c r="E1373" s="29">
        <f>IF(Dataset!C1373&lt;=1,0.3,IF(Dataset!C1373=2,0.4,IF(Dataset!C1373=3,0.5,IF(Dataset!C1373=4,0.65,0.8))))</f>
        <v>0.5</v>
      </c>
      <c r="F1373" s="29">
        <f>IF(Dataset!C1373&lt;=2,1,IF(Dataset!C1373=3,2,IF(Dataset!C1373=4,3,4)))</f>
        <v>2</v>
      </c>
      <c r="G1373" s="29">
        <f t="shared" si="169"/>
        <v>1</v>
      </c>
      <c r="H1373" s="29">
        <f>IF(Dataset!G1373&lt;=3,0.25,IF(Dataset!G1373&lt;=6,0.45,IF(Dataset!G1373&lt;=9,0.65,0.85)))</f>
        <v>0.65</v>
      </c>
      <c r="I1373" s="29">
        <f>IF(Dataset!G1373&lt;=3,1,IF(Dataset!G1373&lt;=6,2,IF(Dataset!G1373&lt;=9,3,4)))</f>
        <v>3</v>
      </c>
      <c r="J1373" s="29">
        <f t="shared" si="170"/>
        <v>1.9500000000000002</v>
      </c>
      <c r="K1373" s="29">
        <f>IF(Dataset!H1373&lt;1,0.2,IF(Dataset!H1373&lt;1.3,0.45,IF(Dataset!H1373&lt;1.8,0.7,0.9)))</f>
        <v>0.7</v>
      </c>
      <c r="L1373" s="29">
        <f>IF(Dataset!H1373&lt;1,1,IF(Dataset!H1373&lt;1.3,2,IF(Dataset!H1373&lt;1.8,3,4)))</f>
        <v>3</v>
      </c>
      <c r="M1373" s="29">
        <f t="shared" si="171"/>
        <v>2.0999999999999996</v>
      </c>
      <c r="N1373" s="29">
        <f>IF(Dataset!F1373=1,0.75,IF(Dataset!F1373=2,0.45,0.2))</f>
        <v>0.2</v>
      </c>
      <c r="O1373" s="29">
        <f>IF(Dataset!F1373=1,3,IF(Dataset!F1373=2,2,1))</f>
        <v>1</v>
      </c>
      <c r="P1373" s="29">
        <f t="shared" si="172"/>
        <v>0.2</v>
      </c>
      <c r="Q1373" s="29">
        <f>IF(Dataset!K1373&lt;5,0.2,IF(Dataset!K1373&lt;10,0.45,IF(Dataset!K1373&lt;18,0.7,0.9)))</f>
        <v>0.45</v>
      </c>
      <c r="R1373" s="29">
        <f>IF(Dataset!K1373&lt;5,1,IF(Dataset!K1373&lt;10,2,IF(Dataset!K1373&lt;18,3,4)))</f>
        <v>2</v>
      </c>
      <c r="S1373" s="29">
        <f t="shared" si="173"/>
        <v>0.9</v>
      </c>
      <c r="T1373" s="29">
        <f t="shared" si="174"/>
        <v>1.756</v>
      </c>
      <c r="U1373" s="29" t="str">
        <f t="shared" si="175"/>
        <v>High</v>
      </c>
    </row>
    <row r="1374" spans="1:21" ht="15" customHeight="1" x14ac:dyDescent="0.25">
      <c r="A1374" s="29">
        <f>Dataset!A1374</f>
        <v>1370</v>
      </c>
      <c r="B1374" s="29">
        <f>IF(Dataset!B1374&lt;25,0.3,IF(Dataset!B1374&lt;75,0.5,IF(Dataset!B1374&lt;120,0.65,0.8)))</f>
        <v>0.5</v>
      </c>
      <c r="C1374" s="29">
        <f>IF(Dataset!B1374&lt;25,1,IF(Dataset!B1374&lt;75,2,IF(Dataset!B1374&lt;120,3,4)))</f>
        <v>2</v>
      </c>
      <c r="D1374" s="29">
        <f t="shared" si="168"/>
        <v>1</v>
      </c>
      <c r="E1374" s="29">
        <f>IF(Dataset!C1374&lt;=1,0.3,IF(Dataset!C1374=2,0.4,IF(Dataset!C1374=3,0.5,IF(Dataset!C1374=4,0.65,0.8))))</f>
        <v>0.8</v>
      </c>
      <c r="F1374" s="29">
        <f>IF(Dataset!C1374&lt;=2,1,IF(Dataset!C1374=3,2,IF(Dataset!C1374=4,3,4)))</f>
        <v>4</v>
      </c>
      <c r="G1374" s="29">
        <f t="shared" si="169"/>
        <v>3.2</v>
      </c>
      <c r="H1374" s="29">
        <f>IF(Dataset!G1374&lt;=3,0.25,IF(Dataset!G1374&lt;=6,0.45,IF(Dataset!G1374&lt;=9,0.65,0.85)))</f>
        <v>0.45</v>
      </c>
      <c r="I1374" s="29">
        <f>IF(Dataset!G1374&lt;=3,1,IF(Dataset!G1374&lt;=6,2,IF(Dataset!G1374&lt;=9,3,4)))</f>
        <v>2</v>
      </c>
      <c r="J1374" s="29">
        <f t="shared" si="170"/>
        <v>0.9</v>
      </c>
      <c r="K1374" s="29">
        <f>IF(Dataset!H1374&lt;1,0.2,IF(Dataset!H1374&lt;1.3,0.45,IF(Dataset!H1374&lt;1.8,0.7,0.9)))</f>
        <v>0.9</v>
      </c>
      <c r="L1374" s="29">
        <f>IF(Dataset!H1374&lt;1,1,IF(Dataset!H1374&lt;1.3,2,IF(Dataset!H1374&lt;1.8,3,4)))</f>
        <v>4</v>
      </c>
      <c r="M1374" s="29">
        <f t="shared" si="171"/>
        <v>3.6</v>
      </c>
      <c r="N1374" s="29">
        <f>IF(Dataset!F1374=1,0.75,IF(Dataset!F1374=2,0.45,0.2))</f>
        <v>0.75</v>
      </c>
      <c r="O1374" s="29">
        <f>IF(Dataset!F1374=1,3,IF(Dataset!F1374=2,2,1))</f>
        <v>3</v>
      </c>
      <c r="P1374" s="29">
        <f t="shared" si="172"/>
        <v>2.25</v>
      </c>
      <c r="Q1374" s="29">
        <f>IF(Dataset!K1374&lt;5,0.2,IF(Dataset!K1374&lt;10,0.45,IF(Dataset!K1374&lt;18,0.7,0.9)))</f>
        <v>0.9</v>
      </c>
      <c r="R1374" s="29">
        <f>IF(Dataset!K1374&lt;5,1,IF(Dataset!K1374&lt;10,2,IF(Dataset!K1374&lt;18,3,4)))</f>
        <v>4</v>
      </c>
      <c r="S1374" s="29">
        <f t="shared" si="173"/>
        <v>3.6</v>
      </c>
      <c r="T1374" s="29">
        <f t="shared" si="174"/>
        <v>2.4010000000000002</v>
      </c>
      <c r="U1374" s="29" t="str">
        <f t="shared" si="175"/>
        <v>High</v>
      </c>
    </row>
    <row r="1375" spans="1:21" ht="15" customHeight="1" x14ac:dyDescent="0.25">
      <c r="A1375" s="29">
        <f>Dataset!A1375</f>
        <v>1371</v>
      </c>
      <c r="B1375" s="29">
        <f>IF(Dataset!B1375&lt;25,0.3,IF(Dataset!B1375&lt;75,0.5,IF(Dataset!B1375&lt;120,0.65,0.8)))</f>
        <v>0.3</v>
      </c>
      <c r="C1375" s="29">
        <f>IF(Dataset!B1375&lt;25,1,IF(Dataset!B1375&lt;75,2,IF(Dataset!B1375&lt;120,3,4)))</f>
        <v>1</v>
      </c>
      <c r="D1375" s="29">
        <f t="shared" si="168"/>
        <v>0.3</v>
      </c>
      <c r="E1375" s="29">
        <f>IF(Dataset!C1375&lt;=1,0.3,IF(Dataset!C1375=2,0.4,IF(Dataset!C1375=3,0.5,IF(Dataset!C1375=4,0.65,0.8))))</f>
        <v>0.5</v>
      </c>
      <c r="F1375" s="29">
        <f>IF(Dataset!C1375&lt;=2,1,IF(Dataset!C1375=3,2,IF(Dataset!C1375=4,3,4)))</f>
        <v>2</v>
      </c>
      <c r="G1375" s="29">
        <f t="shared" si="169"/>
        <v>1</v>
      </c>
      <c r="H1375" s="29">
        <f>IF(Dataset!G1375&lt;=3,0.25,IF(Dataset!G1375&lt;=6,0.45,IF(Dataset!G1375&lt;=9,0.65,0.85)))</f>
        <v>0.25</v>
      </c>
      <c r="I1375" s="29">
        <f>IF(Dataset!G1375&lt;=3,1,IF(Dataset!G1375&lt;=6,2,IF(Dataset!G1375&lt;=9,3,4)))</f>
        <v>1</v>
      </c>
      <c r="J1375" s="29">
        <f t="shared" si="170"/>
        <v>0.25</v>
      </c>
      <c r="K1375" s="29">
        <f>IF(Dataset!H1375&lt;1,0.2,IF(Dataset!H1375&lt;1.3,0.45,IF(Dataset!H1375&lt;1.8,0.7,0.9)))</f>
        <v>0.7</v>
      </c>
      <c r="L1375" s="29">
        <f>IF(Dataset!H1375&lt;1,1,IF(Dataset!H1375&lt;1.3,2,IF(Dataset!H1375&lt;1.8,3,4)))</f>
        <v>3</v>
      </c>
      <c r="M1375" s="29">
        <f t="shared" si="171"/>
        <v>2.0999999999999996</v>
      </c>
      <c r="N1375" s="29">
        <f>IF(Dataset!F1375=1,0.75,IF(Dataset!F1375=2,0.45,0.2))</f>
        <v>0.2</v>
      </c>
      <c r="O1375" s="29">
        <f>IF(Dataset!F1375=1,3,IF(Dataset!F1375=2,2,1))</f>
        <v>1</v>
      </c>
      <c r="P1375" s="29">
        <f t="shared" si="172"/>
        <v>0.2</v>
      </c>
      <c r="Q1375" s="29">
        <f>IF(Dataset!K1375&lt;5,0.2,IF(Dataset!K1375&lt;10,0.45,IF(Dataset!K1375&lt;18,0.7,0.9)))</f>
        <v>0.2</v>
      </c>
      <c r="R1375" s="29">
        <f>IF(Dataset!K1375&lt;5,1,IF(Dataset!K1375&lt;10,2,IF(Dataset!K1375&lt;18,3,4)))</f>
        <v>1</v>
      </c>
      <c r="S1375" s="29">
        <f t="shared" si="173"/>
        <v>0.2</v>
      </c>
      <c r="T1375" s="29">
        <f t="shared" si="174"/>
        <v>0.79599999999999993</v>
      </c>
      <c r="U1375" s="29" t="str">
        <f t="shared" si="175"/>
        <v>Low</v>
      </c>
    </row>
    <row r="1376" spans="1:21" ht="15" customHeight="1" x14ac:dyDescent="0.25">
      <c r="A1376" s="29">
        <f>Dataset!A1376</f>
        <v>1372</v>
      </c>
      <c r="B1376" s="29">
        <f>IF(Dataset!B1376&lt;25,0.3,IF(Dataset!B1376&lt;75,0.5,IF(Dataset!B1376&lt;120,0.65,0.8)))</f>
        <v>0.5</v>
      </c>
      <c r="C1376" s="29">
        <f>IF(Dataset!B1376&lt;25,1,IF(Dataset!B1376&lt;75,2,IF(Dataset!B1376&lt;120,3,4)))</f>
        <v>2</v>
      </c>
      <c r="D1376" s="29">
        <f t="shared" si="168"/>
        <v>1</v>
      </c>
      <c r="E1376" s="29">
        <f>IF(Dataset!C1376&lt;=1,0.3,IF(Dataset!C1376=2,0.4,IF(Dataset!C1376=3,0.5,IF(Dataset!C1376=4,0.65,0.8))))</f>
        <v>0.65</v>
      </c>
      <c r="F1376" s="29">
        <f>IF(Dataset!C1376&lt;=2,1,IF(Dataset!C1376=3,2,IF(Dataset!C1376=4,3,4)))</f>
        <v>3</v>
      </c>
      <c r="G1376" s="29">
        <f t="shared" si="169"/>
        <v>1.9500000000000002</v>
      </c>
      <c r="H1376" s="29">
        <f>IF(Dataset!G1376&lt;=3,0.25,IF(Dataset!G1376&lt;=6,0.45,IF(Dataset!G1376&lt;=9,0.65,0.85)))</f>
        <v>0.45</v>
      </c>
      <c r="I1376" s="29">
        <f>IF(Dataset!G1376&lt;=3,1,IF(Dataset!G1376&lt;=6,2,IF(Dataset!G1376&lt;=9,3,4)))</f>
        <v>2</v>
      </c>
      <c r="J1376" s="29">
        <f t="shared" si="170"/>
        <v>0.9</v>
      </c>
      <c r="K1376" s="29">
        <f>IF(Dataset!H1376&lt;1,0.2,IF(Dataset!H1376&lt;1.3,0.45,IF(Dataset!H1376&lt;1.8,0.7,0.9)))</f>
        <v>0.2</v>
      </c>
      <c r="L1376" s="29">
        <f>IF(Dataset!H1376&lt;1,1,IF(Dataset!H1376&lt;1.3,2,IF(Dataset!H1376&lt;1.8,3,4)))</f>
        <v>1</v>
      </c>
      <c r="M1376" s="29">
        <f t="shared" si="171"/>
        <v>0.2</v>
      </c>
      <c r="N1376" s="29">
        <f>IF(Dataset!F1376=1,0.75,IF(Dataset!F1376=2,0.45,0.2))</f>
        <v>0.75</v>
      </c>
      <c r="O1376" s="29">
        <f>IF(Dataset!F1376=1,3,IF(Dataset!F1376=2,2,1))</f>
        <v>3</v>
      </c>
      <c r="P1376" s="29">
        <f t="shared" si="172"/>
        <v>2.25</v>
      </c>
      <c r="Q1376" s="29">
        <f>IF(Dataset!K1376&lt;5,0.2,IF(Dataset!K1376&lt;10,0.45,IF(Dataset!K1376&lt;18,0.7,0.9)))</f>
        <v>0.7</v>
      </c>
      <c r="R1376" s="29">
        <f>IF(Dataset!K1376&lt;5,1,IF(Dataset!K1376&lt;10,2,IF(Dataset!K1376&lt;18,3,4)))</f>
        <v>3</v>
      </c>
      <c r="S1376" s="29">
        <f t="shared" si="173"/>
        <v>2.0999999999999996</v>
      </c>
      <c r="T1376" s="29">
        <f t="shared" si="174"/>
        <v>1.2000000000000002</v>
      </c>
      <c r="U1376" s="29" t="str">
        <f t="shared" si="175"/>
        <v>Low</v>
      </c>
    </row>
    <row r="1377" spans="1:21" ht="15" customHeight="1" x14ac:dyDescent="0.25">
      <c r="A1377" s="29">
        <f>Dataset!A1377</f>
        <v>1373</v>
      </c>
      <c r="B1377" s="29">
        <f>IF(Dataset!B1377&lt;25,0.3,IF(Dataset!B1377&lt;75,0.5,IF(Dataset!B1377&lt;120,0.65,0.8)))</f>
        <v>0.8</v>
      </c>
      <c r="C1377" s="29">
        <f>IF(Dataset!B1377&lt;25,1,IF(Dataset!B1377&lt;75,2,IF(Dataset!B1377&lt;120,3,4)))</f>
        <v>4</v>
      </c>
      <c r="D1377" s="29">
        <f t="shared" si="168"/>
        <v>3.2</v>
      </c>
      <c r="E1377" s="29">
        <f>IF(Dataset!C1377&lt;=1,0.3,IF(Dataset!C1377=2,0.4,IF(Dataset!C1377=3,0.5,IF(Dataset!C1377=4,0.65,0.8))))</f>
        <v>0.4</v>
      </c>
      <c r="F1377" s="29">
        <f>IF(Dataset!C1377&lt;=2,1,IF(Dataset!C1377=3,2,IF(Dataset!C1377=4,3,4)))</f>
        <v>1</v>
      </c>
      <c r="G1377" s="29">
        <f t="shared" si="169"/>
        <v>0.4</v>
      </c>
      <c r="H1377" s="29">
        <f>IF(Dataset!G1377&lt;=3,0.25,IF(Dataset!G1377&lt;=6,0.45,IF(Dataset!G1377&lt;=9,0.65,0.85)))</f>
        <v>0.45</v>
      </c>
      <c r="I1377" s="29">
        <f>IF(Dataset!G1377&lt;=3,1,IF(Dataset!G1377&lt;=6,2,IF(Dataset!G1377&lt;=9,3,4)))</f>
        <v>2</v>
      </c>
      <c r="J1377" s="29">
        <f t="shared" si="170"/>
        <v>0.9</v>
      </c>
      <c r="K1377" s="29">
        <f>IF(Dataset!H1377&lt;1,0.2,IF(Dataset!H1377&lt;1.3,0.45,IF(Dataset!H1377&lt;1.8,0.7,0.9)))</f>
        <v>0.7</v>
      </c>
      <c r="L1377" s="29">
        <f>IF(Dataset!H1377&lt;1,1,IF(Dataset!H1377&lt;1.3,2,IF(Dataset!H1377&lt;1.8,3,4)))</f>
        <v>3</v>
      </c>
      <c r="M1377" s="29">
        <f t="shared" si="171"/>
        <v>2.0999999999999996</v>
      </c>
      <c r="N1377" s="29">
        <f>IF(Dataset!F1377=1,0.75,IF(Dataset!F1377=2,0.45,0.2))</f>
        <v>0.45</v>
      </c>
      <c r="O1377" s="29">
        <f>IF(Dataset!F1377=1,3,IF(Dataset!F1377=2,2,1))</f>
        <v>2</v>
      </c>
      <c r="P1377" s="29">
        <f t="shared" si="172"/>
        <v>0.9</v>
      </c>
      <c r="Q1377" s="29">
        <f>IF(Dataset!K1377&lt;5,0.2,IF(Dataset!K1377&lt;10,0.45,IF(Dataset!K1377&lt;18,0.7,0.9)))</f>
        <v>0.45</v>
      </c>
      <c r="R1377" s="29">
        <f>IF(Dataset!K1377&lt;5,1,IF(Dataset!K1377&lt;10,2,IF(Dataset!K1377&lt;18,3,4)))</f>
        <v>2</v>
      </c>
      <c r="S1377" s="29">
        <f t="shared" si="173"/>
        <v>0.9</v>
      </c>
      <c r="T1377" s="29">
        <f t="shared" si="174"/>
        <v>1.532</v>
      </c>
      <c r="U1377" s="29" t="str">
        <f t="shared" si="175"/>
        <v>Medium</v>
      </c>
    </row>
    <row r="1378" spans="1:21" ht="15" customHeight="1" x14ac:dyDescent="0.25">
      <c r="A1378" s="29">
        <f>Dataset!A1378</f>
        <v>1374</v>
      </c>
      <c r="B1378" s="29">
        <f>IF(Dataset!B1378&lt;25,0.3,IF(Dataset!B1378&lt;75,0.5,IF(Dataset!B1378&lt;120,0.65,0.8)))</f>
        <v>0.5</v>
      </c>
      <c r="C1378" s="29">
        <f>IF(Dataset!B1378&lt;25,1,IF(Dataset!B1378&lt;75,2,IF(Dataset!B1378&lt;120,3,4)))</f>
        <v>2</v>
      </c>
      <c r="D1378" s="29">
        <f t="shared" si="168"/>
        <v>1</v>
      </c>
      <c r="E1378" s="29">
        <f>IF(Dataset!C1378&lt;=1,0.3,IF(Dataset!C1378=2,0.4,IF(Dataset!C1378=3,0.5,IF(Dataset!C1378=4,0.65,0.8))))</f>
        <v>0.5</v>
      </c>
      <c r="F1378" s="29">
        <f>IF(Dataset!C1378&lt;=2,1,IF(Dataset!C1378=3,2,IF(Dataset!C1378=4,3,4)))</f>
        <v>2</v>
      </c>
      <c r="G1378" s="29">
        <f t="shared" si="169"/>
        <v>1</v>
      </c>
      <c r="H1378" s="29">
        <f>IF(Dataset!G1378&lt;=3,0.25,IF(Dataset!G1378&lt;=6,0.45,IF(Dataset!G1378&lt;=9,0.65,0.85)))</f>
        <v>0.65</v>
      </c>
      <c r="I1378" s="29">
        <f>IF(Dataset!G1378&lt;=3,1,IF(Dataset!G1378&lt;=6,2,IF(Dataset!G1378&lt;=9,3,4)))</f>
        <v>3</v>
      </c>
      <c r="J1378" s="29">
        <f t="shared" si="170"/>
        <v>1.9500000000000002</v>
      </c>
      <c r="K1378" s="29">
        <f>IF(Dataset!H1378&lt;1,0.2,IF(Dataset!H1378&lt;1.3,0.45,IF(Dataset!H1378&lt;1.8,0.7,0.9)))</f>
        <v>0.9</v>
      </c>
      <c r="L1378" s="29">
        <f>IF(Dataset!H1378&lt;1,1,IF(Dataset!H1378&lt;1.3,2,IF(Dataset!H1378&lt;1.8,3,4)))</f>
        <v>4</v>
      </c>
      <c r="M1378" s="29">
        <f t="shared" si="171"/>
        <v>3.6</v>
      </c>
      <c r="N1378" s="29">
        <f>IF(Dataset!F1378=1,0.75,IF(Dataset!F1378=2,0.45,0.2))</f>
        <v>0.2</v>
      </c>
      <c r="O1378" s="29">
        <f>IF(Dataset!F1378=1,3,IF(Dataset!F1378=2,2,1))</f>
        <v>1</v>
      </c>
      <c r="P1378" s="29">
        <f t="shared" si="172"/>
        <v>0.2</v>
      </c>
      <c r="Q1378" s="29">
        <f>IF(Dataset!K1378&lt;5,0.2,IF(Dataset!K1378&lt;10,0.45,IF(Dataset!K1378&lt;18,0.7,0.9)))</f>
        <v>0.45</v>
      </c>
      <c r="R1378" s="29">
        <f>IF(Dataset!K1378&lt;5,1,IF(Dataset!K1378&lt;10,2,IF(Dataset!K1378&lt;18,3,4)))</f>
        <v>2</v>
      </c>
      <c r="S1378" s="29">
        <f t="shared" si="173"/>
        <v>0.9</v>
      </c>
      <c r="T1378" s="29">
        <f t="shared" si="174"/>
        <v>1.7200000000000002</v>
      </c>
      <c r="U1378" s="29" t="str">
        <f t="shared" si="175"/>
        <v>Medium</v>
      </c>
    </row>
    <row r="1379" spans="1:21" ht="15" customHeight="1" x14ac:dyDescent="0.25">
      <c r="A1379" s="29">
        <f>Dataset!A1379</f>
        <v>1375</v>
      </c>
      <c r="B1379" s="29">
        <f>IF(Dataset!B1379&lt;25,0.3,IF(Dataset!B1379&lt;75,0.5,IF(Dataset!B1379&lt;120,0.65,0.8)))</f>
        <v>0.5</v>
      </c>
      <c r="C1379" s="29">
        <f>IF(Dataset!B1379&lt;25,1,IF(Dataset!B1379&lt;75,2,IF(Dataset!B1379&lt;120,3,4)))</f>
        <v>2</v>
      </c>
      <c r="D1379" s="29">
        <f t="shared" si="168"/>
        <v>1</v>
      </c>
      <c r="E1379" s="29">
        <f>IF(Dataset!C1379&lt;=1,0.3,IF(Dataset!C1379=2,0.4,IF(Dataset!C1379=3,0.5,IF(Dataset!C1379=4,0.65,0.8))))</f>
        <v>0.5</v>
      </c>
      <c r="F1379" s="29">
        <f>IF(Dataset!C1379&lt;=2,1,IF(Dataset!C1379=3,2,IF(Dataset!C1379=4,3,4)))</f>
        <v>2</v>
      </c>
      <c r="G1379" s="29">
        <f t="shared" si="169"/>
        <v>1</v>
      </c>
      <c r="H1379" s="29">
        <f>IF(Dataset!G1379&lt;=3,0.25,IF(Dataset!G1379&lt;=6,0.45,IF(Dataset!G1379&lt;=9,0.65,0.85)))</f>
        <v>0.65</v>
      </c>
      <c r="I1379" s="29">
        <f>IF(Dataset!G1379&lt;=3,1,IF(Dataset!G1379&lt;=6,2,IF(Dataset!G1379&lt;=9,3,4)))</f>
        <v>3</v>
      </c>
      <c r="J1379" s="29">
        <f t="shared" si="170"/>
        <v>1.9500000000000002</v>
      </c>
      <c r="K1379" s="29">
        <f>IF(Dataset!H1379&lt;1,0.2,IF(Dataset!H1379&lt;1.3,0.45,IF(Dataset!H1379&lt;1.8,0.7,0.9)))</f>
        <v>0.45</v>
      </c>
      <c r="L1379" s="29">
        <f>IF(Dataset!H1379&lt;1,1,IF(Dataset!H1379&lt;1.3,2,IF(Dataset!H1379&lt;1.8,3,4)))</f>
        <v>2</v>
      </c>
      <c r="M1379" s="29">
        <f t="shared" si="171"/>
        <v>0.9</v>
      </c>
      <c r="N1379" s="29">
        <f>IF(Dataset!F1379=1,0.75,IF(Dataset!F1379=2,0.45,0.2))</f>
        <v>0.45</v>
      </c>
      <c r="O1379" s="29">
        <f>IF(Dataset!F1379=1,3,IF(Dataset!F1379=2,2,1))</f>
        <v>2</v>
      </c>
      <c r="P1379" s="29">
        <f t="shared" si="172"/>
        <v>0.9</v>
      </c>
      <c r="Q1379" s="29">
        <f>IF(Dataset!K1379&lt;5,0.2,IF(Dataset!K1379&lt;10,0.45,IF(Dataset!K1379&lt;18,0.7,0.9)))</f>
        <v>0.2</v>
      </c>
      <c r="R1379" s="29">
        <f>IF(Dataset!K1379&lt;5,1,IF(Dataset!K1379&lt;10,2,IF(Dataset!K1379&lt;18,3,4)))</f>
        <v>1</v>
      </c>
      <c r="S1379" s="29">
        <f t="shared" si="173"/>
        <v>0.2</v>
      </c>
      <c r="T1379" s="29">
        <f t="shared" si="174"/>
        <v>1.044</v>
      </c>
      <c r="U1379" s="29" t="str">
        <f t="shared" si="175"/>
        <v>Low</v>
      </c>
    </row>
    <row r="1380" spans="1:21" ht="15" customHeight="1" x14ac:dyDescent="0.25">
      <c r="A1380" s="29">
        <f>Dataset!A1380</f>
        <v>1376</v>
      </c>
      <c r="B1380" s="29">
        <f>IF(Dataset!B1380&lt;25,0.3,IF(Dataset!B1380&lt;75,0.5,IF(Dataset!B1380&lt;120,0.65,0.8)))</f>
        <v>0.5</v>
      </c>
      <c r="C1380" s="29">
        <f>IF(Dataset!B1380&lt;25,1,IF(Dataset!B1380&lt;75,2,IF(Dataset!B1380&lt;120,3,4)))</f>
        <v>2</v>
      </c>
      <c r="D1380" s="29">
        <f t="shared" si="168"/>
        <v>1</v>
      </c>
      <c r="E1380" s="29">
        <f>IF(Dataset!C1380&lt;=1,0.3,IF(Dataset!C1380=2,0.4,IF(Dataset!C1380=3,0.5,IF(Dataset!C1380=4,0.65,0.8))))</f>
        <v>0.5</v>
      </c>
      <c r="F1380" s="29">
        <f>IF(Dataset!C1380&lt;=2,1,IF(Dataset!C1380=3,2,IF(Dataset!C1380=4,3,4)))</f>
        <v>2</v>
      </c>
      <c r="G1380" s="29">
        <f t="shared" si="169"/>
        <v>1</v>
      </c>
      <c r="H1380" s="29">
        <f>IF(Dataset!G1380&lt;=3,0.25,IF(Dataset!G1380&lt;=6,0.45,IF(Dataset!G1380&lt;=9,0.65,0.85)))</f>
        <v>0.25</v>
      </c>
      <c r="I1380" s="29">
        <f>IF(Dataset!G1380&lt;=3,1,IF(Dataset!G1380&lt;=6,2,IF(Dataset!G1380&lt;=9,3,4)))</f>
        <v>1</v>
      </c>
      <c r="J1380" s="29">
        <f t="shared" si="170"/>
        <v>0.25</v>
      </c>
      <c r="K1380" s="29">
        <f>IF(Dataset!H1380&lt;1,0.2,IF(Dataset!H1380&lt;1.3,0.45,IF(Dataset!H1380&lt;1.8,0.7,0.9)))</f>
        <v>0.9</v>
      </c>
      <c r="L1380" s="29">
        <f>IF(Dataset!H1380&lt;1,1,IF(Dataset!H1380&lt;1.3,2,IF(Dataset!H1380&lt;1.8,3,4)))</f>
        <v>4</v>
      </c>
      <c r="M1380" s="29">
        <f t="shared" si="171"/>
        <v>3.6</v>
      </c>
      <c r="N1380" s="29">
        <f>IF(Dataset!F1380=1,0.75,IF(Dataset!F1380=2,0.45,0.2))</f>
        <v>0.45</v>
      </c>
      <c r="O1380" s="29">
        <f>IF(Dataset!F1380=1,3,IF(Dataset!F1380=2,2,1))</f>
        <v>2</v>
      </c>
      <c r="P1380" s="29">
        <f t="shared" si="172"/>
        <v>0.9</v>
      </c>
      <c r="Q1380" s="29">
        <f>IF(Dataset!K1380&lt;5,0.2,IF(Dataset!K1380&lt;10,0.45,IF(Dataset!K1380&lt;18,0.7,0.9)))</f>
        <v>0.45</v>
      </c>
      <c r="R1380" s="29">
        <f>IF(Dataset!K1380&lt;5,1,IF(Dataset!K1380&lt;10,2,IF(Dataset!K1380&lt;18,3,4)))</f>
        <v>2</v>
      </c>
      <c r="S1380" s="29">
        <f t="shared" si="173"/>
        <v>0.9</v>
      </c>
      <c r="T1380" s="29">
        <f t="shared" si="174"/>
        <v>1.4500000000000002</v>
      </c>
      <c r="U1380" s="29" t="str">
        <f t="shared" si="175"/>
        <v>Medium</v>
      </c>
    </row>
    <row r="1381" spans="1:21" ht="15" customHeight="1" x14ac:dyDescent="0.25">
      <c r="A1381" s="29">
        <f>Dataset!A1381</f>
        <v>1377</v>
      </c>
      <c r="B1381" s="29">
        <f>IF(Dataset!B1381&lt;25,0.3,IF(Dataset!B1381&lt;75,0.5,IF(Dataset!B1381&lt;120,0.65,0.8)))</f>
        <v>0.5</v>
      </c>
      <c r="C1381" s="29">
        <f>IF(Dataset!B1381&lt;25,1,IF(Dataset!B1381&lt;75,2,IF(Dataset!B1381&lt;120,3,4)))</f>
        <v>2</v>
      </c>
      <c r="D1381" s="29">
        <f t="shared" si="168"/>
        <v>1</v>
      </c>
      <c r="E1381" s="29">
        <f>IF(Dataset!C1381&lt;=1,0.3,IF(Dataset!C1381=2,0.4,IF(Dataset!C1381=3,0.5,IF(Dataset!C1381=4,0.65,0.8))))</f>
        <v>0.8</v>
      </c>
      <c r="F1381" s="29">
        <f>IF(Dataset!C1381&lt;=2,1,IF(Dataset!C1381=3,2,IF(Dataset!C1381=4,3,4)))</f>
        <v>4</v>
      </c>
      <c r="G1381" s="29">
        <f t="shared" si="169"/>
        <v>3.2</v>
      </c>
      <c r="H1381" s="29">
        <f>IF(Dataset!G1381&lt;=3,0.25,IF(Dataset!G1381&lt;=6,0.45,IF(Dataset!G1381&lt;=9,0.65,0.85)))</f>
        <v>0.45</v>
      </c>
      <c r="I1381" s="29">
        <f>IF(Dataset!G1381&lt;=3,1,IF(Dataset!G1381&lt;=6,2,IF(Dataset!G1381&lt;=9,3,4)))</f>
        <v>2</v>
      </c>
      <c r="J1381" s="29">
        <f t="shared" si="170"/>
        <v>0.9</v>
      </c>
      <c r="K1381" s="29">
        <f>IF(Dataset!H1381&lt;1,0.2,IF(Dataset!H1381&lt;1.3,0.45,IF(Dataset!H1381&lt;1.8,0.7,0.9)))</f>
        <v>0.2</v>
      </c>
      <c r="L1381" s="29">
        <f>IF(Dataset!H1381&lt;1,1,IF(Dataset!H1381&lt;1.3,2,IF(Dataset!H1381&lt;1.8,3,4)))</f>
        <v>1</v>
      </c>
      <c r="M1381" s="29">
        <f t="shared" si="171"/>
        <v>0.2</v>
      </c>
      <c r="N1381" s="29">
        <f>IF(Dataset!F1381=1,0.75,IF(Dataset!F1381=2,0.45,0.2))</f>
        <v>0.45</v>
      </c>
      <c r="O1381" s="29">
        <f>IF(Dataset!F1381=1,3,IF(Dataset!F1381=2,2,1))</f>
        <v>2</v>
      </c>
      <c r="P1381" s="29">
        <f t="shared" si="172"/>
        <v>0.9</v>
      </c>
      <c r="Q1381" s="29">
        <f>IF(Dataset!K1381&lt;5,0.2,IF(Dataset!K1381&lt;10,0.45,IF(Dataset!K1381&lt;18,0.7,0.9)))</f>
        <v>0.9</v>
      </c>
      <c r="R1381" s="29">
        <f>IF(Dataset!K1381&lt;5,1,IF(Dataset!K1381&lt;10,2,IF(Dataset!K1381&lt;18,3,4)))</f>
        <v>4</v>
      </c>
      <c r="S1381" s="29">
        <f t="shared" si="173"/>
        <v>3.6</v>
      </c>
      <c r="T1381" s="29">
        <f t="shared" si="174"/>
        <v>1.4500000000000002</v>
      </c>
      <c r="U1381" s="29" t="str">
        <f t="shared" si="175"/>
        <v>Medium</v>
      </c>
    </row>
    <row r="1382" spans="1:21" ht="15" customHeight="1" x14ac:dyDescent="0.25">
      <c r="A1382" s="29">
        <f>Dataset!A1382</f>
        <v>1378</v>
      </c>
      <c r="B1382" s="29">
        <f>IF(Dataset!B1382&lt;25,0.3,IF(Dataset!B1382&lt;75,0.5,IF(Dataset!B1382&lt;120,0.65,0.8)))</f>
        <v>0.5</v>
      </c>
      <c r="C1382" s="29">
        <f>IF(Dataset!B1382&lt;25,1,IF(Dataset!B1382&lt;75,2,IF(Dataset!B1382&lt;120,3,4)))</f>
        <v>2</v>
      </c>
      <c r="D1382" s="29">
        <f t="shared" si="168"/>
        <v>1</v>
      </c>
      <c r="E1382" s="29">
        <f>IF(Dataset!C1382&lt;=1,0.3,IF(Dataset!C1382=2,0.4,IF(Dataset!C1382=3,0.5,IF(Dataset!C1382=4,0.65,0.8))))</f>
        <v>0.8</v>
      </c>
      <c r="F1382" s="29">
        <f>IF(Dataset!C1382&lt;=2,1,IF(Dataset!C1382=3,2,IF(Dataset!C1382=4,3,4)))</f>
        <v>4</v>
      </c>
      <c r="G1382" s="29">
        <f t="shared" si="169"/>
        <v>3.2</v>
      </c>
      <c r="H1382" s="29">
        <f>IF(Dataset!G1382&lt;=3,0.25,IF(Dataset!G1382&lt;=6,0.45,IF(Dataset!G1382&lt;=9,0.65,0.85)))</f>
        <v>0.45</v>
      </c>
      <c r="I1382" s="29">
        <f>IF(Dataset!G1382&lt;=3,1,IF(Dataset!G1382&lt;=6,2,IF(Dataset!G1382&lt;=9,3,4)))</f>
        <v>2</v>
      </c>
      <c r="J1382" s="29">
        <f t="shared" si="170"/>
        <v>0.9</v>
      </c>
      <c r="K1382" s="29">
        <f>IF(Dataset!H1382&lt;1,0.2,IF(Dataset!H1382&lt;1.3,0.45,IF(Dataset!H1382&lt;1.8,0.7,0.9)))</f>
        <v>0.45</v>
      </c>
      <c r="L1382" s="29">
        <f>IF(Dataset!H1382&lt;1,1,IF(Dataset!H1382&lt;1.3,2,IF(Dataset!H1382&lt;1.8,3,4)))</f>
        <v>2</v>
      </c>
      <c r="M1382" s="29">
        <f t="shared" si="171"/>
        <v>0.9</v>
      </c>
      <c r="N1382" s="29">
        <f>IF(Dataset!F1382=1,0.75,IF(Dataset!F1382=2,0.45,0.2))</f>
        <v>0.75</v>
      </c>
      <c r="O1382" s="29">
        <f>IF(Dataset!F1382=1,3,IF(Dataset!F1382=2,2,1))</f>
        <v>3</v>
      </c>
      <c r="P1382" s="29">
        <f t="shared" si="172"/>
        <v>2.25</v>
      </c>
      <c r="Q1382" s="29">
        <f>IF(Dataset!K1382&lt;5,0.2,IF(Dataset!K1382&lt;10,0.45,IF(Dataset!K1382&lt;18,0.7,0.9)))</f>
        <v>0.9</v>
      </c>
      <c r="R1382" s="29">
        <f>IF(Dataset!K1382&lt;5,1,IF(Dataset!K1382&lt;10,2,IF(Dataset!K1382&lt;18,3,4)))</f>
        <v>4</v>
      </c>
      <c r="S1382" s="29">
        <f t="shared" si="173"/>
        <v>3.6</v>
      </c>
      <c r="T1382" s="29">
        <f t="shared" si="174"/>
        <v>1.7530000000000006</v>
      </c>
      <c r="U1382" s="29" t="str">
        <f t="shared" si="175"/>
        <v>Medium</v>
      </c>
    </row>
    <row r="1383" spans="1:21" ht="15" customHeight="1" x14ac:dyDescent="0.25">
      <c r="A1383" s="29">
        <f>Dataset!A1383</f>
        <v>1379</v>
      </c>
      <c r="B1383" s="29">
        <f>IF(Dataset!B1383&lt;25,0.3,IF(Dataset!B1383&lt;75,0.5,IF(Dataset!B1383&lt;120,0.65,0.8)))</f>
        <v>0.65</v>
      </c>
      <c r="C1383" s="29">
        <f>IF(Dataset!B1383&lt;25,1,IF(Dataset!B1383&lt;75,2,IF(Dataset!B1383&lt;120,3,4)))</f>
        <v>3</v>
      </c>
      <c r="D1383" s="29">
        <f t="shared" si="168"/>
        <v>1.9500000000000002</v>
      </c>
      <c r="E1383" s="29">
        <f>IF(Dataset!C1383&lt;=1,0.3,IF(Dataset!C1383=2,0.4,IF(Dataset!C1383=3,0.5,IF(Dataset!C1383=4,0.65,0.8))))</f>
        <v>0.4</v>
      </c>
      <c r="F1383" s="29">
        <f>IF(Dataset!C1383&lt;=2,1,IF(Dataset!C1383=3,2,IF(Dataset!C1383=4,3,4)))</f>
        <v>1</v>
      </c>
      <c r="G1383" s="29">
        <f t="shared" si="169"/>
        <v>0.4</v>
      </c>
      <c r="H1383" s="29">
        <f>IF(Dataset!G1383&lt;=3,0.25,IF(Dataset!G1383&lt;=6,0.45,IF(Dataset!G1383&lt;=9,0.65,0.85)))</f>
        <v>0.25</v>
      </c>
      <c r="I1383" s="29">
        <f>IF(Dataset!G1383&lt;=3,1,IF(Dataset!G1383&lt;=6,2,IF(Dataset!G1383&lt;=9,3,4)))</f>
        <v>1</v>
      </c>
      <c r="J1383" s="29">
        <f t="shared" si="170"/>
        <v>0.25</v>
      </c>
      <c r="K1383" s="29">
        <f>IF(Dataset!H1383&lt;1,0.2,IF(Dataset!H1383&lt;1.3,0.45,IF(Dataset!H1383&lt;1.8,0.7,0.9)))</f>
        <v>0.7</v>
      </c>
      <c r="L1383" s="29">
        <f>IF(Dataset!H1383&lt;1,1,IF(Dataset!H1383&lt;1.3,2,IF(Dataset!H1383&lt;1.8,3,4)))</f>
        <v>3</v>
      </c>
      <c r="M1383" s="29">
        <f t="shared" si="171"/>
        <v>2.0999999999999996</v>
      </c>
      <c r="N1383" s="29">
        <f>IF(Dataset!F1383=1,0.75,IF(Dataset!F1383=2,0.45,0.2))</f>
        <v>0.75</v>
      </c>
      <c r="O1383" s="29">
        <f>IF(Dataset!F1383=1,3,IF(Dataset!F1383=2,2,1))</f>
        <v>3</v>
      </c>
      <c r="P1383" s="29">
        <f t="shared" si="172"/>
        <v>2.25</v>
      </c>
      <c r="Q1383" s="29">
        <f>IF(Dataset!K1383&lt;5,0.2,IF(Dataset!K1383&lt;10,0.45,IF(Dataset!K1383&lt;18,0.7,0.9)))</f>
        <v>0.2</v>
      </c>
      <c r="R1383" s="29">
        <f>IF(Dataset!K1383&lt;5,1,IF(Dataset!K1383&lt;10,2,IF(Dataset!K1383&lt;18,3,4)))</f>
        <v>1</v>
      </c>
      <c r="S1383" s="29">
        <f t="shared" si="173"/>
        <v>0.2</v>
      </c>
      <c r="T1383" s="29">
        <f t="shared" si="174"/>
        <v>1.214</v>
      </c>
      <c r="U1383" s="29" t="str">
        <f t="shared" si="175"/>
        <v>Low</v>
      </c>
    </row>
    <row r="1384" spans="1:21" ht="15" customHeight="1" x14ac:dyDescent="0.25">
      <c r="A1384" s="29">
        <f>Dataset!A1384</f>
        <v>1380</v>
      </c>
      <c r="B1384" s="29">
        <f>IF(Dataset!B1384&lt;25,0.3,IF(Dataset!B1384&lt;75,0.5,IF(Dataset!B1384&lt;120,0.65,0.8)))</f>
        <v>0.5</v>
      </c>
      <c r="C1384" s="29">
        <f>IF(Dataset!B1384&lt;25,1,IF(Dataset!B1384&lt;75,2,IF(Dataset!B1384&lt;120,3,4)))</f>
        <v>2</v>
      </c>
      <c r="D1384" s="29">
        <f t="shared" si="168"/>
        <v>1</v>
      </c>
      <c r="E1384" s="29">
        <f>IF(Dataset!C1384&lt;=1,0.3,IF(Dataset!C1384=2,0.4,IF(Dataset!C1384=3,0.5,IF(Dataset!C1384=4,0.65,0.8))))</f>
        <v>0.5</v>
      </c>
      <c r="F1384" s="29">
        <f>IF(Dataset!C1384&lt;=2,1,IF(Dataset!C1384=3,2,IF(Dataset!C1384=4,3,4)))</f>
        <v>2</v>
      </c>
      <c r="G1384" s="29">
        <f t="shared" si="169"/>
        <v>1</v>
      </c>
      <c r="H1384" s="29">
        <f>IF(Dataset!G1384&lt;=3,0.25,IF(Dataset!G1384&lt;=6,0.45,IF(Dataset!G1384&lt;=9,0.65,0.85)))</f>
        <v>0.45</v>
      </c>
      <c r="I1384" s="29">
        <f>IF(Dataset!G1384&lt;=3,1,IF(Dataset!G1384&lt;=6,2,IF(Dataset!G1384&lt;=9,3,4)))</f>
        <v>2</v>
      </c>
      <c r="J1384" s="29">
        <f t="shared" si="170"/>
        <v>0.9</v>
      </c>
      <c r="K1384" s="29">
        <f>IF(Dataset!H1384&lt;1,0.2,IF(Dataset!H1384&lt;1.3,0.45,IF(Dataset!H1384&lt;1.8,0.7,0.9)))</f>
        <v>0.9</v>
      </c>
      <c r="L1384" s="29">
        <f>IF(Dataset!H1384&lt;1,1,IF(Dataset!H1384&lt;1.3,2,IF(Dataset!H1384&lt;1.8,3,4)))</f>
        <v>4</v>
      </c>
      <c r="M1384" s="29">
        <f t="shared" si="171"/>
        <v>3.6</v>
      </c>
      <c r="N1384" s="29">
        <f>IF(Dataset!F1384=1,0.75,IF(Dataset!F1384=2,0.45,0.2))</f>
        <v>0.75</v>
      </c>
      <c r="O1384" s="29">
        <f>IF(Dataset!F1384=1,3,IF(Dataset!F1384=2,2,1))</f>
        <v>3</v>
      </c>
      <c r="P1384" s="29">
        <f t="shared" si="172"/>
        <v>2.25</v>
      </c>
      <c r="Q1384" s="29">
        <f>IF(Dataset!K1384&lt;5,0.2,IF(Dataset!K1384&lt;10,0.45,IF(Dataset!K1384&lt;18,0.7,0.9)))</f>
        <v>0.45</v>
      </c>
      <c r="R1384" s="29">
        <f>IF(Dataset!K1384&lt;5,1,IF(Dataset!K1384&lt;10,2,IF(Dataset!K1384&lt;18,3,4)))</f>
        <v>2</v>
      </c>
      <c r="S1384" s="29">
        <f t="shared" si="173"/>
        <v>0.9</v>
      </c>
      <c r="T1384" s="29">
        <f t="shared" si="174"/>
        <v>1.7150000000000001</v>
      </c>
      <c r="U1384" s="29" t="str">
        <f t="shared" si="175"/>
        <v>Medium</v>
      </c>
    </row>
    <row r="1385" spans="1:21" ht="15" customHeight="1" x14ac:dyDescent="0.25">
      <c r="A1385" s="29">
        <f>Dataset!A1385</f>
        <v>1381</v>
      </c>
      <c r="B1385" s="29">
        <f>IF(Dataset!B1385&lt;25,0.3,IF(Dataset!B1385&lt;75,0.5,IF(Dataset!B1385&lt;120,0.65,0.8)))</f>
        <v>0.5</v>
      </c>
      <c r="C1385" s="29">
        <f>IF(Dataset!B1385&lt;25,1,IF(Dataset!B1385&lt;75,2,IF(Dataset!B1385&lt;120,3,4)))</f>
        <v>2</v>
      </c>
      <c r="D1385" s="29">
        <f t="shared" si="168"/>
        <v>1</v>
      </c>
      <c r="E1385" s="29">
        <f>IF(Dataset!C1385&lt;=1,0.3,IF(Dataset!C1385=2,0.4,IF(Dataset!C1385=3,0.5,IF(Dataset!C1385=4,0.65,0.8))))</f>
        <v>0.5</v>
      </c>
      <c r="F1385" s="29">
        <f>IF(Dataset!C1385&lt;=2,1,IF(Dataset!C1385=3,2,IF(Dataset!C1385=4,3,4)))</f>
        <v>2</v>
      </c>
      <c r="G1385" s="29">
        <f t="shared" si="169"/>
        <v>1</v>
      </c>
      <c r="H1385" s="29">
        <f>IF(Dataset!G1385&lt;=3,0.25,IF(Dataset!G1385&lt;=6,0.45,IF(Dataset!G1385&lt;=9,0.65,0.85)))</f>
        <v>0.65</v>
      </c>
      <c r="I1385" s="29">
        <f>IF(Dataset!G1385&lt;=3,1,IF(Dataset!G1385&lt;=6,2,IF(Dataset!G1385&lt;=9,3,4)))</f>
        <v>3</v>
      </c>
      <c r="J1385" s="29">
        <f t="shared" si="170"/>
        <v>1.9500000000000002</v>
      </c>
      <c r="K1385" s="29">
        <f>IF(Dataset!H1385&lt;1,0.2,IF(Dataset!H1385&lt;1.3,0.45,IF(Dataset!H1385&lt;1.8,0.7,0.9)))</f>
        <v>0.7</v>
      </c>
      <c r="L1385" s="29">
        <f>IF(Dataset!H1385&lt;1,1,IF(Dataset!H1385&lt;1.3,2,IF(Dataset!H1385&lt;1.8,3,4)))</f>
        <v>3</v>
      </c>
      <c r="M1385" s="29">
        <f t="shared" si="171"/>
        <v>2.0999999999999996</v>
      </c>
      <c r="N1385" s="29">
        <f>IF(Dataset!F1385=1,0.75,IF(Dataset!F1385=2,0.45,0.2))</f>
        <v>0.75</v>
      </c>
      <c r="O1385" s="29">
        <f>IF(Dataset!F1385=1,3,IF(Dataset!F1385=2,2,1))</f>
        <v>3</v>
      </c>
      <c r="P1385" s="29">
        <f t="shared" si="172"/>
        <v>2.25</v>
      </c>
      <c r="Q1385" s="29">
        <f>IF(Dataset!K1385&lt;5,0.2,IF(Dataset!K1385&lt;10,0.45,IF(Dataset!K1385&lt;18,0.7,0.9)))</f>
        <v>0.45</v>
      </c>
      <c r="R1385" s="29">
        <f>IF(Dataset!K1385&lt;5,1,IF(Dataset!K1385&lt;10,2,IF(Dataset!K1385&lt;18,3,4)))</f>
        <v>2</v>
      </c>
      <c r="S1385" s="29">
        <f t="shared" si="173"/>
        <v>0.9</v>
      </c>
      <c r="T1385" s="29">
        <f t="shared" si="174"/>
        <v>1.5650000000000002</v>
      </c>
      <c r="U1385" s="29" t="str">
        <f t="shared" si="175"/>
        <v>Medium</v>
      </c>
    </row>
    <row r="1386" spans="1:21" ht="15" customHeight="1" x14ac:dyDescent="0.25">
      <c r="A1386" s="29">
        <f>Dataset!A1386</f>
        <v>1382</v>
      </c>
      <c r="B1386" s="29">
        <f>IF(Dataset!B1386&lt;25,0.3,IF(Dataset!B1386&lt;75,0.5,IF(Dataset!B1386&lt;120,0.65,0.8)))</f>
        <v>0.8</v>
      </c>
      <c r="C1386" s="29">
        <f>IF(Dataset!B1386&lt;25,1,IF(Dataset!B1386&lt;75,2,IF(Dataset!B1386&lt;120,3,4)))</f>
        <v>4</v>
      </c>
      <c r="D1386" s="29">
        <f t="shared" si="168"/>
        <v>3.2</v>
      </c>
      <c r="E1386" s="29">
        <f>IF(Dataset!C1386&lt;=1,0.3,IF(Dataset!C1386=2,0.4,IF(Dataset!C1386=3,0.5,IF(Dataset!C1386=4,0.65,0.8))))</f>
        <v>0.5</v>
      </c>
      <c r="F1386" s="29">
        <f>IF(Dataset!C1386&lt;=2,1,IF(Dataset!C1386=3,2,IF(Dataset!C1386=4,3,4)))</f>
        <v>2</v>
      </c>
      <c r="G1386" s="29">
        <f t="shared" si="169"/>
        <v>1</v>
      </c>
      <c r="H1386" s="29">
        <f>IF(Dataset!G1386&lt;=3,0.25,IF(Dataset!G1386&lt;=6,0.45,IF(Dataset!G1386&lt;=9,0.65,0.85)))</f>
        <v>0.45</v>
      </c>
      <c r="I1386" s="29">
        <f>IF(Dataset!G1386&lt;=3,1,IF(Dataset!G1386&lt;=6,2,IF(Dataset!G1386&lt;=9,3,4)))</f>
        <v>2</v>
      </c>
      <c r="J1386" s="29">
        <f t="shared" si="170"/>
        <v>0.9</v>
      </c>
      <c r="K1386" s="29">
        <f>IF(Dataset!H1386&lt;1,0.2,IF(Dataset!H1386&lt;1.3,0.45,IF(Dataset!H1386&lt;1.8,0.7,0.9)))</f>
        <v>0.45</v>
      </c>
      <c r="L1386" s="29">
        <f>IF(Dataset!H1386&lt;1,1,IF(Dataset!H1386&lt;1.3,2,IF(Dataset!H1386&lt;1.8,3,4)))</f>
        <v>2</v>
      </c>
      <c r="M1386" s="29">
        <f t="shared" si="171"/>
        <v>0.9</v>
      </c>
      <c r="N1386" s="29">
        <f>IF(Dataset!F1386=1,0.75,IF(Dataset!F1386=2,0.45,0.2))</f>
        <v>0.45</v>
      </c>
      <c r="O1386" s="29">
        <f>IF(Dataset!F1386=1,3,IF(Dataset!F1386=2,2,1))</f>
        <v>2</v>
      </c>
      <c r="P1386" s="29">
        <f t="shared" si="172"/>
        <v>0.9</v>
      </c>
      <c r="Q1386" s="29">
        <f>IF(Dataset!K1386&lt;5,0.2,IF(Dataset!K1386&lt;10,0.45,IF(Dataset!K1386&lt;18,0.7,0.9)))</f>
        <v>0.2</v>
      </c>
      <c r="R1386" s="29">
        <f>IF(Dataset!K1386&lt;5,1,IF(Dataset!K1386&lt;10,2,IF(Dataset!K1386&lt;18,3,4)))</f>
        <v>1</v>
      </c>
      <c r="S1386" s="29">
        <f t="shared" si="173"/>
        <v>0.2</v>
      </c>
      <c r="T1386" s="29">
        <f t="shared" si="174"/>
        <v>1.2300000000000002</v>
      </c>
      <c r="U1386" s="29" t="str">
        <f t="shared" si="175"/>
        <v>Low</v>
      </c>
    </row>
    <row r="1387" spans="1:21" ht="15" customHeight="1" x14ac:dyDescent="0.25">
      <c r="A1387" s="29">
        <f>Dataset!A1387</f>
        <v>1383</v>
      </c>
      <c r="B1387" s="29">
        <f>IF(Dataset!B1387&lt;25,0.3,IF(Dataset!B1387&lt;75,0.5,IF(Dataset!B1387&lt;120,0.65,0.8)))</f>
        <v>0.3</v>
      </c>
      <c r="C1387" s="29">
        <f>IF(Dataset!B1387&lt;25,1,IF(Dataset!B1387&lt;75,2,IF(Dataset!B1387&lt;120,3,4)))</f>
        <v>1</v>
      </c>
      <c r="D1387" s="29">
        <f t="shared" si="168"/>
        <v>0.3</v>
      </c>
      <c r="E1387" s="29">
        <f>IF(Dataset!C1387&lt;=1,0.3,IF(Dataset!C1387=2,0.4,IF(Dataset!C1387=3,0.5,IF(Dataset!C1387=4,0.65,0.8))))</f>
        <v>0.5</v>
      </c>
      <c r="F1387" s="29">
        <f>IF(Dataset!C1387&lt;=2,1,IF(Dataset!C1387=3,2,IF(Dataset!C1387=4,3,4)))</f>
        <v>2</v>
      </c>
      <c r="G1387" s="29">
        <f t="shared" si="169"/>
        <v>1</v>
      </c>
      <c r="H1387" s="29">
        <f>IF(Dataset!G1387&lt;=3,0.25,IF(Dataset!G1387&lt;=6,0.45,IF(Dataset!G1387&lt;=9,0.65,0.85)))</f>
        <v>0.45</v>
      </c>
      <c r="I1387" s="29">
        <f>IF(Dataset!G1387&lt;=3,1,IF(Dataset!G1387&lt;=6,2,IF(Dataset!G1387&lt;=9,3,4)))</f>
        <v>2</v>
      </c>
      <c r="J1387" s="29">
        <f t="shared" si="170"/>
        <v>0.9</v>
      </c>
      <c r="K1387" s="29">
        <f>IF(Dataset!H1387&lt;1,0.2,IF(Dataset!H1387&lt;1.3,0.45,IF(Dataset!H1387&lt;1.8,0.7,0.9)))</f>
        <v>0.45</v>
      </c>
      <c r="L1387" s="29">
        <f>IF(Dataset!H1387&lt;1,1,IF(Dataset!H1387&lt;1.3,2,IF(Dataset!H1387&lt;1.8,3,4)))</f>
        <v>2</v>
      </c>
      <c r="M1387" s="29">
        <f t="shared" si="171"/>
        <v>0.9</v>
      </c>
      <c r="N1387" s="29">
        <f>IF(Dataset!F1387=1,0.75,IF(Dataset!F1387=2,0.45,0.2))</f>
        <v>0.45</v>
      </c>
      <c r="O1387" s="29">
        <f>IF(Dataset!F1387=1,3,IF(Dataset!F1387=2,2,1))</f>
        <v>2</v>
      </c>
      <c r="P1387" s="29">
        <f t="shared" si="172"/>
        <v>0.9</v>
      </c>
      <c r="Q1387" s="29">
        <f>IF(Dataset!K1387&lt;5,0.2,IF(Dataset!K1387&lt;10,0.45,IF(Dataset!K1387&lt;18,0.7,0.9)))</f>
        <v>0.45</v>
      </c>
      <c r="R1387" s="29">
        <f>IF(Dataset!K1387&lt;5,1,IF(Dataset!K1387&lt;10,2,IF(Dataset!K1387&lt;18,3,4)))</f>
        <v>2</v>
      </c>
      <c r="S1387" s="29">
        <f t="shared" si="173"/>
        <v>0.9</v>
      </c>
      <c r="T1387" s="29">
        <f t="shared" si="174"/>
        <v>0.80599999999999994</v>
      </c>
      <c r="U1387" s="29" t="str">
        <f t="shared" si="175"/>
        <v>Low</v>
      </c>
    </row>
    <row r="1388" spans="1:21" ht="15" customHeight="1" x14ac:dyDescent="0.25">
      <c r="A1388" s="29">
        <f>Dataset!A1388</f>
        <v>1384</v>
      </c>
      <c r="B1388" s="29">
        <f>IF(Dataset!B1388&lt;25,0.3,IF(Dataset!B1388&lt;75,0.5,IF(Dataset!B1388&lt;120,0.65,0.8)))</f>
        <v>0.5</v>
      </c>
      <c r="C1388" s="29">
        <f>IF(Dataset!B1388&lt;25,1,IF(Dataset!B1388&lt;75,2,IF(Dataset!B1388&lt;120,3,4)))</f>
        <v>2</v>
      </c>
      <c r="D1388" s="29">
        <f t="shared" si="168"/>
        <v>1</v>
      </c>
      <c r="E1388" s="29">
        <f>IF(Dataset!C1388&lt;=1,0.3,IF(Dataset!C1388=2,0.4,IF(Dataset!C1388=3,0.5,IF(Dataset!C1388=4,0.65,0.8))))</f>
        <v>0.8</v>
      </c>
      <c r="F1388" s="29">
        <f>IF(Dataset!C1388&lt;=2,1,IF(Dataset!C1388=3,2,IF(Dataset!C1388=4,3,4)))</f>
        <v>4</v>
      </c>
      <c r="G1388" s="29">
        <f t="shared" si="169"/>
        <v>3.2</v>
      </c>
      <c r="H1388" s="29">
        <f>IF(Dataset!G1388&lt;=3,0.25,IF(Dataset!G1388&lt;=6,0.45,IF(Dataset!G1388&lt;=9,0.65,0.85)))</f>
        <v>0.45</v>
      </c>
      <c r="I1388" s="29">
        <f>IF(Dataset!G1388&lt;=3,1,IF(Dataset!G1388&lt;=6,2,IF(Dataset!G1388&lt;=9,3,4)))</f>
        <v>2</v>
      </c>
      <c r="J1388" s="29">
        <f t="shared" si="170"/>
        <v>0.9</v>
      </c>
      <c r="K1388" s="29">
        <f>IF(Dataset!H1388&lt;1,0.2,IF(Dataset!H1388&lt;1.3,0.45,IF(Dataset!H1388&lt;1.8,0.7,0.9)))</f>
        <v>0.9</v>
      </c>
      <c r="L1388" s="29">
        <f>IF(Dataset!H1388&lt;1,1,IF(Dataset!H1388&lt;1.3,2,IF(Dataset!H1388&lt;1.8,3,4)))</f>
        <v>4</v>
      </c>
      <c r="M1388" s="29">
        <f t="shared" si="171"/>
        <v>3.6</v>
      </c>
      <c r="N1388" s="29">
        <f>IF(Dataset!F1388=1,0.75,IF(Dataset!F1388=2,0.45,0.2))</f>
        <v>0.45</v>
      </c>
      <c r="O1388" s="29">
        <f>IF(Dataset!F1388=1,3,IF(Dataset!F1388=2,2,1))</f>
        <v>2</v>
      </c>
      <c r="P1388" s="29">
        <f t="shared" si="172"/>
        <v>0.9</v>
      </c>
      <c r="Q1388" s="29">
        <f>IF(Dataset!K1388&lt;5,0.2,IF(Dataset!K1388&lt;10,0.45,IF(Dataset!K1388&lt;18,0.7,0.9)))</f>
        <v>0.7</v>
      </c>
      <c r="R1388" s="29">
        <f>IF(Dataset!K1388&lt;5,1,IF(Dataset!K1388&lt;10,2,IF(Dataset!K1388&lt;18,3,4)))</f>
        <v>3</v>
      </c>
      <c r="S1388" s="29">
        <f t="shared" si="173"/>
        <v>2.0999999999999996</v>
      </c>
      <c r="T1388" s="29">
        <f t="shared" si="174"/>
        <v>2.056</v>
      </c>
      <c r="U1388" s="29" t="str">
        <f t="shared" si="175"/>
        <v>High</v>
      </c>
    </row>
    <row r="1389" spans="1:21" ht="15" customHeight="1" x14ac:dyDescent="0.25">
      <c r="A1389" s="29">
        <f>Dataset!A1389</f>
        <v>1385</v>
      </c>
      <c r="B1389" s="29">
        <f>IF(Dataset!B1389&lt;25,0.3,IF(Dataset!B1389&lt;75,0.5,IF(Dataset!B1389&lt;120,0.65,0.8)))</f>
        <v>0.3</v>
      </c>
      <c r="C1389" s="29">
        <f>IF(Dataset!B1389&lt;25,1,IF(Dataset!B1389&lt;75,2,IF(Dataset!B1389&lt;120,3,4)))</f>
        <v>1</v>
      </c>
      <c r="D1389" s="29">
        <f t="shared" si="168"/>
        <v>0.3</v>
      </c>
      <c r="E1389" s="29">
        <f>IF(Dataset!C1389&lt;=1,0.3,IF(Dataset!C1389=2,0.4,IF(Dataset!C1389=3,0.5,IF(Dataset!C1389=4,0.65,0.8))))</f>
        <v>0.65</v>
      </c>
      <c r="F1389" s="29">
        <f>IF(Dataset!C1389&lt;=2,1,IF(Dataset!C1389=3,2,IF(Dataset!C1389=4,3,4)))</f>
        <v>3</v>
      </c>
      <c r="G1389" s="29">
        <f t="shared" si="169"/>
        <v>1.9500000000000002</v>
      </c>
      <c r="H1389" s="29">
        <f>IF(Dataset!G1389&lt;=3,0.25,IF(Dataset!G1389&lt;=6,0.45,IF(Dataset!G1389&lt;=9,0.65,0.85)))</f>
        <v>0.65</v>
      </c>
      <c r="I1389" s="29">
        <f>IF(Dataset!G1389&lt;=3,1,IF(Dataset!G1389&lt;=6,2,IF(Dataset!G1389&lt;=9,3,4)))</f>
        <v>3</v>
      </c>
      <c r="J1389" s="29">
        <f t="shared" si="170"/>
        <v>1.9500000000000002</v>
      </c>
      <c r="K1389" s="29">
        <f>IF(Dataset!H1389&lt;1,0.2,IF(Dataset!H1389&lt;1.3,0.45,IF(Dataset!H1389&lt;1.8,0.7,0.9)))</f>
        <v>0.9</v>
      </c>
      <c r="L1389" s="29">
        <f>IF(Dataset!H1389&lt;1,1,IF(Dataset!H1389&lt;1.3,2,IF(Dataset!H1389&lt;1.8,3,4)))</f>
        <v>4</v>
      </c>
      <c r="M1389" s="29">
        <f t="shared" si="171"/>
        <v>3.6</v>
      </c>
      <c r="N1389" s="29">
        <f>IF(Dataset!F1389=1,0.75,IF(Dataset!F1389=2,0.45,0.2))</f>
        <v>0.45</v>
      </c>
      <c r="O1389" s="29">
        <f>IF(Dataset!F1389=1,3,IF(Dataset!F1389=2,2,1))</f>
        <v>2</v>
      </c>
      <c r="P1389" s="29">
        <f t="shared" si="172"/>
        <v>0.9</v>
      </c>
      <c r="Q1389" s="29">
        <f>IF(Dataset!K1389&lt;5,0.2,IF(Dataset!K1389&lt;10,0.45,IF(Dataset!K1389&lt;18,0.7,0.9)))</f>
        <v>0.45</v>
      </c>
      <c r="R1389" s="29">
        <f>IF(Dataset!K1389&lt;5,1,IF(Dataset!K1389&lt;10,2,IF(Dataset!K1389&lt;18,3,4)))</f>
        <v>2</v>
      </c>
      <c r="S1389" s="29">
        <f t="shared" si="173"/>
        <v>0.9</v>
      </c>
      <c r="T1389" s="29">
        <f t="shared" si="174"/>
        <v>1.7970000000000002</v>
      </c>
      <c r="U1389" s="29" t="str">
        <f t="shared" si="175"/>
        <v>High</v>
      </c>
    </row>
    <row r="1390" spans="1:21" ht="15" customHeight="1" x14ac:dyDescent="0.25">
      <c r="A1390" s="29">
        <f>Dataset!A1390</f>
        <v>1386</v>
      </c>
      <c r="B1390" s="29">
        <f>IF(Dataset!B1390&lt;25,0.3,IF(Dataset!B1390&lt;75,0.5,IF(Dataset!B1390&lt;120,0.65,0.8)))</f>
        <v>0.3</v>
      </c>
      <c r="C1390" s="29">
        <f>IF(Dataset!B1390&lt;25,1,IF(Dataset!B1390&lt;75,2,IF(Dataset!B1390&lt;120,3,4)))</f>
        <v>1</v>
      </c>
      <c r="D1390" s="29">
        <f t="shared" si="168"/>
        <v>0.3</v>
      </c>
      <c r="E1390" s="29">
        <f>IF(Dataset!C1390&lt;=1,0.3,IF(Dataset!C1390=2,0.4,IF(Dataset!C1390=3,0.5,IF(Dataset!C1390=4,0.65,0.8))))</f>
        <v>0.3</v>
      </c>
      <c r="F1390" s="29">
        <f>IF(Dataset!C1390&lt;=2,1,IF(Dataset!C1390=3,2,IF(Dataset!C1390=4,3,4)))</f>
        <v>1</v>
      </c>
      <c r="G1390" s="29">
        <f t="shared" si="169"/>
        <v>0.3</v>
      </c>
      <c r="H1390" s="29">
        <f>IF(Dataset!G1390&lt;=3,0.25,IF(Dataset!G1390&lt;=6,0.45,IF(Dataset!G1390&lt;=9,0.65,0.85)))</f>
        <v>0.65</v>
      </c>
      <c r="I1390" s="29">
        <f>IF(Dataset!G1390&lt;=3,1,IF(Dataset!G1390&lt;=6,2,IF(Dataset!G1390&lt;=9,3,4)))</f>
        <v>3</v>
      </c>
      <c r="J1390" s="29">
        <f t="shared" si="170"/>
        <v>1.9500000000000002</v>
      </c>
      <c r="K1390" s="29">
        <f>IF(Dataset!H1390&lt;1,0.2,IF(Dataset!H1390&lt;1.3,0.45,IF(Dataset!H1390&lt;1.8,0.7,0.9)))</f>
        <v>0.9</v>
      </c>
      <c r="L1390" s="29">
        <f>IF(Dataset!H1390&lt;1,1,IF(Dataset!H1390&lt;1.3,2,IF(Dataset!H1390&lt;1.8,3,4)))</f>
        <v>4</v>
      </c>
      <c r="M1390" s="29">
        <f t="shared" si="171"/>
        <v>3.6</v>
      </c>
      <c r="N1390" s="29">
        <f>IF(Dataset!F1390=1,0.75,IF(Dataset!F1390=2,0.45,0.2))</f>
        <v>0.75</v>
      </c>
      <c r="O1390" s="29">
        <f>IF(Dataset!F1390=1,3,IF(Dataset!F1390=2,2,1))</f>
        <v>3</v>
      </c>
      <c r="P1390" s="29">
        <f t="shared" si="172"/>
        <v>2.25</v>
      </c>
      <c r="Q1390" s="29">
        <f>IF(Dataset!K1390&lt;5,0.2,IF(Dataset!K1390&lt;10,0.45,IF(Dataset!K1390&lt;18,0.7,0.9)))</f>
        <v>0.2</v>
      </c>
      <c r="R1390" s="29">
        <f>IF(Dataset!K1390&lt;5,1,IF(Dataset!K1390&lt;10,2,IF(Dataset!K1390&lt;18,3,4)))</f>
        <v>1</v>
      </c>
      <c r="S1390" s="29">
        <f t="shared" si="173"/>
        <v>0.2</v>
      </c>
      <c r="T1390" s="29">
        <f t="shared" si="174"/>
        <v>1.6030000000000002</v>
      </c>
      <c r="U1390" s="29" t="str">
        <f t="shared" si="175"/>
        <v>Medium</v>
      </c>
    </row>
    <row r="1391" spans="1:21" ht="15" customHeight="1" x14ac:dyDescent="0.25">
      <c r="A1391" s="29">
        <f>Dataset!A1391</f>
        <v>1387</v>
      </c>
      <c r="B1391" s="29">
        <f>IF(Dataset!B1391&lt;25,0.3,IF(Dataset!B1391&lt;75,0.5,IF(Dataset!B1391&lt;120,0.65,0.8)))</f>
        <v>0.5</v>
      </c>
      <c r="C1391" s="29">
        <f>IF(Dataset!B1391&lt;25,1,IF(Dataset!B1391&lt;75,2,IF(Dataset!B1391&lt;120,3,4)))</f>
        <v>2</v>
      </c>
      <c r="D1391" s="29">
        <f t="shared" si="168"/>
        <v>1</v>
      </c>
      <c r="E1391" s="29">
        <f>IF(Dataset!C1391&lt;=1,0.3,IF(Dataset!C1391=2,0.4,IF(Dataset!C1391=3,0.5,IF(Dataset!C1391=4,0.65,0.8))))</f>
        <v>0.5</v>
      </c>
      <c r="F1391" s="29">
        <f>IF(Dataset!C1391&lt;=2,1,IF(Dataset!C1391=3,2,IF(Dataset!C1391=4,3,4)))</f>
        <v>2</v>
      </c>
      <c r="G1391" s="29">
        <f t="shared" si="169"/>
        <v>1</v>
      </c>
      <c r="H1391" s="29">
        <f>IF(Dataset!G1391&lt;=3,0.25,IF(Dataset!G1391&lt;=6,0.45,IF(Dataset!G1391&lt;=9,0.65,0.85)))</f>
        <v>0.45</v>
      </c>
      <c r="I1391" s="29">
        <f>IF(Dataset!G1391&lt;=3,1,IF(Dataset!G1391&lt;=6,2,IF(Dataset!G1391&lt;=9,3,4)))</f>
        <v>2</v>
      </c>
      <c r="J1391" s="29">
        <f t="shared" si="170"/>
        <v>0.9</v>
      </c>
      <c r="K1391" s="29">
        <f>IF(Dataset!H1391&lt;1,0.2,IF(Dataset!H1391&lt;1.3,0.45,IF(Dataset!H1391&lt;1.8,0.7,0.9)))</f>
        <v>0.9</v>
      </c>
      <c r="L1391" s="29">
        <f>IF(Dataset!H1391&lt;1,1,IF(Dataset!H1391&lt;1.3,2,IF(Dataset!H1391&lt;1.8,3,4)))</f>
        <v>4</v>
      </c>
      <c r="M1391" s="29">
        <f t="shared" si="171"/>
        <v>3.6</v>
      </c>
      <c r="N1391" s="29">
        <f>IF(Dataset!F1391=1,0.75,IF(Dataset!F1391=2,0.45,0.2))</f>
        <v>0.75</v>
      </c>
      <c r="O1391" s="29">
        <f>IF(Dataset!F1391=1,3,IF(Dataset!F1391=2,2,1))</f>
        <v>3</v>
      </c>
      <c r="P1391" s="29">
        <f t="shared" si="172"/>
        <v>2.25</v>
      </c>
      <c r="Q1391" s="29">
        <f>IF(Dataset!K1391&lt;5,0.2,IF(Dataset!K1391&lt;10,0.45,IF(Dataset!K1391&lt;18,0.7,0.9)))</f>
        <v>0.2</v>
      </c>
      <c r="R1391" s="29">
        <f>IF(Dataset!K1391&lt;5,1,IF(Dataset!K1391&lt;10,2,IF(Dataset!K1391&lt;18,3,4)))</f>
        <v>1</v>
      </c>
      <c r="S1391" s="29">
        <f t="shared" si="173"/>
        <v>0.2</v>
      </c>
      <c r="T1391" s="29">
        <f t="shared" si="174"/>
        <v>1.617</v>
      </c>
      <c r="U1391" s="29" t="str">
        <f t="shared" si="175"/>
        <v>Medium</v>
      </c>
    </row>
    <row r="1392" spans="1:21" ht="15" customHeight="1" x14ac:dyDescent="0.25">
      <c r="A1392" s="29">
        <f>Dataset!A1392</f>
        <v>1388</v>
      </c>
      <c r="B1392" s="29">
        <f>IF(Dataset!B1392&lt;25,0.3,IF(Dataset!B1392&lt;75,0.5,IF(Dataset!B1392&lt;120,0.65,0.8)))</f>
        <v>0.5</v>
      </c>
      <c r="C1392" s="29">
        <f>IF(Dataset!B1392&lt;25,1,IF(Dataset!B1392&lt;75,2,IF(Dataset!B1392&lt;120,3,4)))</f>
        <v>2</v>
      </c>
      <c r="D1392" s="29">
        <f t="shared" si="168"/>
        <v>1</v>
      </c>
      <c r="E1392" s="29">
        <f>IF(Dataset!C1392&lt;=1,0.3,IF(Dataset!C1392=2,0.4,IF(Dataset!C1392=3,0.5,IF(Dataset!C1392=4,0.65,0.8))))</f>
        <v>0.65</v>
      </c>
      <c r="F1392" s="29">
        <f>IF(Dataset!C1392&lt;=2,1,IF(Dataset!C1392=3,2,IF(Dataset!C1392=4,3,4)))</f>
        <v>3</v>
      </c>
      <c r="G1392" s="29">
        <f t="shared" si="169"/>
        <v>1.9500000000000002</v>
      </c>
      <c r="H1392" s="29">
        <f>IF(Dataset!G1392&lt;=3,0.25,IF(Dataset!G1392&lt;=6,0.45,IF(Dataset!G1392&lt;=9,0.65,0.85)))</f>
        <v>0.25</v>
      </c>
      <c r="I1392" s="29">
        <f>IF(Dataset!G1392&lt;=3,1,IF(Dataset!G1392&lt;=6,2,IF(Dataset!G1392&lt;=9,3,4)))</f>
        <v>1</v>
      </c>
      <c r="J1392" s="29">
        <f t="shared" si="170"/>
        <v>0.25</v>
      </c>
      <c r="K1392" s="29">
        <f>IF(Dataset!H1392&lt;1,0.2,IF(Dataset!H1392&lt;1.3,0.45,IF(Dataset!H1392&lt;1.8,0.7,0.9)))</f>
        <v>0.9</v>
      </c>
      <c r="L1392" s="29">
        <f>IF(Dataset!H1392&lt;1,1,IF(Dataset!H1392&lt;1.3,2,IF(Dataset!H1392&lt;1.8,3,4)))</f>
        <v>4</v>
      </c>
      <c r="M1392" s="29">
        <f t="shared" si="171"/>
        <v>3.6</v>
      </c>
      <c r="N1392" s="29">
        <f>IF(Dataset!F1392=1,0.75,IF(Dataset!F1392=2,0.45,0.2))</f>
        <v>0.2</v>
      </c>
      <c r="O1392" s="29">
        <f>IF(Dataset!F1392=1,3,IF(Dataset!F1392=2,2,1))</f>
        <v>1</v>
      </c>
      <c r="P1392" s="29">
        <f t="shared" si="172"/>
        <v>0.2</v>
      </c>
      <c r="Q1392" s="29">
        <f>IF(Dataset!K1392&lt;5,0.2,IF(Dataset!K1392&lt;10,0.45,IF(Dataset!K1392&lt;18,0.7,0.9)))</f>
        <v>0.45</v>
      </c>
      <c r="R1392" s="29">
        <f>IF(Dataset!K1392&lt;5,1,IF(Dataset!K1392&lt;10,2,IF(Dataset!K1392&lt;18,3,4)))</f>
        <v>2</v>
      </c>
      <c r="S1392" s="29">
        <f t="shared" si="173"/>
        <v>0.9</v>
      </c>
      <c r="T1392" s="29">
        <f t="shared" si="174"/>
        <v>1.5130000000000001</v>
      </c>
      <c r="U1392" s="29" t="str">
        <f t="shared" si="175"/>
        <v>Medium</v>
      </c>
    </row>
    <row r="1393" spans="1:21" ht="15" customHeight="1" x14ac:dyDescent="0.25">
      <c r="A1393" s="29">
        <f>Dataset!A1393</f>
        <v>1389</v>
      </c>
      <c r="B1393" s="29">
        <f>IF(Dataset!B1393&lt;25,0.3,IF(Dataset!B1393&lt;75,0.5,IF(Dataset!B1393&lt;120,0.65,0.8)))</f>
        <v>0.5</v>
      </c>
      <c r="C1393" s="29">
        <f>IF(Dataset!B1393&lt;25,1,IF(Dataset!B1393&lt;75,2,IF(Dataset!B1393&lt;120,3,4)))</f>
        <v>2</v>
      </c>
      <c r="D1393" s="29">
        <f t="shared" si="168"/>
        <v>1</v>
      </c>
      <c r="E1393" s="29">
        <f>IF(Dataset!C1393&lt;=1,0.3,IF(Dataset!C1393=2,0.4,IF(Dataset!C1393=3,0.5,IF(Dataset!C1393=4,0.65,0.8))))</f>
        <v>0.5</v>
      </c>
      <c r="F1393" s="29">
        <f>IF(Dataset!C1393&lt;=2,1,IF(Dataset!C1393=3,2,IF(Dataset!C1393=4,3,4)))</f>
        <v>2</v>
      </c>
      <c r="G1393" s="29">
        <f t="shared" si="169"/>
        <v>1</v>
      </c>
      <c r="H1393" s="29">
        <f>IF(Dataset!G1393&lt;=3,0.25,IF(Dataset!G1393&lt;=6,0.45,IF(Dataset!G1393&lt;=9,0.65,0.85)))</f>
        <v>0.25</v>
      </c>
      <c r="I1393" s="29">
        <f>IF(Dataset!G1393&lt;=3,1,IF(Dataset!G1393&lt;=6,2,IF(Dataset!G1393&lt;=9,3,4)))</f>
        <v>1</v>
      </c>
      <c r="J1393" s="29">
        <f t="shared" si="170"/>
        <v>0.25</v>
      </c>
      <c r="K1393" s="29">
        <f>IF(Dataset!H1393&lt;1,0.2,IF(Dataset!H1393&lt;1.3,0.45,IF(Dataset!H1393&lt;1.8,0.7,0.9)))</f>
        <v>0.45</v>
      </c>
      <c r="L1393" s="29">
        <f>IF(Dataset!H1393&lt;1,1,IF(Dataset!H1393&lt;1.3,2,IF(Dataset!H1393&lt;1.8,3,4)))</f>
        <v>2</v>
      </c>
      <c r="M1393" s="29">
        <f t="shared" si="171"/>
        <v>0.9</v>
      </c>
      <c r="N1393" s="29">
        <f>IF(Dataset!F1393=1,0.75,IF(Dataset!F1393=2,0.45,0.2))</f>
        <v>0.2</v>
      </c>
      <c r="O1393" s="29">
        <f>IF(Dataset!F1393=1,3,IF(Dataset!F1393=2,2,1))</f>
        <v>1</v>
      </c>
      <c r="P1393" s="29">
        <f t="shared" si="172"/>
        <v>0.2</v>
      </c>
      <c r="Q1393" s="29">
        <f>IF(Dataset!K1393&lt;5,0.2,IF(Dataset!K1393&lt;10,0.45,IF(Dataset!K1393&lt;18,0.7,0.9)))</f>
        <v>0.45</v>
      </c>
      <c r="R1393" s="29">
        <f>IF(Dataset!K1393&lt;5,1,IF(Dataset!K1393&lt;10,2,IF(Dataset!K1393&lt;18,3,4)))</f>
        <v>2</v>
      </c>
      <c r="S1393" s="29">
        <f t="shared" si="173"/>
        <v>0.9</v>
      </c>
      <c r="T1393" s="29">
        <f t="shared" si="174"/>
        <v>0.73199999999999998</v>
      </c>
      <c r="U1393" s="29" t="str">
        <f t="shared" si="175"/>
        <v>Low</v>
      </c>
    </row>
    <row r="1394" spans="1:21" ht="15" customHeight="1" x14ac:dyDescent="0.25">
      <c r="A1394" s="29">
        <f>Dataset!A1394</f>
        <v>1390</v>
      </c>
      <c r="B1394" s="29">
        <f>IF(Dataset!B1394&lt;25,0.3,IF(Dataset!B1394&lt;75,0.5,IF(Dataset!B1394&lt;120,0.65,0.8)))</f>
        <v>0.65</v>
      </c>
      <c r="C1394" s="29">
        <f>IF(Dataset!B1394&lt;25,1,IF(Dataset!B1394&lt;75,2,IF(Dataset!B1394&lt;120,3,4)))</f>
        <v>3</v>
      </c>
      <c r="D1394" s="29">
        <f t="shared" si="168"/>
        <v>1.9500000000000002</v>
      </c>
      <c r="E1394" s="29">
        <f>IF(Dataset!C1394&lt;=1,0.3,IF(Dataset!C1394=2,0.4,IF(Dataset!C1394=3,0.5,IF(Dataset!C1394=4,0.65,0.8))))</f>
        <v>0.4</v>
      </c>
      <c r="F1394" s="29">
        <f>IF(Dataset!C1394&lt;=2,1,IF(Dataset!C1394=3,2,IF(Dataset!C1394=4,3,4)))</f>
        <v>1</v>
      </c>
      <c r="G1394" s="29">
        <f t="shared" si="169"/>
        <v>0.4</v>
      </c>
      <c r="H1394" s="29">
        <f>IF(Dataset!G1394&lt;=3,0.25,IF(Dataset!G1394&lt;=6,0.45,IF(Dataset!G1394&lt;=9,0.65,0.85)))</f>
        <v>0.65</v>
      </c>
      <c r="I1394" s="29">
        <f>IF(Dataset!G1394&lt;=3,1,IF(Dataset!G1394&lt;=6,2,IF(Dataset!G1394&lt;=9,3,4)))</f>
        <v>3</v>
      </c>
      <c r="J1394" s="29">
        <f t="shared" si="170"/>
        <v>1.9500000000000002</v>
      </c>
      <c r="K1394" s="29">
        <f>IF(Dataset!H1394&lt;1,0.2,IF(Dataset!H1394&lt;1.3,0.45,IF(Dataset!H1394&lt;1.8,0.7,0.9)))</f>
        <v>0.7</v>
      </c>
      <c r="L1394" s="29">
        <f>IF(Dataset!H1394&lt;1,1,IF(Dataset!H1394&lt;1.3,2,IF(Dataset!H1394&lt;1.8,3,4)))</f>
        <v>3</v>
      </c>
      <c r="M1394" s="29">
        <f t="shared" si="171"/>
        <v>2.0999999999999996</v>
      </c>
      <c r="N1394" s="29">
        <f>IF(Dataset!F1394=1,0.75,IF(Dataset!F1394=2,0.45,0.2))</f>
        <v>0.45</v>
      </c>
      <c r="O1394" s="29">
        <f>IF(Dataset!F1394=1,3,IF(Dataset!F1394=2,2,1))</f>
        <v>2</v>
      </c>
      <c r="P1394" s="29">
        <f t="shared" si="172"/>
        <v>0.9</v>
      </c>
      <c r="Q1394" s="29">
        <f>IF(Dataset!K1394&lt;5,0.2,IF(Dataset!K1394&lt;10,0.45,IF(Dataset!K1394&lt;18,0.7,0.9)))</f>
        <v>0.45</v>
      </c>
      <c r="R1394" s="29">
        <f>IF(Dataset!K1394&lt;5,1,IF(Dataset!K1394&lt;10,2,IF(Dataset!K1394&lt;18,3,4)))</f>
        <v>2</v>
      </c>
      <c r="S1394" s="29">
        <f t="shared" si="173"/>
        <v>0.9</v>
      </c>
      <c r="T1394" s="29">
        <f t="shared" si="174"/>
        <v>1.5170000000000003</v>
      </c>
      <c r="U1394" s="29" t="str">
        <f t="shared" si="175"/>
        <v>Medium</v>
      </c>
    </row>
    <row r="1395" spans="1:21" ht="15" customHeight="1" x14ac:dyDescent="0.25">
      <c r="A1395" s="29">
        <f>Dataset!A1395</f>
        <v>1391</v>
      </c>
      <c r="B1395" s="29">
        <f>IF(Dataset!B1395&lt;25,0.3,IF(Dataset!B1395&lt;75,0.5,IF(Dataset!B1395&lt;120,0.65,0.8)))</f>
        <v>0.65</v>
      </c>
      <c r="C1395" s="29">
        <f>IF(Dataset!B1395&lt;25,1,IF(Dataset!B1395&lt;75,2,IF(Dataset!B1395&lt;120,3,4)))</f>
        <v>3</v>
      </c>
      <c r="D1395" s="29">
        <f t="shared" si="168"/>
        <v>1.9500000000000002</v>
      </c>
      <c r="E1395" s="29">
        <f>IF(Dataset!C1395&lt;=1,0.3,IF(Dataset!C1395=2,0.4,IF(Dataset!C1395=3,0.5,IF(Dataset!C1395=4,0.65,0.8))))</f>
        <v>0.5</v>
      </c>
      <c r="F1395" s="29">
        <f>IF(Dataset!C1395&lt;=2,1,IF(Dataset!C1395=3,2,IF(Dataset!C1395=4,3,4)))</f>
        <v>2</v>
      </c>
      <c r="G1395" s="29">
        <f t="shared" si="169"/>
        <v>1</v>
      </c>
      <c r="H1395" s="29">
        <f>IF(Dataset!G1395&lt;=3,0.25,IF(Dataset!G1395&lt;=6,0.45,IF(Dataset!G1395&lt;=9,0.65,0.85)))</f>
        <v>0.85</v>
      </c>
      <c r="I1395" s="29">
        <f>IF(Dataset!G1395&lt;=3,1,IF(Dataset!G1395&lt;=6,2,IF(Dataset!G1395&lt;=9,3,4)))</f>
        <v>4</v>
      </c>
      <c r="J1395" s="29">
        <f t="shared" si="170"/>
        <v>3.4</v>
      </c>
      <c r="K1395" s="29">
        <f>IF(Dataset!H1395&lt;1,0.2,IF(Dataset!H1395&lt;1.3,0.45,IF(Dataset!H1395&lt;1.8,0.7,0.9)))</f>
        <v>0.45</v>
      </c>
      <c r="L1395" s="29">
        <f>IF(Dataset!H1395&lt;1,1,IF(Dataset!H1395&lt;1.3,2,IF(Dataset!H1395&lt;1.8,3,4)))</f>
        <v>2</v>
      </c>
      <c r="M1395" s="29">
        <f t="shared" si="171"/>
        <v>0.9</v>
      </c>
      <c r="N1395" s="29">
        <f>IF(Dataset!F1395=1,0.75,IF(Dataset!F1395=2,0.45,0.2))</f>
        <v>0.75</v>
      </c>
      <c r="O1395" s="29">
        <f>IF(Dataset!F1395=1,3,IF(Dataset!F1395=2,2,1))</f>
        <v>3</v>
      </c>
      <c r="P1395" s="29">
        <f t="shared" si="172"/>
        <v>2.25</v>
      </c>
      <c r="Q1395" s="29">
        <f>IF(Dataset!K1395&lt;5,0.2,IF(Dataset!K1395&lt;10,0.45,IF(Dataset!K1395&lt;18,0.7,0.9)))</f>
        <v>0.2</v>
      </c>
      <c r="R1395" s="29">
        <f>IF(Dataset!K1395&lt;5,1,IF(Dataset!K1395&lt;10,2,IF(Dataset!K1395&lt;18,3,4)))</f>
        <v>1</v>
      </c>
      <c r="S1395" s="29">
        <f t="shared" si="173"/>
        <v>0.2</v>
      </c>
      <c r="T1395" s="29">
        <f t="shared" si="174"/>
        <v>1.6400000000000001</v>
      </c>
      <c r="U1395" s="29" t="str">
        <f t="shared" si="175"/>
        <v>Medium</v>
      </c>
    </row>
    <row r="1396" spans="1:21" ht="15" customHeight="1" x14ac:dyDescent="0.25">
      <c r="A1396" s="29">
        <f>Dataset!A1396</f>
        <v>1392</v>
      </c>
      <c r="B1396" s="29">
        <f>IF(Dataset!B1396&lt;25,0.3,IF(Dataset!B1396&lt;75,0.5,IF(Dataset!B1396&lt;120,0.65,0.8)))</f>
        <v>0.65</v>
      </c>
      <c r="C1396" s="29">
        <f>IF(Dataset!B1396&lt;25,1,IF(Dataset!B1396&lt;75,2,IF(Dataset!B1396&lt;120,3,4)))</f>
        <v>3</v>
      </c>
      <c r="D1396" s="29">
        <f t="shared" si="168"/>
        <v>1.9500000000000002</v>
      </c>
      <c r="E1396" s="29">
        <f>IF(Dataset!C1396&lt;=1,0.3,IF(Dataset!C1396=2,0.4,IF(Dataset!C1396=3,0.5,IF(Dataset!C1396=4,0.65,0.8))))</f>
        <v>0.5</v>
      </c>
      <c r="F1396" s="29">
        <f>IF(Dataset!C1396&lt;=2,1,IF(Dataset!C1396=3,2,IF(Dataset!C1396=4,3,4)))</f>
        <v>2</v>
      </c>
      <c r="G1396" s="29">
        <f t="shared" si="169"/>
        <v>1</v>
      </c>
      <c r="H1396" s="29">
        <f>IF(Dataset!G1396&lt;=3,0.25,IF(Dataset!G1396&lt;=6,0.45,IF(Dataset!G1396&lt;=9,0.65,0.85)))</f>
        <v>0.45</v>
      </c>
      <c r="I1396" s="29">
        <f>IF(Dataset!G1396&lt;=3,1,IF(Dataset!G1396&lt;=6,2,IF(Dataset!G1396&lt;=9,3,4)))</f>
        <v>2</v>
      </c>
      <c r="J1396" s="29">
        <f t="shared" si="170"/>
        <v>0.9</v>
      </c>
      <c r="K1396" s="29">
        <f>IF(Dataset!H1396&lt;1,0.2,IF(Dataset!H1396&lt;1.3,0.45,IF(Dataset!H1396&lt;1.8,0.7,0.9)))</f>
        <v>0.7</v>
      </c>
      <c r="L1396" s="29">
        <f>IF(Dataset!H1396&lt;1,1,IF(Dataset!H1396&lt;1.3,2,IF(Dataset!H1396&lt;1.8,3,4)))</f>
        <v>3</v>
      </c>
      <c r="M1396" s="29">
        <f t="shared" si="171"/>
        <v>2.0999999999999996</v>
      </c>
      <c r="N1396" s="29">
        <f>IF(Dataset!F1396=1,0.75,IF(Dataset!F1396=2,0.45,0.2))</f>
        <v>0.2</v>
      </c>
      <c r="O1396" s="29">
        <f>IF(Dataset!F1396=1,3,IF(Dataset!F1396=2,2,1))</f>
        <v>1</v>
      </c>
      <c r="P1396" s="29">
        <f t="shared" si="172"/>
        <v>0.2</v>
      </c>
      <c r="Q1396" s="29">
        <f>IF(Dataset!K1396&lt;5,0.2,IF(Dataset!K1396&lt;10,0.45,IF(Dataset!K1396&lt;18,0.7,0.9)))</f>
        <v>0.2</v>
      </c>
      <c r="R1396" s="29">
        <f>IF(Dataset!K1396&lt;5,1,IF(Dataset!K1396&lt;10,2,IF(Dataset!K1396&lt;18,3,4)))</f>
        <v>1</v>
      </c>
      <c r="S1396" s="29">
        <f t="shared" si="173"/>
        <v>0.2</v>
      </c>
      <c r="T1396" s="29">
        <f t="shared" si="174"/>
        <v>1.2229999999999999</v>
      </c>
      <c r="U1396" s="29" t="str">
        <f t="shared" si="175"/>
        <v>Low</v>
      </c>
    </row>
    <row r="1397" spans="1:21" ht="15" customHeight="1" x14ac:dyDescent="0.25">
      <c r="A1397" s="29">
        <f>Dataset!A1397</f>
        <v>1393</v>
      </c>
      <c r="B1397" s="29">
        <f>IF(Dataset!B1397&lt;25,0.3,IF(Dataset!B1397&lt;75,0.5,IF(Dataset!B1397&lt;120,0.65,0.8)))</f>
        <v>0.3</v>
      </c>
      <c r="C1397" s="29">
        <f>IF(Dataset!B1397&lt;25,1,IF(Dataset!B1397&lt;75,2,IF(Dataset!B1397&lt;120,3,4)))</f>
        <v>1</v>
      </c>
      <c r="D1397" s="29">
        <f t="shared" si="168"/>
        <v>0.3</v>
      </c>
      <c r="E1397" s="29">
        <f>IF(Dataset!C1397&lt;=1,0.3,IF(Dataset!C1397=2,0.4,IF(Dataset!C1397=3,0.5,IF(Dataset!C1397=4,0.65,0.8))))</f>
        <v>0.4</v>
      </c>
      <c r="F1397" s="29">
        <f>IF(Dataset!C1397&lt;=2,1,IF(Dataset!C1397=3,2,IF(Dataset!C1397=4,3,4)))</f>
        <v>1</v>
      </c>
      <c r="G1397" s="29">
        <f t="shared" si="169"/>
        <v>0.4</v>
      </c>
      <c r="H1397" s="29">
        <f>IF(Dataset!G1397&lt;=3,0.25,IF(Dataset!G1397&lt;=6,0.45,IF(Dataset!G1397&lt;=9,0.65,0.85)))</f>
        <v>0.45</v>
      </c>
      <c r="I1397" s="29">
        <f>IF(Dataset!G1397&lt;=3,1,IF(Dataset!G1397&lt;=6,2,IF(Dataset!G1397&lt;=9,3,4)))</f>
        <v>2</v>
      </c>
      <c r="J1397" s="29">
        <f t="shared" si="170"/>
        <v>0.9</v>
      </c>
      <c r="K1397" s="29">
        <f>IF(Dataset!H1397&lt;1,0.2,IF(Dataset!H1397&lt;1.3,0.45,IF(Dataset!H1397&lt;1.8,0.7,0.9)))</f>
        <v>0.45</v>
      </c>
      <c r="L1397" s="29">
        <f>IF(Dataset!H1397&lt;1,1,IF(Dataset!H1397&lt;1.3,2,IF(Dataset!H1397&lt;1.8,3,4)))</f>
        <v>2</v>
      </c>
      <c r="M1397" s="29">
        <f t="shared" si="171"/>
        <v>0.9</v>
      </c>
      <c r="N1397" s="29">
        <f>IF(Dataset!F1397=1,0.75,IF(Dataset!F1397=2,0.45,0.2))</f>
        <v>0.2</v>
      </c>
      <c r="O1397" s="29">
        <f>IF(Dataset!F1397=1,3,IF(Dataset!F1397=2,2,1))</f>
        <v>1</v>
      </c>
      <c r="P1397" s="29">
        <f t="shared" si="172"/>
        <v>0.2</v>
      </c>
      <c r="Q1397" s="29">
        <f>IF(Dataset!K1397&lt;5,0.2,IF(Dataset!K1397&lt;10,0.45,IF(Dataset!K1397&lt;18,0.7,0.9)))</f>
        <v>0.2</v>
      </c>
      <c r="R1397" s="29">
        <f>IF(Dataset!K1397&lt;5,1,IF(Dataset!K1397&lt;10,2,IF(Dataset!K1397&lt;18,3,4)))</f>
        <v>1</v>
      </c>
      <c r="S1397" s="29">
        <f t="shared" si="173"/>
        <v>0.2</v>
      </c>
      <c r="T1397" s="29">
        <f t="shared" si="174"/>
        <v>0.55400000000000005</v>
      </c>
      <c r="U1397" s="29" t="str">
        <f t="shared" si="175"/>
        <v>Low</v>
      </c>
    </row>
    <row r="1398" spans="1:21" ht="15" customHeight="1" x14ac:dyDescent="0.25">
      <c r="A1398" s="29">
        <f>Dataset!A1398</f>
        <v>1394</v>
      </c>
      <c r="B1398" s="29">
        <f>IF(Dataset!B1398&lt;25,0.3,IF(Dataset!B1398&lt;75,0.5,IF(Dataset!B1398&lt;120,0.65,0.8)))</f>
        <v>0.5</v>
      </c>
      <c r="C1398" s="29">
        <f>IF(Dataset!B1398&lt;25,1,IF(Dataset!B1398&lt;75,2,IF(Dataset!B1398&lt;120,3,4)))</f>
        <v>2</v>
      </c>
      <c r="D1398" s="29">
        <f t="shared" si="168"/>
        <v>1</v>
      </c>
      <c r="E1398" s="29">
        <f>IF(Dataset!C1398&lt;=1,0.3,IF(Dataset!C1398=2,0.4,IF(Dataset!C1398=3,0.5,IF(Dataset!C1398=4,0.65,0.8))))</f>
        <v>0.65</v>
      </c>
      <c r="F1398" s="29">
        <f>IF(Dataset!C1398&lt;=2,1,IF(Dataset!C1398=3,2,IF(Dataset!C1398=4,3,4)))</f>
        <v>3</v>
      </c>
      <c r="G1398" s="29">
        <f t="shared" si="169"/>
        <v>1.9500000000000002</v>
      </c>
      <c r="H1398" s="29">
        <f>IF(Dataset!G1398&lt;=3,0.25,IF(Dataset!G1398&lt;=6,0.45,IF(Dataset!G1398&lt;=9,0.65,0.85)))</f>
        <v>0.65</v>
      </c>
      <c r="I1398" s="29">
        <f>IF(Dataset!G1398&lt;=3,1,IF(Dataset!G1398&lt;=6,2,IF(Dataset!G1398&lt;=9,3,4)))</f>
        <v>3</v>
      </c>
      <c r="J1398" s="29">
        <f t="shared" si="170"/>
        <v>1.9500000000000002</v>
      </c>
      <c r="K1398" s="29">
        <f>IF(Dataset!H1398&lt;1,0.2,IF(Dataset!H1398&lt;1.3,0.45,IF(Dataset!H1398&lt;1.8,0.7,0.9)))</f>
        <v>0.9</v>
      </c>
      <c r="L1398" s="29">
        <f>IF(Dataset!H1398&lt;1,1,IF(Dataset!H1398&lt;1.3,2,IF(Dataset!H1398&lt;1.8,3,4)))</f>
        <v>4</v>
      </c>
      <c r="M1398" s="29">
        <f t="shared" si="171"/>
        <v>3.6</v>
      </c>
      <c r="N1398" s="29">
        <f>IF(Dataset!F1398=1,0.75,IF(Dataset!F1398=2,0.45,0.2))</f>
        <v>0.45</v>
      </c>
      <c r="O1398" s="29">
        <f>IF(Dataset!F1398=1,3,IF(Dataset!F1398=2,2,1))</f>
        <v>2</v>
      </c>
      <c r="P1398" s="29">
        <f t="shared" si="172"/>
        <v>0.9</v>
      </c>
      <c r="Q1398" s="29">
        <f>IF(Dataset!K1398&lt;5,0.2,IF(Dataset!K1398&lt;10,0.45,IF(Dataset!K1398&lt;18,0.7,0.9)))</f>
        <v>0.45</v>
      </c>
      <c r="R1398" s="29">
        <f>IF(Dataset!K1398&lt;5,1,IF(Dataset!K1398&lt;10,2,IF(Dataset!K1398&lt;18,3,4)))</f>
        <v>2</v>
      </c>
      <c r="S1398" s="29">
        <f t="shared" si="173"/>
        <v>0.9</v>
      </c>
      <c r="T1398" s="29">
        <f t="shared" si="174"/>
        <v>1.9230000000000005</v>
      </c>
      <c r="U1398" s="29" t="str">
        <f t="shared" si="175"/>
        <v>High</v>
      </c>
    </row>
    <row r="1399" spans="1:21" ht="15" customHeight="1" x14ac:dyDescent="0.25">
      <c r="A1399" s="29">
        <f>Dataset!A1399</f>
        <v>1395</v>
      </c>
      <c r="B1399" s="29">
        <f>IF(Dataset!B1399&lt;25,0.3,IF(Dataset!B1399&lt;75,0.5,IF(Dataset!B1399&lt;120,0.65,0.8)))</f>
        <v>0.8</v>
      </c>
      <c r="C1399" s="29">
        <f>IF(Dataset!B1399&lt;25,1,IF(Dataset!B1399&lt;75,2,IF(Dataset!B1399&lt;120,3,4)))</f>
        <v>4</v>
      </c>
      <c r="D1399" s="29">
        <f t="shared" si="168"/>
        <v>3.2</v>
      </c>
      <c r="E1399" s="29">
        <f>IF(Dataset!C1399&lt;=1,0.3,IF(Dataset!C1399=2,0.4,IF(Dataset!C1399=3,0.5,IF(Dataset!C1399=4,0.65,0.8))))</f>
        <v>0.5</v>
      </c>
      <c r="F1399" s="29">
        <f>IF(Dataset!C1399&lt;=2,1,IF(Dataset!C1399=3,2,IF(Dataset!C1399=4,3,4)))</f>
        <v>2</v>
      </c>
      <c r="G1399" s="29">
        <f t="shared" si="169"/>
        <v>1</v>
      </c>
      <c r="H1399" s="29">
        <f>IF(Dataset!G1399&lt;=3,0.25,IF(Dataset!G1399&lt;=6,0.45,IF(Dataset!G1399&lt;=9,0.65,0.85)))</f>
        <v>0.65</v>
      </c>
      <c r="I1399" s="29">
        <f>IF(Dataset!G1399&lt;=3,1,IF(Dataset!G1399&lt;=6,2,IF(Dataset!G1399&lt;=9,3,4)))</f>
        <v>3</v>
      </c>
      <c r="J1399" s="29">
        <f t="shared" si="170"/>
        <v>1.9500000000000002</v>
      </c>
      <c r="K1399" s="29">
        <f>IF(Dataset!H1399&lt;1,0.2,IF(Dataset!H1399&lt;1.3,0.45,IF(Dataset!H1399&lt;1.8,0.7,0.9)))</f>
        <v>0.9</v>
      </c>
      <c r="L1399" s="29">
        <f>IF(Dataset!H1399&lt;1,1,IF(Dataset!H1399&lt;1.3,2,IF(Dataset!H1399&lt;1.8,3,4)))</f>
        <v>4</v>
      </c>
      <c r="M1399" s="29">
        <f t="shared" si="171"/>
        <v>3.6</v>
      </c>
      <c r="N1399" s="29">
        <f>IF(Dataset!F1399=1,0.75,IF(Dataset!F1399=2,0.45,0.2))</f>
        <v>0.75</v>
      </c>
      <c r="O1399" s="29">
        <f>IF(Dataset!F1399=1,3,IF(Dataset!F1399=2,2,1))</f>
        <v>3</v>
      </c>
      <c r="P1399" s="29">
        <f t="shared" si="172"/>
        <v>2.25</v>
      </c>
      <c r="Q1399" s="29">
        <f>IF(Dataset!K1399&lt;5,0.2,IF(Dataset!K1399&lt;10,0.45,IF(Dataset!K1399&lt;18,0.7,0.9)))</f>
        <v>0.45</v>
      </c>
      <c r="R1399" s="29">
        <f>IF(Dataset!K1399&lt;5,1,IF(Dataset!K1399&lt;10,2,IF(Dataset!K1399&lt;18,3,4)))</f>
        <v>2</v>
      </c>
      <c r="S1399" s="29">
        <f t="shared" si="173"/>
        <v>0.9</v>
      </c>
      <c r="T1399" s="29">
        <f t="shared" si="174"/>
        <v>2.3210000000000002</v>
      </c>
      <c r="U1399" s="29" t="str">
        <f t="shared" si="175"/>
        <v>High</v>
      </c>
    </row>
    <row r="1400" spans="1:21" ht="15" customHeight="1" x14ac:dyDescent="0.25">
      <c r="A1400" s="29">
        <f>Dataset!A1400</f>
        <v>1396</v>
      </c>
      <c r="B1400" s="29">
        <f>IF(Dataset!B1400&lt;25,0.3,IF(Dataset!B1400&lt;75,0.5,IF(Dataset!B1400&lt;120,0.65,0.8)))</f>
        <v>0.8</v>
      </c>
      <c r="C1400" s="29">
        <f>IF(Dataset!B1400&lt;25,1,IF(Dataset!B1400&lt;75,2,IF(Dataset!B1400&lt;120,3,4)))</f>
        <v>4</v>
      </c>
      <c r="D1400" s="29">
        <f t="shared" si="168"/>
        <v>3.2</v>
      </c>
      <c r="E1400" s="29">
        <f>IF(Dataset!C1400&lt;=1,0.3,IF(Dataset!C1400=2,0.4,IF(Dataset!C1400=3,0.5,IF(Dataset!C1400=4,0.65,0.8))))</f>
        <v>0.65</v>
      </c>
      <c r="F1400" s="29">
        <f>IF(Dataset!C1400&lt;=2,1,IF(Dataset!C1400=3,2,IF(Dataset!C1400=4,3,4)))</f>
        <v>3</v>
      </c>
      <c r="G1400" s="29">
        <f t="shared" si="169"/>
        <v>1.9500000000000002</v>
      </c>
      <c r="H1400" s="29">
        <f>IF(Dataset!G1400&lt;=3,0.25,IF(Dataset!G1400&lt;=6,0.45,IF(Dataset!G1400&lt;=9,0.65,0.85)))</f>
        <v>0.65</v>
      </c>
      <c r="I1400" s="29">
        <f>IF(Dataset!G1400&lt;=3,1,IF(Dataset!G1400&lt;=6,2,IF(Dataset!G1400&lt;=9,3,4)))</f>
        <v>3</v>
      </c>
      <c r="J1400" s="29">
        <f t="shared" si="170"/>
        <v>1.9500000000000002</v>
      </c>
      <c r="K1400" s="29">
        <f>IF(Dataset!H1400&lt;1,0.2,IF(Dataset!H1400&lt;1.3,0.45,IF(Dataset!H1400&lt;1.8,0.7,0.9)))</f>
        <v>0.9</v>
      </c>
      <c r="L1400" s="29">
        <f>IF(Dataset!H1400&lt;1,1,IF(Dataset!H1400&lt;1.3,2,IF(Dataset!H1400&lt;1.8,3,4)))</f>
        <v>4</v>
      </c>
      <c r="M1400" s="29">
        <f t="shared" si="171"/>
        <v>3.6</v>
      </c>
      <c r="N1400" s="29">
        <f>IF(Dataset!F1400=1,0.75,IF(Dataset!F1400=2,0.45,0.2))</f>
        <v>0.75</v>
      </c>
      <c r="O1400" s="29">
        <f>IF(Dataset!F1400=1,3,IF(Dataset!F1400=2,2,1))</f>
        <v>3</v>
      </c>
      <c r="P1400" s="29">
        <f t="shared" si="172"/>
        <v>2.25</v>
      </c>
      <c r="Q1400" s="29">
        <f>IF(Dataset!K1400&lt;5,0.2,IF(Dataset!K1400&lt;10,0.45,IF(Dataset!K1400&lt;18,0.7,0.9)))</f>
        <v>0.45</v>
      </c>
      <c r="R1400" s="29">
        <f>IF(Dataset!K1400&lt;5,1,IF(Dataset!K1400&lt;10,2,IF(Dataset!K1400&lt;18,3,4)))</f>
        <v>2</v>
      </c>
      <c r="S1400" s="29">
        <f t="shared" si="173"/>
        <v>0.9</v>
      </c>
      <c r="T1400" s="29">
        <f t="shared" si="174"/>
        <v>2.4540000000000002</v>
      </c>
      <c r="U1400" s="29" t="str">
        <f t="shared" si="175"/>
        <v>High</v>
      </c>
    </row>
    <row r="1401" spans="1:21" ht="15" customHeight="1" x14ac:dyDescent="0.25">
      <c r="A1401" s="29">
        <f>Dataset!A1401</f>
        <v>1397</v>
      </c>
      <c r="B1401" s="29">
        <f>IF(Dataset!B1401&lt;25,0.3,IF(Dataset!B1401&lt;75,0.5,IF(Dataset!B1401&lt;120,0.65,0.8)))</f>
        <v>0.8</v>
      </c>
      <c r="C1401" s="29">
        <f>IF(Dataset!B1401&lt;25,1,IF(Dataset!B1401&lt;75,2,IF(Dataset!B1401&lt;120,3,4)))</f>
        <v>4</v>
      </c>
      <c r="D1401" s="29">
        <f t="shared" si="168"/>
        <v>3.2</v>
      </c>
      <c r="E1401" s="29">
        <f>IF(Dataset!C1401&lt;=1,0.3,IF(Dataset!C1401=2,0.4,IF(Dataset!C1401=3,0.5,IF(Dataset!C1401=4,0.65,0.8))))</f>
        <v>0.5</v>
      </c>
      <c r="F1401" s="29">
        <f>IF(Dataset!C1401&lt;=2,1,IF(Dataset!C1401=3,2,IF(Dataset!C1401=4,3,4)))</f>
        <v>2</v>
      </c>
      <c r="G1401" s="29">
        <f t="shared" si="169"/>
        <v>1</v>
      </c>
      <c r="H1401" s="29">
        <f>IF(Dataset!G1401&lt;=3,0.25,IF(Dataset!G1401&lt;=6,0.45,IF(Dataset!G1401&lt;=9,0.65,0.85)))</f>
        <v>0.65</v>
      </c>
      <c r="I1401" s="29">
        <f>IF(Dataset!G1401&lt;=3,1,IF(Dataset!G1401&lt;=6,2,IF(Dataset!G1401&lt;=9,3,4)))</f>
        <v>3</v>
      </c>
      <c r="J1401" s="29">
        <f t="shared" si="170"/>
        <v>1.9500000000000002</v>
      </c>
      <c r="K1401" s="29">
        <f>IF(Dataset!H1401&lt;1,0.2,IF(Dataset!H1401&lt;1.3,0.45,IF(Dataset!H1401&lt;1.8,0.7,0.9)))</f>
        <v>0.9</v>
      </c>
      <c r="L1401" s="29">
        <f>IF(Dataset!H1401&lt;1,1,IF(Dataset!H1401&lt;1.3,2,IF(Dataset!H1401&lt;1.8,3,4)))</f>
        <v>4</v>
      </c>
      <c r="M1401" s="29">
        <f t="shared" si="171"/>
        <v>3.6</v>
      </c>
      <c r="N1401" s="29">
        <f>IF(Dataset!F1401=1,0.75,IF(Dataset!F1401=2,0.45,0.2))</f>
        <v>0.45</v>
      </c>
      <c r="O1401" s="29">
        <f>IF(Dataset!F1401=1,3,IF(Dataset!F1401=2,2,1))</f>
        <v>2</v>
      </c>
      <c r="P1401" s="29">
        <f t="shared" si="172"/>
        <v>0.9</v>
      </c>
      <c r="Q1401" s="29">
        <f>IF(Dataset!K1401&lt;5,0.2,IF(Dataset!K1401&lt;10,0.45,IF(Dataset!K1401&lt;18,0.7,0.9)))</f>
        <v>0.45</v>
      </c>
      <c r="R1401" s="29">
        <f>IF(Dataset!K1401&lt;5,1,IF(Dataset!K1401&lt;10,2,IF(Dataset!K1401&lt;18,3,4)))</f>
        <v>2</v>
      </c>
      <c r="S1401" s="29">
        <f t="shared" si="173"/>
        <v>0.9</v>
      </c>
      <c r="T1401" s="29">
        <f t="shared" si="174"/>
        <v>2.1859999999999999</v>
      </c>
      <c r="U1401" s="29" t="str">
        <f t="shared" si="175"/>
        <v>High</v>
      </c>
    </row>
    <row r="1402" spans="1:21" ht="15" customHeight="1" x14ac:dyDescent="0.25">
      <c r="A1402" s="29">
        <f>Dataset!A1402</f>
        <v>1398</v>
      </c>
      <c r="B1402" s="29">
        <f>IF(Dataset!B1402&lt;25,0.3,IF(Dataset!B1402&lt;75,0.5,IF(Dataset!B1402&lt;120,0.65,0.8)))</f>
        <v>0.3</v>
      </c>
      <c r="C1402" s="29">
        <f>IF(Dataset!B1402&lt;25,1,IF(Dataset!B1402&lt;75,2,IF(Dataset!B1402&lt;120,3,4)))</f>
        <v>1</v>
      </c>
      <c r="D1402" s="29">
        <f t="shared" si="168"/>
        <v>0.3</v>
      </c>
      <c r="E1402" s="29">
        <f>IF(Dataset!C1402&lt;=1,0.3,IF(Dataset!C1402=2,0.4,IF(Dataset!C1402=3,0.5,IF(Dataset!C1402=4,0.65,0.8))))</f>
        <v>0.8</v>
      </c>
      <c r="F1402" s="29">
        <f>IF(Dataset!C1402&lt;=2,1,IF(Dataset!C1402=3,2,IF(Dataset!C1402=4,3,4)))</f>
        <v>4</v>
      </c>
      <c r="G1402" s="29">
        <f t="shared" si="169"/>
        <v>3.2</v>
      </c>
      <c r="H1402" s="29">
        <f>IF(Dataset!G1402&lt;=3,0.25,IF(Dataset!G1402&lt;=6,0.45,IF(Dataset!G1402&lt;=9,0.65,0.85)))</f>
        <v>0.45</v>
      </c>
      <c r="I1402" s="29">
        <f>IF(Dataset!G1402&lt;=3,1,IF(Dataset!G1402&lt;=6,2,IF(Dataset!G1402&lt;=9,3,4)))</f>
        <v>2</v>
      </c>
      <c r="J1402" s="29">
        <f t="shared" si="170"/>
        <v>0.9</v>
      </c>
      <c r="K1402" s="29">
        <f>IF(Dataset!H1402&lt;1,0.2,IF(Dataset!H1402&lt;1.3,0.45,IF(Dataset!H1402&lt;1.8,0.7,0.9)))</f>
        <v>0.9</v>
      </c>
      <c r="L1402" s="29">
        <f>IF(Dataset!H1402&lt;1,1,IF(Dataset!H1402&lt;1.3,2,IF(Dataset!H1402&lt;1.8,3,4)))</f>
        <v>4</v>
      </c>
      <c r="M1402" s="29">
        <f t="shared" si="171"/>
        <v>3.6</v>
      </c>
      <c r="N1402" s="29">
        <f>IF(Dataset!F1402=1,0.75,IF(Dataset!F1402=2,0.45,0.2))</f>
        <v>0.2</v>
      </c>
      <c r="O1402" s="29">
        <f>IF(Dataset!F1402=1,3,IF(Dataset!F1402=2,2,1))</f>
        <v>1</v>
      </c>
      <c r="P1402" s="29">
        <f t="shared" si="172"/>
        <v>0.2</v>
      </c>
      <c r="Q1402" s="29">
        <f>IF(Dataset!K1402&lt;5,0.2,IF(Dataset!K1402&lt;10,0.45,IF(Dataset!K1402&lt;18,0.7,0.9)))</f>
        <v>0.7</v>
      </c>
      <c r="R1402" s="29">
        <f>IF(Dataset!K1402&lt;5,1,IF(Dataset!K1402&lt;10,2,IF(Dataset!K1402&lt;18,3,4)))</f>
        <v>3</v>
      </c>
      <c r="S1402" s="29">
        <f t="shared" si="173"/>
        <v>2.0999999999999996</v>
      </c>
      <c r="T1402" s="29">
        <f t="shared" si="174"/>
        <v>1.8600000000000003</v>
      </c>
      <c r="U1402" s="29" t="str">
        <f t="shared" si="175"/>
        <v>High</v>
      </c>
    </row>
    <row r="1403" spans="1:21" ht="15" customHeight="1" x14ac:dyDescent="0.25">
      <c r="A1403" s="29">
        <f>Dataset!A1403</f>
        <v>1399</v>
      </c>
      <c r="B1403" s="29">
        <f>IF(Dataset!B1403&lt;25,0.3,IF(Dataset!B1403&lt;75,0.5,IF(Dataset!B1403&lt;120,0.65,0.8)))</f>
        <v>0.5</v>
      </c>
      <c r="C1403" s="29">
        <f>IF(Dataset!B1403&lt;25,1,IF(Dataset!B1403&lt;75,2,IF(Dataset!B1403&lt;120,3,4)))</f>
        <v>2</v>
      </c>
      <c r="D1403" s="29">
        <f t="shared" si="168"/>
        <v>1</v>
      </c>
      <c r="E1403" s="29">
        <f>IF(Dataset!C1403&lt;=1,0.3,IF(Dataset!C1403=2,0.4,IF(Dataset!C1403=3,0.5,IF(Dataset!C1403=4,0.65,0.8))))</f>
        <v>0.4</v>
      </c>
      <c r="F1403" s="29">
        <f>IF(Dataset!C1403&lt;=2,1,IF(Dataset!C1403=3,2,IF(Dataset!C1403=4,3,4)))</f>
        <v>1</v>
      </c>
      <c r="G1403" s="29">
        <f t="shared" si="169"/>
        <v>0.4</v>
      </c>
      <c r="H1403" s="29">
        <f>IF(Dataset!G1403&lt;=3,0.25,IF(Dataset!G1403&lt;=6,0.45,IF(Dataset!G1403&lt;=9,0.65,0.85)))</f>
        <v>0.45</v>
      </c>
      <c r="I1403" s="29">
        <f>IF(Dataset!G1403&lt;=3,1,IF(Dataset!G1403&lt;=6,2,IF(Dataset!G1403&lt;=9,3,4)))</f>
        <v>2</v>
      </c>
      <c r="J1403" s="29">
        <f t="shared" si="170"/>
        <v>0.9</v>
      </c>
      <c r="K1403" s="29">
        <f>IF(Dataset!H1403&lt;1,0.2,IF(Dataset!H1403&lt;1.3,0.45,IF(Dataset!H1403&lt;1.8,0.7,0.9)))</f>
        <v>0.2</v>
      </c>
      <c r="L1403" s="29">
        <f>IF(Dataset!H1403&lt;1,1,IF(Dataset!H1403&lt;1.3,2,IF(Dataset!H1403&lt;1.8,3,4)))</f>
        <v>1</v>
      </c>
      <c r="M1403" s="29">
        <f t="shared" si="171"/>
        <v>0.2</v>
      </c>
      <c r="N1403" s="29">
        <f>IF(Dataset!F1403=1,0.75,IF(Dataset!F1403=2,0.45,0.2))</f>
        <v>0.45</v>
      </c>
      <c r="O1403" s="29">
        <f>IF(Dataset!F1403=1,3,IF(Dataset!F1403=2,2,1))</f>
        <v>2</v>
      </c>
      <c r="P1403" s="29">
        <f t="shared" si="172"/>
        <v>0.9</v>
      </c>
      <c r="Q1403" s="29">
        <f>IF(Dataset!K1403&lt;5,0.2,IF(Dataset!K1403&lt;10,0.45,IF(Dataset!K1403&lt;18,0.7,0.9)))</f>
        <v>0.45</v>
      </c>
      <c r="R1403" s="29">
        <f>IF(Dataset!K1403&lt;5,1,IF(Dataset!K1403&lt;10,2,IF(Dataset!K1403&lt;18,3,4)))</f>
        <v>2</v>
      </c>
      <c r="S1403" s="29">
        <f t="shared" si="173"/>
        <v>0.9</v>
      </c>
      <c r="T1403" s="29">
        <f t="shared" si="174"/>
        <v>0.68</v>
      </c>
      <c r="U1403" s="29" t="str">
        <f t="shared" si="175"/>
        <v>Low</v>
      </c>
    </row>
    <row r="1404" spans="1:21" ht="15" customHeight="1" x14ac:dyDescent="0.25">
      <c r="A1404" s="29">
        <f>Dataset!A1404</f>
        <v>1400</v>
      </c>
      <c r="B1404" s="29">
        <f>IF(Dataset!B1404&lt;25,0.3,IF(Dataset!B1404&lt;75,0.5,IF(Dataset!B1404&lt;120,0.65,0.8)))</f>
        <v>0.5</v>
      </c>
      <c r="C1404" s="29">
        <f>IF(Dataset!B1404&lt;25,1,IF(Dataset!B1404&lt;75,2,IF(Dataset!B1404&lt;120,3,4)))</f>
        <v>2</v>
      </c>
      <c r="D1404" s="29">
        <f t="shared" si="168"/>
        <v>1</v>
      </c>
      <c r="E1404" s="29">
        <f>IF(Dataset!C1404&lt;=1,0.3,IF(Dataset!C1404=2,0.4,IF(Dataset!C1404=3,0.5,IF(Dataset!C1404=4,0.65,0.8))))</f>
        <v>0.4</v>
      </c>
      <c r="F1404" s="29">
        <f>IF(Dataset!C1404&lt;=2,1,IF(Dataset!C1404=3,2,IF(Dataset!C1404=4,3,4)))</f>
        <v>1</v>
      </c>
      <c r="G1404" s="29">
        <f t="shared" si="169"/>
        <v>0.4</v>
      </c>
      <c r="H1404" s="29">
        <f>IF(Dataset!G1404&lt;=3,0.25,IF(Dataset!G1404&lt;=6,0.45,IF(Dataset!G1404&lt;=9,0.65,0.85)))</f>
        <v>0.45</v>
      </c>
      <c r="I1404" s="29">
        <f>IF(Dataset!G1404&lt;=3,1,IF(Dataset!G1404&lt;=6,2,IF(Dataset!G1404&lt;=9,3,4)))</f>
        <v>2</v>
      </c>
      <c r="J1404" s="29">
        <f t="shared" si="170"/>
        <v>0.9</v>
      </c>
      <c r="K1404" s="29">
        <f>IF(Dataset!H1404&lt;1,0.2,IF(Dataset!H1404&lt;1.3,0.45,IF(Dataset!H1404&lt;1.8,0.7,0.9)))</f>
        <v>0.9</v>
      </c>
      <c r="L1404" s="29">
        <f>IF(Dataset!H1404&lt;1,1,IF(Dataset!H1404&lt;1.3,2,IF(Dataset!H1404&lt;1.8,3,4)))</f>
        <v>4</v>
      </c>
      <c r="M1404" s="29">
        <f t="shared" si="171"/>
        <v>3.6</v>
      </c>
      <c r="N1404" s="29">
        <f>IF(Dataset!F1404=1,0.75,IF(Dataset!F1404=2,0.45,0.2))</f>
        <v>0.45</v>
      </c>
      <c r="O1404" s="29">
        <f>IF(Dataset!F1404=1,3,IF(Dataset!F1404=2,2,1))</f>
        <v>2</v>
      </c>
      <c r="P1404" s="29">
        <f t="shared" si="172"/>
        <v>0.9</v>
      </c>
      <c r="Q1404" s="29">
        <f>IF(Dataset!K1404&lt;5,0.2,IF(Dataset!K1404&lt;10,0.45,IF(Dataset!K1404&lt;18,0.7,0.9)))</f>
        <v>0.2</v>
      </c>
      <c r="R1404" s="29">
        <f>IF(Dataset!K1404&lt;5,1,IF(Dataset!K1404&lt;10,2,IF(Dataset!K1404&lt;18,3,4)))</f>
        <v>1</v>
      </c>
      <c r="S1404" s="29">
        <f t="shared" si="173"/>
        <v>0.2</v>
      </c>
      <c r="T1404" s="29">
        <f t="shared" si="174"/>
        <v>1.3980000000000001</v>
      </c>
      <c r="U1404" s="29" t="str">
        <f t="shared" si="175"/>
        <v>Medium</v>
      </c>
    </row>
    <row r="1405" spans="1:21" ht="15" customHeight="1" x14ac:dyDescent="0.25">
      <c r="A1405" s="29">
        <f>Dataset!A1405</f>
        <v>1401</v>
      </c>
      <c r="B1405" s="29">
        <f>IF(Dataset!B1405&lt;25,0.3,IF(Dataset!B1405&lt;75,0.5,IF(Dataset!B1405&lt;120,0.65,0.8)))</f>
        <v>0.5</v>
      </c>
      <c r="C1405" s="29">
        <f>IF(Dataset!B1405&lt;25,1,IF(Dataset!B1405&lt;75,2,IF(Dataset!B1405&lt;120,3,4)))</f>
        <v>2</v>
      </c>
      <c r="D1405" s="29">
        <f t="shared" si="168"/>
        <v>1</v>
      </c>
      <c r="E1405" s="29">
        <f>IF(Dataset!C1405&lt;=1,0.3,IF(Dataset!C1405=2,0.4,IF(Dataset!C1405=3,0.5,IF(Dataset!C1405=4,0.65,0.8))))</f>
        <v>0.5</v>
      </c>
      <c r="F1405" s="29">
        <f>IF(Dataset!C1405&lt;=2,1,IF(Dataset!C1405=3,2,IF(Dataset!C1405=4,3,4)))</f>
        <v>2</v>
      </c>
      <c r="G1405" s="29">
        <f t="shared" si="169"/>
        <v>1</v>
      </c>
      <c r="H1405" s="29">
        <f>IF(Dataset!G1405&lt;=3,0.25,IF(Dataset!G1405&lt;=6,0.45,IF(Dataset!G1405&lt;=9,0.65,0.85)))</f>
        <v>0.65</v>
      </c>
      <c r="I1405" s="29">
        <f>IF(Dataset!G1405&lt;=3,1,IF(Dataset!G1405&lt;=6,2,IF(Dataset!G1405&lt;=9,3,4)))</f>
        <v>3</v>
      </c>
      <c r="J1405" s="29">
        <f t="shared" si="170"/>
        <v>1.9500000000000002</v>
      </c>
      <c r="K1405" s="29">
        <f>IF(Dataset!H1405&lt;1,0.2,IF(Dataset!H1405&lt;1.3,0.45,IF(Dataset!H1405&lt;1.8,0.7,0.9)))</f>
        <v>0.9</v>
      </c>
      <c r="L1405" s="29">
        <f>IF(Dataset!H1405&lt;1,1,IF(Dataset!H1405&lt;1.3,2,IF(Dataset!H1405&lt;1.8,3,4)))</f>
        <v>4</v>
      </c>
      <c r="M1405" s="29">
        <f t="shared" si="171"/>
        <v>3.6</v>
      </c>
      <c r="N1405" s="29">
        <f>IF(Dataset!F1405=1,0.75,IF(Dataset!F1405=2,0.45,0.2))</f>
        <v>0.45</v>
      </c>
      <c r="O1405" s="29">
        <f>IF(Dataset!F1405=1,3,IF(Dataset!F1405=2,2,1))</f>
        <v>2</v>
      </c>
      <c r="P1405" s="29">
        <f t="shared" si="172"/>
        <v>0.9</v>
      </c>
      <c r="Q1405" s="29">
        <f>IF(Dataset!K1405&lt;5,0.2,IF(Dataset!K1405&lt;10,0.45,IF(Dataset!K1405&lt;18,0.7,0.9)))</f>
        <v>0.45</v>
      </c>
      <c r="R1405" s="29">
        <f>IF(Dataset!K1405&lt;5,1,IF(Dataset!K1405&lt;10,2,IF(Dataset!K1405&lt;18,3,4)))</f>
        <v>2</v>
      </c>
      <c r="S1405" s="29">
        <f t="shared" si="173"/>
        <v>0.9</v>
      </c>
      <c r="T1405" s="29">
        <f t="shared" si="174"/>
        <v>1.7900000000000003</v>
      </c>
      <c r="U1405" s="29" t="str">
        <f t="shared" si="175"/>
        <v>High</v>
      </c>
    </row>
    <row r="1406" spans="1:21" ht="15" customHeight="1" x14ac:dyDescent="0.25">
      <c r="A1406" s="29">
        <f>Dataset!A1406</f>
        <v>1402</v>
      </c>
      <c r="B1406" s="29">
        <f>IF(Dataset!B1406&lt;25,0.3,IF(Dataset!B1406&lt;75,0.5,IF(Dataset!B1406&lt;120,0.65,0.8)))</f>
        <v>0.8</v>
      </c>
      <c r="C1406" s="29">
        <f>IF(Dataset!B1406&lt;25,1,IF(Dataset!B1406&lt;75,2,IF(Dataset!B1406&lt;120,3,4)))</f>
        <v>4</v>
      </c>
      <c r="D1406" s="29">
        <f t="shared" si="168"/>
        <v>3.2</v>
      </c>
      <c r="E1406" s="29">
        <f>IF(Dataset!C1406&lt;=1,0.3,IF(Dataset!C1406=2,0.4,IF(Dataset!C1406=3,0.5,IF(Dataset!C1406=4,0.65,0.8))))</f>
        <v>0.5</v>
      </c>
      <c r="F1406" s="29">
        <f>IF(Dataset!C1406&lt;=2,1,IF(Dataset!C1406=3,2,IF(Dataset!C1406=4,3,4)))</f>
        <v>2</v>
      </c>
      <c r="G1406" s="29">
        <f t="shared" si="169"/>
        <v>1</v>
      </c>
      <c r="H1406" s="29">
        <f>IF(Dataset!G1406&lt;=3,0.25,IF(Dataset!G1406&lt;=6,0.45,IF(Dataset!G1406&lt;=9,0.65,0.85)))</f>
        <v>0.85</v>
      </c>
      <c r="I1406" s="29">
        <f>IF(Dataset!G1406&lt;=3,1,IF(Dataset!G1406&lt;=6,2,IF(Dataset!G1406&lt;=9,3,4)))</f>
        <v>4</v>
      </c>
      <c r="J1406" s="29">
        <f t="shared" si="170"/>
        <v>3.4</v>
      </c>
      <c r="K1406" s="29">
        <f>IF(Dataset!H1406&lt;1,0.2,IF(Dataset!H1406&lt;1.3,0.45,IF(Dataset!H1406&lt;1.8,0.7,0.9)))</f>
        <v>0.7</v>
      </c>
      <c r="L1406" s="29">
        <f>IF(Dataset!H1406&lt;1,1,IF(Dataset!H1406&lt;1.3,2,IF(Dataset!H1406&lt;1.8,3,4)))</f>
        <v>3</v>
      </c>
      <c r="M1406" s="29">
        <f t="shared" si="171"/>
        <v>2.0999999999999996</v>
      </c>
      <c r="N1406" s="29">
        <f>IF(Dataset!F1406=1,0.75,IF(Dataset!F1406=2,0.45,0.2))</f>
        <v>0.2</v>
      </c>
      <c r="O1406" s="29">
        <f>IF(Dataset!F1406=1,3,IF(Dataset!F1406=2,2,1))</f>
        <v>1</v>
      </c>
      <c r="P1406" s="29">
        <f t="shared" si="172"/>
        <v>0.2</v>
      </c>
      <c r="Q1406" s="29">
        <f>IF(Dataset!K1406&lt;5,0.2,IF(Dataset!K1406&lt;10,0.45,IF(Dataset!K1406&lt;18,0.7,0.9)))</f>
        <v>0.45</v>
      </c>
      <c r="R1406" s="29">
        <f>IF(Dataset!K1406&lt;5,1,IF(Dataset!K1406&lt;10,2,IF(Dataset!K1406&lt;18,3,4)))</f>
        <v>2</v>
      </c>
      <c r="S1406" s="29">
        <f t="shared" si="173"/>
        <v>0.9</v>
      </c>
      <c r="T1406" s="29">
        <f t="shared" si="174"/>
        <v>2.0459999999999998</v>
      </c>
      <c r="U1406" s="29" t="str">
        <f t="shared" si="175"/>
        <v>High</v>
      </c>
    </row>
    <row r="1407" spans="1:21" ht="15" customHeight="1" x14ac:dyDescent="0.25">
      <c r="A1407" s="29">
        <f>Dataset!A1407</f>
        <v>1403</v>
      </c>
      <c r="B1407" s="29">
        <f>IF(Dataset!B1407&lt;25,0.3,IF(Dataset!B1407&lt;75,0.5,IF(Dataset!B1407&lt;120,0.65,0.8)))</f>
        <v>0.65</v>
      </c>
      <c r="C1407" s="29">
        <f>IF(Dataset!B1407&lt;25,1,IF(Dataset!B1407&lt;75,2,IF(Dataset!B1407&lt;120,3,4)))</f>
        <v>3</v>
      </c>
      <c r="D1407" s="29">
        <f t="shared" si="168"/>
        <v>1.9500000000000002</v>
      </c>
      <c r="E1407" s="29">
        <f>IF(Dataset!C1407&lt;=1,0.3,IF(Dataset!C1407=2,0.4,IF(Dataset!C1407=3,0.5,IF(Dataset!C1407=4,0.65,0.8))))</f>
        <v>0.5</v>
      </c>
      <c r="F1407" s="29">
        <f>IF(Dataset!C1407&lt;=2,1,IF(Dataset!C1407=3,2,IF(Dataset!C1407=4,3,4)))</f>
        <v>2</v>
      </c>
      <c r="G1407" s="29">
        <f t="shared" si="169"/>
        <v>1</v>
      </c>
      <c r="H1407" s="29">
        <f>IF(Dataset!G1407&lt;=3,0.25,IF(Dataset!G1407&lt;=6,0.45,IF(Dataset!G1407&lt;=9,0.65,0.85)))</f>
        <v>0.45</v>
      </c>
      <c r="I1407" s="29">
        <f>IF(Dataset!G1407&lt;=3,1,IF(Dataset!G1407&lt;=6,2,IF(Dataset!G1407&lt;=9,3,4)))</f>
        <v>2</v>
      </c>
      <c r="J1407" s="29">
        <f t="shared" si="170"/>
        <v>0.9</v>
      </c>
      <c r="K1407" s="29">
        <f>IF(Dataset!H1407&lt;1,0.2,IF(Dataset!H1407&lt;1.3,0.45,IF(Dataset!H1407&lt;1.8,0.7,0.9)))</f>
        <v>0.9</v>
      </c>
      <c r="L1407" s="29">
        <f>IF(Dataset!H1407&lt;1,1,IF(Dataset!H1407&lt;1.3,2,IF(Dataset!H1407&lt;1.8,3,4)))</f>
        <v>4</v>
      </c>
      <c r="M1407" s="29">
        <f t="shared" si="171"/>
        <v>3.6</v>
      </c>
      <c r="N1407" s="29">
        <f>IF(Dataset!F1407=1,0.75,IF(Dataset!F1407=2,0.45,0.2))</f>
        <v>0.45</v>
      </c>
      <c r="O1407" s="29">
        <f>IF(Dataset!F1407=1,3,IF(Dataset!F1407=2,2,1))</f>
        <v>2</v>
      </c>
      <c r="P1407" s="29">
        <f t="shared" si="172"/>
        <v>0.9</v>
      </c>
      <c r="Q1407" s="29">
        <f>IF(Dataset!K1407&lt;5,0.2,IF(Dataset!K1407&lt;10,0.45,IF(Dataset!K1407&lt;18,0.7,0.9)))</f>
        <v>0.45</v>
      </c>
      <c r="R1407" s="29">
        <f>IF(Dataset!K1407&lt;5,1,IF(Dataset!K1407&lt;10,2,IF(Dataset!K1407&lt;18,3,4)))</f>
        <v>2</v>
      </c>
      <c r="S1407" s="29">
        <f t="shared" si="173"/>
        <v>0.9</v>
      </c>
      <c r="T1407" s="29">
        <f t="shared" si="174"/>
        <v>1.7510000000000003</v>
      </c>
      <c r="U1407" s="29" t="str">
        <f t="shared" si="175"/>
        <v>Medium</v>
      </c>
    </row>
    <row r="1408" spans="1:21" ht="15" customHeight="1" x14ac:dyDescent="0.25">
      <c r="A1408" s="29">
        <f>Dataset!A1408</f>
        <v>1404</v>
      </c>
      <c r="B1408" s="29">
        <f>IF(Dataset!B1408&lt;25,0.3,IF(Dataset!B1408&lt;75,0.5,IF(Dataset!B1408&lt;120,0.65,0.8)))</f>
        <v>0.3</v>
      </c>
      <c r="C1408" s="29">
        <f>IF(Dataset!B1408&lt;25,1,IF(Dataset!B1408&lt;75,2,IF(Dataset!B1408&lt;120,3,4)))</f>
        <v>1</v>
      </c>
      <c r="D1408" s="29">
        <f t="shared" si="168"/>
        <v>0.3</v>
      </c>
      <c r="E1408" s="29">
        <f>IF(Dataset!C1408&lt;=1,0.3,IF(Dataset!C1408=2,0.4,IF(Dataset!C1408=3,0.5,IF(Dataset!C1408=4,0.65,0.8))))</f>
        <v>0.65</v>
      </c>
      <c r="F1408" s="29">
        <f>IF(Dataset!C1408&lt;=2,1,IF(Dataset!C1408=3,2,IF(Dataset!C1408=4,3,4)))</f>
        <v>3</v>
      </c>
      <c r="G1408" s="29">
        <f t="shared" si="169"/>
        <v>1.9500000000000002</v>
      </c>
      <c r="H1408" s="29">
        <f>IF(Dataset!G1408&lt;=3,0.25,IF(Dataset!G1408&lt;=6,0.45,IF(Dataset!G1408&lt;=9,0.65,0.85)))</f>
        <v>0.65</v>
      </c>
      <c r="I1408" s="29">
        <f>IF(Dataset!G1408&lt;=3,1,IF(Dataset!G1408&lt;=6,2,IF(Dataset!G1408&lt;=9,3,4)))</f>
        <v>3</v>
      </c>
      <c r="J1408" s="29">
        <f t="shared" si="170"/>
        <v>1.9500000000000002</v>
      </c>
      <c r="K1408" s="29">
        <f>IF(Dataset!H1408&lt;1,0.2,IF(Dataset!H1408&lt;1.3,0.45,IF(Dataset!H1408&lt;1.8,0.7,0.9)))</f>
        <v>0.2</v>
      </c>
      <c r="L1408" s="29">
        <f>IF(Dataset!H1408&lt;1,1,IF(Dataset!H1408&lt;1.3,2,IF(Dataset!H1408&lt;1.8,3,4)))</f>
        <v>1</v>
      </c>
      <c r="M1408" s="29">
        <f t="shared" si="171"/>
        <v>0.2</v>
      </c>
      <c r="N1408" s="29">
        <f>IF(Dataset!F1408=1,0.75,IF(Dataset!F1408=2,0.45,0.2))</f>
        <v>0.2</v>
      </c>
      <c r="O1408" s="29">
        <f>IF(Dataset!F1408=1,3,IF(Dataset!F1408=2,2,1))</f>
        <v>1</v>
      </c>
      <c r="P1408" s="29">
        <f t="shared" si="172"/>
        <v>0.2</v>
      </c>
      <c r="Q1408" s="29">
        <f>IF(Dataset!K1408&lt;5,0.2,IF(Dataset!K1408&lt;10,0.45,IF(Dataset!K1408&lt;18,0.7,0.9)))</f>
        <v>0.45</v>
      </c>
      <c r="R1408" s="29">
        <f>IF(Dataset!K1408&lt;5,1,IF(Dataset!K1408&lt;10,2,IF(Dataset!K1408&lt;18,3,4)))</f>
        <v>2</v>
      </c>
      <c r="S1408" s="29">
        <f t="shared" si="173"/>
        <v>0.9</v>
      </c>
      <c r="T1408" s="29">
        <f t="shared" si="174"/>
        <v>0.91100000000000014</v>
      </c>
      <c r="U1408" s="29" t="str">
        <f t="shared" si="175"/>
        <v>Low</v>
      </c>
    </row>
    <row r="1409" spans="1:21" ht="15" customHeight="1" x14ac:dyDescent="0.25">
      <c r="A1409" s="29">
        <f>Dataset!A1409</f>
        <v>1405</v>
      </c>
      <c r="B1409" s="29">
        <f>IF(Dataset!B1409&lt;25,0.3,IF(Dataset!B1409&lt;75,0.5,IF(Dataset!B1409&lt;120,0.65,0.8)))</f>
        <v>0.5</v>
      </c>
      <c r="C1409" s="29">
        <f>IF(Dataset!B1409&lt;25,1,IF(Dataset!B1409&lt;75,2,IF(Dataset!B1409&lt;120,3,4)))</f>
        <v>2</v>
      </c>
      <c r="D1409" s="29">
        <f t="shared" si="168"/>
        <v>1</v>
      </c>
      <c r="E1409" s="29">
        <f>IF(Dataset!C1409&lt;=1,0.3,IF(Dataset!C1409=2,0.4,IF(Dataset!C1409=3,0.5,IF(Dataset!C1409=4,0.65,0.8))))</f>
        <v>0.5</v>
      </c>
      <c r="F1409" s="29">
        <f>IF(Dataset!C1409&lt;=2,1,IF(Dataset!C1409=3,2,IF(Dataset!C1409=4,3,4)))</f>
        <v>2</v>
      </c>
      <c r="G1409" s="29">
        <f t="shared" si="169"/>
        <v>1</v>
      </c>
      <c r="H1409" s="29">
        <f>IF(Dataset!G1409&lt;=3,0.25,IF(Dataset!G1409&lt;=6,0.45,IF(Dataset!G1409&lt;=9,0.65,0.85)))</f>
        <v>0.65</v>
      </c>
      <c r="I1409" s="29">
        <f>IF(Dataset!G1409&lt;=3,1,IF(Dataset!G1409&lt;=6,2,IF(Dataset!G1409&lt;=9,3,4)))</f>
        <v>3</v>
      </c>
      <c r="J1409" s="29">
        <f t="shared" si="170"/>
        <v>1.9500000000000002</v>
      </c>
      <c r="K1409" s="29">
        <f>IF(Dataset!H1409&lt;1,0.2,IF(Dataset!H1409&lt;1.3,0.45,IF(Dataset!H1409&lt;1.8,0.7,0.9)))</f>
        <v>0.45</v>
      </c>
      <c r="L1409" s="29">
        <f>IF(Dataset!H1409&lt;1,1,IF(Dataset!H1409&lt;1.3,2,IF(Dataset!H1409&lt;1.8,3,4)))</f>
        <v>2</v>
      </c>
      <c r="M1409" s="29">
        <f t="shared" si="171"/>
        <v>0.9</v>
      </c>
      <c r="N1409" s="29">
        <f>IF(Dataset!F1409=1,0.75,IF(Dataset!F1409=2,0.45,0.2))</f>
        <v>0.45</v>
      </c>
      <c r="O1409" s="29">
        <f>IF(Dataset!F1409=1,3,IF(Dataset!F1409=2,2,1))</f>
        <v>2</v>
      </c>
      <c r="P1409" s="29">
        <f t="shared" si="172"/>
        <v>0.9</v>
      </c>
      <c r="Q1409" s="29">
        <f>IF(Dataset!K1409&lt;5,0.2,IF(Dataset!K1409&lt;10,0.45,IF(Dataset!K1409&lt;18,0.7,0.9)))</f>
        <v>0.45</v>
      </c>
      <c r="R1409" s="29">
        <f>IF(Dataset!K1409&lt;5,1,IF(Dataset!K1409&lt;10,2,IF(Dataset!K1409&lt;18,3,4)))</f>
        <v>2</v>
      </c>
      <c r="S1409" s="29">
        <f t="shared" si="173"/>
        <v>0.9</v>
      </c>
      <c r="T1409" s="29">
        <f t="shared" si="174"/>
        <v>1.1420000000000001</v>
      </c>
      <c r="U1409" s="29" t="str">
        <f t="shared" si="175"/>
        <v>Low</v>
      </c>
    </row>
    <row r="1410" spans="1:21" ht="15" customHeight="1" x14ac:dyDescent="0.25">
      <c r="A1410" s="29">
        <f>Dataset!A1410</f>
        <v>1406</v>
      </c>
      <c r="B1410" s="29">
        <f>IF(Dataset!B1410&lt;25,0.3,IF(Dataset!B1410&lt;75,0.5,IF(Dataset!B1410&lt;120,0.65,0.8)))</f>
        <v>0.8</v>
      </c>
      <c r="C1410" s="29">
        <f>IF(Dataset!B1410&lt;25,1,IF(Dataset!B1410&lt;75,2,IF(Dataset!B1410&lt;120,3,4)))</f>
        <v>4</v>
      </c>
      <c r="D1410" s="29">
        <f t="shared" si="168"/>
        <v>3.2</v>
      </c>
      <c r="E1410" s="29">
        <f>IF(Dataset!C1410&lt;=1,0.3,IF(Dataset!C1410=2,0.4,IF(Dataset!C1410=3,0.5,IF(Dataset!C1410=4,0.65,0.8))))</f>
        <v>0.4</v>
      </c>
      <c r="F1410" s="29">
        <f>IF(Dataset!C1410&lt;=2,1,IF(Dataset!C1410=3,2,IF(Dataset!C1410=4,3,4)))</f>
        <v>1</v>
      </c>
      <c r="G1410" s="29">
        <f t="shared" si="169"/>
        <v>0.4</v>
      </c>
      <c r="H1410" s="29">
        <f>IF(Dataset!G1410&lt;=3,0.25,IF(Dataset!G1410&lt;=6,0.45,IF(Dataset!G1410&lt;=9,0.65,0.85)))</f>
        <v>0.65</v>
      </c>
      <c r="I1410" s="29">
        <f>IF(Dataset!G1410&lt;=3,1,IF(Dataset!G1410&lt;=6,2,IF(Dataset!G1410&lt;=9,3,4)))</f>
        <v>3</v>
      </c>
      <c r="J1410" s="29">
        <f t="shared" si="170"/>
        <v>1.9500000000000002</v>
      </c>
      <c r="K1410" s="29">
        <f>IF(Dataset!H1410&lt;1,0.2,IF(Dataset!H1410&lt;1.3,0.45,IF(Dataset!H1410&lt;1.8,0.7,0.9)))</f>
        <v>0.7</v>
      </c>
      <c r="L1410" s="29">
        <f>IF(Dataset!H1410&lt;1,1,IF(Dataset!H1410&lt;1.3,2,IF(Dataset!H1410&lt;1.8,3,4)))</f>
        <v>3</v>
      </c>
      <c r="M1410" s="29">
        <f t="shared" si="171"/>
        <v>2.0999999999999996</v>
      </c>
      <c r="N1410" s="29">
        <f>IF(Dataset!F1410=1,0.75,IF(Dataset!F1410=2,0.45,0.2))</f>
        <v>0.45</v>
      </c>
      <c r="O1410" s="29">
        <f>IF(Dataset!F1410=1,3,IF(Dataset!F1410=2,2,1))</f>
        <v>2</v>
      </c>
      <c r="P1410" s="29">
        <f t="shared" si="172"/>
        <v>0.9</v>
      </c>
      <c r="Q1410" s="29">
        <f>IF(Dataset!K1410&lt;5,0.2,IF(Dataset!K1410&lt;10,0.45,IF(Dataset!K1410&lt;18,0.7,0.9)))</f>
        <v>0.2</v>
      </c>
      <c r="R1410" s="29">
        <f>IF(Dataset!K1410&lt;5,1,IF(Dataset!K1410&lt;10,2,IF(Dataset!K1410&lt;18,3,4)))</f>
        <v>1</v>
      </c>
      <c r="S1410" s="29">
        <f t="shared" si="173"/>
        <v>0.2</v>
      </c>
      <c r="T1410" s="29">
        <f t="shared" si="174"/>
        <v>1.6439999999999999</v>
      </c>
      <c r="U1410" s="29" t="str">
        <f t="shared" si="175"/>
        <v>Medium</v>
      </c>
    </row>
    <row r="1411" spans="1:21" ht="15" customHeight="1" x14ac:dyDescent="0.25">
      <c r="A1411" s="29">
        <f>Dataset!A1411</f>
        <v>1407</v>
      </c>
      <c r="B1411" s="29">
        <f>IF(Dataset!B1411&lt;25,0.3,IF(Dataset!B1411&lt;75,0.5,IF(Dataset!B1411&lt;120,0.65,0.8)))</f>
        <v>0.8</v>
      </c>
      <c r="C1411" s="29">
        <f>IF(Dataset!B1411&lt;25,1,IF(Dataset!B1411&lt;75,2,IF(Dataset!B1411&lt;120,3,4)))</f>
        <v>4</v>
      </c>
      <c r="D1411" s="29">
        <f t="shared" si="168"/>
        <v>3.2</v>
      </c>
      <c r="E1411" s="29">
        <f>IF(Dataset!C1411&lt;=1,0.3,IF(Dataset!C1411=2,0.4,IF(Dataset!C1411=3,0.5,IF(Dataset!C1411=4,0.65,0.8))))</f>
        <v>0.5</v>
      </c>
      <c r="F1411" s="29">
        <f>IF(Dataset!C1411&lt;=2,1,IF(Dataset!C1411=3,2,IF(Dataset!C1411=4,3,4)))</f>
        <v>2</v>
      </c>
      <c r="G1411" s="29">
        <f t="shared" si="169"/>
        <v>1</v>
      </c>
      <c r="H1411" s="29">
        <f>IF(Dataset!G1411&lt;=3,0.25,IF(Dataset!G1411&lt;=6,0.45,IF(Dataset!G1411&lt;=9,0.65,0.85)))</f>
        <v>0.45</v>
      </c>
      <c r="I1411" s="29">
        <f>IF(Dataset!G1411&lt;=3,1,IF(Dataset!G1411&lt;=6,2,IF(Dataset!G1411&lt;=9,3,4)))</f>
        <v>2</v>
      </c>
      <c r="J1411" s="29">
        <f t="shared" si="170"/>
        <v>0.9</v>
      </c>
      <c r="K1411" s="29">
        <f>IF(Dataset!H1411&lt;1,0.2,IF(Dataset!H1411&lt;1.3,0.45,IF(Dataset!H1411&lt;1.8,0.7,0.9)))</f>
        <v>0.45</v>
      </c>
      <c r="L1411" s="29">
        <f>IF(Dataset!H1411&lt;1,1,IF(Dataset!H1411&lt;1.3,2,IF(Dataset!H1411&lt;1.8,3,4)))</f>
        <v>2</v>
      </c>
      <c r="M1411" s="29">
        <f t="shared" si="171"/>
        <v>0.9</v>
      </c>
      <c r="N1411" s="29">
        <f>IF(Dataset!F1411=1,0.75,IF(Dataset!F1411=2,0.45,0.2))</f>
        <v>0.45</v>
      </c>
      <c r="O1411" s="29">
        <f>IF(Dataset!F1411=1,3,IF(Dataset!F1411=2,2,1))</f>
        <v>2</v>
      </c>
      <c r="P1411" s="29">
        <f t="shared" si="172"/>
        <v>0.9</v>
      </c>
      <c r="Q1411" s="29">
        <f>IF(Dataset!K1411&lt;5,0.2,IF(Dataset!K1411&lt;10,0.45,IF(Dataset!K1411&lt;18,0.7,0.9)))</f>
        <v>0.45</v>
      </c>
      <c r="R1411" s="29">
        <f>IF(Dataset!K1411&lt;5,1,IF(Dataset!K1411&lt;10,2,IF(Dataset!K1411&lt;18,3,4)))</f>
        <v>2</v>
      </c>
      <c r="S1411" s="29">
        <f t="shared" si="173"/>
        <v>0.9</v>
      </c>
      <c r="T1411" s="29">
        <f t="shared" si="174"/>
        <v>1.3280000000000003</v>
      </c>
      <c r="U1411" s="29" t="str">
        <f t="shared" si="175"/>
        <v>Low</v>
      </c>
    </row>
    <row r="1412" spans="1:21" ht="15" customHeight="1" x14ac:dyDescent="0.25">
      <c r="A1412" s="29">
        <f>Dataset!A1412</f>
        <v>1408</v>
      </c>
      <c r="B1412" s="29">
        <f>IF(Dataset!B1412&lt;25,0.3,IF(Dataset!B1412&lt;75,0.5,IF(Dataset!B1412&lt;120,0.65,0.8)))</f>
        <v>0.5</v>
      </c>
      <c r="C1412" s="29">
        <f>IF(Dataset!B1412&lt;25,1,IF(Dataset!B1412&lt;75,2,IF(Dataset!B1412&lt;120,3,4)))</f>
        <v>2</v>
      </c>
      <c r="D1412" s="29">
        <f t="shared" si="168"/>
        <v>1</v>
      </c>
      <c r="E1412" s="29">
        <f>IF(Dataset!C1412&lt;=1,0.3,IF(Dataset!C1412=2,0.4,IF(Dataset!C1412=3,0.5,IF(Dataset!C1412=4,0.65,0.8))))</f>
        <v>0.65</v>
      </c>
      <c r="F1412" s="29">
        <f>IF(Dataset!C1412&lt;=2,1,IF(Dataset!C1412=3,2,IF(Dataset!C1412=4,3,4)))</f>
        <v>3</v>
      </c>
      <c r="G1412" s="29">
        <f t="shared" si="169"/>
        <v>1.9500000000000002</v>
      </c>
      <c r="H1412" s="29">
        <f>IF(Dataset!G1412&lt;=3,0.25,IF(Dataset!G1412&lt;=6,0.45,IF(Dataset!G1412&lt;=9,0.65,0.85)))</f>
        <v>0.25</v>
      </c>
      <c r="I1412" s="29">
        <f>IF(Dataset!G1412&lt;=3,1,IF(Dataset!G1412&lt;=6,2,IF(Dataset!G1412&lt;=9,3,4)))</f>
        <v>1</v>
      </c>
      <c r="J1412" s="29">
        <f t="shared" si="170"/>
        <v>0.25</v>
      </c>
      <c r="K1412" s="29">
        <f>IF(Dataset!H1412&lt;1,0.2,IF(Dataset!H1412&lt;1.3,0.45,IF(Dataset!H1412&lt;1.8,0.7,0.9)))</f>
        <v>0.45</v>
      </c>
      <c r="L1412" s="29">
        <f>IF(Dataset!H1412&lt;1,1,IF(Dataset!H1412&lt;1.3,2,IF(Dataset!H1412&lt;1.8,3,4)))</f>
        <v>2</v>
      </c>
      <c r="M1412" s="29">
        <f t="shared" si="171"/>
        <v>0.9</v>
      </c>
      <c r="N1412" s="29">
        <f>IF(Dataset!F1412=1,0.75,IF(Dataset!F1412=2,0.45,0.2))</f>
        <v>0.45</v>
      </c>
      <c r="O1412" s="29">
        <f>IF(Dataset!F1412=1,3,IF(Dataset!F1412=2,2,1))</f>
        <v>2</v>
      </c>
      <c r="P1412" s="29">
        <f t="shared" si="172"/>
        <v>0.9</v>
      </c>
      <c r="Q1412" s="29">
        <f>IF(Dataset!K1412&lt;5,0.2,IF(Dataset!K1412&lt;10,0.45,IF(Dataset!K1412&lt;18,0.7,0.9)))</f>
        <v>0.7</v>
      </c>
      <c r="R1412" s="29">
        <f>IF(Dataset!K1412&lt;5,1,IF(Dataset!K1412&lt;10,2,IF(Dataset!K1412&lt;18,3,4)))</f>
        <v>3</v>
      </c>
      <c r="S1412" s="29">
        <f t="shared" si="173"/>
        <v>2.0999999999999996</v>
      </c>
      <c r="T1412" s="29">
        <f t="shared" si="174"/>
        <v>1.103</v>
      </c>
      <c r="U1412" s="29" t="str">
        <f t="shared" si="175"/>
        <v>Low</v>
      </c>
    </row>
    <row r="1413" spans="1:21" ht="15" customHeight="1" x14ac:dyDescent="0.25">
      <c r="A1413" s="29">
        <f>Dataset!A1413</f>
        <v>1409</v>
      </c>
      <c r="B1413" s="29">
        <f>IF(Dataset!B1413&lt;25,0.3,IF(Dataset!B1413&lt;75,0.5,IF(Dataset!B1413&lt;120,0.65,0.8)))</f>
        <v>0.8</v>
      </c>
      <c r="C1413" s="29">
        <f>IF(Dataset!B1413&lt;25,1,IF(Dataset!B1413&lt;75,2,IF(Dataset!B1413&lt;120,3,4)))</f>
        <v>4</v>
      </c>
      <c r="D1413" s="29">
        <f t="shared" ref="D1413:D1476" si="176">B1413*C1413</f>
        <v>3.2</v>
      </c>
      <c r="E1413" s="29">
        <f>IF(Dataset!C1413&lt;=1,0.3,IF(Dataset!C1413=2,0.4,IF(Dataset!C1413=3,0.5,IF(Dataset!C1413=4,0.65,0.8))))</f>
        <v>0.8</v>
      </c>
      <c r="F1413" s="29">
        <f>IF(Dataset!C1413&lt;=2,1,IF(Dataset!C1413=3,2,IF(Dataset!C1413=4,3,4)))</f>
        <v>4</v>
      </c>
      <c r="G1413" s="29">
        <f t="shared" ref="G1413:G1476" si="177">E1413*F1413</f>
        <v>3.2</v>
      </c>
      <c r="H1413" s="29">
        <f>IF(Dataset!G1413&lt;=3,0.25,IF(Dataset!G1413&lt;=6,0.45,IF(Dataset!G1413&lt;=9,0.65,0.85)))</f>
        <v>0.45</v>
      </c>
      <c r="I1413" s="29">
        <f>IF(Dataset!G1413&lt;=3,1,IF(Dataset!G1413&lt;=6,2,IF(Dataset!G1413&lt;=9,3,4)))</f>
        <v>2</v>
      </c>
      <c r="J1413" s="29">
        <f t="shared" ref="J1413:J1476" si="178">H1413*I1413</f>
        <v>0.9</v>
      </c>
      <c r="K1413" s="29">
        <f>IF(Dataset!H1413&lt;1,0.2,IF(Dataset!H1413&lt;1.3,0.45,IF(Dataset!H1413&lt;1.8,0.7,0.9)))</f>
        <v>0.45</v>
      </c>
      <c r="L1413" s="29">
        <f>IF(Dataset!H1413&lt;1,1,IF(Dataset!H1413&lt;1.3,2,IF(Dataset!H1413&lt;1.8,3,4)))</f>
        <v>2</v>
      </c>
      <c r="M1413" s="29">
        <f t="shared" ref="M1413:M1476" si="179">K1413*L1413</f>
        <v>0.9</v>
      </c>
      <c r="N1413" s="29">
        <f>IF(Dataset!F1413=1,0.75,IF(Dataset!F1413=2,0.45,0.2))</f>
        <v>0.2</v>
      </c>
      <c r="O1413" s="29">
        <f>IF(Dataset!F1413=1,3,IF(Dataset!F1413=2,2,1))</f>
        <v>1</v>
      </c>
      <c r="P1413" s="29">
        <f t="shared" ref="P1413:P1476" si="180">N1413*O1413</f>
        <v>0.2</v>
      </c>
      <c r="Q1413" s="29">
        <f>IF(Dataset!K1413&lt;5,0.2,IF(Dataset!K1413&lt;10,0.45,IF(Dataset!K1413&lt;18,0.7,0.9)))</f>
        <v>0.7</v>
      </c>
      <c r="R1413" s="29">
        <f>IF(Dataset!K1413&lt;5,1,IF(Dataset!K1413&lt;10,2,IF(Dataset!K1413&lt;18,3,4)))</f>
        <v>3</v>
      </c>
      <c r="S1413" s="29">
        <f t="shared" ref="S1413:S1476" si="181">Q1413*R1413</f>
        <v>2.0999999999999996</v>
      </c>
      <c r="T1413" s="29">
        <f t="shared" ref="T1413:T1476" si="182">$Y$6*D1413+$Y$7*G1413+$Y$8*J1413+$Y$9*M1413+$Y$10*P1413+$Y$11*S1413</f>
        <v>1.734</v>
      </c>
      <c r="U1413" s="29" t="str">
        <f t="shared" ref="U1413:U1476" si="183">IF(T1413&lt;=$Y$15,"Low",IF(T1413&lt;=$Y$16,"Medium","High"))</f>
        <v>Medium</v>
      </c>
    </row>
    <row r="1414" spans="1:21" ht="15" customHeight="1" x14ac:dyDescent="0.25">
      <c r="A1414" s="29">
        <f>Dataset!A1414</f>
        <v>1410</v>
      </c>
      <c r="B1414" s="29">
        <f>IF(Dataset!B1414&lt;25,0.3,IF(Dataset!B1414&lt;75,0.5,IF(Dataset!B1414&lt;120,0.65,0.8)))</f>
        <v>0.5</v>
      </c>
      <c r="C1414" s="29">
        <f>IF(Dataset!B1414&lt;25,1,IF(Dataset!B1414&lt;75,2,IF(Dataset!B1414&lt;120,3,4)))</f>
        <v>2</v>
      </c>
      <c r="D1414" s="29">
        <f t="shared" si="176"/>
        <v>1</v>
      </c>
      <c r="E1414" s="29">
        <f>IF(Dataset!C1414&lt;=1,0.3,IF(Dataset!C1414=2,0.4,IF(Dataset!C1414=3,0.5,IF(Dataset!C1414=4,0.65,0.8))))</f>
        <v>0.65</v>
      </c>
      <c r="F1414" s="29">
        <f>IF(Dataset!C1414&lt;=2,1,IF(Dataset!C1414=3,2,IF(Dataset!C1414=4,3,4)))</f>
        <v>3</v>
      </c>
      <c r="G1414" s="29">
        <f t="shared" si="177"/>
        <v>1.9500000000000002</v>
      </c>
      <c r="H1414" s="29">
        <f>IF(Dataset!G1414&lt;=3,0.25,IF(Dataset!G1414&lt;=6,0.45,IF(Dataset!G1414&lt;=9,0.65,0.85)))</f>
        <v>0.65</v>
      </c>
      <c r="I1414" s="29">
        <f>IF(Dataset!G1414&lt;=3,1,IF(Dataset!G1414&lt;=6,2,IF(Dataset!G1414&lt;=9,3,4)))</f>
        <v>3</v>
      </c>
      <c r="J1414" s="29">
        <f t="shared" si="178"/>
        <v>1.9500000000000002</v>
      </c>
      <c r="K1414" s="29">
        <f>IF(Dataset!H1414&lt;1,0.2,IF(Dataset!H1414&lt;1.3,0.45,IF(Dataset!H1414&lt;1.8,0.7,0.9)))</f>
        <v>0.9</v>
      </c>
      <c r="L1414" s="29">
        <f>IF(Dataset!H1414&lt;1,1,IF(Dataset!H1414&lt;1.3,2,IF(Dataset!H1414&lt;1.8,3,4)))</f>
        <v>4</v>
      </c>
      <c r="M1414" s="29">
        <f t="shared" si="179"/>
        <v>3.6</v>
      </c>
      <c r="N1414" s="29">
        <f>IF(Dataset!F1414=1,0.75,IF(Dataset!F1414=2,0.45,0.2))</f>
        <v>0.45</v>
      </c>
      <c r="O1414" s="29">
        <f>IF(Dataset!F1414=1,3,IF(Dataset!F1414=2,2,1))</f>
        <v>2</v>
      </c>
      <c r="P1414" s="29">
        <f t="shared" si="180"/>
        <v>0.9</v>
      </c>
      <c r="Q1414" s="29">
        <f>IF(Dataset!K1414&lt;5,0.2,IF(Dataset!K1414&lt;10,0.45,IF(Dataset!K1414&lt;18,0.7,0.9)))</f>
        <v>0.7</v>
      </c>
      <c r="R1414" s="29">
        <f>IF(Dataset!K1414&lt;5,1,IF(Dataset!K1414&lt;10,2,IF(Dataset!K1414&lt;18,3,4)))</f>
        <v>3</v>
      </c>
      <c r="S1414" s="29">
        <f t="shared" si="181"/>
        <v>2.0999999999999996</v>
      </c>
      <c r="T1414" s="29">
        <f t="shared" si="182"/>
        <v>2.0910000000000002</v>
      </c>
      <c r="U1414" s="29" t="str">
        <f t="shared" si="183"/>
        <v>High</v>
      </c>
    </row>
    <row r="1415" spans="1:21" ht="15" customHeight="1" x14ac:dyDescent="0.25">
      <c r="A1415" s="29">
        <f>Dataset!A1415</f>
        <v>1411</v>
      </c>
      <c r="B1415" s="29">
        <f>IF(Dataset!B1415&lt;25,0.3,IF(Dataset!B1415&lt;75,0.5,IF(Dataset!B1415&lt;120,0.65,0.8)))</f>
        <v>0.5</v>
      </c>
      <c r="C1415" s="29">
        <f>IF(Dataset!B1415&lt;25,1,IF(Dataset!B1415&lt;75,2,IF(Dataset!B1415&lt;120,3,4)))</f>
        <v>2</v>
      </c>
      <c r="D1415" s="29">
        <f t="shared" si="176"/>
        <v>1</v>
      </c>
      <c r="E1415" s="29">
        <f>IF(Dataset!C1415&lt;=1,0.3,IF(Dataset!C1415=2,0.4,IF(Dataset!C1415=3,0.5,IF(Dataset!C1415=4,0.65,0.8))))</f>
        <v>0.65</v>
      </c>
      <c r="F1415" s="29">
        <f>IF(Dataset!C1415&lt;=2,1,IF(Dataset!C1415=3,2,IF(Dataset!C1415=4,3,4)))</f>
        <v>3</v>
      </c>
      <c r="G1415" s="29">
        <f t="shared" si="177"/>
        <v>1.9500000000000002</v>
      </c>
      <c r="H1415" s="29">
        <f>IF(Dataset!G1415&lt;=3,0.25,IF(Dataset!G1415&lt;=6,0.45,IF(Dataset!G1415&lt;=9,0.65,0.85)))</f>
        <v>0.45</v>
      </c>
      <c r="I1415" s="29">
        <f>IF(Dataset!G1415&lt;=3,1,IF(Dataset!G1415&lt;=6,2,IF(Dataset!G1415&lt;=9,3,4)))</f>
        <v>2</v>
      </c>
      <c r="J1415" s="29">
        <f t="shared" si="178"/>
        <v>0.9</v>
      </c>
      <c r="K1415" s="29">
        <f>IF(Dataset!H1415&lt;1,0.2,IF(Dataset!H1415&lt;1.3,0.45,IF(Dataset!H1415&lt;1.8,0.7,0.9)))</f>
        <v>0.9</v>
      </c>
      <c r="L1415" s="29">
        <f>IF(Dataset!H1415&lt;1,1,IF(Dataset!H1415&lt;1.3,2,IF(Dataset!H1415&lt;1.8,3,4)))</f>
        <v>4</v>
      </c>
      <c r="M1415" s="29">
        <f t="shared" si="179"/>
        <v>3.6</v>
      </c>
      <c r="N1415" s="29">
        <f>IF(Dataset!F1415=1,0.75,IF(Dataset!F1415=2,0.45,0.2))</f>
        <v>0.45</v>
      </c>
      <c r="O1415" s="29">
        <f>IF(Dataset!F1415=1,3,IF(Dataset!F1415=2,2,1))</f>
        <v>2</v>
      </c>
      <c r="P1415" s="29">
        <f t="shared" si="180"/>
        <v>0.9</v>
      </c>
      <c r="Q1415" s="29">
        <f>IF(Dataset!K1415&lt;5,0.2,IF(Dataset!K1415&lt;10,0.45,IF(Dataset!K1415&lt;18,0.7,0.9)))</f>
        <v>0.45</v>
      </c>
      <c r="R1415" s="29">
        <f>IF(Dataset!K1415&lt;5,1,IF(Dataset!K1415&lt;10,2,IF(Dataset!K1415&lt;18,3,4)))</f>
        <v>2</v>
      </c>
      <c r="S1415" s="29">
        <f t="shared" si="181"/>
        <v>0.9</v>
      </c>
      <c r="T1415" s="29">
        <f t="shared" si="182"/>
        <v>1.7130000000000003</v>
      </c>
      <c r="U1415" s="29" t="str">
        <f t="shared" si="183"/>
        <v>Medium</v>
      </c>
    </row>
    <row r="1416" spans="1:21" ht="15" customHeight="1" x14ac:dyDescent="0.25">
      <c r="A1416" s="29">
        <f>Dataset!A1416</f>
        <v>1412</v>
      </c>
      <c r="B1416" s="29">
        <f>IF(Dataset!B1416&lt;25,0.3,IF(Dataset!B1416&lt;75,0.5,IF(Dataset!B1416&lt;120,0.65,0.8)))</f>
        <v>0.65</v>
      </c>
      <c r="C1416" s="29">
        <f>IF(Dataset!B1416&lt;25,1,IF(Dataset!B1416&lt;75,2,IF(Dataset!B1416&lt;120,3,4)))</f>
        <v>3</v>
      </c>
      <c r="D1416" s="29">
        <f t="shared" si="176"/>
        <v>1.9500000000000002</v>
      </c>
      <c r="E1416" s="29">
        <f>IF(Dataset!C1416&lt;=1,0.3,IF(Dataset!C1416=2,0.4,IF(Dataset!C1416=3,0.5,IF(Dataset!C1416=4,0.65,0.8))))</f>
        <v>0.65</v>
      </c>
      <c r="F1416" s="29">
        <f>IF(Dataset!C1416&lt;=2,1,IF(Dataset!C1416=3,2,IF(Dataset!C1416=4,3,4)))</f>
        <v>3</v>
      </c>
      <c r="G1416" s="29">
        <f t="shared" si="177"/>
        <v>1.9500000000000002</v>
      </c>
      <c r="H1416" s="29">
        <f>IF(Dataset!G1416&lt;=3,0.25,IF(Dataset!G1416&lt;=6,0.45,IF(Dataset!G1416&lt;=9,0.65,0.85)))</f>
        <v>0.85</v>
      </c>
      <c r="I1416" s="29">
        <f>IF(Dataset!G1416&lt;=3,1,IF(Dataset!G1416&lt;=6,2,IF(Dataset!G1416&lt;=9,3,4)))</f>
        <v>4</v>
      </c>
      <c r="J1416" s="29">
        <f t="shared" si="178"/>
        <v>3.4</v>
      </c>
      <c r="K1416" s="29">
        <f>IF(Dataset!H1416&lt;1,0.2,IF(Dataset!H1416&lt;1.3,0.45,IF(Dataset!H1416&lt;1.8,0.7,0.9)))</f>
        <v>0.9</v>
      </c>
      <c r="L1416" s="29">
        <f>IF(Dataset!H1416&lt;1,1,IF(Dataset!H1416&lt;1.3,2,IF(Dataset!H1416&lt;1.8,3,4)))</f>
        <v>4</v>
      </c>
      <c r="M1416" s="29">
        <f t="shared" si="179"/>
        <v>3.6</v>
      </c>
      <c r="N1416" s="29">
        <f>IF(Dataset!F1416=1,0.75,IF(Dataset!F1416=2,0.45,0.2))</f>
        <v>0.45</v>
      </c>
      <c r="O1416" s="29">
        <f>IF(Dataset!F1416=1,3,IF(Dataset!F1416=2,2,1))</f>
        <v>2</v>
      </c>
      <c r="P1416" s="29">
        <f t="shared" si="180"/>
        <v>0.9</v>
      </c>
      <c r="Q1416" s="29">
        <f>IF(Dataset!K1416&lt;5,0.2,IF(Dataset!K1416&lt;10,0.45,IF(Dataset!K1416&lt;18,0.7,0.9)))</f>
        <v>0.7</v>
      </c>
      <c r="R1416" s="29">
        <f>IF(Dataset!K1416&lt;5,1,IF(Dataset!K1416&lt;10,2,IF(Dataset!K1416&lt;18,3,4)))</f>
        <v>3</v>
      </c>
      <c r="S1416" s="29">
        <f t="shared" si="181"/>
        <v>2.0999999999999996</v>
      </c>
      <c r="T1416" s="29">
        <f t="shared" si="182"/>
        <v>2.552</v>
      </c>
      <c r="U1416" s="29" t="str">
        <f t="shared" si="183"/>
        <v>High</v>
      </c>
    </row>
    <row r="1417" spans="1:21" ht="15" customHeight="1" x14ac:dyDescent="0.25">
      <c r="A1417" s="29">
        <f>Dataset!A1417</f>
        <v>1413</v>
      </c>
      <c r="B1417" s="29">
        <f>IF(Dataset!B1417&lt;25,0.3,IF(Dataset!B1417&lt;75,0.5,IF(Dataset!B1417&lt;120,0.65,0.8)))</f>
        <v>0.8</v>
      </c>
      <c r="C1417" s="29">
        <f>IF(Dataset!B1417&lt;25,1,IF(Dataset!B1417&lt;75,2,IF(Dataset!B1417&lt;120,3,4)))</f>
        <v>4</v>
      </c>
      <c r="D1417" s="29">
        <f t="shared" si="176"/>
        <v>3.2</v>
      </c>
      <c r="E1417" s="29">
        <f>IF(Dataset!C1417&lt;=1,0.3,IF(Dataset!C1417=2,0.4,IF(Dataset!C1417=3,0.5,IF(Dataset!C1417=4,0.65,0.8))))</f>
        <v>0.65</v>
      </c>
      <c r="F1417" s="29">
        <f>IF(Dataset!C1417&lt;=2,1,IF(Dataset!C1417=3,2,IF(Dataset!C1417=4,3,4)))</f>
        <v>3</v>
      </c>
      <c r="G1417" s="29">
        <f t="shared" si="177"/>
        <v>1.9500000000000002</v>
      </c>
      <c r="H1417" s="29">
        <f>IF(Dataset!G1417&lt;=3,0.25,IF(Dataset!G1417&lt;=6,0.45,IF(Dataset!G1417&lt;=9,0.65,0.85)))</f>
        <v>0.65</v>
      </c>
      <c r="I1417" s="29">
        <f>IF(Dataset!G1417&lt;=3,1,IF(Dataset!G1417&lt;=6,2,IF(Dataset!G1417&lt;=9,3,4)))</f>
        <v>3</v>
      </c>
      <c r="J1417" s="29">
        <f t="shared" si="178"/>
        <v>1.9500000000000002</v>
      </c>
      <c r="K1417" s="29">
        <f>IF(Dataset!H1417&lt;1,0.2,IF(Dataset!H1417&lt;1.3,0.45,IF(Dataset!H1417&lt;1.8,0.7,0.9)))</f>
        <v>0.9</v>
      </c>
      <c r="L1417" s="29">
        <f>IF(Dataset!H1417&lt;1,1,IF(Dataset!H1417&lt;1.3,2,IF(Dataset!H1417&lt;1.8,3,4)))</f>
        <v>4</v>
      </c>
      <c r="M1417" s="29">
        <f t="shared" si="179"/>
        <v>3.6</v>
      </c>
      <c r="N1417" s="29">
        <f>IF(Dataset!F1417=1,0.75,IF(Dataset!F1417=2,0.45,0.2))</f>
        <v>0.45</v>
      </c>
      <c r="O1417" s="29">
        <f>IF(Dataset!F1417=1,3,IF(Dataset!F1417=2,2,1))</f>
        <v>2</v>
      </c>
      <c r="P1417" s="29">
        <f t="shared" si="180"/>
        <v>0.9</v>
      </c>
      <c r="Q1417" s="29">
        <f>IF(Dataset!K1417&lt;5,0.2,IF(Dataset!K1417&lt;10,0.45,IF(Dataset!K1417&lt;18,0.7,0.9)))</f>
        <v>0.45</v>
      </c>
      <c r="R1417" s="29">
        <f>IF(Dataset!K1417&lt;5,1,IF(Dataset!K1417&lt;10,2,IF(Dataset!K1417&lt;18,3,4)))</f>
        <v>2</v>
      </c>
      <c r="S1417" s="29">
        <f t="shared" si="181"/>
        <v>0.9</v>
      </c>
      <c r="T1417" s="29">
        <f t="shared" si="182"/>
        <v>2.319</v>
      </c>
      <c r="U1417" s="29" t="str">
        <f t="shared" si="183"/>
        <v>High</v>
      </c>
    </row>
    <row r="1418" spans="1:21" ht="15" customHeight="1" x14ac:dyDescent="0.25">
      <c r="A1418" s="29">
        <f>Dataset!A1418</f>
        <v>1414</v>
      </c>
      <c r="B1418" s="29">
        <f>IF(Dataset!B1418&lt;25,0.3,IF(Dataset!B1418&lt;75,0.5,IF(Dataset!B1418&lt;120,0.65,0.8)))</f>
        <v>0.3</v>
      </c>
      <c r="C1418" s="29">
        <f>IF(Dataset!B1418&lt;25,1,IF(Dataset!B1418&lt;75,2,IF(Dataset!B1418&lt;120,3,4)))</f>
        <v>1</v>
      </c>
      <c r="D1418" s="29">
        <f t="shared" si="176"/>
        <v>0.3</v>
      </c>
      <c r="E1418" s="29">
        <f>IF(Dataset!C1418&lt;=1,0.3,IF(Dataset!C1418=2,0.4,IF(Dataset!C1418=3,0.5,IF(Dataset!C1418=4,0.65,0.8))))</f>
        <v>0.5</v>
      </c>
      <c r="F1418" s="29">
        <f>IF(Dataset!C1418&lt;=2,1,IF(Dataset!C1418=3,2,IF(Dataset!C1418=4,3,4)))</f>
        <v>2</v>
      </c>
      <c r="G1418" s="29">
        <f t="shared" si="177"/>
        <v>1</v>
      </c>
      <c r="H1418" s="29">
        <f>IF(Dataset!G1418&lt;=3,0.25,IF(Dataset!G1418&lt;=6,0.45,IF(Dataset!G1418&lt;=9,0.65,0.85)))</f>
        <v>0.45</v>
      </c>
      <c r="I1418" s="29">
        <f>IF(Dataset!G1418&lt;=3,1,IF(Dataset!G1418&lt;=6,2,IF(Dataset!G1418&lt;=9,3,4)))</f>
        <v>2</v>
      </c>
      <c r="J1418" s="29">
        <f t="shared" si="178"/>
        <v>0.9</v>
      </c>
      <c r="K1418" s="29">
        <f>IF(Dataset!H1418&lt;1,0.2,IF(Dataset!H1418&lt;1.3,0.45,IF(Dataset!H1418&lt;1.8,0.7,0.9)))</f>
        <v>0.7</v>
      </c>
      <c r="L1418" s="29">
        <f>IF(Dataset!H1418&lt;1,1,IF(Dataset!H1418&lt;1.3,2,IF(Dataset!H1418&lt;1.8,3,4)))</f>
        <v>3</v>
      </c>
      <c r="M1418" s="29">
        <f t="shared" si="179"/>
        <v>2.0999999999999996</v>
      </c>
      <c r="N1418" s="29">
        <f>IF(Dataset!F1418=1,0.75,IF(Dataset!F1418=2,0.45,0.2))</f>
        <v>0.45</v>
      </c>
      <c r="O1418" s="29">
        <f>IF(Dataset!F1418=1,3,IF(Dataset!F1418=2,2,1))</f>
        <v>2</v>
      </c>
      <c r="P1418" s="29">
        <f t="shared" si="180"/>
        <v>0.9</v>
      </c>
      <c r="Q1418" s="29">
        <f>IF(Dataset!K1418&lt;5,0.2,IF(Dataset!K1418&lt;10,0.45,IF(Dataset!K1418&lt;18,0.7,0.9)))</f>
        <v>0.2</v>
      </c>
      <c r="R1418" s="29">
        <f>IF(Dataset!K1418&lt;5,1,IF(Dataset!K1418&lt;10,2,IF(Dataset!K1418&lt;18,3,4)))</f>
        <v>1</v>
      </c>
      <c r="S1418" s="29">
        <f t="shared" si="181"/>
        <v>0.2</v>
      </c>
      <c r="T1418" s="29">
        <f t="shared" si="182"/>
        <v>0.99599999999999989</v>
      </c>
      <c r="U1418" s="29" t="str">
        <f t="shared" si="183"/>
        <v>Low</v>
      </c>
    </row>
    <row r="1419" spans="1:21" ht="15" customHeight="1" x14ac:dyDescent="0.25">
      <c r="A1419" s="29">
        <f>Dataset!A1419</f>
        <v>1415</v>
      </c>
      <c r="B1419" s="29">
        <f>IF(Dataset!B1419&lt;25,0.3,IF(Dataset!B1419&lt;75,0.5,IF(Dataset!B1419&lt;120,0.65,0.8)))</f>
        <v>0.8</v>
      </c>
      <c r="C1419" s="29">
        <f>IF(Dataset!B1419&lt;25,1,IF(Dataset!B1419&lt;75,2,IF(Dataset!B1419&lt;120,3,4)))</f>
        <v>4</v>
      </c>
      <c r="D1419" s="29">
        <f t="shared" si="176"/>
        <v>3.2</v>
      </c>
      <c r="E1419" s="29">
        <f>IF(Dataset!C1419&lt;=1,0.3,IF(Dataset!C1419=2,0.4,IF(Dataset!C1419=3,0.5,IF(Dataset!C1419=4,0.65,0.8))))</f>
        <v>0.65</v>
      </c>
      <c r="F1419" s="29">
        <f>IF(Dataset!C1419&lt;=2,1,IF(Dataset!C1419=3,2,IF(Dataset!C1419=4,3,4)))</f>
        <v>3</v>
      </c>
      <c r="G1419" s="29">
        <f t="shared" si="177"/>
        <v>1.9500000000000002</v>
      </c>
      <c r="H1419" s="29">
        <f>IF(Dataset!G1419&lt;=3,0.25,IF(Dataset!G1419&lt;=6,0.45,IF(Dataset!G1419&lt;=9,0.65,0.85)))</f>
        <v>0.65</v>
      </c>
      <c r="I1419" s="29">
        <f>IF(Dataset!G1419&lt;=3,1,IF(Dataset!G1419&lt;=6,2,IF(Dataset!G1419&lt;=9,3,4)))</f>
        <v>3</v>
      </c>
      <c r="J1419" s="29">
        <f t="shared" si="178"/>
        <v>1.9500000000000002</v>
      </c>
      <c r="K1419" s="29">
        <f>IF(Dataset!H1419&lt;1,0.2,IF(Dataset!H1419&lt;1.3,0.45,IF(Dataset!H1419&lt;1.8,0.7,0.9)))</f>
        <v>0.45</v>
      </c>
      <c r="L1419" s="29">
        <f>IF(Dataset!H1419&lt;1,1,IF(Dataset!H1419&lt;1.3,2,IF(Dataset!H1419&lt;1.8,3,4)))</f>
        <v>2</v>
      </c>
      <c r="M1419" s="29">
        <f t="shared" si="179"/>
        <v>0.9</v>
      </c>
      <c r="N1419" s="29">
        <f>IF(Dataset!F1419=1,0.75,IF(Dataset!F1419=2,0.45,0.2))</f>
        <v>0.45</v>
      </c>
      <c r="O1419" s="29">
        <f>IF(Dataset!F1419=1,3,IF(Dataset!F1419=2,2,1))</f>
        <v>2</v>
      </c>
      <c r="P1419" s="29">
        <f t="shared" si="180"/>
        <v>0.9</v>
      </c>
      <c r="Q1419" s="29">
        <f>IF(Dataset!K1419&lt;5,0.2,IF(Dataset!K1419&lt;10,0.45,IF(Dataset!K1419&lt;18,0.7,0.9)))</f>
        <v>0.7</v>
      </c>
      <c r="R1419" s="29">
        <f>IF(Dataset!K1419&lt;5,1,IF(Dataset!K1419&lt;10,2,IF(Dataset!K1419&lt;18,3,4)))</f>
        <v>3</v>
      </c>
      <c r="S1419" s="29">
        <f t="shared" si="181"/>
        <v>2.0999999999999996</v>
      </c>
      <c r="T1419" s="29">
        <f t="shared" si="182"/>
        <v>1.8390000000000002</v>
      </c>
      <c r="U1419" s="29" t="str">
        <f t="shared" si="183"/>
        <v>High</v>
      </c>
    </row>
    <row r="1420" spans="1:21" ht="15" customHeight="1" x14ac:dyDescent="0.25">
      <c r="A1420" s="29">
        <f>Dataset!A1420</f>
        <v>1416</v>
      </c>
      <c r="B1420" s="29">
        <f>IF(Dataset!B1420&lt;25,0.3,IF(Dataset!B1420&lt;75,0.5,IF(Dataset!B1420&lt;120,0.65,0.8)))</f>
        <v>0.65</v>
      </c>
      <c r="C1420" s="29">
        <f>IF(Dataset!B1420&lt;25,1,IF(Dataset!B1420&lt;75,2,IF(Dataset!B1420&lt;120,3,4)))</f>
        <v>3</v>
      </c>
      <c r="D1420" s="29">
        <f t="shared" si="176"/>
        <v>1.9500000000000002</v>
      </c>
      <c r="E1420" s="29">
        <f>IF(Dataset!C1420&lt;=1,0.3,IF(Dataset!C1420=2,0.4,IF(Dataset!C1420=3,0.5,IF(Dataset!C1420=4,0.65,0.8))))</f>
        <v>0.65</v>
      </c>
      <c r="F1420" s="29">
        <f>IF(Dataset!C1420&lt;=2,1,IF(Dataset!C1420=3,2,IF(Dataset!C1420=4,3,4)))</f>
        <v>3</v>
      </c>
      <c r="G1420" s="29">
        <f t="shared" si="177"/>
        <v>1.9500000000000002</v>
      </c>
      <c r="H1420" s="29">
        <f>IF(Dataset!G1420&lt;=3,0.25,IF(Dataset!G1420&lt;=6,0.45,IF(Dataset!G1420&lt;=9,0.65,0.85)))</f>
        <v>0.65</v>
      </c>
      <c r="I1420" s="29">
        <f>IF(Dataset!G1420&lt;=3,1,IF(Dataset!G1420&lt;=6,2,IF(Dataset!G1420&lt;=9,3,4)))</f>
        <v>3</v>
      </c>
      <c r="J1420" s="29">
        <f t="shared" si="178"/>
        <v>1.9500000000000002</v>
      </c>
      <c r="K1420" s="29">
        <f>IF(Dataset!H1420&lt;1,0.2,IF(Dataset!H1420&lt;1.3,0.45,IF(Dataset!H1420&lt;1.8,0.7,0.9)))</f>
        <v>0.7</v>
      </c>
      <c r="L1420" s="29">
        <f>IF(Dataset!H1420&lt;1,1,IF(Dataset!H1420&lt;1.3,2,IF(Dataset!H1420&lt;1.8,3,4)))</f>
        <v>3</v>
      </c>
      <c r="M1420" s="29">
        <f t="shared" si="179"/>
        <v>2.0999999999999996</v>
      </c>
      <c r="N1420" s="29">
        <f>IF(Dataset!F1420=1,0.75,IF(Dataset!F1420=2,0.45,0.2))</f>
        <v>0.45</v>
      </c>
      <c r="O1420" s="29">
        <f>IF(Dataset!F1420=1,3,IF(Dataset!F1420=2,2,1))</f>
        <v>2</v>
      </c>
      <c r="P1420" s="29">
        <f t="shared" si="180"/>
        <v>0.9</v>
      </c>
      <c r="Q1420" s="29">
        <f>IF(Dataset!K1420&lt;5,0.2,IF(Dataset!K1420&lt;10,0.45,IF(Dataset!K1420&lt;18,0.7,0.9)))</f>
        <v>0.7</v>
      </c>
      <c r="R1420" s="29">
        <f>IF(Dataset!K1420&lt;5,1,IF(Dataset!K1420&lt;10,2,IF(Dataset!K1420&lt;18,3,4)))</f>
        <v>3</v>
      </c>
      <c r="S1420" s="29">
        <f t="shared" si="181"/>
        <v>2.0999999999999996</v>
      </c>
      <c r="T1420" s="29">
        <f t="shared" si="182"/>
        <v>1.9020000000000004</v>
      </c>
      <c r="U1420" s="29" t="str">
        <f t="shared" si="183"/>
        <v>High</v>
      </c>
    </row>
    <row r="1421" spans="1:21" ht="15" customHeight="1" x14ac:dyDescent="0.25">
      <c r="A1421" s="29">
        <f>Dataset!A1421</f>
        <v>1417</v>
      </c>
      <c r="B1421" s="29">
        <f>IF(Dataset!B1421&lt;25,0.3,IF(Dataset!B1421&lt;75,0.5,IF(Dataset!B1421&lt;120,0.65,0.8)))</f>
        <v>0.5</v>
      </c>
      <c r="C1421" s="29">
        <f>IF(Dataset!B1421&lt;25,1,IF(Dataset!B1421&lt;75,2,IF(Dataset!B1421&lt;120,3,4)))</f>
        <v>2</v>
      </c>
      <c r="D1421" s="29">
        <f t="shared" si="176"/>
        <v>1</v>
      </c>
      <c r="E1421" s="29">
        <f>IF(Dataset!C1421&lt;=1,0.3,IF(Dataset!C1421=2,0.4,IF(Dataset!C1421=3,0.5,IF(Dataset!C1421=4,0.65,0.8))))</f>
        <v>0.5</v>
      </c>
      <c r="F1421" s="29">
        <f>IF(Dataset!C1421&lt;=2,1,IF(Dataset!C1421=3,2,IF(Dataset!C1421=4,3,4)))</f>
        <v>2</v>
      </c>
      <c r="G1421" s="29">
        <f t="shared" si="177"/>
        <v>1</v>
      </c>
      <c r="H1421" s="29">
        <f>IF(Dataset!G1421&lt;=3,0.25,IF(Dataset!G1421&lt;=6,0.45,IF(Dataset!G1421&lt;=9,0.65,0.85)))</f>
        <v>0.45</v>
      </c>
      <c r="I1421" s="29">
        <f>IF(Dataset!G1421&lt;=3,1,IF(Dataset!G1421&lt;=6,2,IF(Dataset!G1421&lt;=9,3,4)))</f>
        <v>2</v>
      </c>
      <c r="J1421" s="29">
        <f t="shared" si="178"/>
        <v>0.9</v>
      </c>
      <c r="K1421" s="29">
        <f>IF(Dataset!H1421&lt;1,0.2,IF(Dataset!H1421&lt;1.3,0.45,IF(Dataset!H1421&lt;1.8,0.7,0.9)))</f>
        <v>0.7</v>
      </c>
      <c r="L1421" s="29">
        <f>IF(Dataset!H1421&lt;1,1,IF(Dataset!H1421&lt;1.3,2,IF(Dataset!H1421&lt;1.8,3,4)))</f>
        <v>3</v>
      </c>
      <c r="M1421" s="29">
        <f t="shared" si="179"/>
        <v>2.0999999999999996</v>
      </c>
      <c r="N1421" s="29">
        <f>IF(Dataset!F1421=1,0.75,IF(Dataset!F1421=2,0.45,0.2))</f>
        <v>0.45</v>
      </c>
      <c r="O1421" s="29">
        <f>IF(Dataset!F1421=1,3,IF(Dataset!F1421=2,2,1))</f>
        <v>2</v>
      </c>
      <c r="P1421" s="29">
        <f t="shared" si="180"/>
        <v>0.9</v>
      </c>
      <c r="Q1421" s="29">
        <f>IF(Dataset!K1421&lt;5,0.2,IF(Dataset!K1421&lt;10,0.45,IF(Dataset!K1421&lt;18,0.7,0.9)))</f>
        <v>0.2</v>
      </c>
      <c r="R1421" s="29">
        <f>IF(Dataset!K1421&lt;5,1,IF(Dataset!K1421&lt;10,2,IF(Dataset!K1421&lt;18,3,4)))</f>
        <v>1</v>
      </c>
      <c r="S1421" s="29">
        <f t="shared" si="181"/>
        <v>0.2</v>
      </c>
      <c r="T1421" s="29">
        <f t="shared" si="182"/>
        <v>1.1220000000000001</v>
      </c>
      <c r="U1421" s="29" t="str">
        <f t="shared" si="183"/>
        <v>Low</v>
      </c>
    </row>
    <row r="1422" spans="1:21" ht="15" customHeight="1" x14ac:dyDescent="0.25">
      <c r="A1422" s="29">
        <f>Dataset!A1422</f>
        <v>1418</v>
      </c>
      <c r="B1422" s="29">
        <f>IF(Dataset!B1422&lt;25,0.3,IF(Dataset!B1422&lt;75,0.5,IF(Dataset!B1422&lt;120,0.65,0.8)))</f>
        <v>0.3</v>
      </c>
      <c r="C1422" s="29">
        <f>IF(Dataset!B1422&lt;25,1,IF(Dataset!B1422&lt;75,2,IF(Dataset!B1422&lt;120,3,4)))</f>
        <v>1</v>
      </c>
      <c r="D1422" s="29">
        <f t="shared" si="176"/>
        <v>0.3</v>
      </c>
      <c r="E1422" s="29">
        <f>IF(Dataset!C1422&lt;=1,0.3,IF(Dataset!C1422=2,0.4,IF(Dataset!C1422=3,0.5,IF(Dataset!C1422=4,0.65,0.8))))</f>
        <v>0.65</v>
      </c>
      <c r="F1422" s="29">
        <f>IF(Dataset!C1422&lt;=2,1,IF(Dataset!C1422=3,2,IF(Dataset!C1422=4,3,4)))</f>
        <v>3</v>
      </c>
      <c r="G1422" s="29">
        <f t="shared" si="177"/>
        <v>1.9500000000000002</v>
      </c>
      <c r="H1422" s="29">
        <f>IF(Dataset!G1422&lt;=3,0.25,IF(Dataset!G1422&lt;=6,0.45,IF(Dataset!G1422&lt;=9,0.65,0.85)))</f>
        <v>0.45</v>
      </c>
      <c r="I1422" s="29">
        <f>IF(Dataset!G1422&lt;=3,1,IF(Dataset!G1422&lt;=6,2,IF(Dataset!G1422&lt;=9,3,4)))</f>
        <v>2</v>
      </c>
      <c r="J1422" s="29">
        <f t="shared" si="178"/>
        <v>0.9</v>
      </c>
      <c r="K1422" s="29">
        <f>IF(Dataset!H1422&lt;1,0.2,IF(Dataset!H1422&lt;1.3,0.45,IF(Dataset!H1422&lt;1.8,0.7,0.9)))</f>
        <v>0.9</v>
      </c>
      <c r="L1422" s="29">
        <f>IF(Dataset!H1422&lt;1,1,IF(Dataset!H1422&lt;1.3,2,IF(Dataset!H1422&lt;1.8,3,4)))</f>
        <v>4</v>
      </c>
      <c r="M1422" s="29">
        <f t="shared" si="179"/>
        <v>3.6</v>
      </c>
      <c r="N1422" s="29">
        <f>IF(Dataset!F1422=1,0.75,IF(Dataset!F1422=2,0.45,0.2))</f>
        <v>0.45</v>
      </c>
      <c r="O1422" s="29">
        <f>IF(Dataset!F1422=1,3,IF(Dataset!F1422=2,2,1))</f>
        <v>2</v>
      </c>
      <c r="P1422" s="29">
        <f t="shared" si="180"/>
        <v>0.9</v>
      </c>
      <c r="Q1422" s="29">
        <f>IF(Dataset!K1422&lt;5,0.2,IF(Dataset!K1422&lt;10,0.45,IF(Dataset!K1422&lt;18,0.7,0.9)))</f>
        <v>0.45</v>
      </c>
      <c r="R1422" s="29">
        <f>IF(Dataset!K1422&lt;5,1,IF(Dataset!K1422&lt;10,2,IF(Dataset!K1422&lt;18,3,4)))</f>
        <v>2</v>
      </c>
      <c r="S1422" s="29">
        <f t="shared" si="181"/>
        <v>0.9</v>
      </c>
      <c r="T1422" s="29">
        <f t="shared" si="182"/>
        <v>1.5870000000000002</v>
      </c>
      <c r="U1422" s="29" t="str">
        <f t="shared" si="183"/>
        <v>Medium</v>
      </c>
    </row>
    <row r="1423" spans="1:21" ht="15" customHeight="1" x14ac:dyDescent="0.25">
      <c r="A1423" s="29">
        <f>Dataset!A1423</f>
        <v>1419</v>
      </c>
      <c r="B1423" s="29">
        <f>IF(Dataset!B1423&lt;25,0.3,IF(Dataset!B1423&lt;75,0.5,IF(Dataset!B1423&lt;120,0.65,0.8)))</f>
        <v>0.3</v>
      </c>
      <c r="C1423" s="29">
        <f>IF(Dataset!B1423&lt;25,1,IF(Dataset!B1423&lt;75,2,IF(Dataset!B1423&lt;120,3,4)))</f>
        <v>1</v>
      </c>
      <c r="D1423" s="29">
        <f t="shared" si="176"/>
        <v>0.3</v>
      </c>
      <c r="E1423" s="29">
        <f>IF(Dataset!C1423&lt;=1,0.3,IF(Dataset!C1423=2,0.4,IF(Dataset!C1423=3,0.5,IF(Dataset!C1423=4,0.65,0.8))))</f>
        <v>0.5</v>
      </c>
      <c r="F1423" s="29">
        <f>IF(Dataset!C1423&lt;=2,1,IF(Dataset!C1423=3,2,IF(Dataset!C1423=4,3,4)))</f>
        <v>2</v>
      </c>
      <c r="G1423" s="29">
        <f t="shared" si="177"/>
        <v>1</v>
      </c>
      <c r="H1423" s="29">
        <f>IF(Dataset!G1423&lt;=3,0.25,IF(Dataset!G1423&lt;=6,0.45,IF(Dataset!G1423&lt;=9,0.65,0.85)))</f>
        <v>0.45</v>
      </c>
      <c r="I1423" s="29">
        <f>IF(Dataset!G1423&lt;=3,1,IF(Dataset!G1423&lt;=6,2,IF(Dataset!G1423&lt;=9,3,4)))</f>
        <v>2</v>
      </c>
      <c r="J1423" s="29">
        <f t="shared" si="178"/>
        <v>0.9</v>
      </c>
      <c r="K1423" s="29">
        <f>IF(Dataset!H1423&lt;1,0.2,IF(Dataset!H1423&lt;1.3,0.45,IF(Dataset!H1423&lt;1.8,0.7,0.9)))</f>
        <v>0.9</v>
      </c>
      <c r="L1423" s="29">
        <f>IF(Dataset!H1423&lt;1,1,IF(Dataset!H1423&lt;1.3,2,IF(Dataset!H1423&lt;1.8,3,4)))</f>
        <v>4</v>
      </c>
      <c r="M1423" s="29">
        <f t="shared" si="179"/>
        <v>3.6</v>
      </c>
      <c r="N1423" s="29">
        <f>IF(Dataset!F1423=1,0.75,IF(Dataset!F1423=2,0.45,0.2))</f>
        <v>0.75</v>
      </c>
      <c r="O1423" s="29">
        <f>IF(Dataset!F1423=1,3,IF(Dataset!F1423=2,2,1))</f>
        <v>3</v>
      </c>
      <c r="P1423" s="29">
        <f t="shared" si="180"/>
        <v>2.25</v>
      </c>
      <c r="Q1423" s="29">
        <f>IF(Dataset!K1423&lt;5,0.2,IF(Dataset!K1423&lt;10,0.45,IF(Dataset!K1423&lt;18,0.7,0.9)))</f>
        <v>0.45</v>
      </c>
      <c r="R1423" s="29">
        <f>IF(Dataset!K1423&lt;5,1,IF(Dataset!K1423&lt;10,2,IF(Dataset!K1423&lt;18,3,4)))</f>
        <v>2</v>
      </c>
      <c r="S1423" s="29">
        <f t="shared" si="181"/>
        <v>0.9</v>
      </c>
      <c r="T1423" s="29">
        <f t="shared" si="182"/>
        <v>1.5890000000000002</v>
      </c>
      <c r="U1423" s="29" t="str">
        <f t="shared" si="183"/>
        <v>Medium</v>
      </c>
    </row>
    <row r="1424" spans="1:21" ht="15" customHeight="1" x14ac:dyDescent="0.25">
      <c r="A1424" s="29">
        <f>Dataset!A1424</f>
        <v>1420</v>
      </c>
      <c r="B1424" s="29">
        <f>IF(Dataset!B1424&lt;25,0.3,IF(Dataset!B1424&lt;75,0.5,IF(Dataset!B1424&lt;120,0.65,0.8)))</f>
        <v>0.5</v>
      </c>
      <c r="C1424" s="29">
        <f>IF(Dataset!B1424&lt;25,1,IF(Dataset!B1424&lt;75,2,IF(Dataset!B1424&lt;120,3,4)))</f>
        <v>2</v>
      </c>
      <c r="D1424" s="29">
        <f t="shared" si="176"/>
        <v>1</v>
      </c>
      <c r="E1424" s="29">
        <f>IF(Dataset!C1424&lt;=1,0.3,IF(Dataset!C1424=2,0.4,IF(Dataset!C1424=3,0.5,IF(Dataset!C1424=4,0.65,0.8))))</f>
        <v>0.5</v>
      </c>
      <c r="F1424" s="29">
        <f>IF(Dataset!C1424&lt;=2,1,IF(Dataset!C1424=3,2,IF(Dataset!C1424=4,3,4)))</f>
        <v>2</v>
      </c>
      <c r="G1424" s="29">
        <f t="shared" si="177"/>
        <v>1</v>
      </c>
      <c r="H1424" s="29">
        <f>IF(Dataset!G1424&lt;=3,0.25,IF(Dataset!G1424&lt;=6,0.45,IF(Dataset!G1424&lt;=9,0.65,0.85)))</f>
        <v>0.65</v>
      </c>
      <c r="I1424" s="29">
        <f>IF(Dataset!G1424&lt;=3,1,IF(Dataset!G1424&lt;=6,2,IF(Dataset!G1424&lt;=9,3,4)))</f>
        <v>3</v>
      </c>
      <c r="J1424" s="29">
        <f t="shared" si="178"/>
        <v>1.9500000000000002</v>
      </c>
      <c r="K1424" s="29">
        <f>IF(Dataset!H1424&lt;1,0.2,IF(Dataset!H1424&lt;1.3,0.45,IF(Dataset!H1424&lt;1.8,0.7,0.9)))</f>
        <v>0.9</v>
      </c>
      <c r="L1424" s="29">
        <f>IF(Dataset!H1424&lt;1,1,IF(Dataset!H1424&lt;1.3,2,IF(Dataset!H1424&lt;1.8,3,4)))</f>
        <v>4</v>
      </c>
      <c r="M1424" s="29">
        <f t="shared" si="179"/>
        <v>3.6</v>
      </c>
      <c r="N1424" s="29">
        <f>IF(Dataset!F1424=1,0.75,IF(Dataset!F1424=2,0.45,0.2))</f>
        <v>0.45</v>
      </c>
      <c r="O1424" s="29">
        <f>IF(Dataset!F1424=1,3,IF(Dataset!F1424=2,2,1))</f>
        <v>2</v>
      </c>
      <c r="P1424" s="29">
        <f t="shared" si="180"/>
        <v>0.9</v>
      </c>
      <c r="Q1424" s="29">
        <f>IF(Dataset!K1424&lt;5,0.2,IF(Dataset!K1424&lt;10,0.45,IF(Dataset!K1424&lt;18,0.7,0.9)))</f>
        <v>0.45</v>
      </c>
      <c r="R1424" s="29">
        <f>IF(Dataset!K1424&lt;5,1,IF(Dataset!K1424&lt;10,2,IF(Dataset!K1424&lt;18,3,4)))</f>
        <v>2</v>
      </c>
      <c r="S1424" s="29">
        <f t="shared" si="181"/>
        <v>0.9</v>
      </c>
      <c r="T1424" s="29">
        <f t="shared" si="182"/>
        <v>1.7900000000000003</v>
      </c>
      <c r="U1424" s="29" t="str">
        <f t="shared" si="183"/>
        <v>High</v>
      </c>
    </row>
    <row r="1425" spans="1:21" ht="15" customHeight="1" x14ac:dyDescent="0.25">
      <c r="A1425" s="29">
        <f>Dataset!A1425</f>
        <v>1421</v>
      </c>
      <c r="B1425" s="29">
        <f>IF(Dataset!B1425&lt;25,0.3,IF(Dataset!B1425&lt;75,0.5,IF(Dataset!B1425&lt;120,0.65,0.8)))</f>
        <v>0.65</v>
      </c>
      <c r="C1425" s="29">
        <f>IF(Dataset!B1425&lt;25,1,IF(Dataset!B1425&lt;75,2,IF(Dataset!B1425&lt;120,3,4)))</f>
        <v>3</v>
      </c>
      <c r="D1425" s="29">
        <f t="shared" si="176"/>
        <v>1.9500000000000002</v>
      </c>
      <c r="E1425" s="29">
        <f>IF(Dataset!C1425&lt;=1,0.3,IF(Dataset!C1425=2,0.4,IF(Dataset!C1425=3,0.5,IF(Dataset!C1425=4,0.65,0.8))))</f>
        <v>0.4</v>
      </c>
      <c r="F1425" s="29">
        <f>IF(Dataset!C1425&lt;=2,1,IF(Dataset!C1425=3,2,IF(Dataset!C1425=4,3,4)))</f>
        <v>1</v>
      </c>
      <c r="G1425" s="29">
        <f t="shared" si="177"/>
        <v>0.4</v>
      </c>
      <c r="H1425" s="29">
        <f>IF(Dataset!G1425&lt;=3,0.25,IF(Dataset!G1425&lt;=6,0.45,IF(Dataset!G1425&lt;=9,0.65,0.85)))</f>
        <v>0.25</v>
      </c>
      <c r="I1425" s="29">
        <f>IF(Dataset!G1425&lt;=3,1,IF(Dataset!G1425&lt;=6,2,IF(Dataset!G1425&lt;=9,3,4)))</f>
        <v>1</v>
      </c>
      <c r="J1425" s="29">
        <f t="shared" si="178"/>
        <v>0.25</v>
      </c>
      <c r="K1425" s="29">
        <f>IF(Dataset!H1425&lt;1,0.2,IF(Dataset!H1425&lt;1.3,0.45,IF(Dataset!H1425&lt;1.8,0.7,0.9)))</f>
        <v>0.9</v>
      </c>
      <c r="L1425" s="29">
        <f>IF(Dataset!H1425&lt;1,1,IF(Dataset!H1425&lt;1.3,2,IF(Dataset!H1425&lt;1.8,3,4)))</f>
        <v>4</v>
      </c>
      <c r="M1425" s="29">
        <f t="shared" si="179"/>
        <v>3.6</v>
      </c>
      <c r="N1425" s="29">
        <f>IF(Dataset!F1425=1,0.75,IF(Dataset!F1425=2,0.45,0.2))</f>
        <v>0.45</v>
      </c>
      <c r="O1425" s="29">
        <f>IF(Dataset!F1425=1,3,IF(Dataset!F1425=2,2,1))</f>
        <v>2</v>
      </c>
      <c r="P1425" s="29">
        <f t="shared" si="180"/>
        <v>0.9</v>
      </c>
      <c r="Q1425" s="29">
        <f>IF(Dataset!K1425&lt;5,0.2,IF(Dataset!K1425&lt;10,0.45,IF(Dataset!K1425&lt;18,0.7,0.9)))</f>
        <v>0.2</v>
      </c>
      <c r="R1425" s="29">
        <f>IF(Dataset!K1425&lt;5,1,IF(Dataset!K1425&lt;10,2,IF(Dataset!K1425&lt;18,3,4)))</f>
        <v>1</v>
      </c>
      <c r="S1425" s="29">
        <f t="shared" si="181"/>
        <v>0.2</v>
      </c>
      <c r="T1425" s="29">
        <f t="shared" si="182"/>
        <v>1.4390000000000001</v>
      </c>
      <c r="U1425" s="29" t="str">
        <f t="shared" si="183"/>
        <v>Medium</v>
      </c>
    </row>
    <row r="1426" spans="1:21" ht="15" customHeight="1" x14ac:dyDescent="0.25">
      <c r="A1426" s="29">
        <f>Dataset!A1426</f>
        <v>1422</v>
      </c>
      <c r="B1426" s="29">
        <f>IF(Dataset!B1426&lt;25,0.3,IF(Dataset!B1426&lt;75,0.5,IF(Dataset!B1426&lt;120,0.65,0.8)))</f>
        <v>0.65</v>
      </c>
      <c r="C1426" s="29">
        <f>IF(Dataset!B1426&lt;25,1,IF(Dataset!B1426&lt;75,2,IF(Dataset!B1426&lt;120,3,4)))</f>
        <v>3</v>
      </c>
      <c r="D1426" s="29">
        <f t="shared" si="176"/>
        <v>1.9500000000000002</v>
      </c>
      <c r="E1426" s="29">
        <f>IF(Dataset!C1426&lt;=1,0.3,IF(Dataset!C1426=2,0.4,IF(Dataset!C1426=3,0.5,IF(Dataset!C1426=4,0.65,0.8))))</f>
        <v>0.65</v>
      </c>
      <c r="F1426" s="29">
        <f>IF(Dataset!C1426&lt;=2,1,IF(Dataset!C1426=3,2,IF(Dataset!C1426=4,3,4)))</f>
        <v>3</v>
      </c>
      <c r="G1426" s="29">
        <f t="shared" si="177"/>
        <v>1.9500000000000002</v>
      </c>
      <c r="H1426" s="29">
        <f>IF(Dataset!G1426&lt;=3,0.25,IF(Dataset!G1426&lt;=6,0.45,IF(Dataset!G1426&lt;=9,0.65,0.85)))</f>
        <v>0.25</v>
      </c>
      <c r="I1426" s="29">
        <f>IF(Dataset!G1426&lt;=3,1,IF(Dataset!G1426&lt;=6,2,IF(Dataset!G1426&lt;=9,3,4)))</f>
        <v>1</v>
      </c>
      <c r="J1426" s="29">
        <f t="shared" si="178"/>
        <v>0.25</v>
      </c>
      <c r="K1426" s="29">
        <f>IF(Dataset!H1426&lt;1,0.2,IF(Dataset!H1426&lt;1.3,0.45,IF(Dataset!H1426&lt;1.8,0.7,0.9)))</f>
        <v>0.2</v>
      </c>
      <c r="L1426" s="29">
        <f>IF(Dataset!H1426&lt;1,1,IF(Dataset!H1426&lt;1.3,2,IF(Dataset!H1426&lt;1.8,3,4)))</f>
        <v>1</v>
      </c>
      <c r="M1426" s="29">
        <f t="shared" si="179"/>
        <v>0.2</v>
      </c>
      <c r="N1426" s="29">
        <f>IF(Dataset!F1426=1,0.75,IF(Dataset!F1426=2,0.45,0.2))</f>
        <v>0.45</v>
      </c>
      <c r="O1426" s="29">
        <f>IF(Dataset!F1426=1,3,IF(Dataset!F1426=2,2,1))</f>
        <v>2</v>
      </c>
      <c r="P1426" s="29">
        <f t="shared" si="180"/>
        <v>0.9</v>
      </c>
      <c r="Q1426" s="29">
        <f>IF(Dataset!K1426&lt;5,0.2,IF(Dataset!K1426&lt;10,0.45,IF(Dataset!K1426&lt;18,0.7,0.9)))</f>
        <v>0.45</v>
      </c>
      <c r="R1426" s="29">
        <f>IF(Dataset!K1426&lt;5,1,IF(Dataset!K1426&lt;10,2,IF(Dataset!K1426&lt;18,3,4)))</f>
        <v>2</v>
      </c>
      <c r="S1426" s="29">
        <f t="shared" si="181"/>
        <v>0.9</v>
      </c>
      <c r="T1426" s="29">
        <f t="shared" si="182"/>
        <v>0.93800000000000017</v>
      </c>
      <c r="U1426" s="29" t="str">
        <f t="shared" si="183"/>
        <v>Low</v>
      </c>
    </row>
    <row r="1427" spans="1:21" ht="15" customHeight="1" x14ac:dyDescent="0.25">
      <c r="A1427" s="29">
        <f>Dataset!A1427</f>
        <v>1423</v>
      </c>
      <c r="B1427" s="29">
        <f>IF(Dataset!B1427&lt;25,0.3,IF(Dataset!B1427&lt;75,0.5,IF(Dataset!B1427&lt;120,0.65,0.8)))</f>
        <v>0.8</v>
      </c>
      <c r="C1427" s="29">
        <f>IF(Dataset!B1427&lt;25,1,IF(Dataset!B1427&lt;75,2,IF(Dataset!B1427&lt;120,3,4)))</f>
        <v>4</v>
      </c>
      <c r="D1427" s="29">
        <f t="shared" si="176"/>
        <v>3.2</v>
      </c>
      <c r="E1427" s="29">
        <f>IF(Dataset!C1427&lt;=1,0.3,IF(Dataset!C1427=2,0.4,IF(Dataset!C1427=3,0.5,IF(Dataset!C1427=4,0.65,0.8))))</f>
        <v>0.8</v>
      </c>
      <c r="F1427" s="29">
        <f>IF(Dataset!C1427&lt;=2,1,IF(Dataset!C1427=3,2,IF(Dataset!C1427=4,3,4)))</f>
        <v>4</v>
      </c>
      <c r="G1427" s="29">
        <f t="shared" si="177"/>
        <v>3.2</v>
      </c>
      <c r="H1427" s="29">
        <f>IF(Dataset!G1427&lt;=3,0.25,IF(Dataset!G1427&lt;=6,0.45,IF(Dataset!G1427&lt;=9,0.65,0.85)))</f>
        <v>0.45</v>
      </c>
      <c r="I1427" s="29">
        <f>IF(Dataset!G1427&lt;=3,1,IF(Dataset!G1427&lt;=6,2,IF(Dataset!G1427&lt;=9,3,4)))</f>
        <v>2</v>
      </c>
      <c r="J1427" s="29">
        <f t="shared" si="178"/>
        <v>0.9</v>
      </c>
      <c r="K1427" s="29">
        <f>IF(Dataset!H1427&lt;1,0.2,IF(Dataset!H1427&lt;1.3,0.45,IF(Dataset!H1427&lt;1.8,0.7,0.9)))</f>
        <v>0.7</v>
      </c>
      <c r="L1427" s="29">
        <f>IF(Dataset!H1427&lt;1,1,IF(Dataset!H1427&lt;1.3,2,IF(Dataset!H1427&lt;1.8,3,4)))</f>
        <v>3</v>
      </c>
      <c r="M1427" s="29">
        <f t="shared" si="179"/>
        <v>2.0999999999999996</v>
      </c>
      <c r="N1427" s="29">
        <f>IF(Dataset!F1427=1,0.75,IF(Dataset!F1427=2,0.45,0.2))</f>
        <v>0.45</v>
      </c>
      <c r="O1427" s="29">
        <f>IF(Dataset!F1427=1,3,IF(Dataset!F1427=2,2,1))</f>
        <v>2</v>
      </c>
      <c r="P1427" s="29">
        <f t="shared" si="180"/>
        <v>0.9</v>
      </c>
      <c r="Q1427" s="29">
        <f>IF(Dataset!K1427&lt;5,0.2,IF(Dataset!K1427&lt;10,0.45,IF(Dataset!K1427&lt;18,0.7,0.9)))</f>
        <v>0.9</v>
      </c>
      <c r="R1427" s="29">
        <f>IF(Dataset!K1427&lt;5,1,IF(Dataset!K1427&lt;10,2,IF(Dataset!K1427&lt;18,3,4)))</f>
        <v>4</v>
      </c>
      <c r="S1427" s="29">
        <f t="shared" si="181"/>
        <v>3.6</v>
      </c>
      <c r="T1427" s="29">
        <f t="shared" si="182"/>
        <v>2.302</v>
      </c>
      <c r="U1427" s="29" t="str">
        <f t="shared" si="183"/>
        <v>High</v>
      </c>
    </row>
    <row r="1428" spans="1:21" ht="15" customHeight="1" x14ac:dyDescent="0.25">
      <c r="A1428" s="29">
        <f>Dataset!A1428</f>
        <v>1424</v>
      </c>
      <c r="B1428" s="29">
        <f>IF(Dataset!B1428&lt;25,0.3,IF(Dataset!B1428&lt;75,0.5,IF(Dataset!B1428&lt;120,0.65,0.8)))</f>
        <v>0.65</v>
      </c>
      <c r="C1428" s="29">
        <f>IF(Dataset!B1428&lt;25,1,IF(Dataset!B1428&lt;75,2,IF(Dataset!B1428&lt;120,3,4)))</f>
        <v>3</v>
      </c>
      <c r="D1428" s="29">
        <f t="shared" si="176"/>
        <v>1.9500000000000002</v>
      </c>
      <c r="E1428" s="29">
        <f>IF(Dataset!C1428&lt;=1,0.3,IF(Dataset!C1428=2,0.4,IF(Dataset!C1428=3,0.5,IF(Dataset!C1428=4,0.65,0.8))))</f>
        <v>0.4</v>
      </c>
      <c r="F1428" s="29">
        <f>IF(Dataset!C1428&lt;=2,1,IF(Dataset!C1428=3,2,IF(Dataset!C1428=4,3,4)))</f>
        <v>1</v>
      </c>
      <c r="G1428" s="29">
        <f t="shared" si="177"/>
        <v>0.4</v>
      </c>
      <c r="H1428" s="29">
        <f>IF(Dataset!G1428&lt;=3,0.25,IF(Dataset!G1428&lt;=6,0.45,IF(Dataset!G1428&lt;=9,0.65,0.85)))</f>
        <v>0.45</v>
      </c>
      <c r="I1428" s="29">
        <f>IF(Dataset!G1428&lt;=3,1,IF(Dataset!G1428&lt;=6,2,IF(Dataset!G1428&lt;=9,3,4)))</f>
        <v>2</v>
      </c>
      <c r="J1428" s="29">
        <f t="shared" si="178"/>
        <v>0.9</v>
      </c>
      <c r="K1428" s="29">
        <f>IF(Dataset!H1428&lt;1,0.2,IF(Dataset!H1428&lt;1.3,0.45,IF(Dataset!H1428&lt;1.8,0.7,0.9)))</f>
        <v>0.7</v>
      </c>
      <c r="L1428" s="29">
        <f>IF(Dataset!H1428&lt;1,1,IF(Dataset!H1428&lt;1.3,2,IF(Dataset!H1428&lt;1.8,3,4)))</f>
        <v>3</v>
      </c>
      <c r="M1428" s="29">
        <f t="shared" si="179"/>
        <v>2.0999999999999996</v>
      </c>
      <c r="N1428" s="29">
        <f>IF(Dataset!F1428=1,0.75,IF(Dataset!F1428=2,0.45,0.2))</f>
        <v>0.2</v>
      </c>
      <c r="O1428" s="29">
        <f>IF(Dataset!F1428=1,3,IF(Dataset!F1428=2,2,1))</f>
        <v>1</v>
      </c>
      <c r="P1428" s="29">
        <f t="shared" si="180"/>
        <v>0.2</v>
      </c>
      <c r="Q1428" s="29">
        <f>IF(Dataset!K1428&lt;5,0.2,IF(Dataset!K1428&lt;10,0.45,IF(Dataset!K1428&lt;18,0.7,0.9)))</f>
        <v>0.2</v>
      </c>
      <c r="R1428" s="29">
        <f>IF(Dataset!K1428&lt;5,1,IF(Dataset!K1428&lt;10,2,IF(Dataset!K1428&lt;18,3,4)))</f>
        <v>1</v>
      </c>
      <c r="S1428" s="29">
        <f t="shared" si="181"/>
        <v>0.2</v>
      </c>
      <c r="T1428" s="29">
        <f t="shared" si="182"/>
        <v>1.139</v>
      </c>
      <c r="U1428" s="29" t="str">
        <f t="shared" si="183"/>
        <v>Low</v>
      </c>
    </row>
    <row r="1429" spans="1:21" ht="15" customHeight="1" x14ac:dyDescent="0.25">
      <c r="A1429" s="29">
        <f>Dataset!A1429</f>
        <v>1425</v>
      </c>
      <c r="B1429" s="29">
        <f>IF(Dataset!B1429&lt;25,0.3,IF(Dataset!B1429&lt;75,0.5,IF(Dataset!B1429&lt;120,0.65,0.8)))</f>
        <v>0.5</v>
      </c>
      <c r="C1429" s="29">
        <f>IF(Dataset!B1429&lt;25,1,IF(Dataset!B1429&lt;75,2,IF(Dataset!B1429&lt;120,3,4)))</f>
        <v>2</v>
      </c>
      <c r="D1429" s="29">
        <f t="shared" si="176"/>
        <v>1</v>
      </c>
      <c r="E1429" s="29">
        <f>IF(Dataset!C1429&lt;=1,0.3,IF(Dataset!C1429=2,0.4,IF(Dataset!C1429=3,0.5,IF(Dataset!C1429=4,0.65,0.8))))</f>
        <v>0.5</v>
      </c>
      <c r="F1429" s="29">
        <f>IF(Dataset!C1429&lt;=2,1,IF(Dataset!C1429=3,2,IF(Dataset!C1429=4,3,4)))</f>
        <v>2</v>
      </c>
      <c r="G1429" s="29">
        <f t="shared" si="177"/>
        <v>1</v>
      </c>
      <c r="H1429" s="29">
        <f>IF(Dataset!G1429&lt;=3,0.25,IF(Dataset!G1429&lt;=6,0.45,IF(Dataset!G1429&lt;=9,0.65,0.85)))</f>
        <v>0.45</v>
      </c>
      <c r="I1429" s="29">
        <f>IF(Dataset!G1429&lt;=3,1,IF(Dataset!G1429&lt;=6,2,IF(Dataset!G1429&lt;=9,3,4)))</f>
        <v>2</v>
      </c>
      <c r="J1429" s="29">
        <f t="shared" si="178"/>
        <v>0.9</v>
      </c>
      <c r="K1429" s="29">
        <f>IF(Dataset!H1429&lt;1,0.2,IF(Dataset!H1429&lt;1.3,0.45,IF(Dataset!H1429&lt;1.8,0.7,0.9)))</f>
        <v>0.9</v>
      </c>
      <c r="L1429" s="29">
        <f>IF(Dataset!H1429&lt;1,1,IF(Dataset!H1429&lt;1.3,2,IF(Dataset!H1429&lt;1.8,3,4)))</f>
        <v>4</v>
      </c>
      <c r="M1429" s="29">
        <f t="shared" si="179"/>
        <v>3.6</v>
      </c>
      <c r="N1429" s="29">
        <f>IF(Dataset!F1429=1,0.75,IF(Dataset!F1429=2,0.45,0.2))</f>
        <v>0.2</v>
      </c>
      <c r="O1429" s="29">
        <f>IF(Dataset!F1429=1,3,IF(Dataset!F1429=2,2,1))</f>
        <v>1</v>
      </c>
      <c r="P1429" s="29">
        <f t="shared" si="180"/>
        <v>0.2</v>
      </c>
      <c r="Q1429" s="29">
        <f>IF(Dataset!K1429&lt;5,0.2,IF(Dataset!K1429&lt;10,0.45,IF(Dataset!K1429&lt;18,0.7,0.9)))</f>
        <v>0.45</v>
      </c>
      <c r="R1429" s="29">
        <f>IF(Dataset!K1429&lt;5,1,IF(Dataset!K1429&lt;10,2,IF(Dataset!K1429&lt;18,3,4)))</f>
        <v>2</v>
      </c>
      <c r="S1429" s="29">
        <f t="shared" si="181"/>
        <v>0.9</v>
      </c>
      <c r="T1429" s="29">
        <f t="shared" si="182"/>
        <v>1.51</v>
      </c>
      <c r="U1429" s="29" t="str">
        <f t="shared" si="183"/>
        <v>Medium</v>
      </c>
    </row>
    <row r="1430" spans="1:21" ht="15" customHeight="1" x14ac:dyDescent="0.25">
      <c r="A1430" s="29">
        <f>Dataset!A1430</f>
        <v>1426</v>
      </c>
      <c r="B1430" s="29">
        <f>IF(Dataset!B1430&lt;25,0.3,IF(Dataset!B1430&lt;75,0.5,IF(Dataset!B1430&lt;120,0.65,0.8)))</f>
        <v>0.5</v>
      </c>
      <c r="C1430" s="29">
        <f>IF(Dataset!B1430&lt;25,1,IF(Dataset!B1430&lt;75,2,IF(Dataset!B1430&lt;120,3,4)))</f>
        <v>2</v>
      </c>
      <c r="D1430" s="29">
        <f t="shared" si="176"/>
        <v>1</v>
      </c>
      <c r="E1430" s="29">
        <f>IF(Dataset!C1430&lt;=1,0.3,IF(Dataset!C1430=2,0.4,IF(Dataset!C1430=3,0.5,IF(Dataset!C1430=4,0.65,0.8))))</f>
        <v>0.3</v>
      </c>
      <c r="F1430" s="29">
        <f>IF(Dataset!C1430&lt;=2,1,IF(Dataset!C1430=3,2,IF(Dataset!C1430=4,3,4)))</f>
        <v>1</v>
      </c>
      <c r="G1430" s="29">
        <f t="shared" si="177"/>
        <v>0.3</v>
      </c>
      <c r="H1430" s="29">
        <f>IF(Dataset!G1430&lt;=3,0.25,IF(Dataset!G1430&lt;=6,0.45,IF(Dataset!G1430&lt;=9,0.65,0.85)))</f>
        <v>0.65</v>
      </c>
      <c r="I1430" s="29">
        <f>IF(Dataset!G1430&lt;=3,1,IF(Dataset!G1430&lt;=6,2,IF(Dataset!G1430&lt;=9,3,4)))</f>
        <v>3</v>
      </c>
      <c r="J1430" s="29">
        <f t="shared" si="178"/>
        <v>1.9500000000000002</v>
      </c>
      <c r="K1430" s="29">
        <f>IF(Dataset!H1430&lt;1,0.2,IF(Dataset!H1430&lt;1.3,0.45,IF(Dataset!H1430&lt;1.8,0.7,0.9)))</f>
        <v>0.9</v>
      </c>
      <c r="L1430" s="29">
        <f>IF(Dataset!H1430&lt;1,1,IF(Dataset!H1430&lt;1.3,2,IF(Dataset!H1430&lt;1.8,3,4)))</f>
        <v>4</v>
      </c>
      <c r="M1430" s="29">
        <f t="shared" si="179"/>
        <v>3.6</v>
      </c>
      <c r="N1430" s="29">
        <f>IF(Dataset!F1430=1,0.75,IF(Dataset!F1430=2,0.45,0.2))</f>
        <v>0.45</v>
      </c>
      <c r="O1430" s="29">
        <f>IF(Dataset!F1430=1,3,IF(Dataset!F1430=2,2,1))</f>
        <v>2</v>
      </c>
      <c r="P1430" s="29">
        <f t="shared" si="180"/>
        <v>0.9</v>
      </c>
      <c r="Q1430" s="29">
        <f>IF(Dataset!K1430&lt;5,0.2,IF(Dataset!K1430&lt;10,0.45,IF(Dataset!K1430&lt;18,0.7,0.9)))</f>
        <v>0.2</v>
      </c>
      <c r="R1430" s="29">
        <f>IF(Dataset!K1430&lt;5,1,IF(Dataset!K1430&lt;10,2,IF(Dataset!K1430&lt;18,3,4)))</f>
        <v>1</v>
      </c>
      <c r="S1430" s="29">
        <f t="shared" si="181"/>
        <v>0.2</v>
      </c>
      <c r="T1430" s="29">
        <f t="shared" si="182"/>
        <v>1.5940000000000001</v>
      </c>
      <c r="U1430" s="29" t="str">
        <f t="shared" si="183"/>
        <v>Medium</v>
      </c>
    </row>
    <row r="1431" spans="1:21" ht="15" customHeight="1" x14ac:dyDescent="0.25">
      <c r="A1431" s="29">
        <f>Dataset!A1431</f>
        <v>1427</v>
      </c>
      <c r="B1431" s="29">
        <f>IF(Dataset!B1431&lt;25,0.3,IF(Dataset!B1431&lt;75,0.5,IF(Dataset!B1431&lt;120,0.65,0.8)))</f>
        <v>0.65</v>
      </c>
      <c r="C1431" s="29">
        <f>IF(Dataset!B1431&lt;25,1,IF(Dataset!B1431&lt;75,2,IF(Dataset!B1431&lt;120,3,4)))</f>
        <v>3</v>
      </c>
      <c r="D1431" s="29">
        <f t="shared" si="176"/>
        <v>1.9500000000000002</v>
      </c>
      <c r="E1431" s="29">
        <f>IF(Dataset!C1431&lt;=1,0.3,IF(Dataset!C1431=2,0.4,IF(Dataset!C1431=3,0.5,IF(Dataset!C1431=4,0.65,0.8))))</f>
        <v>0.3</v>
      </c>
      <c r="F1431" s="29">
        <f>IF(Dataset!C1431&lt;=2,1,IF(Dataset!C1431=3,2,IF(Dataset!C1431=4,3,4)))</f>
        <v>1</v>
      </c>
      <c r="G1431" s="29">
        <f t="shared" si="177"/>
        <v>0.3</v>
      </c>
      <c r="H1431" s="29">
        <f>IF(Dataset!G1431&lt;=3,0.25,IF(Dataset!G1431&lt;=6,0.45,IF(Dataset!G1431&lt;=9,0.65,0.85)))</f>
        <v>0.45</v>
      </c>
      <c r="I1431" s="29">
        <f>IF(Dataset!G1431&lt;=3,1,IF(Dataset!G1431&lt;=6,2,IF(Dataset!G1431&lt;=9,3,4)))</f>
        <v>2</v>
      </c>
      <c r="J1431" s="29">
        <f t="shared" si="178"/>
        <v>0.9</v>
      </c>
      <c r="K1431" s="29">
        <f>IF(Dataset!H1431&lt;1,0.2,IF(Dataset!H1431&lt;1.3,0.45,IF(Dataset!H1431&lt;1.8,0.7,0.9)))</f>
        <v>0.9</v>
      </c>
      <c r="L1431" s="29">
        <f>IF(Dataset!H1431&lt;1,1,IF(Dataset!H1431&lt;1.3,2,IF(Dataset!H1431&lt;1.8,3,4)))</f>
        <v>4</v>
      </c>
      <c r="M1431" s="29">
        <f t="shared" si="179"/>
        <v>3.6</v>
      </c>
      <c r="N1431" s="29">
        <f>IF(Dataset!F1431=1,0.75,IF(Dataset!F1431=2,0.45,0.2))</f>
        <v>0.45</v>
      </c>
      <c r="O1431" s="29">
        <f>IF(Dataset!F1431=1,3,IF(Dataset!F1431=2,2,1))</f>
        <v>2</v>
      </c>
      <c r="P1431" s="29">
        <f t="shared" si="180"/>
        <v>0.9</v>
      </c>
      <c r="Q1431" s="29">
        <f>IF(Dataset!K1431&lt;5,0.2,IF(Dataset!K1431&lt;10,0.45,IF(Dataset!K1431&lt;18,0.7,0.9)))</f>
        <v>0.2</v>
      </c>
      <c r="R1431" s="29">
        <f>IF(Dataset!K1431&lt;5,1,IF(Dataset!K1431&lt;10,2,IF(Dataset!K1431&lt;18,3,4)))</f>
        <v>1</v>
      </c>
      <c r="S1431" s="29">
        <f t="shared" si="181"/>
        <v>0.2</v>
      </c>
      <c r="T1431" s="29">
        <f t="shared" si="182"/>
        <v>1.5550000000000002</v>
      </c>
      <c r="U1431" s="29" t="str">
        <f t="shared" si="183"/>
        <v>Medium</v>
      </c>
    </row>
    <row r="1432" spans="1:21" ht="15" customHeight="1" x14ac:dyDescent="0.25">
      <c r="A1432" s="29">
        <f>Dataset!A1432</f>
        <v>1428</v>
      </c>
      <c r="B1432" s="29">
        <f>IF(Dataset!B1432&lt;25,0.3,IF(Dataset!B1432&lt;75,0.5,IF(Dataset!B1432&lt;120,0.65,0.8)))</f>
        <v>0.5</v>
      </c>
      <c r="C1432" s="29">
        <f>IF(Dataset!B1432&lt;25,1,IF(Dataset!B1432&lt;75,2,IF(Dataset!B1432&lt;120,3,4)))</f>
        <v>2</v>
      </c>
      <c r="D1432" s="29">
        <f t="shared" si="176"/>
        <v>1</v>
      </c>
      <c r="E1432" s="29">
        <f>IF(Dataset!C1432&lt;=1,0.3,IF(Dataset!C1432=2,0.4,IF(Dataset!C1432=3,0.5,IF(Dataset!C1432=4,0.65,0.8))))</f>
        <v>0.8</v>
      </c>
      <c r="F1432" s="29">
        <f>IF(Dataset!C1432&lt;=2,1,IF(Dataset!C1432=3,2,IF(Dataset!C1432=4,3,4)))</f>
        <v>4</v>
      </c>
      <c r="G1432" s="29">
        <f t="shared" si="177"/>
        <v>3.2</v>
      </c>
      <c r="H1432" s="29">
        <f>IF(Dataset!G1432&lt;=3,0.25,IF(Dataset!G1432&lt;=6,0.45,IF(Dataset!G1432&lt;=9,0.65,0.85)))</f>
        <v>0.25</v>
      </c>
      <c r="I1432" s="29">
        <f>IF(Dataset!G1432&lt;=3,1,IF(Dataset!G1432&lt;=6,2,IF(Dataset!G1432&lt;=9,3,4)))</f>
        <v>1</v>
      </c>
      <c r="J1432" s="29">
        <f t="shared" si="178"/>
        <v>0.25</v>
      </c>
      <c r="K1432" s="29">
        <f>IF(Dataset!H1432&lt;1,0.2,IF(Dataset!H1432&lt;1.3,0.45,IF(Dataset!H1432&lt;1.8,0.7,0.9)))</f>
        <v>0.2</v>
      </c>
      <c r="L1432" s="29">
        <f>IF(Dataset!H1432&lt;1,1,IF(Dataset!H1432&lt;1.3,2,IF(Dataset!H1432&lt;1.8,3,4)))</f>
        <v>1</v>
      </c>
      <c r="M1432" s="29">
        <f t="shared" si="179"/>
        <v>0.2</v>
      </c>
      <c r="N1432" s="29">
        <f>IF(Dataset!F1432=1,0.75,IF(Dataset!F1432=2,0.45,0.2))</f>
        <v>0.45</v>
      </c>
      <c r="O1432" s="29">
        <f>IF(Dataset!F1432=1,3,IF(Dataset!F1432=2,2,1))</f>
        <v>2</v>
      </c>
      <c r="P1432" s="29">
        <f t="shared" si="180"/>
        <v>0.9</v>
      </c>
      <c r="Q1432" s="29">
        <f>IF(Dataset!K1432&lt;5,0.2,IF(Dataset!K1432&lt;10,0.45,IF(Dataset!K1432&lt;18,0.7,0.9)))</f>
        <v>0.7</v>
      </c>
      <c r="R1432" s="29">
        <f>IF(Dataset!K1432&lt;5,1,IF(Dataset!K1432&lt;10,2,IF(Dataset!K1432&lt;18,3,4)))</f>
        <v>3</v>
      </c>
      <c r="S1432" s="29">
        <f t="shared" si="181"/>
        <v>2.0999999999999996</v>
      </c>
      <c r="T1432" s="29">
        <f t="shared" si="182"/>
        <v>1.1100000000000001</v>
      </c>
      <c r="U1432" s="29" t="str">
        <f t="shared" si="183"/>
        <v>Low</v>
      </c>
    </row>
    <row r="1433" spans="1:21" ht="15" customHeight="1" x14ac:dyDescent="0.25">
      <c r="A1433" s="29">
        <f>Dataset!A1433</f>
        <v>1429</v>
      </c>
      <c r="B1433" s="29">
        <f>IF(Dataset!B1433&lt;25,0.3,IF(Dataset!B1433&lt;75,0.5,IF(Dataset!B1433&lt;120,0.65,0.8)))</f>
        <v>0.3</v>
      </c>
      <c r="C1433" s="29">
        <f>IF(Dataset!B1433&lt;25,1,IF(Dataset!B1433&lt;75,2,IF(Dataset!B1433&lt;120,3,4)))</f>
        <v>1</v>
      </c>
      <c r="D1433" s="29">
        <f t="shared" si="176"/>
        <v>0.3</v>
      </c>
      <c r="E1433" s="29">
        <f>IF(Dataset!C1433&lt;=1,0.3,IF(Dataset!C1433=2,0.4,IF(Dataset!C1433=3,0.5,IF(Dataset!C1433=4,0.65,0.8))))</f>
        <v>0.5</v>
      </c>
      <c r="F1433" s="29">
        <f>IF(Dataset!C1433&lt;=2,1,IF(Dataset!C1433=3,2,IF(Dataset!C1433=4,3,4)))</f>
        <v>2</v>
      </c>
      <c r="G1433" s="29">
        <f t="shared" si="177"/>
        <v>1</v>
      </c>
      <c r="H1433" s="29">
        <f>IF(Dataset!G1433&lt;=3,0.25,IF(Dataset!G1433&lt;=6,0.45,IF(Dataset!G1433&lt;=9,0.65,0.85)))</f>
        <v>0.65</v>
      </c>
      <c r="I1433" s="29">
        <f>IF(Dataset!G1433&lt;=3,1,IF(Dataset!G1433&lt;=6,2,IF(Dataset!G1433&lt;=9,3,4)))</f>
        <v>3</v>
      </c>
      <c r="J1433" s="29">
        <f t="shared" si="178"/>
        <v>1.9500000000000002</v>
      </c>
      <c r="K1433" s="29">
        <f>IF(Dataset!H1433&lt;1,0.2,IF(Dataset!H1433&lt;1.3,0.45,IF(Dataset!H1433&lt;1.8,0.7,0.9)))</f>
        <v>0.9</v>
      </c>
      <c r="L1433" s="29">
        <f>IF(Dataset!H1433&lt;1,1,IF(Dataset!H1433&lt;1.3,2,IF(Dataset!H1433&lt;1.8,3,4)))</f>
        <v>4</v>
      </c>
      <c r="M1433" s="29">
        <f t="shared" si="179"/>
        <v>3.6</v>
      </c>
      <c r="N1433" s="29">
        <f>IF(Dataset!F1433=1,0.75,IF(Dataset!F1433=2,0.45,0.2))</f>
        <v>0.45</v>
      </c>
      <c r="O1433" s="29">
        <f>IF(Dataset!F1433=1,3,IF(Dataset!F1433=2,2,1))</f>
        <v>2</v>
      </c>
      <c r="P1433" s="29">
        <f t="shared" si="180"/>
        <v>0.9</v>
      </c>
      <c r="Q1433" s="29">
        <f>IF(Dataset!K1433&lt;5,0.2,IF(Dataset!K1433&lt;10,0.45,IF(Dataset!K1433&lt;18,0.7,0.9)))</f>
        <v>0.2</v>
      </c>
      <c r="R1433" s="29">
        <f>IF(Dataset!K1433&lt;5,1,IF(Dataset!K1433&lt;10,2,IF(Dataset!K1433&lt;18,3,4)))</f>
        <v>1</v>
      </c>
      <c r="S1433" s="29">
        <f t="shared" si="181"/>
        <v>0.2</v>
      </c>
      <c r="T1433" s="29">
        <f t="shared" si="182"/>
        <v>1.5660000000000001</v>
      </c>
      <c r="U1433" s="29" t="str">
        <f t="shared" si="183"/>
        <v>Medium</v>
      </c>
    </row>
    <row r="1434" spans="1:21" ht="15" customHeight="1" x14ac:dyDescent="0.25">
      <c r="A1434" s="29">
        <f>Dataset!A1434</f>
        <v>1430</v>
      </c>
      <c r="B1434" s="29">
        <f>IF(Dataset!B1434&lt;25,0.3,IF(Dataset!B1434&lt;75,0.5,IF(Dataset!B1434&lt;120,0.65,0.8)))</f>
        <v>0.5</v>
      </c>
      <c r="C1434" s="29">
        <f>IF(Dataset!B1434&lt;25,1,IF(Dataset!B1434&lt;75,2,IF(Dataset!B1434&lt;120,3,4)))</f>
        <v>2</v>
      </c>
      <c r="D1434" s="29">
        <f t="shared" si="176"/>
        <v>1</v>
      </c>
      <c r="E1434" s="29">
        <f>IF(Dataset!C1434&lt;=1,0.3,IF(Dataset!C1434=2,0.4,IF(Dataset!C1434=3,0.5,IF(Dataset!C1434=4,0.65,0.8))))</f>
        <v>0.5</v>
      </c>
      <c r="F1434" s="29">
        <f>IF(Dataset!C1434&lt;=2,1,IF(Dataset!C1434=3,2,IF(Dataset!C1434=4,3,4)))</f>
        <v>2</v>
      </c>
      <c r="G1434" s="29">
        <f t="shared" si="177"/>
        <v>1</v>
      </c>
      <c r="H1434" s="29">
        <f>IF(Dataset!G1434&lt;=3,0.25,IF(Dataset!G1434&lt;=6,0.45,IF(Dataset!G1434&lt;=9,0.65,0.85)))</f>
        <v>0.25</v>
      </c>
      <c r="I1434" s="29">
        <f>IF(Dataset!G1434&lt;=3,1,IF(Dataset!G1434&lt;=6,2,IF(Dataset!G1434&lt;=9,3,4)))</f>
        <v>1</v>
      </c>
      <c r="J1434" s="29">
        <f t="shared" si="178"/>
        <v>0.25</v>
      </c>
      <c r="K1434" s="29">
        <f>IF(Dataset!H1434&lt;1,0.2,IF(Dataset!H1434&lt;1.3,0.45,IF(Dataset!H1434&lt;1.8,0.7,0.9)))</f>
        <v>0.7</v>
      </c>
      <c r="L1434" s="29">
        <f>IF(Dataset!H1434&lt;1,1,IF(Dataset!H1434&lt;1.3,2,IF(Dataset!H1434&lt;1.8,3,4)))</f>
        <v>3</v>
      </c>
      <c r="M1434" s="29">
        <f t="shared" si="179"/>
        <v>2.0999999999999996</v>
      </c>
      <c r="N1434" s="29">
        <f>IF(Dataset!F1434=1,0.75,IF(Dataset!F1434=2,0.45,0.2))</f>
        <v>0.45</v>
      </c>
      <c r="O1434" s="29">
        <f>IF(Dataset!F1434=1,3,IF(Dataset!F1434=2,2,1))</f>
        <v>2</v>
      </c>
      <c r="P1434" s="29">
        <f t="shared" si="180"/>
        <v>0.9</v>
      </c>
      <c r="Q1434" s="29">
        <f>IF(Dataset!K1434&lt;5,0.2,IF(Dataset!K1434&lt;10,0.45,IF(Dataset!K1434&lt;18,0.7,0.9)))</f>
        <v>0.45</v>
      </c>
      <c r="R1434" s="29">
        <f>IF(Dataset!K1434&lt;5,1,IF(Dataset!K1434&lt;10,2,IF(Dataset!K1434&lt;18,3,4)))</f>
        <v>2</v>
      </c>
      <c r="S1434" s="29">
        <f t="shared" si="181"/>
        <v>0.9</v>
      </c>
      <c r="T1434" s="29">
        <f t="shared" si="182"/>
        <v>1.0899999999999999</v>
      </c>
      <c r="U1434" s="29" t="str">
        <f t="shared" si="183"/>
        <v>Low</v>
      </c>
    </row>
    <row r="1435" spans="1:21" ht="15" customHeight="1" x14ac:dyDescent="0.25">
      <c r="A1435" s="29">
        <f>Dataset!A1435</f>
        <v>1431</v>
      </c>
      <c r="B1435" s="29">
        <f>IF(Dataset!B1435&lt;25,0.3,IF(Dataset!B1435&lt;75,0.5,IF(Dataset!B1435&lt;120,0.65,0.8)))</f>
        <v>0.65</v>
      </c>
      <c r="C1435" s="29">
        <f>IF(Dataset!B1435&lt;25,1,IF(Dataset!B1435&lt;75,2,IF(Dataset!B1435&lt;120,3,4)))</f>
        <v>3</v>
      </c>
      <c r="D1435" s="29">
        <f t="shared" si="176"/>
        <v>1.9500000000000002</v>
      </c>
      <c r="E1435" s="29">
        <f>IF(Dataset!C1435&lt;=1,0.3,IF(Dataset!C1435=2,0.4,IF(Dataset!C1435=3,0.5,IF(Dataset!C1435=4,0.65,0.8))))</f>
        <v>0.5</v>
      </c>
      <c r="F1435" s="29">
        <f>IF(Dataset!C1435&lt;=2,1,IF(Dataset!C1435=3,2,IF(Dataset!C1435=4,3,4)))</f>
        <v>2</v>
      </c>
      <c r="G1435" s="29">
        <f t="shared" si="177"/>
        <v>1</v>
      </c>
      <c r="H1435" s="29">
        <f>IF(Dataset!G1435&lt;=3,0.25,IF(Dataset!G1435&lt;=6,0.45,IF(Dataset!G1435&lt;=9,0.65,0.85)))</f>
        <v>0.65</v>
      </c>
      <c r="I1435" s="29">
        <f>IF(Dataset!G1435&lt;=3,1,IF(Dataset!G1435&lt;=6,2,IF(Dataset!G1435&lt;=9,3,4)))</f>
        <v>3</v>
      </c>
      <c r="J1435" s="29">
        <f t="shared" si="178"/>
        <v>1.9500000000000002</v>
      </c>
      <c r="K1435" s="29">
        <f>IF(Dataset!H1435&lt;1,0.2,IF(Dataset!H1435&lt;1.3,0.45,IF(Dataset!H1435&lt;1.8,0.7,0.9)))</f>
        <v>0.9</v>
      </c>
      <c r="L1435" s="29">
        <f>IF(Dataset!H1435&lt;1,1,IF(Dataset!H1435&lt;1.3,2,IF(Dataset!H1435&lt;1.8,3,4)))</f>
        <v>4</v>
      </c>
      <c r="M1435" s="29">
        <f t="shared" si="179"/>
        <v>3.6</v>
      </c>
      <c r="N1435" s="29">
        <f>IF(Dataset!F1435=1,0.75,IF(Dataset!F1435=2,0.45,0.2))</f>
        <v>0.45</v>
      </c>
      <c r="O1435" s="29">
        <f>IF(Dataset!F1435=1,3,IF(Dataset!F1435=2,2,1))</f>
        <v>2</v>
      </c>
      <c r="P1435" s="29">
        <f t="shared" si="180"/>
        <v>0.9</v>
      </c>
      <c r="Q1435" s="29">
        <f>IF(Dataset!K1435&lt;5,0.2,IF(Dataset!K1435&lt;10,0.45,IF(Dataset!K1435&lt;18,0.7,0.9)))</f>
        <v>0.2</v>
      </c>
      <c r="R1435" s="29">
        <f>IF(Dataset!K1435&lt;5,1,IF(Dataset!K1435&lt;10,2,IF(Dataset!K1435&lt;18,3,4)))</f>
        <v>1</v>
      </c>
      <c r="S1435" s="29">
        <f t="shared" si="181"/>
        <v>0.2</v>
      </c>
      <c r="T1435" s="29">
        <f t="shared" si="182"/>
        <v>1.8630000000000002</v>
      </c>
      <c r="U1435" s="29" t="str">
        <f t="shared" si="183"/>
        <v>High</v>
      </c>
    </row>
    <row r="1436" spans="1:21" ht="15" customHeight="1" x14ac:dyDescent="0.25">
      <c r="A1436" s="29">
        <f>Dataset!A1436</f>
        <v>1432</v>
      </c>
      <c r="B1436" s="29">
        <f>IF(Dataset!B1436&lt;25,0.3,IF(Dataset!B1436&lt;75,0.5,IF(Dataset!B1436&lt;120,0.65,0.8)))</f>
        <v>0.3</v>
      </c>
      <c r="C1436" s="29">
        <f>IF(Dataset!B1436&lt;25,1,IF(Dataset!B1436&lt;75,2,IF(Dataset!B1436&lt;120,3,4)))</f>
        <v>1</v>
      </c>
      <c r="D1436" s="29">
        <f t="shared" si="176"/>
        <v>0.3</v>
      </c>
      <c r="E1436" s="29">
        <f>IF(Dataset!C1436&lt;=1,0.3,IF(Dataset!C1436=2,0.4,IF(Dataset!C1436=3,0.5,IF(Dataset!C1436=4,0.65,0.8))))</f>
        <v>0.8</v>
      </c>
      <c r="F1436" s="29">
        <f>IF(Dataset!C1436&lt;=2,1,IF(Dataset!C1436=3,2,IF(Dataset!C1436=4,3,4)))</f>
        <v>4</v>
      </c>
      <c r="G1436" s="29">
        <f t="shared" si="177"/>
        <v>3.2</v>
      </c>
      <c r="H1436" s="29">
        <f>IF(Dataset!G1436&lt;=3,0.25,IF(Dataset!G1436&lt;=6,0.45,IF(Dataset!G1436&lt;=9,0.65,0.85)))</f>
        <v>0.65</v>
      </c>
      <c r="I1436" s="29">
        <f>IF(Dataset!G1436&lt;=3,1,IF(Dataset!G1436&lt;=6,2,IF(Dataset!G1436&lt;=9,3,4)))</f>
        <v>3</v>
      </c>
      <c r="J1436" s="29">
        <f t="shared" si="178"/>
        <v>1.9500000000000002</v>
      </c>
      <c r="K1436" s="29">
        <f>IF(Dataset!H1436&lt;1,0.2,IF(Dataset!H1436&lt;1.3,0.45,IF(Dataset!H1436&lt;1.8,0.7,0.9)))</f>
        <v>0.9</v>
      </c>
      <c r="L1436" s="29">
        <f>IF(Dataset!H1436&lt;1,1,IF(Dataset!H1436&lt;1.3,2,IF(Dataset!H1436&lt;1.8,3,4)))</f>
        <v>4</v>
      </c>
      <c r="M1436" s="29">
        <f t="shared" si="179"/>
        <v>3.6</v>
      </c>
      <c r="N1436" s="29">
        <f>IF(Dataset!F1436=1,0.75,IF(Dataset!F1436=2,0.45,0.2))</f>
        <v>0.2</v>
      </c>
      <c r="O1436" s="29">
        <f>IF(Dataset!F1436=1,3,IF(Dataset!F1436=2,2,1))</f>
        <v>1</v>
      </c>
      <c r="P1436" s="29">
        <f t="shared" si="180"/>
        <v>0.2</v>
      </c>
      <c r="Q1436" s="29">
        <f>IF(Dataset!K1436&lt;5,0.2,IF(Dataset!K1436&lt;10,0.45,IF(Dataset!K1436&lt;18,0.7,0.9)))</f>
        <v>0.7</v>
      </c>
      <c r="R1436" s="29">
        <f>IF(Dataset!K1436&lt;5,1,IF(Dataset!K1436&lt;10,2,IF(Dataset!K1436&lt;18,3,4)))</f>
        <v>3</v>
      </c>
      <c r="S1436" s="29">
        <f t="shared" si="181"/>
        <v>2.0999999999999996</v>
      </c>
      <c r="T1436" s="29">
        <f t="shared" si="182"/>
        <v>2.0700000000000003</v>
      </c>
      <c r="U1436" s="29" t="str">
        <f t="shared" si="183"/>
        <v>High</v>
      </c>
    </row>
    <row r="1437" spans="1:21" ht="15" customHeight="1" x14ac:dyDescent="0.25">
      <c r="A1437" s="29">
        <f>Dataset!A1437</f>
        <v>1433</v>
      </c>
      <c r="B1437" s="29">
        <f>IF(Dataset!B1437&lt;25,0.3,IF(Dataset!B1437&lt;75,0.5,IF(Dataset!B1437&lt;120,0.65,0.8)))</f>
        <v>0.5</v>
      </c>
      <c r="C1437" s="29">
        <f>IF(Dataset!B1437&lt;25,1,IF(Dataset!B1437&lt;75,2,IF(Dataset!B1437&lt;120,3,4)))</f>
        <v>2</v>
      </c>
      <c r="D1437" s="29">
        <f t="shared" si="176"/>
        <v>1</v>
      </c>
      <c r="E1437" s="29">
        <f>IF(Dataset!C1437&lt;=1,0.3,IF(Dataset!C1437=2,0.4,IF(Dataset!C1437=3,0.5,IF(Dataset!C1437=4,0.65,0.8))))</f>
        <v>0.5</v>
      </c>
      <c r="F1437" s="29">
        <f>IF(Dataset!C1437&lt;=2,1,IF(Dataset!C1437=3,2,IF(Dataset!C1437=4,3,4)))</f>
        <v>2</v>
      </c>
      <c r="G1437" s="29">
        <f t="shared" si="177"/>
        <v>1</v>
      </c>
      <c r="H1437" s="29">
        <f>IF(Dataset!G1437&lt;=3,0.25,IF(Dataset!G1437&lt;=6,0.45,IF(Dataset!G1437&lt;=9,0.65,0.85)))</f>
        <v>0.65</v>
      </c>
      <c r="I1437" s="29">
        <f>IF(Dataset!G1437&lt;=3,1,IF(Dataset!G1437&lt;=6,2,IF(Dataset!G1437&lt;=9,3,4)))</f>
        <v>3</v>
      </c>
      <c r="J1437" s="29">
        <f t="shared" si="178"/>
        <v>1.9500000000000002</v>
      </c>
      <c r="K1437" s="29">
        <f>IF(Dataset!H1437&lt;1,0.2,IF(Dataset!H1437&lt;1.3,0.45,IF(Dataset!H1437&lt;1.8,0.7,0.9)))</f>
        <v>0.2</v>
      </c>
      <c r="L1437" s="29">
        <f>IF(Dataset!H1437&lt;1,1,IF(Dataset!H1437&lt;1.3,2,IF(Dataset!H1437&lt;1.8,3,4)))</f>
        <v>1</v>
      </c>
      <c r="M1437" s="29">
        <f t="shared" si="179"/>
        <v>0.2</v>
      </c>
      <c r="N1437" s="29">
        <f>IF(Dataset!F1437=1,0.75,IF(Dataset!F1437=2,0.45,0.2))</f>
        <v>0.75</v>
      </c>
      <c r="O1437" s="29">
        <f>IF(Dataset!F1437=1,3,IF(Dataset!F1437=2,2,1))</f>
        <v>3</v>
      </c>
      <c r="P1437" s="29">
        <f t="shared" si="180"/>
        <v>2.25</v>
      </c>
      <c r="Q1437" s="29">
        <f>IF(Dataset!K1437&lt;5,0.2,IF(Dataset!K1437&lt;10,0.45,IF(Dataset!K1437&lt;18,0.7,0.9)))</f>
        <v>0.45</v>
      </c>
      <c r="R1437" s="29">
        <f>IF(Dataset!K1437&lt;5,1,IF(Dataset!K1437&lt;10,2,IF(Dataset!K1437&lt;18,3,4)))</f>
        <v>2</v>
      </c>
      <c r="S1437" s="29">
        <f t="shared" si="181"/>
        <v>0.9</v>
      </c>
      <c r="T1437" s="29">
        <f t="shared" si="182"/>
        <v>1.1090000000000002</v>
      </c>
      <c r="U1437" s="29" t="str">
        <f t="shared" si="183"/>
        <v>Low</v>
      </c>
    </row>
    <row r="1438" spans="1:21" ht="15" customHeight="1" x14ac:dyDescent="0.25">
      <c r="A1438" s="29">
        <f>Dataset!A1438</f>
        <v>1434</v>
      </c>
      <c r="B1438" s="29">
        <f>IF(Dataset!B1438&lt;25,0.3,IF(Dataset!B1438&lt;75,0.5,IF(Dataset!B1438&lt;120,0.65,0.8)))</f>
        <v>0.5</v>
      </c>
      <c r="C1438" s="29">
        <f>IF(Dataset!B1438&lt;25,1,IF(Dataset!B1438&lt;75,2,IF(Dataset!B1438&lt;120,3,4)))</f>
        <v>2</v>
      </c>
      <c r="D1438" s="29">
        <f t="shared" si="176"/>
        <v>1</v>
      </c>
      <c r="E1438" s="29">
        <f>IF(Dataset!C1438&lt;=1,0.3,IF(Dataset!C1438=2,0.4,IF(Dataset!C1438=3,0.5,IF(Dataset!C1438=4,0.65,0.8))))</f>
        <v>0.65</v>
      </c>
      <c r="F1438" s="29">
        <f>IF(Dataset!C1438&lt;=2,1,IF(Dataset!C1438=3,2,IF(Dataset!C1438=4,3,4)))</f>
        <v>3</v>
      </c>
      <c r="G1438" s="29">
        <f t="shared" si="177"/>
        <v>1.9500000000000002</v>
      </c>
      <c r="H1438" s="29">
        <f>IF(Dataset!G1438&lt;=3,0.25,IF(Dataset!G1438&lt;=6,0.45,IF(Dataset!G1438&lt;=9,0.65,0.85)))</f>
        <v>0.65</v>
      </c>
      <c r="I1438" s="29">
        <f>IF(Dataset!G1438&lt;=3,1,IF(Dataset!G1438&lt;=6,2,IF(Dataset!G1438&lt;=9,3,4)))</f>
        <v>3</v>
      </c>
      <c r="J1438" s="29">
        <f t="shared" si="178"/>
        <v>1.9500000000000002</v>
      </c>
      <c r="K1438" s="29">
        <f>IF(Dataset!H1438&lt;1,0.2,IF(Dataset!H1438&lt;1.3,0.45,IF(Dataset!H1438&lt;1.8,0.7,0.9)))</f>
        <v>0.7</v>
      </c>
      <c r="L1438" s="29">
        <f>IF(Dataset!H1438&lt;1,1,IF(Dataset!H1438&lt;1.3,2,IF(Dataset!H1438&lt;1.8,3,4)))</f>
        <v>3</v>
      </c>
      <c r="M1438" s="29">
        <f t="shared" si="179"/>
        <v>2.0999999999999996</v>
      </c>
      <c r="N1438" s="29">
        <f>IF(Dataset!F1438=1,0.75,IF(Dataset!F1438=2,0.45,0.2))</f>
        <v>0.45</v>
      </c>
      <c r="O1438" s="29">
        <f>IF(Dataset!F1438=1,3,IF(Dataset!F1438=2,2,1))</f>
        <v>2</v>
      </c>
      <c r="P1438" s="29">
        <f t="shared" si="180"/>
        <v>0.9</v>
      </c>
      <c r="Q1438" s="29">
        <f>IF(Dataset!K1438&lt;5,0.2,IF(Dataset!K1438&lt;10,0.45,IF(Dataset!K1438&lt;18,0.7,0.9)))</f>
        <v>0.45</v>
      </c>
      <c r="R1438" s="29">
        <f>IF(Dataset!K1438&lt;5,1,IF(Dataset!K1438&lt;10,2,IF(Dataset!K1438&lt;18,3,4)))</f>
        <v>2</v>
      </c>
      <c r="S1438" s="29">
        <f t="shared" si="181"/>
        <v>0.9</v>
      </c>
      <c r="T1438" s="29">
        <f t="shared" si="182"/>
        <v>1.5630000000000002</v>
      </c>
      <c r="U1438" s="29" t="str">
        <f t="shared" si="183"/>
        <v>Medium</v>
      </c>
    </row>
    <row r="1439" spans="1:21" ht="15" customHeight="1" x14ac:dyDescent="0.25">
      <c r="A1439" s="29">
        <f>Dataset!A1439</f>
        <v>1435</v>
      </c>
      <c r="B1439" s="29">
        <f>IF(Dataset!B1439&lt;25,0.3,IF(Dataset!B1439&lt;75,0.5,IF(Dataset!B1439&lt;120,0.65,0.8)))</f>
        <v>0.5</v>
      </c>
      <c r="C1439" s="29">
        <f>IF(Dataset!B1439&lt;25,1,IF(Dataset!B1439&lt;75,2,IF(Dataset!B1439&lt;120,3,4)))</f>
        <v>2</v>
      </c>
      <c r="D1439" s="29">
        <f t="shared" si="176"/>
        <v>1</v>
      </c>
      <c r="E1439" s="29">
        <f>IF(Dataset!C1439&lt;=1,0.3,IF(Dataset!C1439=2,0.4,IF(Dataset!C1439=3,0.5,IF(Dataset!C1439=4,0.65,0.8))))</f>
        <v>0.5</v>
      </c>
      <c r="F1439" s="29">
        <f>IF(Dataset!C1439&lt;=2,1,IF(Dataset!C1439=3,2,IF(Dataset!C1439=4,3,4)))</f>
        <v>2</v>
      </c>
      <c r="G1439" s="29">
        <f t="shared" si="177"/>
        <v>1</v>
      </c>
      <c r="H1439" s="29">
        <f>IF(Dataset!G1439&lt;=3,0.25,IF(Dataset!G1439&lt;=6,0.45,IF(Dataset!G1439&lt;=9,0.65,0.85)))</f>
        <v>0.65</v>
      </c>
      <c r="I1439" s="29">
        <f>IF(Dataset!G1439&lt;=3,1,IF(Dataset!G1439&lt;=6,2,IF(Dataset!G1439&lt;=9,3,4)))</f>
        <v>3</v>
      </c>
      <c r="J1439" s="29">
        <f t="shared" si="178"/>
        <v>1.9500000000000002</v>
      </c>
      <c r="K1439" s="29">
        <f>IF(Dataset!H1439&lt;1,0.2,IF(Dataset!H1439&lt;1.3,0.45,IF(Dataset!H1439&lt;1.8,0.7,0.9)))</f>
        <v>0.7</v>
      </c>
      <c r="L1439" s="29">
        <f>IF(Dataset!H1439&lt;1,1,IF(Dataset!H1439&lt;1.3,2,IF(Dataset!H1439&lt;1.8,3,4)))</f>
        <v>3</v>
      </c>
      <c r="M1439" s="29">
        <f t="shared" si="179"/>
        <v>2.0999999999999996</v>
      </c>
      <c r="N1439" s="29">
        <f>IF(Dataset!F1439=1,0.75,IF(Dataset!F1439=2,0.45,0.2))</f>
        <v>0.75</v>
      </c>
      <c r="O1439" s="29">
        <f>IF(Dataset!F1439=1,3,IF(Dataset!F1439=2,2,1))</f>
        <v>3</v>
      </c>
      <c r="P1439" s="29">
        <f t="shared" si="180"/>
        <v>2.25</v>
      </c>
      <c r="Q1439" s="29">
        <f>IF(Dataset!K1439&lt;5,0.2,IF(Dataset!K1439&lt;10,0.45,IF(Dataset!K1439&lt;18,0.7,0.9)))</f>
        <v>0.2</v>
      </c>
      <c r="R1439" s="29">
        <f>IF(Dataset!K1439&lt;5,1,IF(Dataset!K1439&lt;10,2,IF(Dataset!K1439&lt;18,3,4)))</f>
        <v>1</v>
      </c>
      <c r="S1439" s="29">
        <f t="shared" si="181"/>
        <v>0.2</v>
      </c>
      <c r="T1439" s="29">
        <f t="shared" si="182"/>
        <v>1.4670000000000001</v>
      </c>
      <c r="U1439" s="29" t="str">
        <f t="shared" si="183"/>
        <v>Medium</v>
      </c>
    </row>
    <row r="1440" spans="1:21" ht="15" customHeight="1" x14ac:dyDescent="0.25">
      <c r="A1440" s="29">
        <f>Dataset!A1440</f>
        <v>1436</v>
      </c>
      <c r="B1440" s="29">
        <f>IF(Dataset!B1440&lt;25,0.3,IF(Dataset!B1440&lt;75,0.5,IF(Dataset!B1440&lt;120,0.65,0.8)))</f>
        <v>0.65</v>
      </c>
      <c r="C1440" s="29">
        <f>IF(Dataset!B1440&lt;25,1,IF(Dataset!B1440&lt;75,2,IF(Dataset!B1440&lt;120,3,4)))</f>
        <v>3</v>
      </c>
      <c r="D1440" s="29">
        <f t="shared" si="176"/>
        <v>1.9500000000000002</v>
      </c>
      <c r="E1440" s="29">
        <f>IF(Dataset!C1440&lt;=1,0.3,IF(Dataset!C1440=2,0.4,IF(Dataset!C1440=3,0.5,IF(Dataset!C1440=4,0.65,0.8))))</f>
        <v>0.3</v>
      </c>
      <c r="F1440" s="29">
        <f>IF(Dataset!C1440&lt;=2,1,IF(Dataset!C1440=3,2,IF(Dataset!C1440=4,3,4)))</f>
        <v>1</v>
      </c>
      <c r="G1440" s="29">
        <f t="shared" si="177"/>
        <v>0.3</v>
      </c>
      <c r="H1440" s="29">
        <f>IF(Dataset!G1440&lt;=3,0.25,IF(Dataset!G1440&lt;=6,0.45,IF(Dataset!G1440&lt;=9,0.65,0.85)))</f>
        <v>0.45</v>
      </c>
      <c r="I1440" s="29">
        <f>IF(Dataset!G1440&lt;=3,1,IF(Dataset!G1440&lt;=6,2,IF(Dataset!G1440&lt;=9,3,4)))</f>
        <v>2</v>
      </c>
      <c r="J1440" s="29">
        <f t="shared" si="178"/>
        <v>0.9</v>
      </c>
      <c r="K1440" s="29">
        <f>IF(Dataset!H1440&lt;1,0.2,IF(Dataset!H1440&lt;1.3,0.45,IF(Dataset!H1440&lt;1.8,0.7,0.9)))</f>
        <v>0.9</v>
      </c>
      <c r="L1440" s="29">
        <f>IF(Dataset!H1440&lt;1,1,IF(Dataset!H1440&lt;1.3,2,IF(Dataset!H1440&lt;1.8,3,4)))</f>
        <v>4</v>
      </c>
      <c r="M1440" s="29">
        <f t="shared" si="179"/>
        <v>3.6</v>
      </c>
      <c r="N1440" s="29">
        <f>IF(Dataset!F1440=1,0.75,IF(Dataset!F1440=2,0.45,0.2))</f>
        <v>0.45</v>
      </c>
      <c r="O1440" s="29">
        <f>IF(Dataset!F1440=1,3,IF(Dataset!F1440=2,2,1))</f>
        <v>2</v>
      </c>
      <c r="P1440" s="29">
        <f t="shared" si="180"/>
        <v>0.9</v>
      </c>
      <c r="Q1440" s="29">
        <f>IF(Dataset!K1440&lt;5,0.2,IF(Dataset!K1440&lt;10,0.45,IF(Dataset!K1440&lt;18,0.7,0.9)))</f>
        <v>0.2</v>
      </c>
      <c r="R1440" s="29">
        <f>IF(Dataset!K1440&lt;5,1,IF(Dataset!K1440&lt;10,2,IF(Dataset!K1440&lt;18,3,4)))</f>
        <v>1</v>
      </c>
      <c r="S1440" s="29">
        <f t="shared" si="181"/>
        <v>0.2</v>
      </c>
      <c r="T1440" s="29">
        <f t="shared" si="182"/>
        <v>1.5550000000000002</v>
      </c>
      <c r="U1440" s="29" t="str">
        <f t="shared" si="183"/>
        <v>Medium</v>
      </c>
    </row>
    <row r="1441" spans="1:21" ht="15" customHeight="1" x14ac:dyDescent="0.25">
      <c r="A1441" s="29">
        <f>Dataset!A1441</f>
        <v>1437</v>
      </c>
      <c r="B1441" s="29">
        <f>IF(Dataset!B1441&lt;25,0.3,IF(Dataset!B1441&lt;75,0.5,IF(Dataset!B1441&lt;120,0.65,0.8)))</f>
        <v>0.8</v>
      </c>
      <c r="C1441" s="29">
        <f>IF(Dataset!B1441&lt;25,1,IF(Dataset!B1441&lt;75,2,IF(Dataset!B1441&lt;120,3,4)))</f>
        <v>4</v>
      </c>
      <c r="D1441" s="29">
        <f t="shared" si="176"/>
        <v>3.2</v>
      </c>
      <c r="E1441" s="29">
        <f>IF(Dataset!C1441&lt;=1,0.3,IF(Dataset!C1441=2,0.4,IF(Dataset!C1441=3,0.5,IF(Dataset!C1441=4,0.65,0.8))))</f>
        <v>0.65</v>
      </c>
      <c r="F1441" s="29">
        <f>IF(Dataset!C1441&lt;=2,1,IF(Dataset!C1441=3,2,IF(Dataset!C1441=4,3,4)))</f>
        <v>3</v>
      </c>
      <c r="G1441" s="29">
        <f t="shared" si="177"/>
        <v>1.9500000000000002</v>
      </c>
      <c r="H1441" s="29">
        <f>IF(Dataset!G1441&lt;=3,0.25,IF(Dataset!G1441&lt;=6,0.45,IF(Dataset!G1441&lt;=9,0.65,0.85)))</f>
        <v>0.45</v>
      </c>
      <c r="I1441" s="29">
        <f>IF(Dataset!G1441&lt;=3,1,IF(Dataset!G1441&lt;=6,2,IF(Dataset!G1441&lt;=9,3,4)))</f>
        <v>2</v>
      </c>
      <c r="J1441" s="29">
        <f t="shared" si="178"/>
        <v>0.9</v>
      </c>
      <c r="K1441" s="29">
        <f>IF(Dataset!H1441&lt;1,0.2,IF(Dataset!H1441&lt;1.3,0.45,IF(Dataset!H1441&lt;1.8,0.7,0.9)))</f>
        <v>0.45</v>
      </c>
      <c r="L1441" s="29">
        <f>IF(Dataset!H1441&lt;1,1,IF(Dataset!H1441&lt;1.3,2,IF(Dataset!H1441&lt;1.8,3,4)))</f>
        <v>2</v>
      </c>
      <c r="M1441" s="29">
        <f t="shared" si="179"/>
        <v>0.9</v>
      </c>
      <c r="N1441" s="29">
        <f>IF(Dataset!F1441=1,0.75,IF(Dataset!F1441=2,0.45,0.2))</f>
        <v>0.45</v>
      </c>
      <c r="O1441" s="29">
        <f>IF(Dataset!F1441=1,3,IF(Dataset!F1441=2,2,1))</f>
        <v>2</v>
      </c>
      <c r="P1441" s="29">
        <f t="shared" si="180"/>
        <v>0.9</v>
      </c>
      <c r="Q1441" s="29">
        <f>IF(Dataset!K1441&lt;5,0.2,IF(Dataset!K1441&lt;10,0.45,IF(Dataset!K1441&lt;18,0.7,0.9)))</f>
        <v>0.45</v>
      </c>
      <c r="R1441" s="29">
        <f>IF(Dataset!K1441&lt;5,1,IF(Dataset!K1441&lt;10,2,IF(Dataset!K1441&lt;18,3,4)))</f>
        <v>2</v>
      </c>
      <c r="S1441" s="29">
        <f t="shared" si="181"/>
        <v>0.9</v>
      </c>
      <c r="T1441" s="29">
        <f t="shared" si="182"/>
        <v>1.4610000000000001</v>
      </c>
      <c r="U1441" s="29" t="str">
        <f t="shared" si="183"/>
        <v>Medium</v>
      </c>
    </row>
    <row r="1442" spans="1:21" ht="15" customHeight="1" x14ac:dyDescent="0.25">
      <c r="A1442" s="29">
        <f>Dataset!A1442</f>
        <v>1438</v>
      </c>
      <c r="B1442" s="29">
        <f>IF(Dataset!B1442&lt;25,0.3,IF(Dataset!B1442&lt;75,0.5,IF(Dataset!B1442&lt;120,0.65,0.8)))</f>
        <v>0.3</v>
      </c>
      <c r="C1442" s="29">
        <f>IF(Dataset!B1442&lt;25,1,IF(Dataset!B1442&lt;75,2,IF(Dataset!B1442&lt;120,3,4)))</f>
        <v>1</v>
      </c>
      <c r="D1442" s="29">
        <f t="shared" si="176"/>
        <v>0.3</v>
      </c>
      <c r="E1442" s="29">
        <f>IF(Dataset!C1442&lt;=1,0.3,IF(Dataset!C1442=2,0.4,IF(Dataset!C1442=3,0.5,IF(Dataset!C1442=4,0.65,0.8))))</f>
        <v>0.3</v>
      </c>
      <c r="F1442" s="29">
        <f>IF(Dataset!C1442&lt;=2,1,IF(Dataset!C1442=3,2,IF(Dataset!C1442=4,3,4)))</f>
        <v>1</v>
      </c>
      <c r="G1442" s="29">
        <f t="shared" si="177"/>
        <v>0.3</v>
      </c>
      <c r="H1442" s="29">
        <f>IF(Dataset!G1442&lt;=3,0.25,IF(Dataset!G1442&lt;=6,0.45,IF(Dataset!G1442&lt;=9,0.65,0.85)))</f>
        <v>0.45</v>
      </c>
      <c r="I1442" s="29">
        <f>IF(Dataset!G1442&lt;=3,1,IF(Dataset!G1442&lt;=6,2,IF(Dataset!G1442&lt;=9,3,4)))</f>
        <v>2</v>
      </c>
      <c r="J1442" s="29">
        <f t="shared" si="178"/>
        <v>0.9</v>
      </c>
      <c r="K1442" s="29">
        <f>IF(Dataset!H1442&lt;1,0.2,IF(Dataset!H1442&lt;1.3,0.45,IF(Dataset!H1442&lt;1.8,0.7,0.9)))</f>
        <v>0.45</v>
      </c>
      <c r="L1442" s="29">
        <f>IF(Dataset!H1442&lt;1,1,IF(Dataset!H1442&lt;1.3,2,IF(Dataset!H1442&lt;1.8,3,4)))</f>
        <v>2</v>
      </c>
      <c r="M1442" s="29">
        <f t="shared" si="179"/>
        <v>0.9</v>
      </c>
      <c r="N1442" s="29">
        <f>IF(Dataset!F1442=1,0.75,IF(Dataset!F1442=2,0.45,0.2))</f>
        <v>0.45</v>
      </c>
      <c r="O1442" s="29">
        <f>IF(Dataset!F1442=1,3,IF(Dataset!F1442=2,2,1))</f>
        <v>2</v>
      </c>
      <c r="P1442" s="29">
        <f t="shared" si="180"/>
        <v>0.9</v>
      </c>
      <c r="Q1442" s="29">
        <f>IF(Dataset!K1442&lt;5,0.2,IF(Dataset!K1442&lt;10,0.45,IF(Dataset!K1442&lt;18,0.7,0.9)))</f>
        <v>0.2</v>
      </c>
      <c r="R1442" s="29">
        <f>IF(Dataset!K1442&lt;5,1,IF(Dataset!K1442&lt;10,2,IF(Dataset!K1442&lt;18,3,4)))</f>
        <v>1</v>
      </c>
      <c r="S1442" s="29">
        <f t="shared" si="181"/>
        <v>0.2</v>
      </c>
      <c r="T1442" s="29">
        <f t="shared" si="182"/>
        <v>0.61</v>
      </c>
      <c r="U1442" s="29" t="str">
        <f t="shared" si="183"/>
        <v>Low</v>
      </c>
    </row>
    <row r="1443" spans="1:21" ht="15" customHeight="1" x14ac:dyDescent="0.25">
      <c r="A1443" s="29">
        <f>Dataset!A1443</f>
        <v>1439</v>
      </c>
      <c r="B1443" s="29">
        <f>IF(Dataset!B1443&lt;25,0.3,IF(Dataset!B1443&lt;75,0.5,IF(Dataset!B1443&lt;120,0.65,0.8)))</f>
        <v>0.8</v>
      </c>
      <c r="C1443" s="29">
        <f>IF(Dataset!B1443&lt;25,1,IF(Dataset!B1443&lt;75,2,IF(Dataset!B1443&lt;120,3,4)))</f>
        <v>4</v>
      </c>
      <c r="D1443" s="29">
        <f t="shared" si="176"/>
        <v>3.2</v>
      </c>
      <c r="E1443" s="29">
        <f>IF(Dataset!C1443&lt;=1,0.3,IF(Dataset!C1443=2,0.4,IF(Dataset!C1443=3,0.5,IF(Dataset!C1443=4,0.65,0.8))))</f>
        <v>0.65</v>
      </c>
      <c r="F1443" s="29">
        <f>IF(Dataset!C1443&lt;=2,1,IF(Dataset!C1443=3,2,IF(Dataset!C1443=4,3,4)))</f>
        <v>3</v>
      </c>
      <c r="G1443" s="29">
        <f t="shared" si="177"/>
        <v>1.9500000000000002</v>
      </c>
      <c r="H1443" s="29">
        <f>IF(Dataset!G1443&lt;=3,0.25,IF(Dataset!G1443&lt;=6,0.45,IF(Dataset!G1443&lt;=9,0.65,0.85)))</f>
        <v>0.45</v>
      </c>
      <c r="I1443" s="29">
        <f>IF(Dataset!G1443&lt;=3,1,IF(Dataset!G1443&lt;=6,2,IF(Dataset!G1443&lt;=9,3,4)))</f>
        <v>2</v>
      </c>
      <c r="J1443" s="29">
        <f t="shared" si="178"/>
        <v>0.9</v>
      </c>
      <c r="K1443" s="29">
        <f>IF(Dataset!H1443&lt;1,0.2,IF(Dataset!H1443&lt;1.3,0.45,IF(Dataset!H1443&lt;1.8,0.7,0.9)))</f>
        <v>0.9</v>
      </c>
      <c r="L1443" s="29">
        <f>IF(Dataset!H1443&lt;1,1,IF(Dataset!H1443&lt;1.3,2,IF(Dataset!H1443&lt;1.8,3,4)))</f>
        <v>4</v>
      </c>
      <c r="M1443" s="29">
        <f t="shared" si="179"/>
        <v>3.6</v>
      </c>
      <c r="N1443" s="29">
        <f>IF(Dataset!F1443=1,0.75,IF(Dataset!F1443=2,0.45,0.2))</f>
        <v>0.45</v>
      </c>
      <c r="O1443" s="29">
        <f>IF(Dataset!F1443=1,3,IF(Dataset!F1443=2,2,1))</f>
        <v>2</v>
      </c>
      <c r="P1443" s="29">
        <f t="shared" si="180"/>
        <v>0.9</v>
      </c>
      <c r="Q1443" s="29">
        <f>IF(Dataset!K1443&lt;5,0.2,IF(Dataset!K1443&lt;10,0.45,IF(Dataset!K1443&lt;18,0.7,0.9)))</f>
        <v>0.45</v>
      </c>
      <c r="R1443" s="29">
        <f>IF(Dataset!K1443&lt;5,1,IF(Dataset!K1443&lt;10,2,IF(Dataset!K1443&lt;18,3,4)))</f>
        <v>2</v>
      </c>
      <c r="S1443" s="29">
        <f t="shared" si="181"/>
        <v>0.9</v>
      </c>
      <c r="T1443" s="29">
        <f t="shared" si="182"/>
        <v>2.109</v>
      </c>
      <c r="U1443" s="29" t="str">
        <f t="shared" si="183"/>
        <v>High</v>
      </c>
    </row>
    <row r="1444" spans="1:21" ht="15" customHeight="1" x14ac:dyDescent="0.25">
      <c r="A1444" s="29">
        <f>Dataset!A1444</f>
        <v>1440</v>
      </c>
      <c r="B1444" s="29">
        <f>IF(Dataset!B1444&lt;25,0.3,IF(Dataset!B1444&lt;75,0.5,IF(Dataset!B1444&lt;120,0.65,0.8)))</f>
        <v>0.8</v>
      </c>
      <c r="C1444" s="29">
        <f>IF(Dataset!B1444&lt;25,1,IF(Dataset!B1444&lt;75,2,IF(Dataset!B1444&lt;120,3,4)))</f>
        <v>4</v>
      </c>
      <c r="D1444" s="29">
        <f t="shared" si="176"/>
        <v>3.2</v>
      </c>
      <c r="E1444" s="29">
        <f>IF(Dataset!C1444&lt;=1,0.3,IF(Dataset!C1444=2,0.4,IF(Dataset!C1444=3,0.5,IF(Dataset!C1444=4,0.65,0.8))))</f>
        <v>0.5</v>
      </c>
      <c r="F1444" s="29">
        <f>IF(Dataset!C1444&lt;=2,1,IF(Dataset!C1444=3,2,IF(Dataset!C1444=4,3,4)))</f>
        <v>2</v>
      </c>
      <c r="G1444" s="29">
        <f t="shared" si="177"/>
        <v>1</v>
      </c>
      <c r="H1444" s="29">
        <f>IF(Dataset!G1444&lt;=3,0.25,IF(Dataset!G1444&lt;=6,0.45,IF(Dataset!G1444&lt;=9,0.65,0.85)))</f>
        <v>0.65</v>
      </c>
      <c r="I1444" s="29">
        <f>IF(Dataset!G1444&lt;=3,1,IF(Dataset!G1444&lt;=6,2,IF(Dataset!G1444&lt;=9,3,4)))</f>
        <v>3</v>
      </c>
      <c r="J1444" s="29">
        <f t="shared" si="178"/>
        <v>1.9500000000000002</v>
      </c>
      <c r="K1444" s="29">
        <f>IF(Dataset!H1444&lt;1,0.2,IF(Dataset!H1444&lt;1.3,0.45,IF(Dataset!H1444&lt;1.8,0.7,0.9)))</f>
        <v>0.7</v>
      </c>
      <c r="L1444" s="29">
        <f>IF(Dataset!H1444&lt;1,1,IF(Dataset!H1444&lt;1.3,2,IF(Dataset!H1444&lt;1.8,3,4)))</f>
        <v>3</v>
      </c>
      <c r="M1444" s="29">
        <f t="shared" si="179"/>
        <v>2.0999999999999996</v>
      </c>
      <c r="N1444" s="29">
        <f>IF(Dataset!F1444=1,0.75,IF(Dataset!F1444=2,0.45,0.2))</f>
        <v>0.2</v>
      </c>
      <c r="O1444" s="29">
        <f>IF(Dataset!F1444=1,3,IF(Dataset!F1444=2,2,1))</f>
        <v>1</v>
      </c>
      <c r="P1444" s="29">
        <f t="shared" si="180"/>
        <v>0.2</v>
      </c>
      <c r="Q1444" s="29">
        <f>IF(Dataset!K1444&lt;5,0.2,IF(Dataset!K1444&lt;10,0.45,IF(Dataset!K1444&lt;18,0.7,0.9)))</f>
        <v>0.45</v>
      </c>
      <c r="R1444" s="29">
        <f>IF(Dataset!K1444&lt;5,1,IF(Dataset!K1444&lt;10,2,IF(Dataset!K1444&lt;18,3,4)))</f>
        <v>2</v>
      </c>
      <c r="S1444" s="29">
        <f t="shared" si="181"/>
        <v>0.9</v>
      </c>
      <c r="T1444" s="29">
        <f t="shared" si="182"/>
        <v>1.756</v>
      </c>
      <c r="U1444" s="29" t="str">
        <f t="shared" si="183"/>
        <v>High</v>
      </c>
    </row>
    <row r="1445" spans="1:21" ht="15" customHeight="1" x14ac:dyDescent="0.25">
      <c r="A1445" s="29">
        <f>Dataset!A1445</f>
        <v>1441</v>
      </c>
      <c r="B1445" s="29">
        <f>IF(Dataset!B1445&lt;25,0.3,IF(Dataset!B1445&lt;75,0.5,IF(Dataset!B1445&lt;120,0.65,0.8)))</f>
        <v>0.8</v>
      </c>
      <c r="C1445" s="29">
        <f>IF(Dataset!B1445&lt;25,1,IF(Dataset!B1445&lt;75,2,IF(Dataset!B1445&lt;120,3,4)))</f>
        <v>4</v>
      </c>
      <c r="D1445" s="29">
        <f t="shared" si="176"/>
        <v>3.2</v>
      </c>
      <c r="E1445" s="29">
        <f>IF(Dataset!C1445&lt;=1,0.3,IF(Dataset!C1445=2,0.4,IF(Dataset!C1445=3,0.5,IF(Dataset!C1445=4,0.65,0.8))))</f>
        <v>0.65</v>
      </c>
      <c r="F1445" s="29">
        <f>IF(Dataset!C1445&lt;=2,1,IF(Dataset!C1445=3,2,IF(Dataset!C1445=4,3,4)))</f>
        <v>3</v>
      </c>
      <c r="G1445" s="29">
        <f t="shared" si="177"/>
        <v>1.9500000000000002</v>
      </c>
      <c r="H1445" s="29">
        <f>IF(Dataset!G1445&lt;=3,0.25,IF(Dataset!G1445&lt;=6,0.45,IF(Dataset!G1445&lt;=9,0.65,0.85)))</f>
        <v>0.45</v>
      </c>
      <c r="I1445" s="29">
        <f>IF(Dataset!G1445&lt;=3,1,IF(Dataset!G1445&lt;=6,2,IF(Dataset!G1445&lt;=9,3,4)))</f>
        <v>2</v>
      </c>
      <c r="J1445" s="29">
        <f t="shared" si="178"/>
        <v>0.9</v>
      </c>
      <c r="K1445" s="29">
        <f>IF(Dataset!H1445&lt;1,0.2,IF(Dataset!H1445&lt;1.3,0.45,IF(Dataset!H1445&lt;1.8,0.7,0.9)))</f>
        <v>0.45</v>
      </c>
      <c r="L1445" s="29">
        <f>IF(Dataset!H1445&lt;1,1,IF(Dataset!H1445&lt;1.3,2,IF(Dataset!H1445&lt;1.8,3,4)))</f>
        <v>2</v>
      </c>
      <c r="M1445" s="29">
        <f t="shared" si="179"/>
        <v>0.9</v>
      </c>
      <c r="N1445" s="29">
        <f>IF(Dataset!F1445=1,0.75,IF(Dataset!F1445=2,0.45,0.2))</f>
        <v>0.2</v>
      </c>
      <c r="O1445" s="29">
        <f>IF(Dataset!F1445=1,3,IF(Dataset!F1445=2,2,1))</f>
        <v>1</v>
      </c>
      <c r="P1445" s="29">
        <f t="shared" si="180"/>
        <v>0.2</v>
      </c>
      <c r="Q1445" s="29">
        <f>IF(Dataset!K1445&lt;5,0.2,IF(Dataset!K1445&lt;10,0.45,IF(Dataset!K1445&lt;18,0.7,0.9)))</f>
        <v>0.7</v>
      </c>
      <c r="R1445" s="29">
        <f>IF(Dataset!K1445&lt;5,1,IF(Dataset!K1445&lt;10,2,IF(Dataset!K1445&lt;18,3,4)))</f>
        <v>3</v>
      </c>
      <c r="S1445" s="29">
        <f t="shared" si="181"/>
        <v>2.0999999999999996</v>
      </c>
      <c r="T1445" s="29">
        <f t="shared" si="182"/>
        <v>1.5589999999999999</v>
      </c>
      <c r="U1445" s="29" t="str">
        <f t="shared" si="183"/>
        <v>Medium</v>
      </c>
    </row>
    <row r="1446" spans="1:21" ht="15" customHeight="1" x14ac:dyDescent="0.25">
      <c r="A1446" s="29">
        <f>Dataset!A1446</f>
        <v>1442</v>
      </c>
      <c r="B1446" s="29">
        <f>IF(Dataset!B1446&lt;25,0.3,IF(Dataset!B1446&lt;75,0.5,IF(Dataset!B1446&lt;120,0.65,0.8)))</f>
        <v>0.5</v>
      </c>
      <c r="C1446" s="29">
        <f>IF(Dataset!B1446&lt;25,1,IF(Dataset!B1446&lt;75,2,IF(Dataset!B1446&lt;120,3,4)))</f>
        <v>2</v>
      </c>
      <c r="D1446" s="29">
        <f t="shared" si="176"/>
        <v>1</v>
      </c>
      <c r="E1446" s="29">
        <f>IF(Dataset!C1446&lt;=1,0.3,IF(Dataset!C1446=2,0.4,IF(Dataset!C1446=3,0.5,IF(Dataset!C1446=4,0.65,0.8))))</f>
        <v>0.65</v>
      </c>
      <c r="F1446" s="29">
        <f>IF(Dataset!C1446&lt;=2,1,IF(Dataset!C1446=3,2,IF(Dataset!C1446=4,3,4)))</f>
        <v>3</v>
      </c>
      <c r="G1446" s="29">
        <f t="shared" si="177"/>
        <v>1.9500000000000002</v>
      </c>
      <c r="H1446" s="29">
        <f>IF(Dataset!G1446&lt;=3,0.25,IF(Dataset!G1446&lt;=6,0.45,IF(Dataset!G1446&lt;=9,0.65,0.85)))</f>
        <v>0.45</v>
      </c>
      <c r="I1446" s="29">
        <f>IF(Dataset!G1446&lt;=3,1,IF(Dataset!G1446&lt;=6,2,IF(Dataset!G1446&lt;=9,3,4)))</f>
        <v>2</v>
      </c>
      <c r="J1446" s="29">
        <f t="shared" si="178"/>
        <v>0.9</v>
      </c>
      <c r="K1446" s="29">
        <f>IF(Dataset!H1446&lt;1,0.2,IF(Dataset!H1446&lt;1.3,0.45,IF(Dataset!H1446&lt;1.8,0.7,0.9)))</f>
        <v>0.7</v>
      </c>
      <c r="L1446" s="29">
        <f>IF(Dataset!H1446&lt;1,1,IF(Dataset!H1446&lt;1.3,2,IF(Dataset!H1446&lt;1.8,3,4)))</f>
        <v>3</v>
      </c>
      <c r="M1446" s="29">
        <f t="shared" si="179"/>
        <v>2.0999999999999996</v>
      </c>
      <c r="N1446" s="29">
        <f>IF(Dataset!F1446=1,0.75,IF(Dataset!F1446=2,0.45,0.2))</f>
        <v>0.45</v>
      </c>
      <c r="O1446" s="29">
        <f>IF(Dataset!F1446=1,3,IF(Dataset!F1446=2,2,1))</f>
        <v>2</v>
      </c>
      <c r="P1446" s="29">
        <f t="shared" si="180"/>
        <v>0.9</v>
      </c>
      <c r="Q1446" s="29">
        <f>IF(Dataset!K1446&lt;5,0.2,IF(Dataset!K1446&lt;10,0.45,IF(Dataset!K1446&lt;18,0.7,0.9)))</f>
        <v>0.7</v>
      </c>
      <c r="R1446" s="29">
        <f>IF(Dataset!K1446&lt;5,1,IF(Dataset!K1446&lt;10,2,IF(Dataset!K1446&lt;18,3,4)))</f>
        <v>3</v>
      </c>
      <c r="S1446" s="29">
        <f t="shared" si="181"/>
        <v>2.0999999999999996</v>
      </c>
      <c r="T1446" s="29">
        <f t="shared" si="182"/>
        <v>1.5210000000000001</v>
      </c>
      <c r="U1446" s="29" t="str">
        <f t="shared" si="183"/>
        <v>Medium</v>
      </c>
    </row>
    <row r="1447" spans="1:21" ht="15" customHeight="1" x14ac:dyDescent="0.25">
      <c r="A1447" s="29">
        <f>Dataset!A1447</f>
        <v>1443</v>
      </c>
      <c r="B1447" s="29">
        <f>IF(Dataset!B1447&lt;25,0.3,IF(Dataset!B1447&lt;75,0.5,IF(Dataset!B1447&lt;120,0.65,0.8)))</f>
        <v>0.5</v>
      </c>
      <c r="C1447" s="29">
        <f>IF(Dataset!B1447&lt;25,1,IF(Dataset!B1447&lt;75,2,IF(Dataset!B1447&lt;120,3,4)))</f>
        <v>2</v>
      </c>
      <c r="D1447" s="29">
        <f t="shared" si="176"/>
        <v>1</v>
      </c>
      <c r="E1447" s="29">
        <f>IF(Dataset!C1447&lt;=1,0.3,IF(Dataset!C1447=2,0.4,IF(Dataset!C1447=3,0.5,IF(Dataset!C1447=4,0.65,0.8))))</f>
        <v>0.65</v>
      </c>
      <c r="F1447" s="29">
        <f>IF(Dataset!C1447&lt;=2,1,IF(Dataset!C1447=3,2,IF(Dataset!C1447=4,3,4)))</f>
        <v>3</v>
      </c>
      <c r="G1447" s="29">
        <f t="shared" si="177"/>
        <v>1.9500000000000002</v>
      </c>
      <c r="H1447" s="29">
        <f>IF(Dataset!G1447&lt;=3,0.25,IF(Dataset!G1447&lt;=6,0.45,IF(Dataset!G1447&lt;=9,0.65,0.85)))</f>
        <v>0.25</v>
      </c>
      <c r="I1447" s="29">
        <f>IF(Dataset!G1447&lt;=3,1,IF(Dataset!G1447&lt;=6,2,IF(Dataset!G1447&lt;=9,3,4)))</f>
        <v>1</v>
      </c>
      <c r="J1447" s="29">
        <f t="shared" si="178"/>
        <v>0.25</v>
      </c>
      <c r="K1447" s="29">
        <f>IF(Dataset!H1447&lt;1,0.2,IF(Dataset!H1447&lt;1.3,0.45,IF(Dataset!H1447&lt;1.8,0.7,0.9)))</f>
        <v>0.9</v>
      </c>
      <c r="L1447" s="29">
        <f>IF(Dataset!H1447&lt;1,1,IF(Dataset!H1447&lt;1.3,2,IF(Dataset!H1447&lt;1.8,3,4)))</f>
        <v>4</v>
      </c>
      <c r="M1447" s="29">
        <f t="shared" si="179"/>
        <v>3.6</v>
      </c>
      <c r="N1447" s="29">
        <f>IF(Dataset!F1447=1,0.75,IF(Dataset!F1447=2,0.45,0.2))</f>
        <v>0.2</v>
      </c>
      <c r="O1447" s="29">
        <f>IF(Dataset!F1447=1,3,IF(Dataset!F1447=2,2,1))</f>
        <v>1</v>
      </c>
      <c r="P1447" s="29">
        <f t="shared" si="180"/>
        <v>0.2</v>
      </c>
      <c r="Q1447" s="29">
        <f>IF(Dataset!K1447&lt;5,0.2,IF(Dataset!K1447&lt;10,0.45,IF(Dataset!K1447&lt;18,0.7,0.9)))</f>
        <v>0.7</v>
      </c>
      <c r="R1447" s="29">
        <f>IF(Dataset!K1447&lt;5,1,IF(Dataset!K1447&lt;10,2,IF(Dataset!K1447&lt;18,3,4)))</f>
        <v>3</v>
      </c>
      <c r="S1447" s="29">
        <f t="shared" si="181"/>
        <v>2.0999999999999996</v>
      </c>
      <c r="T1447" s="29">
        <f t="shared" si="182"/>
        <v>1.681</v>
      </c>
      <c r="U1447" s="29" t="str">
        <f t="shared" si="183"/>
        <v>Medium</v>
      </c>
    </row>
    <row r="1448" spans="1:21" ht="15" customHeight="1" x14ac:dyDescent="0.25">
      <c r="A1448" s="29">
        <f>Dataset!A1448</f>
        <v>1444</v>
      </c>
      <c r="B1448" s="29">
        <f>IF(Dataset!B1448&lt;25,0.3,IF(Dataset!B1448&lt;75,0.5,IF(Dataset!B1448&lt;120,0.65,0.8)))</f>
        <v>0.65</v>
      </c>
      <c r="C1448" s="29">
        <f>IF(Dataset!B1448&lt;25,1,IF(Dataset!B1448&lt;75,2,IF(Dataset!B1448&lt;120,3,4)))</f>
        <v>3</v>
      </c>
      <c r="D1448" s="29">
        <f t="shared" si="176"/>
        <v>1.9500000000000002</v>
      </c>
      <c r="E1448" s="29">
        <f>IF(Dataset!C1448&lt;=1,0.3,IF(Dataset!C1448=2,0.4,IF(Dataset!C1448=3,0.5,IF(Dataset!C1448=4,0.65,0.8))))</f>
        <v>0.3</v>
      </c>
      <c r="F1448" s="29">
        <f>IF(Dataset!C1448&lt;=2,1,IF(Dataset!C1448=3,2,IF(Dataset!C1448=4,3,4)))</f>
        <v>1</v>
      </c>
      <c r="G1448" s="29">
        <f t="shared" si="177"/>
        <v>0.3</v>
      </c>
      <c r="H1448" s="29">
        <f>IF(Dataset!G1448&lt;=3,0.25,IF(Dataset!G1448&lt;=6,0.45,IF(Dataset!G1448&lt;=9,0.65,0.85)))</f>
        <v>0.45</v>
      </c>
      <c r="I1448" s="29">
        <f>IF(Dataset!G1448&lt;=3,1,IF(Dataset!G1448&lt;=6,2,IF(Dataset!G1448&lt;=9,3,4)))</f>
        <v>2</v>
      </c>
      <c r="J1448" s="29">
        <f t="shared" si="178"/>
        <v>0.9</v>
      </c>
      <c r="K1448" s="29">
        <f>IF(Dataset!H1448&lt;1,0.2,IF(Dataset!H1448&lt;1.3,0.45,IF(Dataset!H1448&lt;1.8,0.7,0.9)))</f>
        <v>0.9</v>
      </c>
      <c r="L1448" s="29">
        <f>IF(Dataset!H1448&lt;1,1,IF(Dataset!H1448&lt;1.3,2,IF(Dataset!H1448&lt;1.8,3,4)))</f>
        <v>4</v>
      </c>
      <c r="M1448" s="29">
        <f t="shared" si="179"/>
        <v>3.6</v>
      </c>
      <c r="N1448" s="29">
        <f>IF(Dataset!F1448=1,0.75,IF(Dataset!F1448=2,0.45,0.2))</f>
        <v>0.45</v>
      </c>
      <c r="O1448" s="29">
        <f>IF(Dataset!F1448=1,3,IF(Dataset!F1448=2,2,1))</f>
        <v>2</v>
      </c>
      <c r="P1448" s="29">
        <f t="shared" si="180"/>
        <v>0.9</v>
      </c>
      <c r="Q1448" s="29">
        <f>IF(Dataset!K1448&lt;5,0.2,IF(Dataset!K1448&lt;10,0.45,IF(Dataset!K1448&lt;18,0.7,0.9)))</f>
        <v>0.2</v>
      </c>
      <c r="R1448" s="29">
        <f>IF(Dataset!K1448&lt;5,1,IF(Dataset!K1448&lt;10,2,IF(Dataset!K1448&lt;18,3,4)))</f>
        <v>1</v>
      </c>
      <c r="S1448" s="29">
        <f t="shared" si="181"/>
        <v>0.2</v>
      </c>
      <c r="T1448" s="29">
        <f t="shared" si="182"/>
        <v>1.5550000000000002</v>
      </c>
      <c r="U1448" s="29" t="str">
        <f t="shared" si="183"/>
        <v>Medium</v>
      </c>
    </row>
    <row r="1449" spans="1:21" ht="15" customHeight="1" x14ac:dyDescent="0.25">
      <c r="A1449" s="29">
        <f>Dataset!A1449</f>
        <v>1445</v>
      </c>
      <c r="B1449" s="29">
        <f>IF(Dataset!B1449&lt;25,0.3,IF(Dataset!B1449&lt;75,0.5,IF(Dataset!B1449&lt;120,0.65,0.8)))</f>
        <v>0.65</v>
      </c>
      <c r="C1449" s="29">
        <f>IF(Dataset!B1449&lt;25,1,IF(Dataset!B1449&lt;75,2,IF(Dataset!B1449&lt;120,3,4)))</f>
        <v>3</v>
      </c>
      <c r="D1449" s="29">
        <f t="shared" si="176"/>
        <v>1.9500000000000002</v>
      </c>
      <c r="E1449" s="29">
        <f>IF(Dataset!C1449&lt;=1,0.3,IF(Dataset!C1449=2,0.4,IF(Dataset!C1449=3,0.5,IF(Dataset!C1449=4,0.65,0.8))))</f>
        <v>0.65</v>
      </c>
      <c r="F1449" s="29">
        <f>IF(Dataset!C1449&lt;=2,1,IF(Dataset!C1449=3,2,IF(Dataset!C1449=4,3,4)))</f>
        <v>3</v>
      </c>
      <c r="G1449" s="29">
        <f t="shared" si="177"/>
        <v>1.9500000000000002</v>
      </c>
      <c r="H1449" s="29">
        <f>IF(Dataset!G1449&lt;=3,0.25,IF(Dataset!G1449&lt;=6,0.45,IF(Dataset!G1449&lt;=9,0.65,0.85)))</f>
        <v>0.45</v>
      </c>
      <c r="I1449" s="29">
        <f>IF(Dataset!G1449&lt;=3,1,IF(Dataset!G1449&lt;=6,2,IF(Dataset!G1449&lt;=9,3,4)))</f>
        <v>2</v>
      </c>
      <c r="J1449" s="29">
        <f t="shared" si="178"/>
        <v>0.9</v>
      </c>
      <c r="K1449" s="29">
        <f>IF(Dataset!H1449&lt;1,0.2,IF(Dataset!H1449&lt;1.3,0.45,IF(Dataset!H1449&lt;1.8,0.7,0.9)))</f>
        <v>0.45</v>
      </c>
      <c r="L1449" s="29">
        <f>IF(Dataset!H1449&lt;1,1,IF(Dataset!H1449&lt;1.3,2,IF(Dataset!H1449&lt;1.8,3,4)))</f>
        <v>2</v>
      </c>
      <c r="M1449" s="29">
        <f t="shared" si="179"/>
        <v>0.9</v>
      </c>
      <c r="N1449" s="29">
        <f>IF(Dataset!F1449=1,0.75,IF(Dataset!F1449=2,0.45,0.2))</f>
        <v>0.2</v>
      </c>
      <c r="O1449" s="29">
        <f>IF(Dataset!F1449=1,3,IF(Dataset!F1449=2,2,1))</f>
        <v>1</v>
      </c>
      <c r="P1449" s="29">
        <f t="shared" si="180"/>
        <v>0.2</v>
      </c>
      <c r="Q1449" s="29">
        <f>IF(Dataset!K1449&lt;5,0.2,IF(Dataset!K1449&lt;10,0.45,IF(Dataset!K1449&lt;18,0.7,0.9)))</f>
        <v>0.45</v>
      </c>
      <c r="R1449" s="29">
        <f>IF(Dataset!K1449&lt;5,1,IF(Dataset!K1449&lt;10,2,IF(Dataset!K1449&lt;18,3,4)))</f>
        <v>2</v>
      </c>
      <c r="S1449" s="29">
        <f t="shared" si="181"/>
        <v>0.9</v>
      </c>
      <c r="T1449" s="29">
        <f t="shared" si="182"/>
        <v>1.1660000000000004</v>
      </c>
      <c r="U1449" s="29" t="str">
        <f t="shared" si="183"/>
        <v>Low</v>
      </c>
    </row>
    <row r="1450" spans="1:21" ht="15" customHeight="1" x14ac:dyDescent="0.25">
      <c r="A1450" s="29">
        <f>Dataset!A1450</f>
        <v>1446</v>
      </c>
      <c r="B1450" s="29">
        <f>IF(Dataset!B1450&lt;25,0.3,IF(Dataset!B1450&lt;75,0.5,IF(Dataset!B1450&lt;120,0.65,0.8)))</f>
        <v>0.5</v>
      </c>
      <c r="C1450" s="29">
        <f>IF(Dataset!B1450&lt;25,1,IF(Dataset!B1450&lt;75,2,IF(Dataset!B1450&lt;120,3,4)))</f>
        <v>2</v>
      </c>
      <c r="D1450" s="29">
        <f t="shared" si="176"/>
        <v>1</v>
      </c>
      <c r="E1450" s="29">
        <f>IF(Dataset!C1450&lt;=1,0.3,IF(Dataset!C1450=2,0.4,IF(Dataset!C1450=3,0.5,IF(Dataset!C1450=4,0.65,0.8))))</f>
        <v>0.8</v>
      </c>
      <c r="F1450" s="29">
        <f>IF(Dataset!C1450&lt;=2,1,IF(Dataset!C1450=3,2,IF(Dataset!C1450=4,3,4)))</f>
        <v>4</v>
      </c>
      <c r="G1450" s="29">
        <f t="shared" si="177"/>
        <v>3.2</v>
      </c>
      <c r="H1450" s="29">
        <f>IF(Dataset!G1450&lt;=3,0.25,IF(Dataset!G1450&lt;=6,0.45,IF(Dataset!G1450&lt;=9,0.65,0.85)))</f>
        <v>0.25</v>
      </c>
      <c r="I1450" s="29">
        <f>IF(Dataset!G1450&lt;=3,1,IF(Dataset!G1450&lt;=6,2,IF(Dataset!G1450&lt;=9,3,4)))</f>
        <v>1</v>
      </c>
      <c r="J1450" s="29">
        <f t="shared" si="178"/>
        <v>0.25</v>
      </c>
      <c r="K1450" s="29">
        <f>IF(Dataset!H1450&lt;1,0.2,IF(Dataset!H1450&lt;1.3,0.45,IF(Dataset!H1450&lt;1.8,0.7,0.9)))</f>
        <v>0.45</v>
      </c>
      <c r="L1450" s="29">
        <f>IF(Dataset!H1450&lt;1,1,IF(Dataset!H1450&lt;1.3,2,IF(Dataset!H1450&lt;1.8,3,4)))</f>
        <v>2</v>
      </c>
      <c r="M1450" s="29">
        <f t="shared" si="179"/>
        <v>0.9</v>
      </c>
      <c r="N1450" s="29">
        <f>IF(Dataset!F1450=1,0.75,IF(Dataset!F1450=2,0.45,0.2))</f>
        <v>0.75</v>
      </c>
      <c r="O1450" s="29">
        <f>IF(Dataset!F1450=1,3,IF(Dataset!F1450=2,2,1))</f>
        <v>3</v>
      </c>
      <c r="P1450" s="29">
        <f t="shared" si="180"/>
        <v>2.25</v>
      </c>
      <c r="Q1450" s="29">
        <f>IF(Dataset!K1450&lt;5,0.2,IF(Dataset!K1450&lt;10,0.45,IF(Dataset!K1450&lt;18,0.7,0.9)))</f>
        <v>0.7</v>
      </c>
      <c r="R1450" s="29">
        <f>IF(Dataset!K1450&lt;5,1,IF(Dataset!K1450&lt;10,2,IF(Dataset!K1450&lt;18,3,4)))</f>
        <v>3</v>
      </c>
      <c r="S1450" s="29">
        <f t="shared" si="181"/>
        <v>2.0999999999999996</v>
      </c>
      <c r="T1450" s="29">
        <f t="shared" si="182"/>
        <v>1.4130000000000003</v>
      </c>
      <c r="U1450" s="29" t="str">
        <f t="shared" si="183"/>
        <v>Medium</v>
      </c>
    </row>
    <row r="1451" spans="1:21" ht="15" customHeight="1" x14ac:dyDescent="0.25">
      <c r="A1451" s="29">
        <f>Dataset!A1451</f>
        <v>1447</v>
      </c>
      <c r="B1451" s="29">
        <f>IF(Dataset!B1451&lt;25,0.3,IF(Dataset!B1451&lt;75,0.5,IF(Dataset!B1451&lt;120,0.65,0.8)))</f>
        <v>0.65</v>
      </c>
      <c r="C1451" s="29">
        <f>IF(Dataset!B1451&lt;25,1,IF(Dataset!B1451&lt;75,2,IF(Dataset!B1451&lt;120,3,4)))</f>
        <v>3</v>
      </c>
      <c r="D1451" s="29">
        <f t="shared" si="176"/>
        <v>1.9500000000000002</v>
      </c>
      <c r="E1451" s="29">
        <f>IF(Dataset!C1451&lt;=1,0.3,IF(Dataset!C1451=2,0.4,IF(Dataset!C1451=3,0.5,IF(Dataset!C1451=4,0.65,0.8))))</f>
        <v>0.5</v>
      </c>
      <c r="F1451" s="29">
        <f>IF(Dataset!C1451&lt;=2,1,IF(Dataset!C1451=3,2,IF(Dataset!C1451=4,3,4)))</f>
        <v>2</v>
      </c>
      <c r="G1451" s="29">
        <f t="shared" si="177"/>
        <v>1</v>
      </c>
      <c r="H1451" s="29">
        <f>IF(Dataset!G1451&lt;=3,0.25,IF(Dataset!G1451&lt;=6,0.45,IF(Dataset!G1451&lt;=9,0.65,0.85)))</f>
        <v>0.45</v>
      </c>
      <c r="I1451" s="29">
        <f>IF(Dataset!G1451&lt;=3,1,IF(Dataset!G1451&lt;=6,2,IF(Dataset!G1451&lt;=9,3,4)))</f>
        <v>2</v>
      </c>
      <c r="J1451" s="29">
        <f t="shared" si="178"/>
        <v>0.9</v>
      </c>
      <c r="K1451" s="29">
        <f>IF(Dataset!H1451&lt;1,0.2,IF(Dataset!H1451&lt;1.3,0.45,IF(Dataset!H1451&lt;1.8,0.7,0.9)))</f>
        <v>0.45</v>
      </c>
      <c r="L1451" s="29">
        <f>IF(Dataset!H1451&lt;1,1,IF(Dataset!H1451&lt;1.3,2,IF(Dataset!H1451&lt;1.8,3,4)))</f>
        <v>2</v>
      </c>
      <c r="M1451" s="29">
        <f t="shared" si="179"/>
        <v>0.9</v>
      </c>
      <c r="N1451" s="29">
        <f>IF(Dataset!F1451=1,0.75,IF(Dataset!F1451=2,0.45,0.2))</f>
        <v>0.75</v>
      </c>
      <c r="O1451" s="29">
        <f>IF(Dataset!F1451=1,3,IF(Dataset!F1451=2,2,1))</f>
        <v>3</v>
      </c>
      <c r="P1451" s="29">
        <f t="shared" si="180"/>
        <v>2.25</v>
      </c>
      <c r="Q1451" s="29">
        <f>IF(Dataset!K1451&lt;5,0.2,IF(Dataset!K1451&lt;10,0.45,IF(Dataset!K1451&lt;18,0.7,0.9)))</f>
        <v>0.45</v>
      </c>
      <c r="R1451" s="29">
        <f>IF(Dataset!K1451&lt;5,1,IF(Dataset!K1451&lt;10,2,IF(Dataset!K1451&lt;18,3,4)))</f>
        <v>2</v>
      </c>
      <c r="S1451" s="29">
        <f t="shared" si="181"/>
        <v>0.9</v>
      </c>
      <c r="T1451" s="29">
        <f t="shared" si="182"/>
        <v>1.2380000000000002</v>
      </c>
      <c r="U1451" s="29" t="str">
        <f t="shared" si="183"/>
        <v>Low</v>
      </c>
    </row>
    <row r="1452" spans="1:21" ht="15" customHeight="1" x14ac:dyDescent="0.25">
      <c r="A1452" s="29">
        <f>Dataset!A1452</f>
        <v>1448</v>
      </c>
      <c r="B1452" s="29">
        <f>IF(Dataset!B1452&lt;25,0.3,IF(Dataset!B1452&lt;75,0.5,IF(Dataset!B1452&lt;120,0.65,0.8)))</f>
        <v>0.8</v>
      </c>
      <c r="C1452" s="29">
        <f>IF(Dataset!B1452&lt;25,1,IF(Dataset!B1452&lt;75,2,IF(Dataset!B1452&lt;120,3,4)))</f>
        <v>4</v>
      </c>
      <c r="D1452" s="29">
        <f t="shared" si="176"/>
        <v>3.2</v>
      </c>
      <c r="E1452" s="29">
        <f>IF(Dataset!C1452&lt;=1,0.3,IF(Dataset!C1452=2,0.4,IF(Dataset!C1452=3,0.5,IF(Dataset!C1452=4,0.65,0.8))))</f>
        <v>0.5</v>
      </c>
      <c r="F1452" s="29">
        <f>IF(Dataset!C1452&lt;=2,1,IF(Dataset!C1452=3,2,IF(Dataset!C1452=4,3,4)))</f>
        <v>2</v>
      </c>
      <c r="G1452" s="29">
        <f t="shared" si="177"/>
        <v>1</v>
      </c>
      <c r="H1452" s="29">
        <f>IF(Dataset!G1452&lt;=3,0.25,IF(Dataset!G1452&lt;=6,0.45,IF(Dataset!G1452&lt;=9,0.65,0.85)))</f>
        <v>0.45</v>
      </c>
      <c r="I1452" s="29">
        <f>IF(Dataset!G1452&lt;=3,1,IF(Dataset!G1452&lt;=6,2,IF(Dataset!G1452&lt;=9,3,4)))</f>
        <v>2</v>
      </c>
      <c r="J1452" s="29">
        <f t="shared" si="178"/>
        <v>0.9</v>
      </c>
      <c r="K1452" s="29">
        <f>IF(Dataset!H1452&lt;1,0.2,IF(Dataset!H1452&lt;1.3,0.45,IF(Dataset!H1452&lt;1.8,0.7,0.9)))</f>
        <v>0.9</v>
      </c>
      <c r="L1452" s="29">
        <f>IF(Dataset!H1452&lt;1,1,IF(Dataset!H1452&lt;1.3,2,IF(Dataset!H1452&lt;1.8,3,4)))</f>
        <v>4</v>
      </c>
      <c r="M1452" s="29">
        <f t="shared" si="179"/>
        <v>3.6</v>
      </c>
      <c r="N1452" s="29">
        <f>IF(Dataset!F1452=1,0.75,IF(Dataset!F1452=2,0.45,0.2))</f>
        <v>0.45</v>
      </c>
      <c r="O1452" s="29">
        <f>IF(Dataset!F1452=1,3,IF(Dataset!F1452=2,2,1))</f>
        <v>2</v>
      </c>
      <c r="P1452" s="29">
        <f t="shared" si="180"/>
        <v>0.9</v>
      </c>
      <c r="Q1452" s="29">
        <f>IF(Dataset!K1452&lt;5,0.2,IF(Dataset!K1452&lt;10,0.45,IF(Dataset!K1452&lt;18,0.7,0.9)))</f>
        <v>0.45</v>
      </c>
      <c r="R1452" s="29">
        <f>IF(Dataset!K1452&lt;5,1,IF(Dataset!K1452&lt;10,2,IF(Dataset!K1452&lt;18,3,4)))</f>
        <v>2</v>
      </c>
      <c r="S1452" s="29">
        <f t="shared" si="181"/>
        <v>0.9</v>
      </c>
      <c r="T1452" s="29">
        <f t="shared" si="182"/>
        <v>1.9760000000000002</v>
      </c>
      <c r="U1452" s="29" t="str">
        <f t="shared" si="183"/>
        <v>High</v>
      </c>
    </row>
    <row r="1453" spans="1:21" ht="15" customHeight="1" x14ac:dyDescent="0.25">
      <c r="A1453" s="29">
        <f>Dataset!A1453</f>
        <v>1449</v>
      </c>
      <c r="B1453" s="29">
        <f>IF(Dataset!B1453&lt;25,0.3,IF(Dataset!B1453&lt;75,0.5,IF(Dataset!B1453&lt;120,0.65,0.8)))</f>
        <v>0.8</v>
      </c>
      <c r="C1453" s="29">
        <f>IF(Dataset!B1453&lt;25,1,IF(Dataset!B1453&lt;75,2,IF(Dataset!B1453&lt;120,3,4)))</f>
        <v>4</v>
      </c>
      <c r="D1453" s="29">
        <f t="shared" si="176"/>
        <v>3.2</v>
      </c>
      <c r="E1453" s="29">
        <f>IF(Dataset!C1453&lt;=1,0.3,IF(Dataset!C1453=2,0.4,IF(Dataset!C1453=3,0.5,IF(Dataset!C1453=4,0.65,0.8))))</f>
        <v>0.65</v>
      </c>
      <c r="F1453" s="29">
        <f>IF(Dataset!C1453&lt;=2,1,IF(Dataset!C1453=3,2,IF(Dataset!C1453=4,3,4)))</f>
        <v>3</v>
      </c>
      <c r="G1453" s="29">
        <f t="shared" si="177"/>
        <v>1.9500000000000002</v>
      </c>
      <c r="H1453" s="29">
        <f>IF(Dataset!G1453&lt;=3,0.25,IF(Dataset!G1453&lt;=6,0.45,IF(Dataset!G1453&lt;=9,0.65,0.85)))</f>
        <v>0.65</v>
      </c>
      <c r="I1453" s="29">
        <f>IF(Dataset!G1453&lt;=3,1,IF(Dataset!G1453&lt;=6,2,IF(Dataset!G1453&lt;=9,3,4)))</f>
        <v>3</v>
      </c>
      <c r="J1453" s="29">
        <f t="shared" si="178"/>
        <v>1.9500000000000002</v>
      </c>
      <c r="K1453" s="29">
        <f>IF(Dataset!H1453&lt;1,0.2,IF(Dataset!H1453&lt;1.3,0.45,IF(Dataset!H1453&lt;1.8,0.7,0.9)))</f>
        <v>0.7</v>
      </c>
      <c r="L1453" s="29">
        <f>IF(Dataset!H1453&lt;1,1,IF(Dataset!H1453&lt;1.3,2,IF(Dataset!H1453&lt;1.8,3,4)))</f>
        <v>3</v>
      </c>
      <c r="M1453" s="29">
        <f t="shared" si="179"/>
        <v>2.0999999999999996</v>
      </c>
      <c r="N1453" s="29">
        <f>IF(Dataset!F1453=1,0.75,IF(Dataset!F1453=2,0.45,0.2))</f>
        <v>0.75</v>
      </c>
      <c r="O1453" s="29">
        <f>IF(Dataset!F1453=1,3,IF(Dataset!F1453=2,2,1))</f>
        <v>3</v>
      </c>
      <c r="P1453" s="29">
        <f t="shared" si="180"/>
        <v>2.25</v>
      </c>
      <c r="Q1453" s="29">
        <f>IF(Dataset!K1453&lt;5,0.2,IF(Dataset!K1453&lt;10,0.45,IF(Dataset!K1453&lt;18,0.7,0.9)))</f>
        <v>0.45</v>
      </c>
      <c r="R1453" s="29">
        <f>IF(Dataset!K1453&lt;5,1,IF(Dataset!K1453&lt;10,2,IF(Dataset!K1453&lt;18,3,4)))</f>
        <v>2</v>
      </c>
      <c r="S1453" s="29">
        <f t="shared" si="181"/>
        <v>0.9</v>
      </c>
      <c r="T1453" s="29">
        <f t="shared" si="182"/>
        <v>2.0939999999999999</v>
      </c>
      <c r="U1453" s="29" t="str">
        <f t="shared" si="183"/>
        <v>High</v>
      </c>
    </row>
    <row r="1454" spans="1:21" ht="15" customHeight="1" x14ac:dyDescent="0.25">
      <c r="A1454" s="29">
        <f>Dataset!A1454</f>
        <v>1450</v>
      </c>
      <c r="B1454" s="29">
        <f>IF(Dataset!B1454&lt;25,0.3,IF(Dataset!B1454&lt;75,0.5,IF(Dataset!B1454&lt;120,0.65,0.8)))</f>
        <v>0.5</v>
      </c>
      <c r="C1454" s="29">
        <f>IF(Dataset!B1454&lt;25,1,IF(Dataset!B1454&lt;75,2,IF(Dataset!B1454&lt;120,3,4)))</f>
        <v>2</v>
      </c>
      <c r="D1454" s="29">
        <f t="shared" si="176"/>
        <v>1</v>
      </c>
      <c r="E1454" s="29">
        <f>IF(Dataset!C1454&lt;=1,0.3,IF(Dataset!C1454=2,0.4,IF(Dataset!C1454=3,0.5,IF(Dataset!C1454=4,0.65,0.8))))</f>
        <v>0.4</v>
      </c>
      <c r="F1454" s="29">
        <f>IF(Dataset!C1454&lt;=2,1,IF(Dataset!C1454=3,2,IF(Dataset!C1454=4,3,4)))</f>
        <v>1</v>
      </c>
      <c r="G1454" s="29">
        <f t="shared" si="177"/>
        <v>0.4</v>
      </c>
      <c r="H1454" s="29">
        <f>IF(Dataset!G1454&lt;=3,0.25,IF(Dataset!G1454&lt;=6,0.45,IF(Dataset!G1454&lt;=9,0.65,0.85)))</f>
        <v>0.25</v>
      </c>
      <c r="I1454" s="29">
        <f>IF(Dataset!G1454&lt;=3,1,IF(Dataset!G1454&lt;=6,2,IF(Dataset!G1454&lt;=9,3,4)))</f>
        <v>1</v>
      </c>
      <c r="J1454" s="29">
        <f t="shared" si="178"/>
        <v>0.25</v>
      </c>
      <c r="K1454" s="29">
        <f>IF(Dataset!H1454&lt;1,0.2,IF(Dataset!H1454&lt;1.3,0.45,IF(Dataset!H1454&lt;1.8,0.7,0.9)))</f>
        <v>0.2</v>
      </c>
      <c r="L1454" s="29">
        <f>IF(Dataset!H1454&lt;1,1,IF(Dataset!H1454&lt;1.3,2,IF(Dataset!H1454&lt;1.8,3,4)))</f>
        <v>1</v>
      </c>
      <c r="M1454" s="29">
        <f t="shared" si="179"/>
        <v>0.2</v>
      </c>
      <c r="N1454" s="29">
        <f>IF(Dataset!F1454=1,0.75,IF(Dataset!F1454=2,0.45,0.2))</f>
        <v>0.45</v>
      </c>
      <c r="O1454" s="29">
        <f>IF(Dataset!F1454=1,3,IF(Dataset!F1454=2,2,1))</f>
        <v>2</v>
      </c>
      <c r="P1454" s="29">
        <f t="shared" si="180"/>
        <v>0.9</v>
      </c>
      <c r="Q1454" s="29">
        <f>IF(Dataset!K1454&lt;5,0.2,IF(Dataset!K1454&lt;10,0.45,IF(Dataset!K1454&lt;18,0.7,0.9)))</f>
        <v>0.45</v>
      </c>
      <c r="R1454" s="29">
        <f>IF(Dataset!K1454&lt;5,1,IF(Dataset!K1454&lt;10,2,IF(Dataset!K1454&lt;18,3,4)))</f>
        <v>2</v>
      </c>
      <c r="S1454" s="29">
        <f t="shared" si="181"/>
        <v>0.9</v>
      </c>
      <c r="T1454" s="29">
        <f t="shared" si="182"/>
        <v>0.55000000000000004</v>
      </c>
      <c r="U1454" s="29" t="str">
        <f t="shared" si="183"/>
        <v>Low</v>
      </c>
    </row>
    <row r="1455" spans="1:21" ht="15" customHeight="1" x14ac:dyDescent="0.25">
      <c r="A1455" s="29">
        <f>Dataset!A1455</f>
        <v>1451</v>
      </c>
      <c r="B1455" s="29">
        <f>IF(Dataset!B1455&lt;25,0.3,IF(Dataset!B1455&lt;75,0.5,IF(Dataset!B1455&lt;120,0.65,0.8)))</f>
        <v>0.8</v>
      </c>
      <c r="C1455" s="29">
        <f>IF(Dataset!B1455&lt;25,1,IF(Dataset!B1455&lt;75,2,IF(Dataset!B1455&lt;120,3,4)))</f>
        <v>4</v>
      </c>
      <c r="D1455" s="29">
        <f t="shared" si="176"/>
        <v>3.2</v>
      </c>
      <c r="E1455" s="29">
        <f>IF(Dataset!C1455&lt;=1,0.3,IF(Dataset!C1455=2,0.4,IF(Dataset!C1455=3,0.5,IF(Dataset!C1455=4,0.65,0.8))))</f>
        <v>0.65</v>
      </c>
      <c r="F1455" s="29">
        <f>IF(Dataset!C1455&lt;=2,1,IF(Dataset!C1455=3,2,IF(Dataset!C1455=4,3,4)))</f>
        <v>3</v>
      </c>
      <c r="G1455" s="29">
        <f t="shared" si="177"/>
        <v>1.9500000000000002</v>
      </c>
      <c r="H1455" s="29">
        <f>IF(Dataset!G1455&lt;=3,0.25,IF(Dataset!G1455&lt;=6,0.45,IF(Dataset!G1455&lt;=9,0.65,0.85)))</f>
        <v>0.25</v>
      </c>
      <c r="I1455" s="29">
        <f>IF(Dataset!G1455&lt;=3,1,IF(Dataset!G1455&lt;=6,2,IF(Dataset!G1455&lt;=9,3,4)))</f>
        <v>1</v>
      </c>
      <c r="J1455" s="29">
        <f t="shared" si="178"/>
        <v>0.25</v>
      </c>
      <c r="K1455" s="29">
        <f>IF(Dataset!H1455&lt;1,0.2,IF(Dataset!H1455&lt;1.3,0.45,IF(Dataset!H1455&lt;1.8,0.7,0.9)))</f>
        <v>0.7</v>
      </c>
      <c r="L1455" s="29">
        <f>IF(Dataset!H1455&lt;1,1,IF(Dataset!H1455&lt;1.3,2,IF(Dataset!H1455&lt;1.8,3,4)))</f>
        <v>3</v>
      </c>
      <c r="M1455" s="29">
        <f t="shared" si="179"/>
        <v>2.0999999999999996</v>
      </c>
      <c r="N1455" s="29">
        <f>IF(Dataset!F1455=1,0.75,IF(Dataset!F1455=2,0.45,0.2))</f>
        <v>0.75</v>
      </c>
      <c r="O1455" s="29">
        <f>IF(Dataset!F1455=1,3,IF(Dataset!F1455=2,2,1))</f>
        <v>3</v>
      </c>
      <c r="P1455" s="29">
        <f t="shared" si="180"/>
        <v>2.25</v>
      </c>
      <c r="Q1455" s="29">
        <f>IF(Dataset!K1455&lt;5,0.2,IF(Dataset!K1455&lt;10,0.45,IF(Dataset!K1455&lt;18,0.7,0.9)))</f>
        <v>0.7</v>
      </c>
      <c r="R1455" s="29">
        <f>IF(Dataset!K1455&lt;5,1,IF(Dataset!K1455&lt;10,2,IF(Dataset!K1455&lt;18,3,4)))</f>
        <v>3</v>
      </c>
      <c r="S1455" s="29">
        <f t="shared" si="181"/>
        <v>2.0999999999999996</v>
      </c>
      <c r="T1455" s="29">
        <f t="shared" si="182"/>
        <v>1.9220000000000002</v>
      </c>
      <c r="U1455" s="29" t="str">
        <f t="shared" si="183"/>
        <v>High</v>
      </c>
    </row>
    <row r="1456" spans="1:21" ht="15" customHeight="1" x14ac:dyDescent="0.25">
      <c r="A1456" s="29">
        <f>Dataset!A1456</f>
        <v>1452</v>
      </c>
      <c r="B1456" s="29">
        <f>IF(Dataset!B1456&lt;25,0.3,IF(Dataset!B1456&lt;75,0.5,IF(Dataset!B1456&lt;120,0.65,0.8)))</f>
        <v>0.5</v>
      </c>
      <c r="C1456" s="29">
        <f>IF(Dataset!B1456&lt;25,1,IF(Dataset!B1456&lt;75,2,IF(Dataset!B1456&lt;120,3,4)))</f>
        <v>2</v>
      </c>
      <c r="D1456" s="29">
        <f t="shared" si="176"/>
        <v>1</v>
      </c>
      <c r="E1456" s="29">
        <f>IF(Dataset!C1456&lt;=1,0.3,IF(Dataset!C1456=2,0.4,IF(Dataset!C1456=3,0.5,IF(Dataset!C1456=4,0.65,0.8))))</f>
        <v>0.65</v>
      </c>
      <c r="F1456" s="29">
        <f>IF(Dataset!C1456&lt;=2,1,IF(Dataset!C1456=3,2,IF(Dataset!C1456=4,3,4)))</f>
        <v>3</v>
      </c>
      <c r="G1456" s="29">
        <f t="shared" si="177"/>
        <v>1.9500000000000002</v>
      </c>
      <c r="H1456" s="29">
        <f>IF(Dataset!G1456&lt;=3,0.25,IF(Dataset!G1456&lt;=6,0.45,IF(Dataset!G1456&lt;=9,0.65,0.85)))</f>
        <v>0.45</v>
      </c>
      <c r="I1456" s="29">
        <f>IF(Dataset!G1456&lt;=3,1,IF(Dataset!G1456&lt;=6,2,IF(Dataset!G1456&lt;=9,3,4)))</f>
        <v>2</v>
      </c>
      <c r="J1456" s="29">
        <f t="shared" si="178"/>
        <v>0.9</v>
      </c>
      <c r="K1456" s="29">
        <f>IF(Dataset!H1456&lt;1,0.2,IF(Dataset!H1456&lt;1.3,0.45,IF(Dataset!H1456&lt;1.8,0.7,0.9)))</f>
        <v>0.9</v>
      </c>
      <c r="L1456" s="29">
        <f>IF(Dataset!H1456&lt;1,1,IF(Dataset!H1456&lt;1.3,2,IF(Dataset!H1456&lt;1.8,3,4)))</f>
        <v>4</v>
      </c>
      <c r="M1456" s="29">
        <f t="shared" si="179"/>
        <v>3.6</v>
      </c>
      <c r="N1456" s="29">
        <f>IF(Dataset!F1456=1,0.75,IF(Dataset!F1456=2,0.45,0.2))</f>
        <v>0.45</v>
      </c>
      <c r="O1456" s="29">
        <f>IF(Dataset!F1456=1,3,IF(Dataset!F1456=2,2,1))</f>
        <v>2</v>
      </c>
      <c r="P1456" s="29">
        <f t="shared" si="180"/>
        <v>0.9</v>
      </c>
      <c r="Q1456" s="29">
        <f>IF(Dataset!K1456&lt;5,0.2,IF(Dataset!K1456&lt;10,0.45,IF(Dataset!K1456&lt;18,0.7,0.9)))</f>
        <v>0.7</v>
      </c>
      <c r="R1456" s="29">
        <f>IF(Dataset!K1456&lt;5,1,IF(Dataset!K1456&lt;10,2,IF(Dataset!K1456&lt;18,3,4)))</f>
        <v>3</v>
      </c>
      <c r="S1456" s="29">
        <f t="shared" si="181"/>
        <v>2.0999999999999996</v>
      </c>
      <c r="T1456" s="29">
        <f t="shared" si="182"/>
        <v>1.8810000000000002</v>
      </c>
      <c r="U1456" s="29" t="str">
        <f t="shared" si="183"/>
        <v>High</v>
      </c>
    </row>
    <row r="1457" spans="1:21" ht="15" customHeight="1" x14ac:dyDescent="0.25">
      <c r="A1457" s="29">
        <f>Dataset!A1457</f>
        <v>1453</v>
      </c>
      <c r="B1457" s="29">
        <f>IF(Dataset!B1457&lt;25,0.3,IF(Dataset!B1457&lt;75,0.5,IF(Dataset!B1457&lt;120,0.65,0.8)))</f>
        <v>0.5</v>
      </c>
      <c r="C1457" s="29">
        <f>IF(Dataset!B1457&lt;25,1,IF(Dataset!B1457&lt;75,2,IF(Dataset!B1457&lt;120,3,4)))</f>
        <v>2</v>
      </c>
      <c r="D1457" s="29">
        <f t="shared" si="176"/>
        <v>1</v>
      </c>
      <c r="E1457" s="29">
        <f>IF(Dataset!C1457&lt;=1,0.3,IF(Dataset!C1457=2,0.4,IF(Dataset!C1457=3,0.5,IF(Dataset!C1457=4,0.65,0.8))))</f>
        <v>0.3</v>
      </c>
      <c r="F1457" s="29">
        <f>IF(Dataset!C1457&lt;=2,1,IF(Dataset!C1457=3,2,IF(Dataset!C1457=4,3,4)))</f>
        <v>1</v>
      </c>
      <c r="G1457" s="29">
        <f t="shared" si="177"/>
        <v>0.3</v>
      </c>
      <c r="H1457" s="29">
        <f>IF(Dataset!G1457&lt;=3,0.25,IF(Dataset!G1457&lt;=6,0.45,IF(Dataset!G1457&lt;=9,0.65,0.85)))</f>
        <v>0.65</v>
      </c>
      <c r="I1457" s="29">
        <f>IF(Dataset!G1457&lt;=3,1,IF(Dataset!G1457&lt;=6,2,IF(Dataset!G1457&lt;=9,3,4)))</f>
        <v>3</v>
      </c>
      <c r="J1457" s="29">
        <f t="shared" si="178"/>
        <v>1.9500000000000002</v>
      </c>
      <c r="K1457" s="29">
        <f>IF(Dataset!H1457&lt;1,0.2,IF(Dataset!H1457&lt;1.3,0.45,IF(Dataset!H1457&lt;1.8,0.7,0.9)))</f>
        <v>0.7</v>
      </c>
      <c r="L1457" s="29">
        <f>IF(Dataset!H1457&lt;1,1,IF(Dataset!H1457&lt;1.3,2,IF(Dataset!H1457&lt;1.8,3,4)))</f>
        <v>3</v>
      </c>
      <c r="M1457" s="29">
        <f t="shared" si="179"/>
        <v>2.0999999999999996</v>
      </c>
      <c r="N1457" s="29">
        <f>IF(Dataset!F1457=1,0.75,IF(Dataset!F1457=2,0.45,0.2))</f>
        <v>0.75</v>
      </c>
      <c r="O1457" s="29">
        <f>IF(Dataset!F1457=1,3,IF(Dataset!F1457=2,2,1))</f>
        <v>3</v>
      </c>
      <c r="P1457" s="29">
        <f t="shared" si="180"/>
        <v>2.25</v>
      </c>
      <c r="Q1457" s="29">
        <f>IF(Dataset!K1457&lt;5,0.2,IF(Dataset!K1457&lt;10,0.45,IF(Dataset!K1457&lt;18,0.7,0.9)))</f>
        <v>0.2</v>
      </c>
      <c r="R1457" s="29">
        <f>IF(Dataset!K1457&lt;5,1,IF(Dataset!K1457&lt;10,2,IF(Dataset!K1457&lt;18,3,4)))</f>
        <v>1</v>
      </c>
      <c r="S1457" s="29">
        <f t="shared" si="181"/>
        <v>0.2</v>
      </c>
      <c r="T1457" s="29">
        <f t="shared" si="182"/>
        <v>1.3690000000000002</v>
      </c>
      <c r="U1457" s="29" t="str">
        <f t="shared" si="183"/>
        <v>Medium</v>
      </c>
    </row>
    <row r="1458" spans="1:21" ht="15" customHeight="1" x14ac:dyDescent="0.25">
      <c r="A1458" s="29">
        <f>Dataset!A1458</f>
        <v>1454</v>
      </c>
      <c r="B1458" s="29">
        <f>IF(Dataset!B1458&lt;25,0.3,IF(Dataset!B1458&lt;75,0.5,IF(Dataset!B1458&lt;120,0.65,0.8)))</f>
        <v>0.65</v>
      </c>
      <c r="C1458" s="29">
        <f>IF(Dataset!B1458&lt;25,1,IF(Dataset!B1458&lt;75,2,IF(Dataset!B1458&lt;120,3,4)))</f>
        <v>3</v>
      </c>
      <c r="D1458" s="29">
        <f t="shared" si="176"/>
        <v>1.9500000000000002</v>
      </c>
      <c r="E1458" s="29">
        <f>IF(Dataset!C1458&lt;=1,0.3,IF(Dataset!C1458=2,0.4,IF(Dataset!C1458=3,0.5,IF(Dataset!C1458=4,0.65,0.8))))</f>
        <v>0.65</v>
      </c>
      <c r="F1458" s="29">
        <f>IF(Dataset!C1458&lt;=2,1,IF(Dataset!C1458=3,2,IF(Dataset!C1458=4,3,4)))</f>
        <v>3</v>
      </c>
      <c r="G1458" s="29">
        <f t="shared" si="177"/>
        <v>1.9500000000000002</v>
      </c>
      <c r="H1458" s="29">
        <f>IF(Dataset!G1458&lt;=3,0.25,IF(Dataset!G1458&lt;=6,0.45,IF(Dataset!G1458&lt;=9,0.65,0.85)))</f>
        <v>0.45</v>
      </c>
      <c r="I1458" s="29">
        <f>IF(Dataset!G1458&lt;=3,1,IF(Dataset!G1458&lt;=6,2,IF(Dataset!G1458&lt;=9,3,4)))</f>
        <v>2</v>
      </c>
      <c r="J1458" s="29">
        <f t="shared" si="178"/>
        <v>0.9</v>
      </c>
      <c r="K1458" s="29">
        <f>IF(Dataset!H1458&lt;1,0.2,IF(Dataset!H1458&lt;1.3,0.45,IF(Dataset!H1458&lt;1.8,0.7,0.9)))</f>
        <v>0.9</v>
      </c>
      <c r="L1458" s="29">
        <f>IF(Dataset!H1458&lt;1,1,IF(Dataset!H1458&lt;1.3,2,IF(Dataset!H1458&lt;1.8,3,4)))</f>
        <v>4</v>
      </c>
      <c r="M1458" s="29">
        <f t="shared" si="179"/>
        <v>3.6</v>
      </c>
      <c r="N1458" s="29">
        <f>IF(Dataset!F1458=1,0.75,IF(Dataset!F1458=2,0.45,0.2))</f>
        <v>0.75</v>
      </c>
      <c r="O1458" s="29">
        <f>IF(Dataset!F1458=1,3,IF(Dataset!F1458=2,2,1))</f>
        <v>3</v>
      </c>
      <c r="P1458" s="29">
        <f t="shared" si="180"/>
        <v>2.25</v>
      </c>
      <c r="Q1458" s="29">
        <f>IF(Dataset!K1458&lt;5,0.2,IF(Dataset!K1458&lt;10,0.45,IF(Dataset!K1458&lt;18,0.7,0.9)))</f>
        <v>0.7</v>
      </c>
      <c r="R1458" s="29">
        <f>IF(Dataset!K1458&lt;5,1,IF(Dataset!K1458&lt;10,2,IF(Dataset!K1458&lt;18,3,4)))</f>
        <v>3</v>
      </c>
      <c r="S1458" s="29">
        <f t="shared" si="181"/>
        <v>2.0999999999999996</v>
      </c>
      <c r="T1458" s="29">
        <f t="shared" si="182"/>
        <v>2.1870000000000003</v>
      </c>
      <c r="U1458" s="29" t="str">
        <f t="shared" si="183"/>
        <v>High</v>
      </c>
    </row>
    <row r="1459" spans="1:21" ht="15" customHeight="1" x14ac:dyDescent="0.25">
      <c r="A1459" s="29">
        <f>Dataset!A1459</f>
        <v>1455</v>
      </c>
      <c r="B1459" s="29">
        <f>IF(Dataset!B1459&lt;25,0.3,IF(Dataset!B1459&lt;75,0.5,IF(Dataset!B1459&lt;120,0.65,0.8)))</f>
        <v>0.8</v>
      </c>
      <c r="C1459" s="29">
        <f>IF(Dataset!B1459&lt;25,1,IF(Dataset!B1459&lt;75,2,IF(Dataset!B1459&lt;120,3,4)))</f>
        <v>4</v>
      </c>
      <c r="D1459" s="29">
        <f t="shared" si="176"/>
        <v>3.2</v>
      </c>
      <c r="E1459" s="29">
        <f>IF(Dataset!C1459&lt;=1,0.3,IF(Dataset!C1459=2,0.4,IF(Dataset!C1459=3,0.5,IF(Dataset!C1459=4,0.65,0.8))))</f>
        <v>0.65</v>
      </c>
      <c r="F1459" s="29">
        <f>IF(Dataset!C1459&lt;=2,1,IF(Dataset!C1459=3,2,IF(Dataset!C1459=4,3,4)))</f>
        <v>3</v>
      </c>
      <c r="G1459" s="29">
        <f t="shared" si="177"/>
        <v>1.9500000000000002</v>
      </c>
      <c r="H1459" s="29">
        <f>IF(Dataset!G1459&lt;=3,0.25,IF(Dataset!G1459&lt;=6,0.45,IF(Dataset!G1459&lt;=9,0.65,0.85)))</f>
        <v>0.65</v>
      </c>
      <c r="I1459" s="29">
        <f>IF(Dataset!G1459&lt;=3,1,IF(Dataset!G1459&lt;=6,2,IF(Dataset!G1459&lt;=9,3,4)))</f>
        <v>3</v>
      </c>
      <c r="J1459" s="29">
        <f t="shared" si="178"/>
        <v>1.9500000000000002</v>
      </c>
      <c r="K1459" s="29">
        <f>IF(Dataset!H1459&lt;1,0.2,IF(Dataset!H1459&lt;1.3,0.45,IF(Dataset!H1459&lt;1.8,0.7,0.9)))</f>
        <v>0.9</v>
      </c>
      <c r="L1459" s="29">
        <f>IF(Dataset!H1459&lt;1,1,IF(Dataset!H1459&lt;1.3,2,IF(Dataset!H1459&lt;1.8,3,4)))</f>
        <v>4</v>
      </c>
      <c r="M1459" s="29">
        <f t="shared" si="179"/>
        <v>3.6</v>
      </c>
      <c r="N1459" s="29">
        <f>IF(Dataset!F1459=1,0.75,IF(Dataset!F1459=2,0.45,0.2))</f>
        <v>0.2</v>
      </c>
      <c r="O1459" s="29">
        <f>IF(Dataset!F1459=1,3,IF(Dataset!F1459=2,2,1))</f>
        <v>1</v>
      </c>
      <c r="P1459" s="29">
        <f t="shared" si="180"/>
        <v>0.2</v>
      </c>
      <c r="Q1459" s="29">
        <f>IF(Dataset!K1459&lt;5,0.2,IF(Dataset!K1459&lt;10,0.45,IF(Dataset!K1459&lt;18,0.7,0.9)))</f>
        <v>0.45</v>
      </c>
      <c r="R1459" s="29">
        <f>IF(Dataset!K1459&lt;5,1,IF(Dataset!K1459&lt;10,2,IF(Dataset!K1459&lt;18,3,4)))</f>
        <v>2</v>
      </c>
      <c r="S1459" s="29">
        <f t="shared" si="181"/>
        <v>0.9</v>
      </c>
      <c r="T1459" s="29">
        <f t="shared" si="182"/>
        <v>2.2490000000000001</v>
      </c>
      <c r="U1459" s="29" t="str">
        <f t="shared" si="183"/>
        <v>High</v>
      </c>
    </row>
    <row r="1460" spans="1:21" ht="15" customHeight="1" x14ac:dyDescent="0.25">
      <c r="A1460" s="29">
        <f>Dataset!A1460</f>
        <v>1456</v>
      </c>
      <c r="B1460" s="29">
        <f>IF(Dataset!B1460&lt;25,0.3,IF(Dataset!B1460&lt;75,0.5,IF(Dataset!B1460&lt;120,0.65,0.8)))</f>
        <v>0.65</v>
      </c>
      <c r="C1460" s="29">
        <f>IF(Dataset!B1460&lt;25,1,IF(Dataset!B1460&lt;75,2,IF(Dataset!B1460&lt;120,3,4)))</f>
        <v>3</v>
      </c>
      <c r="D1460" s="29">
        <f t="shared" si="176"/>
        <v>1.9500000000000002</v>
      </c>
      <c r="E1460" s="29">
        <f>IF(Dataset!C1460&lt;=1,0.3,IF(Dataset!C1460=2,0.4,IF(Dataset!C1460=3,0.5,IF(Dataset!C1460=4,0.65,0.8))))</f>
        <v>0.5</v>
      </c>
      <c r="F1460" s="29">
        <f>IF(Dataset!C1460&lt;=2,1,IF(Dataset!C1460=3,2,IF(Dataset!C1460=4,3,4)))</f>
        <v>2</v>
      </c>
      <c r="G1460" s="29">
        <f t="shared" si="177"/>
        <v>1</v>
      </c>
      <c r="H1460" s="29">
        <f>IF(Dataset!G1460&lt;=3,0.25,IF(Dataset!G1460&lt;=6,0.45,IF(Dataset!G1460&lt;=9,0.65,0.85)))</f>
        <v>0.25</v>
      </c>
      <c r="I1460" s="29">
        <f>IF(Dataset!G1460&lt;=3,1,IF(Dataset!G1460&lt;=6,2,IF(Dataset!G1460&lt;=9,3,4)))</f>
        <v>1</v>
      </c>
      <c r="J1460" s="29">
        <f t="shared" si="178"/>
        <v>0.25</v>
      </c>
      <c r="K1460" s="29">
        <f>IF(Dataset!H1460&lt;1,0.2,IF(Dataset!H1460&lt;1.3,0.45,IF(Dataset!H1460&lt;1.8,0.7,0.9)))</f>
        <v>0.9</v>
      </c>
      <c r="L1460" s="29">
        <f>IF(Dataset!H1460&lt;1,1,IF(Dataset!H1460&lt;1.3,2,IF(Dataset!H1460&lt;1.8,3,4)))</f>
        <v>4</v>
      </c>
      <c r="M1460" s="29">
        <f t="shared" si="179"/>
        <v>3.6</v>
      </c>
      <c r="N1460" s="29">
        <f>IF(Dataset!F1460=1,0.75,IF(Dataset!F1460=2,0.45,0.2))</f>
        <v>0.45</v>
      </c>
      <c r="O1460" s="29">
        <f>IF(Dataset!F1460=1,3,IF(Dataset!F1460=2,2,1))</f>
        <v>2</v>
      </c>
      <c r="P1460" s="29">
        <f t="shared" si="180"/>
        <v>0.9</v>
      </c>
      <c r="Q1460" s="29">
        <f>IF(Dataset!K1460&lt;5,0.2,IF(Dataset!K1460&lt;10,0.45,IF(Dataset!K1460&lt;18,0.7,0.9)))</f>
        <v>0.45</v>
      </c>
      <c r="R1460" s="29">
        <f>IF(Dataset!K1460&lt;5,1,IF(Dataset!K1460&lt;10,2,IF(Dataset!K1460&lt;18,3,4)))</f>
        <v>2</v>
      </c>
      <c r="S1460" s="29">
        <f t="shared" si="181"/>
        <v>0.9</v>
      </c>
      <c r="T1460" s="29">
        <f t="shared" si="182"/>
        <v>1.6210000000000002</v>
      </c>
      <c r="U1460" s="29" t="str">
        <f t="shared" si="183"/>
        <v>Medium</v>
      </c>
    </row>
    <row r="1461" spans="1:21" ht="15" customHeight="1" x14ac:dyDescent="0.25">
      <c r="A1461" s="29">
        <f>Dataset!A1461</f>
        <v>1457</v>
      </c>
      <c r="B1461" s="29">
        <f>IF(Dataset!B1461&lt;25,0.3,IF(Dataset!B1461&lt;75,0.5,IF(Dataset!B1461&lt;120,0.65,0.8)))</f>
        <v>0.5</v>
      </c>
      <c r="C1461" s="29">
        <f>IF(Dataset!B1461&lt;25,1,IF(Dataset!B1461&lt;75,2,IF(Dataset!B1461&lt;120,3,4)))</f>
        <v>2</v>
      </c>
      <c r="D1461" s="29">
        <f t="shared" si="176"/>
        <v>1</v>
      </c>
      <c r="E1461" s="29">
        <f>IF(Dataset!C1461&lt;=1,0.3,IF(Dataset!C1461=2,0.4,IF(Dataset!C1461=3,0.5,IF(Dataset!C1461=4,0.65,0.8))))</f>
        <v>0.8</v>
      </c>
      <c r="F1461" s="29">
        <f>IF(Dataset!C1461&lt;=2,1,IF(Dataset!C1461=3,2,IF(Dataset!C1461=4,3,4)))</f>
        <v>4</v>
      </c>
      <c r="G1461" s="29">
        <f t="shared" si="177"/>
        <v>3.2</v>
      </c>
      <c r="H1461" s="29">
        <f>IF(Dataset!G1461&lt;=3,0.25,IF(Dataset!G1461&lt;=6,0.45,IF(Dataset!G1461&lt;=9,0.65,0.85)))</f>
        <v>0.65</v>
      </c>
      <c r="I1461" s="29">
        <f>IF(Dataset!G1461&lt;=3,1,IF(Dataset!G1461&lt;=6,2,IF(Dataset!G1461&lt;=9,3,4)))</f>
        <v>3</v>
      </c>
      <c r="J1461" s="29">
        <f t="shared" si="178"/>
        <v>1.9500000000000002</v>
      </c>
      <c r="K1461" s="29">
        <f>IF(Dataset!H1461&lt;1,0.2,IF(Dataset!H1461&lt;1.3,0.45,IF(Dataset!H1461&lt;1.8,0.7,0.9)))</f>
        <v>0.9</v>
      </c>
      <c r="L1461" s="29">
        <f>IF(Dataset!H1461&lt;1,1,IF(Dataset!H1461&lt;1.3,2,IF(Dataset!H1461&lt;1.8,3,4)))</f>
        <v>4</v>
      </c>
      <c r="M1461" s="29">
        <f t="shared" si="179"/>
        <v>3.6</v>
      </c>
      <c r="N1461" s="29">
        <f>IF(Dataset!F1461=1,0.75,IF(Dataset!F1461=2,0.45,0.2))</f>
        <v>0.2</v>
      </c>
      <c r="O1461" s="29">
        <f>IF(Dataset!F1461=1,3,IF(Dataset!F1461=2,2,1))</f>
        <v>1</v>
      </c>
      <c r="P1461" s="29">
        <f t="shared" si="180"/>
        <v>0.2</v>
      </c>
      <c r="Q1461" s="29">
        <f>IF(Dataset!K1461&lt;5,0.2,IF(Dataset!K1461&lt;10,0.45,IF(Dataset!K1461&lt;18,0.7,0.9)))</f>
        <v>0.7</v>
      </c>
      <c r="R1461" s="29">
        <f>IF(Dataset!K1461&lt;5,1,IF(Dataset!K1461&lt;10,2,IF(Dataset!K1461&lt;18,3,4)))</f>
        <v>3</v>
      </c>
      <c r="S1461" s="29">
        <f t="shared" si="181"/>
        <v>2.0999999999999996</v>
      </c>
      <c r="T1461" s="29">
        <f t="shared" si="182"/>
        <v>2.1960000000000002</v>
      </c>
      <c r="U1461" s="29" t="str">
        <f t="shared" si="183"/>
        <v>High</v>
      </c>
    </row>
    <row r="1462" spans="1:21" ht="15" customHeight="1" x14ac:dyDescent="0.25">
      <c r="A1462" s="29">
        <f>Dataset!A1462</f>
        <v>1458</v>
      </c>
      <c r="B1462" s="29">
        <f>IF(Dataset!B1462&lt;25,0.3,IF(Dataset!B1462&lt;75,0.5,IF(Dataset!B1462&lt;120,0.65,0.8)))</f>
        <v>0.3</v>
      </c>
      <c r="C1462" s="29">
        <f>IF(Dataset!B1462&lt;25,1,IF(Dataset!B1462&lt;75,2,IF(Dataset!B1462&lt;120,3,4)))</f>
        <v>1</v>
      </c>
      <c r="D1462" s="29">
        <f t="shared" si="176"/>
        <v>0.3</v>
      </c>
      <c r="E1462" s="29">
        <f>IF(Dataset!C1462&lt;=1,0.3,IF(Dataset!C1462=2,0.4,IF(Dataset!C1462=3,0.5,IF(Dataset!C1462=4,0.65,0.8))))</f>
        <v>0.4</v>
      </c>
      <c r="F1462" s="29">
        <f>IF(Dataset!C1462&lt;=2,1,IF(Dataset!C1462=3,2,IF(Dataset!C1462=4,3,4)))</f>
        <v>1</v>
      </c>
      <c r="G1462" s="29">
        <f t="shared" si="177"/>
        <v>0.4</v>
      </c>
      <c r="H1462" s="29">
        <f>IF(Dataset!G1462&lt;=3,0.25,IF(Dataset!G1462&lt;=6,0.45,IF(Dataset!G1462&lt;=9,0.65,0.85)))</f>
        <v>0.45</v>
      </c>
      <c r="I1462" s="29">
        <f>IF(Dataset!G1462&lt;=3,1,IF(Dataset!G1462&lt;=6,2,IF(Dataset!G1462&lt;=9,3,4)))</f>
        <v>2</v>
      </c>
      <c r="J1462" s="29">
        <f t="shared" si="178"/>
        <v>0.9</v>
      </c>
      <c r="K1462" s="29">
        <f>IF(Dataset!H1462&lt;1,0.2,IF(Dataset!H1462&lt;1.3,0.45,IF(Dataset!H1462&lt;1.8,0.7,0.9)))</f>
        <v>0.9</v>
      </c>
      <c r="L1462" s="29">
        <f>IF(Dataset!H1462&lt;1,1,IF(Dataset!H1462&lt;1.3,2,IF(Dataset!H1462&lt;1.8,3,4)))</f>
        <v>4</v>
      </c>
      <c r="M1462" s="29">
        <f t="shared" si="179"/>
        <v>3.6</v>
      </c>
      <c r="N1462" s="29">
        <f>IF(Dataset!F1462=1,0.75,IF(Dataset!F1462=2,0.45,0.2))</f>
        <v>0.45</v>
      </c>
      <c r="O1462" s="29">
        <f>IF(Dataset!F1462=1,3,IF(Dataset!F1462=2,2,1))</f>
        <v>2</v>
      </c>
      <c r="P1462" s="29">
        <f t="shared" si="180"/>
        <v>0.9</v>
      </c>
      <c r="Q1462" s="29">
        <f>IF(Dataset!K1462&lt;5,0.2,IF(Dataset!K1462&lt;10,0.45,IF(Dataset!K1462&lt;18,0.7,0.9)))</f>
        <v>0.2</v>
      </c>
      <c r="R1462" s="29">
        <f>IF(Dataset!K1462&lt;5,1,IF(Dataset!K1462&lt;10,2,IF(Dataset!K1462&lt;18,3,4)))</f>
        <v>1</v>
      </c>
      <c r="S1462" s="29">
        <f t="shared" si="181"/>
        <v>0.2</v>
      </c>
      <c r="T1462" s="29">
        <f t="shared" si="182"/>
        <v>1.272</v>
      </c>
      <c r="U1462" s="29" t="str">
        <f t="shared" si="183"/>
        <v>Low</v>
      </c>
    </row>
    <row r="1463" spans="1:21" ht="15" customHeight="1" x14ac:dyDescent="0.25">
      <c r="A1463" s="29">
        <f>Dataset!A1463</f>
        <v>1459</v>
      </c>
      <c r="B1463" s="29">
        <f>IF(Dataset!B1463&lt;25,0.3,IF(Dataset!B1463&lt;75,0.5,IF(Dataset!B1463&lt;120,0.65,0.8)))</f>
        <v>0.65</v>
      </c>
      <c r="C1463" s="29">
        <f>IF(Dataset!B1463&lt;25,1,IF(Dataset!B1463&lt;75,2,IF(Dataset!B1463&lt;120,3,4)))</f>
        <v>3</v>
      </c>
      <c r="D1463" s="29">
        <f t="shared" si="176"/>
        <v>1.9500000000000002</v>
      </c>
      <c r="E1463" s="29">
        <f>IF(Dataset!C1463&lt;=1,0.3,IF(Dataset!C1463=2,0.4,IF(Dataset!C1463=3,0.5,IF(Dataset!C1463=4,0.65,0.8))))</f>
        <v>0.5</v>
      </c>
      <c r="F1463" s="29">
        <f>IF(Dataset!C1463&lt;=2,1,IF(Dataset!C1463=3,2,IF(Dataset!C1463=4,3,4)))</f>
        <v>2</v>
      </c>
      <c r="G1463" s="29">
        <f t="shared" si="177"/>
        <v>1</v>
      </c>
      <c r="H1463" s="29">
        <f>IF(Dataset!G1463&lt;=3,0.25,IF(Dataset!G1463&lt;=6,0.45,IF(Dataset!G1463&lt;=9,0.65,0.85)))</f>
        <v>0.45</v>
      </c>
      <c r="I1463" s="29">
        <f>IF(Dataset!G1463&lt;=3,1,IF(Dataset!G1463&lt;=6,2,IF(Dataset!G1463&lt;=9,3,4)))</f>
        <v>2</v>
      </c>
      <c r="J1463" s="29">
        <f t="shared" si="178"/>
        <v>0.9</v>
      </c>
      <c r="K1463" s="29">
        <f>IF(Dataset!H1463&lt;1,0.2,IF(Dataset!H1463&lt;1.3,0.45,IF(Dataset!H1463&lt;1.8,0.7,0.9)))</f>
        <v>0.7</v>
      </c>
      <c r="L1463" s="29">
        <f>IF(Dataset!H1463&lt;1,1,IF(Dataset!H1463&lt;1.3,2,IF(Dataset!H1463&lt;1.8,3,4)))</f>
        <v>3</v>
      </c>
      <c r="M1463" s="29">
        <f t="shared" si="179"/>
        <v>2.0999999999999996</v>
      </c>
      <c r="N1463" s="29">
        <f>IF(Dataset!F1463=1,0.75,IF(Dataset!F1463=2,0.45,0.2))</f>
        <v>0.75</v>
      </c>
      <c r="O1463" s="29">
        <f>IF(Dataset!F1463=1,3,IF(Dataset!F1463=2,2,1))</f>
        <v>3</v>
      </c>
      <c r="P1463" s="29">
        <f t="shared" si="180"/>
        <v>2.25</v>
      </c>
      <c r="Q1463" s="29">
        <f>IF(Dataset!K1463&lt;5,0.2,IF(Dataset!K1463&lt;10,0.45,IF(Dataset!K1463&lt;18,0.7,0.9)))</f>
        <v>0.45</v>
      </c>
      <c r="R1463" s="29">
        <f>IF(Dataset!K1463&lt;5,1,IF(Dataset!K1463&lt;10,2,IF(Dataset!K1463&lt;18,3,4)))</f>
        <v>2</v>
      </c>
      <c r="S1463" s="29">
        <f t="shared" si="181"/>
        <v>0.9</v>
      </c>
      <c r="T1463" s="29">
        <f t="shared" si="182"/>
        <v>1.526</v>
      </c>
      <c r="U1463" s="29" t="str">
        <f t="shared" si="183"/>
        <v>Medium</v>
      </c>
    </row>
    <row r="1464" spans="1:21" ht="15" customHeight="1" x14ac:dyDescent="0.25">
      <c r="A1464" s="29">
        <f>Dataset!A1464</f>
        <v>1460</v>
      </c>
      <c r="B1464" s="29">
        <f>IF(Dataset!B1464&lt;25,0.3,IF(Dataset!B1464&lt;75,0.5,IF(Dataset!B1464&lt;120,0.65,0.8)))</f>
        <v>0.5</v>
      </c>
      <c r="C1464" s="29">
        <f>IF(Dataset!B1464&lt;25,1,IF(Dataset!B1464&lt;75,2,IF(Dataset!B1464&lt;120,3,4)))</f>
        <v>2</v>
      </c>
      <c r="D1464" s="29">
        <f t="shared" si="176"/>
        <v>1</v>
      </c>
      <c r="E1464" s="29">
        <f>IF(Dataset!C1464&lt;=1,0.3,IF(Dataset!C1464=2,0.4,IF(Dataset!C1464=3,0.5,IF(Dataset!C1464=4,0.65,0.8))))</f>
        <v>0.65</v>
      </c>
      <c r="F1464" s="29">
        <f>IF(Dataset!C1464&lt;=2,1,IF(Dataset!C1464=3,2,IF(Dataset!C1464=4,3,4)))</f>
        <v>3</v>
      </c>
      <c r="G1464" s="29">
        <f t="shared" si="177"/>
        <v>1.9500000000000002</v>
      </c>
      <c r="H1464" s="29">
        <f>IF(Dataset!G1464&lt;=3,0.25,IF(Dataset!G1464&lt;=6,0.45,IF(Dataset!G1464&lt;=9,0.65,0.85)))</f>
        <v>0.45</v>
      </c>
      <c r="I1464" s="29">
        <f>IF(Dataset!G1464&lt;=3,1,IF(Dataset!G1464&lt;=6,2,IF(Dataset!G1464&lt;=9,3,4)))</f>
        <v>2</v>
      </c>
      <c r="J1464" s="29">
        <f t="shared" si="178"/>
        <v>0.9</v>
      </c>
      <c r="K1464" s="29">
        <f>IF(Dataset!H1464&lt;1,0.2,IF(Dataset!H1464&lt;1.3,0.45,IF(Dataset!H1464&lt;1.8,0.7,0.9)))</f>
        <v>0.45</v>
      </c>
      <c r="L1464" s="29">
        <f>IF(Dataset!H1464&lt;1,1,IF(Dataset!H1464&lt;1.3,2,IF(Dataset!H1464&lt;1.8,3,4)))</f>
        <v>2</v>
      </c>
      <c r="M1464" s="29">
        <f t="shared" si="179"/>
        <v>0.9</v>
      </c>
      <c r="N1464" s="29">
        <f>IF(Dataset!F1464=1,0.75,IF(Dataset!F1464=2,0.45,0.2))</f>
        <v>0.45</v>
      </c>
      <c r="O1464" s="29">
        <f>IF(Dataset!F1464=1,3,IF(Dataset!F1464=2,2,1))</f>
        <v>2</v>
      </c>
      <c r="P1464" s="29">
        <f t="shared" si="180"/>
        <v>0.9</v>
      </c>
      <c r="Q1464" s="29">
        <f>IF(Dataset!K1464&lt;5,0.2,IF(Dataset!K1464&lt;10,0.45,IF(Dataset!K1464&lt;18,0.7,0.9)))</f>
        <v>0.7</v>
      </c>
      <c r="R1464" s="29">
        <f>IF(Dataset!K1464&lt;5,1,IF(Dataset!K1464&lt;10,2,IF(Dataset!K1464&lt;18,3,4)))</f>
        <v>3</v>
      </c>
      <c r="S1464" s="29">
        <f t="shared" si="181"/>
        <v>2.0999999999999996</v>
      </c>
      <c r="T1464" s="29">
        <f t="shared" si="182"/>
        <v>1.2330000000000001</v>
      </c>
      <c r="U1464" s="29" t="str">
        <f t="shared" si="183"/>
        <v>Low</v>
      </c>
    </row>
    <row r="1465" spans="1:21" ht="15" customHeight="1" x14ac:dyDescent="0.25">
      <c r="A1465" s="29">
        <f>Dataset!A1465</f>
        <v>1461</v>
      </c>
      <c r="B1465" s="29">
        <f>IF(Dataset!B1465&lt;25,0.3,IF(Dataset!B1465&lt;75,0.5,IF(Dataset!B1465&lt;120,0.65,0.8)))</f>
        <v>0.3</v>
      </c>
      <c r="C1465" s="29">
        <f>IF(Dataset!B1465&lt;25,1,IF(Dataset!B1465&lt;75,2,IF(Dataset!B1465&lt;120,3,4)))</f>
        <v>1</v>
      </c>
      <c r="D1465" s="29">
        <f t="shared" si="176"/>
        <v>0.3</v>
      </c>
      <c r="E1465" s="29">
        <f>IF(Dataset!C1465&lt;=1,0.3,IF(Dataset!C1465=2,0.4,IF(Dataset!C1465=3,0.5,IF(Dataset!C1465=4,0.65,0.8))))</f>
        <v>0.4</v>
      </c>
      <c r="F1465" s="29">
        <f>IF(Dataset!C1465&lt;=2,1,IF(Dataset!C1465=3,2,IF(Dataset!C1465=4,3,4)))</f>
        <v>1</v>
      </c>
      <c r="G1465" s="29">
        <f t="shared" si="177"/>
        <v>0.4</v>
      </c>
      <c r="H1465" s="29">
        <f>IF(Dataset!G1465&lt;=3,0.25,IF(Dataset!G1465&lt;=6,0.45,IF(Dataset!G1465&lt;=9,0.65,0.85)))</f>
        <v>0.45</v>
      </c>
      <c r="I1465" s="29">
        <f>IF(Dataset!G1465&lt;=3,1,IF(Dataset!G1465&lt;=6,2,IF(Dataset!G1465&lt;=9,3,4)))</f>
        <v>2</v>
      </c>
      <c r="J1465" s="29">
        <f t="shared" si="178"/>
        <v>0.9</v>
      </c>
      <c r="K1465" s="29">
        <f>IF(Dataset!H1465&lt;1,0.2,IF(Dataset!H1465&lt;1.3,0.45,IF(Dataset!H1465&lt;1.8,0.7,0.9)))</f>
        <v>0.9</v>
      </c>
      <c r="L1465" s="29">
        <f>IF(Dataset!H1465&lt;1,1,IF(Dataset!H1465&lt;1.3,2,IF(Dataset!H1465&lt;1.8,3,4)))</f>
        <v>4</v>
      </c>
      <c r="M1465" s="29">
        <f t="shared" si="179"/>
        <v>3.6</v>
      </c>
      <c r="N1465" s="29">
        <f>IF(Dataset!F1465=1,0.75,IF(Dataset!F1465=2,0.45,0.2))</f>
        <v>0.45</v>
      </c>
      <c r="O1465" s="29">
        <f>IF(Dataset!F1465=1,3,IF(Dataset!F1465=2,2,1))</f>
        <v>2</v>
      </c>
      <c r="P1465" s="29">
        <f t="shared" si="180"/>
        <v>0.9</v>
      </c>
      <c r="Q1465" s="29">
        <f>IF(Dataset!K1465&lt;5,0.2,IF(Dataset!K1465&lt;10,0.45,IF(Dataset!K1465&lt;18,0.7,0.9)))</f>
        <v>0.2</v>
      </c>
      <c r="R1465" s="29">
        <f>IF(Dataset!K1465&lt;5,1,IF(Dataset!K1465&lt;10,2,IF(Dataset!K1465&lt;18,3,4)))</f>
        <v>1</v>
      </c>
      <c r="S1465" s="29">
        <f t="shared" si="181"/>
        <v>0.2</v>
      </c>
      <c r="T1465" s="29">
        <f t="shared" si="182"/>
        <v>1.272</v>
      </c>
      <c r="U1465" s="29" t="str">
        <f t="shared" si="183"/>
        <v>Low</v>
      </c>
    </row>
    <row r="1466" spans="1:21" ht="15" customHeight="1" x14ac:dyDescent="0.25">
      <c r="A1466" s="29">
        <f>Dataset!A1466</f>
        <v>1462</v>
      </c>
      <c r="B1466" s="29">
        <f>IF(Dataset!B1466&lt;25,0.3,IF(Dataset!B1466&lt;75,0.5,IF(Dataset!B1466&lt;120,0.65,0.8)))</f>
        <v>0.65</v>
      </c>
      <c r="C1466" s="29">
        <f>IF(Dataset!B1466&lt;25,1,IF(Dataset!B1466&lt;75,2,IF(Dataset!B1466&lt;120,3,4)))</f>
        <v>3</v>
      </c>
      <c r="D1466" s="29">
        <f t="shared" si="176"/>
        <v>1.9500000000000002</v>
      </c>
      <c r="E1466" s="29">
        <f>IF(Dataset!C1466&lt;=1,0.3,IF(Dataset!C1466=2,0.4,IF(Dataset!C1466=3,0.5,IF(Dataset!C1466=4,0.65,0.8))))</f>
        <v>0.65</v>
      </c>
      <c r="F1466" s="29">
        <f>IF(Dataset!C1466&lt;=2,1,IF(Dataset!C1466=3,2,IF(Dataset!C1466=4,3,4)))</f>
        <v>3</v>
      </c>
      <c r="G1466" s="29">
        <f t="shared" si="177"/>
        <v>1.9500000000000002</v>
      </c>
      <c r="H1466" s="29">
        <f>IF(Dataset!G1466&lt;=3,0.25,IF(Dataset!G1466&lt;=6,0.45,IF(Dataset!G1466&lt;=9,0.65,0.85)))</f>
        <v>0.45</v>
      </c>
      <c r="I1466" s="29">
        <f>IF(Dataset!G1466&lt;=3,1,IF(Dataset!G1466&lt;=6,2,IF(Dataset!G1466&lt;=9,3,4)))</f>
        <v>2</v>
      </c>
      <c r="J1466" s="29">
        <f t="shared" si="178"/>
        <v>0.9</v>
      </c>
      <c r="K1466" s="29">
        <f>IF(Dataset!H1466&lt;1,0.2,IF(Dataset!H1466&lt;1.3,0.45,IF(Dataset!H1466&lt;1.8,0.7,0.9)))</f>
        <v>0.7</v>
      </c>
      <c r="L1466" s="29">
        <f>IF(Dataset!H1466&lt;1,1,IF(Dataset!H1466&lt;1.3,2,IF(Dataset!H1466&lt;1.8,3,4)))</f>
        <v>3</v>
      </c>
      <c r="M1466" s="29">
        <f t="shared" si="179"/>
        <v>2.0999999999999996</v>
      </c>
      <c r="N1466" s="29">
        <f>IF(Dataset!F1466=1,0.75,IF(Dataset!F1466=2,0.45,0.2))</f>
        <v>0.75</v>
      </c>
      <c r="O1466" s="29">
        <f>IF(Dataset!F1466=1,3,IF(Dataset!F1466=2,2,1))</f>
        <v>3</v>
      </c>
      <c r="P1466" s="29">
        <f t="shared" si="180"/>
        <v>2.25</v>
      </c>
      <c r="Q1466" s="29">
        <f>IF(Dataset!K1466&lt;5,0.2,IF(Dataset!K1466&lt;10,0.45,IF(Dataset!K1466&lt;18,0.7,0.9)))</f>
        <v>0.45</v>
      </c>
      <c r="R1466" s="29">
        <f>IF(Dataset!K1466&lt;5,1,IF(Dataset!K1466&lt;10,2,IF(Dataset!K1466&lt;18,3,4)))</f>
        <v>2</v>
      </c>
      <c r="S1466" s="29">
        <f t="shared" si="181"/>
        <v>0.9</v>
      </c>
      <c r="T1466" s="29">
        <f t="shared" si="182"/>
        <v>1.6590000000000003</v>
      </c>
      <c r="U1466" s="29" t="str">
        <f t="shared" si="183"/>
        <v>Medium</v>
      </c>
    </row>
    <row r="1467" spans="1:21" ht="15" customHeight="1" x14ac:dyDescent="0.25">
      <c r="A1467" s="29">
        <f>Dataset!A1467</f>
        <v>1463</v>
      </c>
      <c r="B1467" s="29">
        <f>IF(Dataset!B1467&lt;25,0.3,IF(Dataset!B1467&lt;75,0.5,IF(Dataset!B1467&lt;120,0.65,0.8)))</f>
        <v>0.5</v>
      </c>
      <c r="C1467" s="29">
        <f>IF(Dataset!B1467&lt;25,1,IF(Dataset!B1467&lt;75,2,IF(Dataset!B1467&lt;120,3,4)))</f>
        <v>2</v>
      </c>
      <c r="D1467" s="29">
        <f t="shared" si="176"/>
        <v>1</v>
      </c>
      <c r="E1467" s="29">
        <f>IF(Dataset!C1467&lt;=1,0.3,IF(Dataset!C1467=2,0.4,IF(Dataset!C1467=3,0.5,IF(Dataset!C1467=4,0.65,0.8))))</f>
        <v>0.3</v>
      </c>
      <c r="F1467" s="29">
        <f>IF(Dataset!C1467&lt;=2,1,IF(Dataset!C1467=3,2,IF(Dataset!C1467=4,3,4)))</f>
        <v>1</v>
      </c>
      <c r="G1467" s="29">
        <f t="shared" si="177"/>
        <v>0.3</v>
      </c>
      <c r="H1467" s="29">
        <f>IF(Dataset!G1467&lt;=3,0.25,IF(Dataset!G1467&lt;=6,0.45,IF(Dataset!G1467&lt;=9,0.65,0.85)))</f>
        <v>0.45</v>
      </c>
      <c r="I1467" s="29">
        <f>IF(Dataset!G1467&lt;=3,1,IF(Dataset!G1467&lt;=6,2,IF(Dataset!G1467&lt;=9,3,4)))</f>
        <v>2</v>
      </c>
      <c r="J1467" s="29">
        <f t="shared" si="178"/>
        <v>0.9</v>
      </c>
      <c r="K1467" s="29">
        <f>IF(Dataset!H1467&lt;1,0.2,IF(Dataset!H1467&lt;1.3,0.45,IF(Dataset!H1467&lt;1.8,0.7,0.9)))</f>
        <v>0.9</v>
      </c>
      <c r="L1467" s="29">
        <f>IF(Dataset!H1467&lt;1,1,IF(Dataset!H1467&lt;1.3,2,IF(Dataset!H1467&lt;1.8,3,4)))</f>
        <v>4</v>
      </c>
      <c r="M1467" s="29">
        <f t="shared" si="179"/>
        <v>3.6</v>
      </c>
      <c r="N1467" s="29">
        <f>IF(Dataset!F1467=1,0.75,IF(Dataset!F1467=2,0.45,0.2))</f>
        <v>0.2</v>
      </c>
      <c r="O1467" s="29">
        <f>IF(Dataset!F1467=1,3,IF(Dataset!F1467=2,2,1))</f>
        <v>1</v>
      </c>
      <c r="P1467" s="29">
        <f t="shared" si="180"/>
        <v>0.2</v>
      </c>
      <c r="Q1467" s="29">
        <f>IF(Dataset!K1467&lt;5,0.2,IF(Dataset!K1467&lt;10,0.45,IF(Dataset!K1467&lt;18,0.7,0.9)))</f>
        <v>0.2</v>
      </c>
      <c r="R1467" s="29">
        <f>IF(Dataset!K1467&lt;5,1,IF(Dataset!K1467&lt;10,2,IF(Dataset!K1467&lt;18,3,4)))</f>
        <v>1</v>
      </c>
      <c r="S1467" s="29">
        <f t="shared" si="181"/>
        <v>0.2</v>
      </c>
      <c r="T1467" s="29">
        <f t="shared" si="182"/>
        <v>1.3140000000000001</v>
      </c>
      <c r="U1467" s="29" t="str">
        <f t="shared" si="183"/>
        <v>Low</v>
      </c>
    </row>
    <row r="1468" spans="1:21" ht="15" customHeight="1" x14ac:dyDescent="0.25">
      <c r="A1468" s="29">
        <f>Dataset!A1468</f>
        <v>1464</v>
      </c>
      <c r="B1468" s="29">
        <f>IF(Dataset!B1468&lt;25,0.3,IF(Dataset!B1468&lt;75,0.5,IF(Dataset!B1468&lt;120,0.65,0.8)))</f>
        <v>0.8</v>
      </c>
      <c r="C1468" s="29">
        <f>IF(Dataset!B1468&lt;25,1,IF(Dataset!B1468&lt;75,2,IF(Dataset!B1468&lt;120,3,4)))</f>
        <v>4</v>
      </c>
      <c r="D1468" s="29">
        <f t="shared" si="176"/>
        <v>3.2</v>
      </c>
      <c r="E1468" s="29">
        <f>IF(Dataset!C1468&lt;=1,0.3,IF(Dataset!C1468=2,0.4,IF(Dataset!C1468=3,0.5,IF(Dataset!C1468=4,0.65,0.8))))</f>
        <v>0.5</v>
      </c>
      <c r="F1468" s="29">
        <f>IF(Dataset!C1468&lt;=2,1,IF(Dataset!C1468=3,2,IF(Dataset!C1468=4,3,4)))</f>
        <v>2</v>
      </c>
      <c r="G1468" s="29">
        <f t="shared" si="177"/>
        <v>1</v>
      </c>
      <c r="H1468" s="29">
        <f>IF(Dataset!G1468&lt;=3,0.25,IF(Dataset!G1468&lt;=6,0.45,IF(Dataset!G1468&lt;=9,0.65,0.85)))</f>
        <v>0.65</v>
      </c>
      <c r="I1468" s="29">
        <f>IF(Dataset!G1468&lt;=3,1,IF(Dataset!G1468&lt;=6,2,IF(Dataset!G1468&lt;=9,3,4)))</f>
        <v>3</v>
      </c>
      <c r="J1468" s="29">
        <f t="shared" si="178"/>
        <v>1.9500000000000002</v>
      </c>
      <c r="K1468" s="29">
        <f>IF(Dataset!H1468&lt;1,0.2,IF(Dataset!H1468&lt;1.3,0.45,IF(Dataset!H1468&lt;1.8,0.7,0.9)))</f>
        <v>0.9</v>
      </c>
      <c r="L1468" s="29">
        <f>IF(Dataset!H1468&lt;1,1,IF(Dataset!H1468&lt;1.3,2,IF(Dataset!H1468&lt;1.8,3,4)))</f>
        <v>4</v>
      </c>
      <c r="M1468" s="29">
        <f t="shared" si="179"/>
        <v>3.6</v>
      </c>
      <c r="N1468" s="29">
        <f>IF(Dataset!F1468=1,0.75,IF(Dataset!F1468=2,0.45,0.2))</f>
        <v>0.45</v>
      </c>
      <c r="O1468" s="29">
        <f>IF(Dataset!F1468=1,3,IF(Dataset!F1468=2,2,1))</f>
        <v>2</v>
      </c>
      <c r="P1468" s="29">
        <f t="shared" si="180"/>
        <v>0.9</v>
      </c>
      <c r="Q1468" s="29">
        <f>IF(Dataset!K1468&lt;5,0.2,IF(Dataset!K1468&lt;10,0.45,IF(Dataset!K1468&lt;18,0.7,0.9)))</f>
        <v>0.45</v>
      </c>
      <c r="R1468" s="29">
        <f>IF(Dataset!K1468&lt;5,1,IF(Dataset!K1468&lt;10,2,IF(Dataset!K1468&lt;18,3,4)))</f>
        <v>2</v>
      </c>
      <c r="S1468" s="29">
        <f t="shared" si="181"/>
        <v>0.9</v>
      </c>
      <c r="T1468" s="29">
        <f t="shared" si="182"/>
        <v>2.1859999999999999</v>
      </c>
      <c r="U1468" s="29" t="str">
        <f t="shared" si="183"/>
        <v>High</v>
      </c>
    </row>
    <row r="1469" spans="1:21" ht="15" customHeight="1" x14ac:dyDescent="0.25">
      <c r="A1469" s="29">
        <f>Dataset!A1469</f>
        <v>1465</v>
      </c>
      <c r="B1469" s="29">
        <f>IF(Dataset!B1469&lt;25,0.3,IF(Dataset!B1469&lt;75,0.5,IF(Dataset!B1469&lt;120,0.65,0.8)))</f>
        <v>0.8</v>
      </c>
      <c r="C1469" s="29">
        <f>IF(Dataset!B1469&lt;25,1,IF(Dataset!B1469&lt;75,2,IF(Dataset!B1469&lt;120,3,4)))</f>
        <v>4</v>
      </c>
      <c r="D1469" s="29">
        <f t="shared" si="176"/>
        <v>3.2</v>
      </c>
      <c r="E1469" s="29">
        <f>IF(Dataset!C1469&lt;=1,0.3,IF(Dataset!C1469=2,0.4,IF(Dataset!C1469=3,0.5,IF(Dataset!C1469=4,0.65,0.8))))</f>
        <v>0.3</v>
      </c>
      <c r="F1469" s="29">
        <f>IF(Dataset!C1469&lt;=2,1,IF(Dataset!C1469=3,2,IF(Dataset!C1469=4,3,4)))</f>
        <v>1</v>
      </c>
      <c r="G1469" s="29">
        <f t="shared" si="177"/>
        <v>0.3</v>
      </c>
      <c r="H1469" s="29">
        <f>IF(Dataset!G1469&lt;=3,0.25,IF(Dataset!G1469&lt;=6,0.45,IF(Dataset!G1469&lt;=9,0.65,0.85)))</f>
        <v>0.45</v>
      </c>
      <c r="I1469" s="29">
        <f>IF(Dataset!G1469&lt;=3,1,IF(Dataset!G1469&lt;=6,2,IF(Dataset!G1469&lt;=9,3,4)))</f>
        <v>2</v>
      </c>
      <c r="J1469" s="29">
        <f t="shared" si="178"/>
        <v>0.9</v>
      </c>
      <c r="K1469" s="29">
        <f>IF(Dataset!H1469&lt;1,0.2,IF(Dataset!H1469&lt;1.3,0.45,IF(Dataset!H1469&lt;1.8,0.7,0.9)))</f>
        <v>0.9</v>
      </c>
      <c r="L1469" s="29">
        <f>IF(Dataset!H1469&lt;1,1,IF(Dataset!H1469&lt;1.3,2,IF(Dataset!H1469&lt;1.8,3,4)))</f>
        <v>4</v>
      </c>
      <c r="M1469" s="29">
        <f t="shared" si="179"/>
        <v>3.6</v>
      </c>
      <c r="N1469" s="29">
        <f>IF(Dataset!F1469=1,0.75,IF(Dataset!F1469=2,0.45,0.2))</f>
        <v>0.45</v>
      </c>
      <c r="O1469" s="29">
        <f>IF(Dataset!F1469=1,3,IF(Dataset!F1469=2,2,1))</f>
        <v>2</v>
      </c>
      <c r="P1469" s="29">
        <f t="shared" si="180"/>
        <v>0.9</v>
      </c>
      <c r="Q1469" s="29">
        <f>IF(Dataset!K1469&lt;5,0.2,IF(Dataset!K1469&lt;10,0.45,IF(Dataset!K1469&lt;18,0.7,0.9)))</f>
        <v>0.2</v>
      </c>
      <c r="R1469" s="29">
        <f>IF(Dataset!K1469&lt;5,1,IF(Dataset!K1469&lt;10,2,IF(Dataset!K1469&lt;18,3,4)))</f>
        <v>1</v>
      </c>
      <c r="S1469" s="29">
        <f t="shared" si="181"/>
        <v>0.2</v>
      </c>
      <c r="T1469" s="29">
        <f t="shared" si="182"/>
        <v>1.78</v>
      </c>
      <c r="U1469" s="29" t="str">
        <f t="shared" si="183"/>
        <v>High</v>
      </c>
    </row>
    <row r="1470" spans="1:21" ht="15" customHeight="1" x14ac:dyDescent="0.25">
      <c r="A1470" s="29">
        <f>Dataset!A1470</f>
        <v>1466</v>
      </c>
      <c r="B1470" s="29">
        <f>IF(Dataset!B1470&lt;25,0.3,IF(Dataset!B1470&lt;75,0.5,IF(Dataset!B1470&lt;120,0.65,0.8)))</f>
        <v>0.8</v>
      </c>
      <c r="C1470" s="29">
        <f>IF(Dataset!B1470&lt;25,1,IF(Dataset!B1470&lt;75,2,IF(Dataset!B1470&lt;120,3,4)))</f>
        <v>4</v>
      </c>
      <c r="D1470" s="29">
        <f t="shared" si="176"/>
        <v>3.2</v>
      </c>
      <c r="E1470" s="29">
        <f>IF(Dataset!C1470&lt;=1,0.3,IF(Dataset!C1470=2,0.4,IF(Dataset!C1470=3,0.5,IF(Dataset!C1470=4,0.65,0.8))))</f>
        <v>0.65</v>
      </c>
      <c r="F1470" s="29">
        <f>IF(Dataset!C1470&lt;=2,1,IF(Dataset!C1470=3,2,IF(Dataset!C1470=4,3,4)))</f>
        <v>3</v>
      </c>
      <c r="G1470" s="29">
        <f t="shared" si="177"/>
        <v>1.9500000000000002</v>
      </c>
      <c r="H1470" s="29">
        <f>IF(Dataset!G1470&lt;=3,0.25,IF(Dataset!G1470&lt;=6,0.45,IF(Dataset!G1470&lt;=9,0.65,0.85)))</f>
        <v>0.65</v>
      </c>
      <c r="I1470" s="29">
        <f>IF(Dataset!G1470&lt;=3,1,IF(Dataset!G1470&lt;=6,2,IF(Dataset!G1470&lt;=9,3,4)))</f>
        <v>3</v>
      </c>
      <c r="J1470" s="29">
        <f t="shared" si="178"/>
        <v>1.9500000000000002</v>
      </c>
      <c r="K1470" s="29">
        <f>IF(Dataset!H1470&lt;1,0.2,IF(Dataset!H1470&lt;1.3,0.45,IF(Dataset!H1470&lt;1.8,0.7,0.9)))</f>
        <v>0.7</v>
      </c>
      <c r="L1470" s="29">
        <f>IF(Dataset!H1470&lt;1,1,IF(Dataset!H1470&lt;1.3,2,IF(Dataset!H1470&lt;1.8,3,4)))</f>
        <v>3</v>
      </c>
      <c r="M1470" s="29">
        <f t="shared" si="179"/>
        <v>2.0999999999999996</v>
      </c>
      <c r="N1470" s="29">
        <f>IF(Dataset!F1470=1,0.75,IF(Dataset!F1470=2,0.45,0.2))</f>
        <v>0.45</v>
      </c>
      <c r="O1470" s="29">
        <f>IF(Dataset!F1470=1,3,IF(Dataset!F1470=2,2,1))</f>
        <v>2</v>
      </c>
      <c r="P1470" s="29">
        <f t="shared" si="180"/>
        <v>0.9</v>
      </c>
      <c r="Q1470" s="29">
        <f>IF(Dataset!K1470&lt;5,0.2,IF(Dataset!K1470&lt;10,0.45,IF(Dataset!K1470&lt;18,0.7,0.9)))</f>
        <v>0.45</v>
      </c>
      <c r="R1470" s="29">
        <f>IF(Dataset!K1470&lt;5,1,IF(Dataset!K1470&lt;10,2,IF(Dataset!K1470&lt;18,3,4)))</f>
        <v>2</v>
      </c>
      <c r="S1470" s="29">
        <f t="shared" si="181"/>
        <v>0.9</v>
      </c>
      <c r="T1470" s="29">
        <f t="shared" si="182"/>
        <v>1.9590000000000001</v>
      </c>
      <c r="U1470" s="29" t="str">
        <f t="shared" si="183"/>
        <v>High</v>
      </c>
    </row>
    <row r="1471" spans="1:21" ht="15" customHeight="1" x14ac:dyDescent="0.25">
      <c r="A1471" s="29">
        <f>Dataset!A1471</f>
        <v>1467</v>
      </c>
      <c r="B1471" s="29">
        <f>IF(Dataset!B1471&lt;25,0.3,IF(Dataset!B1471&lt;75,0.5,IF(Dataset!B1471&lt;120,0.65,0.8)))</f>
        <v>0.5</v>
      </c>
      <c r="C1471" s="29">
        <f>IF(Dataset!B1471&lt;25,1,IF(Dataset!B1471&lt;75,2,IF(Dataset!B1471&lt;120,3,4)))</f>
        <v>2</v>
      </c>
      <c r="D1471" s="29">
        <f t="shared" si="176"/>
        <v>1</v>
      </c>
      <c r="E1471" s="29">
        <f>IF(Dataset!C1471&lt;=1,0.3,IF(Dataset!C1471=2,0.4,IF(Dataset!C1471=3,0.5,IF(Dataset!C1471=4,0.65,0.8))))</f>
        <v>0.65</v>
      </c>
      <c r="F1471" s="29">
        <f>IF(Dataset!C1471&lt;=2,1,IF(Dataset!C1471=3,2,IF(Dataset!C1471=4,3,4)))</f>
        <v>3</v>
      </c>
      <c r="G1471" s="29">
        <f t="shared" si="177"/>
        <v>1.9500000000000002</v>
      </c>
      <c r="H1471" s="29">
        <f>IF(Dataset!G1471&lt;=3,0.25,IF(Dataset!G1471&lt;=6,0.45,IF(Dataset!G1471&lt;=9,0.65,0.85)))</f>
        <v>0.45</v>
      </c>
      <c r="I1471" s="29">
        <f>IF(Dataset!G1471&lt;=3,1,IF(Dataset!G1471&lt;=6,2,IF(Dataset!G1471&lt;=9,3,4)))</f>
        <v>2</v>
      </c>
      <c r="J1471" s="29">
        <f t="shared" si="178"/>
        <v>0.9</v>
      </c>
      <c r="K1471" s="29">
        <f>IF(Dataset!H1471&lt;1,0.2,IF(Dataset!H1471&lt;1.3,0.45,IF(Dataset!H1471&lt;1.8,0.7,0.9)))</f>
        <v>0.9</v>
      </c>
      <c r="L1471" s="29">
        <f>IF(Dataset!H1471&lt;1,1,IF(Dataset!H1471&lt;1.3,2,IF(Dataset!H1471&lt;1.8,3,4)))</f>
        <v>4</v>
      </c>
      <c r="M1471" s="29">
        <f t="shared" si="179"/>
        <v>3.6</v>
      </c>
      <c r="N1471" s="29">
        <f>IF(Dataset!F1471=1,0.75,IF(Dataset!F1471=2,0.45,0.2))</f>
        <v>0.45</v>
      </c>
      <c r="O1471" s="29">
        <f>IF(Dataset!F1471=1,3,IF(Dataset!F1471=2,2,1))</f>
        <v>2</v>
      </c>
      <c r="P1471" s="29">
        <f t="shared" si="180"/>
        <v>0.9</v>
      </c>
      <c r="Q1471" s="29">
        <f>IF(Dataset!K1471&lt;5,0.2,IF(Dataset!K1471&lt;10,0.45,IF(Dataset!K1471&lt;18,0.7,0.9)))</f>
        <v>0.45</v>
      </c>
      <c r="R1471" s="29">
        <f>IF(Dataset!K1471&lt;5,1,IF(Dataset!K1471&lt;10,2,IF(Dataset!K1471&lt;18,3,4)))</f>
        <v>2</v>
      </c>
      <c r="S1471" s="29">
        <f t="shared" si="181"/>
        <v>0.9</v>
      </c>
      <c r="T1471" s="29">
        <f t="shared" si="182"/>
        <v>1.7130000000000003</v>
      </c>
      <c r="U1471" s="29" t="str">
        <f t="shared" si="183"/>
        <v>Medium</v>
      </c>
    </row>
    <row r="1472" spans="1:21" ht="15" customHeight="1" x14ac:dyDescent="0.25">
      <c r="A1472" s="29">
        <f>Dataset!A1472</f>
        <v>1468</v>
      </c>
      <c r="B1472" s="29">
        <f>IF(Dataset!B1472&lt;25,0.3,IF(Dataset!B1472&lt;75,0.5,IF(Dataset!B1472&lt;120,0.65,0.8)))</f>
        <v>0.5</v>
      </c>
      <c r="C1472" s="29">
        <f>IF(Dataset!B1472&lt;25,1,IF(Dataset!B1472&lt;75,2,IF(Dataset!B1472&lt;120,3,4)))</f>
        <v>2</v>
      </c>
      <c r="D1472" s="29">
        <f t="shared" si="176"/>
        <v>1</v>
      </c>
      <c r="E1472" s="29">
        <f>IF(Dataset!C1472&lt;=1,0.3,IF(Dataset!C1472=2,0.4,IF(Dataset!C1472=3,0.5,IF(Dataset!C1472=4,0.65,0.8))))</f>
        <v>0.65</v>
      </c>
      <c r="F1472" s="29">
        <f>IF(Dataset!C1472&lt;=2,1,IF(Dataset!C1472=3,2,IF(Dataset!C1472=4,3,4)))</f>
        <v>3</v>
      </c>
      <c r="G1472" s="29">
        <f t="shared" si="177"/>
        <v>1.9500000000000002</v>
      </c>
      <c r="H1472" s="29">
        <f>IF(Dataset!G1472&lt;=3,0.25,IF(Dataset!G1472&lt;=6,0.45,IF(Dataset!G1472&lt;=9,0.65,0.85)))</f>
        <v>0.45</v>
      </c>
      <c r="I1472" s="29">
        <f>IF(Dataset!G1472&lt;=3,1,IF(Dataset!G1472&lt;=6,2,IF(Dataset!G1472&lt;=9,3,4)))</f>
        <v>2</v>
      </c>
      <c r="J1472" s="29">
        <f t="shared" si="178"/>
        <v>0.9</v>
      </c>
      <c r="K1472" s="29">
        <f>IF(Dataset!H1472&lt;1,0.2,IF(Dataset!H1472&lt;1.3,0.45,IF(Dataset!H1472&lt;1.8,0.7,0.9)))</f>
        <v>0.45</v>
      </c>
      <c r="L1472" s="29">
        <f>IF(Dataset!H1472&lt;1,1,IF(Dataset!H1472&lt;1.3,2,IF(Dataset!H1472&lt;1.8,3,4)))</f>
        <v>2</v>
      </c>
      <c r="M1472" s="29">
        <f t="shared" si="179"/>
        <v>0.9</v>
      </c>
      <c r="N1472" s="29">
        <f>IF(Dataset!F1472=1,0.75,IF(Dataset!F1472=2,0.45,0.2))</f>
        <v>0.75</v>
      </c>
      <c r="O1472" s="29">
        <f>IF(Dataset!F1472=1,3,IF(Dataset!F1472=2,2,1))</f>
        <v>3</v>
      </c>
      <c r="P1472" s="29">
        <f t="shared" si="180"/>
        <v>2.25</v>
      </c>
      <c r="Q1472" s="29">
        <f>IF(Dataset!K1472&lt;5,0.2,IF(Dataset!K1472&lt;10,0.45,IF(Dataset!K1472&lt;18,0.7,0.9)))</f>
        <v>0.7</v>
      </c>
      <c r="R1472" s="29">
        <f>IF(Dataset!K1472&lt;5,1,IF(Dataset!K1472&lt;10,2,IF(Dataset!K1472&lt;18,3,4)))</f>
        <v>3</v>
      </c>
      <c r="S1472" s="29">
        <f t="shared" si="181"/>
        <v>2.0999999999999996</v>
      </c>
      <c r="T1472" s="29">
        <f t="shared" si="182"/>
        <v>1.3680000000000001</v>
      </c>
      <c r="U1472" s="29" t="str">
        <f t="shared" si="183"/>
        <v>Medium</v>
      </c>
    </row>
    <row r="1473" spans="1:21" ht="15" customHeight="1" x14ac:dyDescent="0.25">
      <c r="A1473" s="29">
        <f>Dataset!A1473</f>
        <v>1469</v>
      </c>
      <c r="B1473" s="29">
        <f>IF(Dataset!B1473&lt;25,0.3,IF(Dataset!B1473&lt;75,0.5,IF(Dataset!B1473&lt;120,0.65,0.8)))</f>
        <v>0.5</v>
      </c>
      <c r="C1473" s="29">
        <f>IF(Dataset!B1473&lt;25,1,IF(Dataset!B1473&lt;75,2,IF(Dataset!B1473&lt;120,3,4)))</f>
        <v>2</v>
      </c>
      <c r="D1473" s="29">
        <f t="shared" si="176"/>
        <v>1</v>
      </c>
      <c r="E1473" s="29">
        <f>IF(Dataset!C1473&lt;=1,0.3,IF(Dataset!C1473=2,0.4,IF(Dataset!C1473=3,0.5,IF(Dataset!C1473=4,0.65,0.8))))</f>
        <v>0.8</v>
      </c>
      <c r="F1473" s="29">
        <f>IF(Dataset!C1473&lt;=2,1,IF(Dataset!C1473=3,2,IF(Dataset!C1473=4,3,4)))</f>
        <v>4</v>
      </c>
      <c r="G1473" s="29">
        <f t="shared" si="177"/>
        <v>3.2</v>
      </c>
      <c r="H1473" s="29">
        <f>IF(Dataset!G1473&lt;=3,0.25,IF(Dataset!G1473&lt;=6,0.45,IF(Dataset!G1473&lt;=9,0.65,0.85)))</f>
        <v>0.45</v>
      </c>
      <c r="I1473" s="29">
        <f>IF(Dataset!G1473&lt;=3,1,IF(Dataset!G1473&lt;=6,2,IF(Dataset!G1473&lt;=9,3,4)))</f>
        <v>2</v>
      </c>
      <c r="J1473" s="29">
        <f t="shared" si="178"/>
        <v>0.9</v>
      </c>
      <c r="K1473" s="29">
        <f>IF(Dataset!H1473&lt;1,0.2,IF(Dataset!H1473&lt;1.3,0.45,IF(Dataset!H1473&lt;1.8,0.7,0.9)))</f>
        <v>0.45</v>
      </c>
      <c r="L1473" s="29">
        <f>IF(Dataset!H1473&lt;1,1,IF(Dataset!H1473&lt;1.3,2,IF(Dataset!H1473&lt;1.8,3,4)))</f>
        <v>2</v>
      </c>
      <c r="M1473" s="29">
        <f t="shared" si="179"/>
        <v>0.9</v>
      </c>
      <c r="N1473" s="29">
        <f>IF(Dataset!F1473=1,0.75,IF(Dataset!F1473=2,0.45,0.2))</f>
        <v>0.2</v>
      </c>
      <c r="O1473" s="29">
        <f>IF(Dataset!F1473=1,3,IF(Dataset!F1473=2,2,1))</f>
        <v>1</v>
      </c>
      <c r="P1473" s="29">
        <f t="shared" si="180"/>
        <v>0.2</v>
      </c>
      <c r="Q1473" s="29">
        <f>IF(Dataset!K1473&lt;5,0.2,IF(Dataset!K1473&lt;10,0.45,IF(Dataset!K1473&lt;18,0.7,0.9)))</f>
        <v>0.9</v>
      </c>
      <c r="R1473" s="29">
        <f>IF(Dataset!K1473&lt;5,1,IF(Dataset!K1473&lt;10,2,IF(Dataset!K1473&lt;18,3,4)))</f>
        <v>4</v>
      </c>
      <c r="S1473" s="29">
        <f t="shared" si="181"/>
        <v>3.6</v>
      </c>
      <c r="T1473" s="29">
        <f t="shared" si="182"/>
        <v>1.5480000000000005</v>
      </c>
      <c r="U1473" s="29" t="str">
        <f t="shared" si="183"/>
        <v>Medium</v>
      </c>
    </row>
    <row r="1474" spans="1:21" ht="15" customHeight="1" x14ac:dyDescent="0.25">
      <c r="A1474" s="29">
        <f>Dataset!A1474</f>
        <v>1470</v>
      </c>
      <c r="B1474" s="29">
        <f>IF(Dataset!B1474&lt;25,0.3,IF(Dataset!B1474&lt;75,0.5,IF(Dataset!B1474&lt;120,0.65,0.8)))</f>
        <v>0.5</v>
      </c>
      <c r="C1474" s="29">
        <f>IF(Dataset!B1474&lt;25,1,IF(Dataset!B1474&lt;75,2,IF(Dataset!B1474&lt;120,3,4)))</f>
        <v>2</v>
      </c>
      <c r="D1474" s="29">
        <f t="shared" si="176"/>
        <v>1</v>
      </c>
      <c r="E1474" s="29">
        <f>IF(Dataset!C1474&lt;=1,0.3,IF(Dataset!C1474=2,0.4,IF(Dataset!C1474=3,0.5,IF(Dataset!C1474=4,0.65,0.8))))</f>
        <v>0.65</v>
      </c>
      <c r="F1474" s="29">
        <f>IF(Dataset!C1474&lt;=2,1,IF(Dataset!C1474=3,2,IF(Dataset!C1474=4,3,4)))</f>
        <v>3</v>
      </c>
      <c r="G1474" s="29">
        <f t="shared" si="177"/>
        <v>1.9500000000000002</v>
      </c>
      <c r="H1474" s="29">
        <f>IF(Dataset!G1474&lt;=3,0.25,IF(Dataset!G1474&lt;=6,0.45,IF(Dataset!G1474&lt;=9,0.65,0.85)))</f>
        <v>0.45</v>
      </c>
      <c r="I1474" s="29">
        <f>IF(Dataset!G1474&lt;=3,1,IF(Dataset!G1474&lt;=6,2,IF(Dataset!G1474&lt;=9,3,4)))</f>
        <v>2</v>
      </c>
      <c r="J1474" s="29">
        <f t="shared" si="178"/>
        <v>0.9</v>
      </c>
      <c r="K1474" s="29">
        <f>IF(Dataset!H1474&lt;1,0.2,IF(Dataset!H1474&lt;1.3,0.45,IF(Dataset!H1474&lt;1.8,0.7,0.9)))</f>
        <v>0.7</v>
      </c>
      <c r="L1474" s="29">
        <f>IF(Dataset!H1474&lt;1,1,IF(Dataset!H1474&lt;1.3,2,IF(Dataset!H1474&lt;1.8,3,4)))</f>
        <v>3</v>
      </c>
      <c r="M1474" s="29">
        <f t="shared" si="179"/>
        <v>2.0999999999999996</v>
      </c>
      <c r="N1474" s="29">
        <f>IF(Dataset!F1474=1,0.75,IF(Dataset!F1474=2,0.45,0.2))</f>
        <v>0.45</v>
      </c>
      <c r="O1474" s="29">
        <f>IF(Dataset!F1474=1,3,IF(Dataset!F1474=2,2,1))</f>
        <v>2</v>
      </c>
      <c r="P1474" s="29">
        <f t="shared" si="180"/>
        <v>0.9</v>
      </c>
      <c r="Q1474" s="29">
        <f>IF(Dataset!K1474&lt;5,0.2,IF(Dataset!K1474&lt;10,0.45,IF(Dataset!K1474&lt;18,0.7,0.9)))</f>
        <v>0.7</v>
      </c>
      <c r="R1474" s="29">
        <f>IF(Dataset!K1474&lt;5,1,IF(Dataset!K1474&lt;10,2,IF(Dataset!K1474&lt;18,3,4)))</f>
        <v>3</v>
      </c>
      <c r="S1474" s="29">
        <f t="shared" si="181"/>
        <v>2.0999999999999996</v>
      </c>
      <c r="T1474" s="29">
        <f t="shared" si="182"/>
        <v>1.5210000000000001</v>
      </c>
      <c r="U1474" s="29" t="str">
        <f t="shared" si="183"/>
        <v>Medium</v>
      </c>
    </row>
    <row r="1475" spans="1:21" ht="15" customHeight="1" x14ac:dyDescent="0.25">
      <c r="A1475" s="29">
        <f>Dataset!A1475</f>
        <v>1471</v>
      </c>
      <c r="B1475" s="29">
        <f>IF(Dataset!B1475&lt;25,0.3,IF(Dataset!B1475&lt;75,0.5,IF(Dataset!B1475&lt;120,0.65,0.8)))</f>
        <v>0.5</v>
      </c>
      <c r="C1475" s="29">
        <f>IF(Dataset!B1475&lt;25,1,IF(Dataset!B1475&lt;75,2,IF(Dataset!B1475&lt;120,3,4)))</f>
        <v>2</v>
      </c>
      <c r="D1475" s="29">
        <f t="shared" si="176"/>
        <v>1</v>
      </c>
      <c r="E1475" s="29">
        <f>IF(Dataset!C1475&lt;=1,0.3,IF(Dataset!C1475=2,0.4,IF(Dataset!C1475=3,0.5,IF(Dataset!C1475=4,0.65,0.8))))</f>
        <v>0.65</v>
      </c>
      <c r="F1475" s="29">
        <f>IF(Dataset!C1475&lt;=2,1,IF(Dataset!C1475=3,2,IF(Dataset!C1475=4,3,4)))</f>
        <v>3</v>
      </c>
      <c r="G1475" s="29">
        <f t="shared" si="177"/>
        <v>1.9500000000000002</v>
      </c>
      <c r="H1475" s="29">
        <f>IF(Dataset!G1475&lt;=3,0.25,IF(Dataset!G1475&lt;=6,0.45,IF(Dataset!G1475&lt;=9,0.65,0.85)))</f>
        <v>0.85</v>
      </c>
      <c r="I1475" s="29">
        <f>IF(Dataset!G1475&lt;=3,1,IF(Dataset!G1475&lt;=6,2,IF(Dataset!G1475&lt;=9,3,4)))</f>
        <v>4</v>
      </c>
      <c r="J1475" s="29">
        <f t="shared" si="178"/>
        <v>3.4</v>
      </c>
      <c r="K1475" s="29">
        <f>IF(Dataset!H1475&lt;1,0.2,IF(Dataset!H1475&lt;1.3,0.45,IF(Dataset!H1475&lt;1.8,0.7,0.9)))</f>
        <v>0.45</v>
      </c>
      <c r="L1475" s="29">
        <f>IF(Dataset!H1475&lt;1,1,IF(Dataset!H1475&lt;1.3,2,IF(Dataset!H1475&lt;1.8,3,4)))</f>
        <v>2</v>
      </c>
      <c r="M1475" s="29">
        <f t="shared" si="179"/>
        <v>0.9</v>
      </c>
      <c r="N1475" s="29">
        <f>IF(Dataset!F1475=1,0.75,IF(Dataset!F1475=2,0.45,0.2))</f>
        <v>0.75</v>
      </c>
      <c r="O1475" s="29">
        <f>IF(Dataset!F1475=1,3,IF(Dataset!F1475=2,2,1))</f>
        <v>3</v>
      </c>
      <c r="P1475" s="29">
        <f t="shared" si="180"/>
        <v>2.25</v>
      </c>
      <c r="Q1475" s="29">
        <f>IF(Dataset!K1475&lt;5,0.2,IF(Dataset!K1475&lt;10,0.45,IF(Dataset!K1475&lt;18,0.7,0.9)))</f>
        <v>0.45</v>
      </c>
      <c r="R1475" s="29">
        <f>IF(Dataset!K1475&lt;5,1,IF(Dataset!K1475&lt;10,2,IF(Dataset!K1475&lt;18,3,4)))</f>
        <v>2</v>
      </c>
      <c r="S1475" s="29">
        <f t="shared" si="181"/>
        <v>0.9</v>
      </c>
      <c r="T1475" s="29">
        <f t="shared" si="182"/>
        <v>1.7000000000000002</v>
      </c>
      <c r="U1475" s="29" t="str">
        <f t="shared" si="183"/>
        <v>Medium</v>
      </c>
    </row>
    <row r="1476" spans="1:21" ht="15" customHeight="1" x14ac:dyDescent="0.25">
      <c r="A1476" s="29">
        <f>Dataset!A1476</f>
        <v>1472</v>
      </c>
      <c r="B1476" s="29">
        <f>IF(Dataset!B1476&lt;25,0.3,IF(Dataset!B1476&lt;75,0.5,IF(Dataset!B1476&lt;120,0.65,0.8)))</f>
        <v>0.5</v>
      </c>
      <c r="C1476" s="29">
        <f>IF(Dataset!B1476&lt;25,1,IF(Dataset!B1476&lt;75,2,IF(Dataset!B1476&lt;120,3,4)))</f>
        <v>2</v>
      </c>
      <c r="D1476" s="29">
        <f t="shared" si="176"/>
        <v>1</v>
      </c>
      <c r="E1476" s="29">
        <f>IF(Dataset!C1476&lt;=1,0.3,IF(Dataset!C1476=2,0.4,IF(Dataset!C1476=3,0.5,IF(Dataset!C1476=4,0.65,0.8))))</f>
        <v>0.5</v>
      </c>
      <c r="F1476" s="29">
        <f>IF(Dataset!C1476&lt;=2,1,IF(Dataset!C1476=3,2,IF(Dataset!C1476=4,3,4)))</f>
        <v>2</v>
      </c>
      <c r="G1476" s="29">
        <f t="shared" si="177"/>
        <v>1</v>
      </c>
      <c r="H1476" s="29">
        <f>IF(Dataset!G1476&lt;=3,0.25,IF(Dataset!G1476&lt;=6,0.45,IF(Dataset!G1476&lt;=9,0.65,0.85)))</f>
        <v>0.45</v>
      </c>
      <c r="I1476" s="29">
        <f>IF(Dataset!G1476&lt;=3,1,IF(Dataset!G1476&lt;=6,2,IF(Dataset!G1476&lt;=9,3,4)))</f>
        <v>2</v>
      </c>
      <c r="J1476" s="29">
        <f t="shared" si="178"/>
        <v>0.9</v>
      </c>
      <c r="K1476" s="29">
        <f>IF(Dataset!H1476&lt;1,0.2,IF(Dataset!H1476&lt;1.3,0.45,IF(Dataset!H1476&lt;1.8,0.7,0.9)))</f>
        <v>0.9</v>
      </c>
      <c r="L1476" s="29">
        <f>IF(Dataset!H1476&lt;1,1,IF(Dataset!H1476&lt;1.3,2,IF(Dataset!H1476&lt;1.8,3,4)))</f>
        <v>4</v>
      </c>
      <c r="M1476" s="29">
        <f t="shared" si="179"/>
        <v>3.6</v>
      </c>
      <c r="N1476" s="29">
        <f>IF(Dataset!F1476=1,0.75,IF(Dataset!F1476=2,0.45,0.2))</f>
        <v>0.75</v>
      </c>
      <c r="O1476" s="29">
        <f>IF(Dataset!F1476=1,3,IF(Dataset!F1476=2,2,1))</f>
        <v>3</v>
      </c>
      <c r="P1476" s="29">
        <f t="shared" si="180"/>
        <v>2.25</v>
      </c>
      <c r="Q1476" s="29">
        <f>IF(Dataset!K1476&lt;5,0.2,IF(Dataset!K1476&lt;10,0.45,IF(Dataset!K1476&lt;18,0.7,0.9)))</f>
        <v>0.45</v>
      </c>
      <c r="R1476" s="29">
        <f>IF(Dataset!K1476&lt;5,1,IF(Dataset!K1476&lt;10,2,IF(Dataset!K1476&lt;18,3,4)))</f>
        <v>2</v>
      </c>
      <c r="S1476" s="29">
        <f t="shared" si="181"/>
        <v>0.9</v>
      </c>
      <c r="T1476" s="29">
        <f t="shared" si="182"/>
        <v>1.7150000000000001</v>
      </c>
      <c r="U1476" s="29" t="str">
        <f t="shared" si="183"/>
        <v>Medium</v>
      </c>
    </row>
    <row r="1477" spans="1:21" ht="15" customHeight="1" x14ac:dyDescent="0.25">
      <c r="A1477" s="29">
        <f>Dataset!A1477</f>
        <v>1473</v>
      </c>
      <c r="B1477" s="29">
        <f>IF(Dataset!B1477&lt;25,0.3,IF(Dataset!B1477&lt;75,0.5,IF(Dataset!B1477&lt;120,0.65,0.8)))</f>
        <v>0.3</v>
      </c>
      <c r="C1477" s="29">
        <f>IF(Dataset!B1477&lt;25,1,IF(Dataset!B1477&lt;75,2,IF(Dataset!B1477&lt;120,3,4)))</f>
        <v>1</v>
      </c>
      <c r="D1477" s="29">
        <f t="shared" ref="D1477:D1540" si="184">B1477*C1477</f>
        <v>0.3</v>
      </c>
      <c r="E1477" s="29">
        <f>IF(Dataset!C1477&lt;=1,0.3,IF(Dataset!C1477=2,0.4,IF(Dataset!C1477=3,0.5,IF(Dataset!C1477=4,0.65,0.8))))</f>
        <v>0.8</v>
      </c>
      <c r="F1477" s="29">
        <f>IF(Dataset!C1477&lt;=2,1,IF(Dataset!C1477=3,2,IF(Dataset!C1477=4,3,4)))</f>
        <v>4</v>
      </c>
      <c r="G1477" s="29">
        <f t="shared" ref="G1477:G1540" si="185">E1477*F1477</f>
        <v>3.2</v>
      </c>
      <c r="H1477" s="29">
        <f>IF(Dataset!G1477&lt;=3,0.25,IF(Dataset!G1477&lt;=6,0.45,IF(Dataset!G1477&lt;=9,0.65,0.85)))</f>
        <v>0.65</v>
      </c>
      <c r="I1477" s="29">
        <f>IF(Dataset!G1477&lt;=3,1,IF(Dataset!G1477&lt;=6,2,IF(Dataset!G1477&lt;=9,3,4)))</f>
        <v>3</v>
      </c>
      <c r="J1477" s="29">
        <f t="shared" ref="J1477:J1540" si="186">H1477*I1477</f>
        <v>1.9500000000000002</v>
      </c>
      <c r="K1477" s="29">
        <f>IF(Dataset!H1477&lt;1,0.2,IF(Dataset!H1477&lt;1.3,0.45,IF(Dataset!H1477&lt;1.8,0.7,0.9)))</f>
        <v>0.9</v>
      </c>
      <c r="L1477" s="29">
        <f>IF(Dataset!H1477&lt;1,1,IF(Dataset!H1477&lt;1.3,2,IF(Dataset!H1477&lt;1.8,3,4)))</f>
        <v>4</v>
      </c>
      <c r="M1477" s="29">
        <f t="shared" ref="M1477:M1540" si="187">K1477*L1477</f>
        <v>3.6</v>
      </c>
      <c r="N1477" s="29">
        <f>IF(Dataset!F1477=1,0.75,IF(Dataset!F1477=2,0.45,0.2))</f>
        <v>0.45</v>
      </c>
      <c r="O1477" s="29">
        <f>IF(Dataset!F1477=1,3,IF(Dataset!F1477=2,2,1))</f>
        <v>2</v>
      </c>
      <c r="P1477" s="29">
        <f t="shared" ref="P1477:P1540" si="188">N1477*O1477</f>
        <v>0.9</v>
      </c>
      <c r="Q1477" s="29">
        <f>IF(Dataset!K1477&lt;5,0.2,IF(Dataset!K1477&lt;10,0.45,IF(Dataset!K1477&lt;18,0.7,0.9)))</f>
        <v>0.7</v>
      </c>
      <c r="R1477" s="29">
        <f>IF(Dataset!K1477&lt;5,1,IF(Dataset!K1477&lt;10,2,IF(Dataset!K1477&lt;18,3,4)))</f>
        <v>3</v>
      </c>
      <c r="S1477" s="29">
        <f t="shared" ref="S1477:S1540" si="189">Q1477*R1477</f>
        <v>2.0999999999999996</v>
      </c>
      <c r="T1477" s="29">
        <f t="shared" ref="T1477:T1540" si="190">$Y$6*D1477+$Y$7*G1477+$Y$8*J1477+$Y$9*M1477+$Y$10*P1477+$Y$11*S1477</f>
        <v>2.14</v>
      </c>
      <c r="U1477" s="29" t="str">
        <f t="shared" ref="U1477:U1540" si="191">IF(T1477&lt;=$Y$15,"Low",IF(T1477&lt;=$Y$16,"Medium","High"))</f>
        <v>High</v>
      </c>
    </row>
    <row r="1478" spans="1:21" ht="15" customHeight="1" x14ac:dyDescent="0.25">
      <c r="A1478" s="29">
        <f>Dataset!A1478</f>
        <v>1474</v>
      </c>
      <c r="B1478" s="29">
        <f>IF(Dataset!B1478&lt;25,0.3,IF(Dataset!B1478&lt;75,0.5,IF(Dataset!B1478&lt;120,0.65,0.8)))</f>
        <v>0.8</v>
      </c>
      <c r="C1478" s="29">
        <f>IF(Dataset!B1478&lt;25,1,IF(Dataset!B1478&lt;75,2,IF(Dataset!B1478&lt;120,3,4)))</f>
        <v>4</v>
      </c>
      <c r="D1478" s="29">
        <f t="shared" si="184"/>
        <v>3.2</v>
      </c>
      <c r="E1478" s="29">
        <f>IF(Dataset!C1478&lt;=1,0.3,IF(Dataset!C1478=2,0.4,IF(Dataset!C1478=3,0.5,IF(Dataset!C1478=4,0.65,0.8))))</f>
        <v>0.65</v>
      </c>
      <c r="F1478" s="29">
        <f>IF(Dataset!C1478&lt;=2,1,IF(Dataset!C1478=3,2,IF(Dataset!C1478=4,3,4)))</f>
        <v>3</v>
      </c>
      <c r="G1478" s="29">
        <f t="shared" si="185"/>
        <v>1.9500000000000002</v>
      </c>
      <c r="H1478" s="29">
        <f>IF(Dataset!G1478&lt;=3,0.25,IF(Dataset!G1478&lt;=6,0.45,IF(Dataset!G1478&lt;=9,0.65,0.85)))</f>
        <v>0.65</v>
      </c>
      <c r="I1478" s="29">
        <f>IF(Dataset!G1478&lt;=3,1,IF(Dataset!G1478&lt;=6,2,IF(Dataset!G1478&lt;=9,3,4)))</f>
        <v>3</v>
      </c>
      <c r="J1478" s="29">
        <f t="shared" si="186"/>
        <v>1.9500000000000002</v>
      </c>
      <c r="K1478" s="29">
        <f>IF(Dataset!H1478&lt;1,0.2,IF(Dataset!H1478&lt;1.3,0.45,IF(Dataset!H1478&lt;1.8,0.7,0.9)))</f>
        <v>0.45</v>
      </c>
      <c r="L1478" s="29">
        <f>IF(Dataset!H1478&lt;1,1,IF(Dataset!H1478&lt;1.3,2,IF(Dataset!H1478&lt;1.8,3,4)))</f>
        <v>2</v>
      </c>
      <c r="M1478" s="29">
        <f t="shared" si="187"/>
        <v>0.9</v>
      </c>
      <c r="N1478" s="29">
        <f>IF(Dataset!F1478=1,0.75,IF(Dataset!F1478=2,0.45,0.2))</f>
        <v>0.2</v>
      </c>
      <c r="O1478" s="29">
        <f>IF(Dataset!F1478=1,3,IF(Dataset!F1478=2,2,1))</f>
        <v>1</v>
      </c>
      <c r="P1478" s="29">
        <f t="shared" si="188"/>
        <v>0.2</v>
      </c>
      <c r="Q1478" s="29">
        <f>IF(Dataset!K1478&lt;5,0.2,IF(Dataset!K1478&lt;10,0.45,IF(Dataset!K1478&lt;18,0.7,0.9)))</f>
        <v>0.45</v>
      </c>
      <c r="R1478" s="29">
        <f>IF(Dataset!K1478&lt;5,1,IF(Dataset!K1478&lt;10,2,IF(Dataset!K1478&lt;18,3,4)))</f>
        <v>2</v>
      </c>
      <c r="S1478" s="29">
        <f t="shared" si="189"/>
        <v>0.9</v>
      </c>
      <c r="T1478" s="29">
        <f t="shared" si="190"/>
        <v>1.6010000000000002</v>
      </c>
      <c r="U1478" s="29" t="str">
        <f t="shared" si="191"/>
        <v>Medium</v>
      </c>
    </row>
    <row r="1479" spans="1:21" ht="15" customHeight="1" x14ac:dyDescent="0.25">
      <c r="A1479" s="29">
        <f>Dataset!A1479</f>
        <v>1475</v>
      </c>
      <c r="B1479" s="29">
        <f>IF(Dataset!B1479&lt;25,0.3,IF(Dataset!B1479&lt;75,0.5,IF(Dataset!B1479&lt;120,0.65,0.8)))</f>
        <v>0.8</v>
      </c>
      <c r="C1479" s="29">
        <f>IF(Dataset!B1479&lt;25,1,IF(Dataset!B1479&lt;75,2,IF(Dataset!B1479&lt;120,3,4)))</f>
        <v>4</v>
      </c>
      <c r="D1479" s="29">
        <f t="shared" si="184"/>
        <v>3.2</v>
      </c>
      <c r="E1479" s="29">
        <f>IF(Dataset!C1479&lt;=1,0.3,IF(Dataset!C1479=2,0.4,IF(Dataset!C1479=3,0.5,IF(Dataset!C1479=4,0.65,0.8))))</f>
        <v>0.8</v>
      </c>
      <c r="F1479" s="29">
        <f>IF(Dataset!C1479&lt;=2,1,IF(Dataset!C1479=3,2,IF(Dataset!C1479=4,3,4)))</f>
        <v>4</v>
      </c>
      <c r="G1479" s="29">
        <f t="shared" si="185"/>
        <v>3.2</v>
      </c>
      <c r="H1479" s="29">
        <f>IF(Dataset!G1479&lt;=3,0.25,IF(Dataset!G1479&lt;=6,0.45,IF(Dataset!G1479&lt;=9,0.65,0.85)))</f>
        <v>0.25</v>
      </c>
      <c r="I1479" s="29">
        <f>IF(Dataset!G1479&lt;=3,1,IF(Dataset!G1479&lt;=6,2,IF(Dataset!G1479&lt;=9,3,4)))</f>
        <v>1</v>
      </c>
      <c r="J1479" s="29">
        <f t="shared" si="186"/>
        <v>0.25</v>
      </c>
      <c r="K1479" s="29">
        <f>IF(Dataset!H1479&lt;1,0.2,IF(Dataset!H1479&lt;1.3,0.45,IF(Dataset!H1479&lt;1.8,0.7,0.9)))</f>
        <v>0.7</v>
      </c>
      <c r="L1479" s="29">
        <f>IF(Dataset!H1479&lt;1,1,IF(Dataset!H1479&lt;1.3,2,IF(Dataset!H1479&lt;1.8,3,4)))</f>
        <v>3</v>
      </c>
      <c r="M1479" s="29">
        <f t="shared" si="187"/>
        <v>2.0999999999999996</v>
      </c>
      <c r="N1479" s="29">
        <f>IF(Dataset!F1479=1,0.75,IF(Dataset!F1479=2,0.45,0.2))</f>
        <v>0.2</v>
      </c>
      <c r="O1479" s="29">
        <f>IF(Dataset!F1479=1,3,IF(Dataset!F1479=2,2,1))</f>
        <v>1</v>
      </c>
      <c r="P1479" s="29">
        <f t="shared" si="188"/>
        <v>0.2</v>
      </c>
      <c r="Q1479" s="29">
        <f>IF(Dataset!K1479&lt;5,0.2,IF(Dataset!K1479&lt;10,0.45,IF(Dataset!K1479&lt;18,0.7,0.9)))</f>
        <v>0.9</v>
      </c>
      <c r="R1479" s="29">
        <f>IF(Dataset!K1479&lt;5,1,IF(Dataset!K1479&lt;10,2,IF(Dataset!K1479&lt;18,3,4)))</f>
        <v>4</v>
      </c>
      <c r="S1479" s="29">
        <f t="shared" si="189"/>
        <v>3.6</v>
      </c>
      <c r="T1479" s="29">
        <f t="shared" si="190"/>
        <v>2.1019999999999999</v>
      </c>
      <c r="U1479" s="29" t="str">
        <f t="shared" si="191"/>
        <v>High</v>
      </c>
    </row>
    <row r="1480" spans="1:21" ht="15" customHeight="1" x14ac:dyDescent="0.25">
      <c r="A1480" s="29">
        <f>Dataset!A1480</f>
        <v>1476</v>
      </c>
      <c r="B1480" s="29">
        <f>IF(Dataset!B1480&lt;25,0.3,IF(Dataset!B1480&lt;75,0.5,IF(Dataset!B1480&lt;120,0.65,0.8)))</f>
        <v>0.8</v>
      </c>
      <c r="C1480" s="29">
        <f>IF(Dataset!B1480&lt;25,1,IF(Dataset!B1480&lt;75,2,IF(Dataset!B1480&lt;120,3,4)))</f>
        <v>4</v>
      </c>
      <c r="D1480" s="29">
        <f t="shared" si="184"/>
        <v>3.2</v>
      </c>
      <c r="E1480" s="29">
        <f>IF(Dataset!C1480&lt;=1,0.3,IF(Dataset!C1480=2,0.4,IF(Dataset!C1480=3,0.5,IF(Dataset!C1480=4,0.65,0.8))))</f>
        <v>0.5</v>
      </c>
      <c r="F1480" s="29">
        <f>IF(Dataset!C1480&lt;=2,1,IF(Dataset!C1480=3,2,IF(Dataset!C1480=4,3,4)))</f>
        <v>2</v>
      </c>
      <c r="G1480" s="29">
        <f t="shared" si="185"/>
        <v>1</v>
      </c>
      <c r="H1480" s="29">
        <f>IF(Dataset!G1480&lt;=3,0.25,IF(Dataset!G1480&lt;=6,0.45,IF(Dataset!G1480&lt;=9,0.65,0.85)))</f>
        <v>0.45</v>
      </c>
      <c r="I1480" s="29">
        <f>IF(Dataset!G1480&lt;=3,1,IF(Dataset!G1480&lt;=6,2,IF(Dataset!G1480&lt;=9,3,4)))</f>
        <v>2</v>
      </c>
      <c r="J1480" s="29">
        <f t="shared" si="186"/>
        <v>0.9</v>
      </c>
      <c r="K1480" s="29">
        <f>IF(Dataset!H1480&lt;1,0.2,IF(Dataset!H1480&lt;1.3,0.45,IF(Dataset!H1480&lt;1.8,0.7,0.9)))</f>
        <v>0.9</v>
      </c>
      <c r="L1480" s="29">
        <f>IF(Dataset!H1480&lt;1,1,IF(Dataset!H1480&lt;1.3,2,IF(Dataset!H1480&lt;1.8,3,4)))</f>
        <v>4</v>
      </c>
      <c r="M1480" s="29">
        <f t="shared" si="187"/>
        <v>3.6</v>
      </c>
      <c r="N1480" s="29">
        <f>IF(Dataset!F1480=1,0.75,IF(Dataset!F1480=2,0.45,0.2))</f>
        <v>0.45</v>
      </c>
      <c r="O1480" s="29">
        <f>IF(Dataset!F1480=1,3,IF(Dataset!F1480=2,2,1))</f>
        <v>2</v>
      </c>
      <c r="P1480" s="29">
        <f t="shared" si="188"/>
        <v>0.9</v>
      </c>
      <c r="Q1480" s="29">
        <f>IF(Dataset!K1480&lt;5,0.2,IF(Dataset!K1480&lt;10,0.45,IF(Dataset!K1480&lt;18,0.7,0.9)))</f>
        <v>0.45</v>
      </c>
      <c r="R1480" s="29">
        <f>IF(Dataset!K1480&lt;5,1,IF(Dataset!K1480&lt;10,2,IF(Dataset!K1480&lt;18,3,4)))</f>
        <v>2</v>
      </c>
      <c r="S1480" s="29">
        <f t="shared" si="189"/>
        <v>0.9</v>
      </c>
      <c r="T1480" s="29">
        <f t="shared" si="190"/>
        <v>1.9760000000000002</v>
      </c>
      <c r="U1480" s="29" t="str">
        <f t="shared" si="191"/>
        <v>High</v>
      </c>
    </row>
    <row r="1481" spans="1:21" ht="15" customHeight="1" x14ac:dyDescent="0.25">
      <c r="A1481" s="29">
        <f>Dataset!A1481</f>
        <v>1477</v>
      </c>
      <c r="B1481" s="29">
        <f>IF(Dataset!B1481&lt;25,0.3,IF(Dataset!B1481&lt;75,0.5,IF(Dataset!B1481&lt;120,0.65,0.8)))</f>
        <v>0.8</v>
      </c>
      <c r="C1481" s="29">
        <f>IF(Dataset!B1481&lt;25,1,IF(Dataset!B1481&lt;75,2,IF(Dataset!B1481&lt;120,3,4)))</f>
        <v>4</v>
      </c>
      <c r="D1481" s="29">
        <f t="shared" si="184"/>
        <v>3.2</v>
      </c>
      <c r="E1481" s="29">
        <f>IF(Dataset!C1481&lt;=1,0.3,IF(Dataset!C1481=2,0.4,IF(Dataset!C1481=3,0.5,IF(Dataset!C1481=4,0.65,0.8))))</f>
        <v>0.5</v>
      </c>
      <c r="F1481" s="29">
        <f>IF(Dataset!C1481&lt;=2,1,IF(Dataset!C1481=3,2,IF(Dataset!C1481=4,3,4)))</f>
        <v>2</v>
      </c>
      <c r="G1481" s="29">
        <f t="shared" si="185"/>
        <v>1</v>
      </c>
      <c r="H1481" s="29">
        <f>IF(Dataset!G1481&lt;=3,0.25,IF(Dataset!G1481&lt;=6,0.45,IF(Dataset!G1481&lt;=9,0.65,0.85)))</f>
        <v>0.65</v>
      </c>
      <c r="I1481" s="29">
        <f>IF(Dataset!G1481&lt;=3,1,IF(Dataset!G1481&lt;=6,2,IF(Dataset!G1481&lt;=9,3,4)))</f>
        <v>3</v>
      </c>
      <c r="J1481" s="29">
        <f t="shared" si="186"/>
        <v>1.9500000000000002</v>
      </c>
      <c r="K1481" s="29">
        <f>IF(Dataset!H1481&lt;1,0.2,IF(Dataset!H1481&lt;1.3,0.45,IF(Dataset!H1481&lt;1.8,0.7,0.9)))</f>
        <v>0.9</v>
      </c>
      <c r="L1481" s="29">
        <f>IF(Dataset!H1481&lt;1,1,IF(Dataset!H1481&lt;1.3,2,IF(Dataset!H1481&lt;1.8,3,4)))</f>
        <v>4</v>
      </c>
      <c r="M1481" s="29">
        <f t="shared" si="187"/>
        <v>3.6</v>
      </c>
      <c r="N1481" s="29">
        <f>IF(Dataset!F1481=1,0.75,IF(Dataset!F1481=2,0.45,0.2))</f>
        <v>0.2</v>
      </c>
      <c r="O1481" s="29">
        <f>IF(Dataset!F1481=1,3,IF(Dataset!F1481=2,2,1))</f>
        <v>1</v>
      </c>
      <c r="P1481" s="29">
        <f t="shared" si="188"/>
        <v>0.2</v>
      </c>
      <c r="Q1481" s="29">
        <f>IF(Dataset!K1481&lt;5,0.2,IF(Dataset!K1481&lt;10,0.45,IF(Dataset!K1481&lt;18,0.7,0.9)))</f>
        <v>0.45</v>
      </c>
      <c r="R1481" s="29">
        <f>IF(Dataset!K1481&lt;5,1,IF(Dataset!K1481&lt;10,2,IF(Dataset!K1481&lt;18,3,4)))</f>
        <v>2</v>
      </c>
      <c r="S1481" s="29">
        <f t="shared" si="189"/>
        <v>0.9</v>
      </c>
      <c r="T1481" s="29">
        <f t="shared" si="190"/>
        <v>2.1160000000000001</v>
      </c>
      <c r="U1481" s="29" t="str">
        <f t="shared" si="191"/>
        <v>High</v>
      </c>
    </row>
    <row r="1482" spans="1:21" ht="15" customHeight="1" x14ac:dyDescent="0.25">
      <c r="A1482" s="29">
        <f>Dataset!A1482</f>
        <v>1478</v>
      </c>
      <c r="B1482" s="29">
        <f>IF(Dataset!B1482&lt;25,0.3,IF(Dataset!B1482&lt;75,0.5,IF(Dataset!B1482&lt;120,0.65,0.8)))</f>
        <v>0.8</v>
      </c>
      <c r="C1482" s="29">
        <f>IF(Dataset!B1482&lt;25,1,IF(Dataset!B1482&lt;75,2,IF(Dataset!B1482&lt;120,3,4)))</f>
        <v>4</v>
      </c>
      <c r="D1482" s="29">
        <f t="shared" si="184"/>
        <v>3.2</v>
      </c>
      <c r="E1482" s="29">
        <f>IF(Dataset!C1482&lt;=1,0.3,IF(Dataset!C1482=2,0.4,IF(Dataset!C1482=3,0.5,IF(Dataset!C1482=4,0.65,0.8))))</f>
        <v>0.65</v>
      </c>
      <c r="F1482" s="29">
        <f>IF(Dataset!C1482&lt;=2,1,IF(Dataset!C1482=3,2,IF(Dataset!C1482=4,3,4)))</f>
        <v>3</v>
      </c>
      <c r="G1482" s="29">
        <f t="shared" si="185"/>
        <v>1.9500000000000002</v>
      </c>
      <c r="H1482" s="29">
        <f>IF(Dataset!G1482&lt;=3,0.25,IF(Dataset!G1482&lt;=6,0.45,IF(Dataset!G1482&lt;=9,0.65,0.85)))</f>
        <v>0.45</v>
      </c>
      <c r="I1482" s="29">
        <f>IF(Dataset!G1482&lt;=3,1,IF(Dataset!G1482&lt;=6,2,IF(Dataset!G1482&lt;=9,3,4)))</f>
        <v>2</v>
      </c>
      <c r="J1482" s="29">
        <f t="shared" si="186"/>
        <v>0.9</v>
      </c>
      <c r="K1482" s="29">
        <f>IF(Dataset!H1482&lt;1,0.2,IF(Dataset!H1482&lt;1.3,0.45,IF(Dataset!H1482&lt;1.8,0.7,0.9)))</f>
        <v>0.9</v>
      </c>
      <c r="L1482" s="29">
        <f>IF(Dataset!H1482&lt;1,1,IF(Dataset!H1482&lt;1.3,2,IF(Dataset!H1482&lt;1.8,3,4)))</f>
        <v>4</v>
      </c>
      <c r="M1482" s="29">
        <f t="shared" si="187"/>
        <v>3.6</v>
      </c>
      <c r="N1482" s="29">
        <f>IF(Dataset!F1482=1,0.75,IF(Dataset!F1482=2,0.45,0.2))</f>
        <v>0.45</v>
      </c>
      <c r="O1482" s="29">
        <f>IF(Dataset!F1482=1,3,IF(Dataset!F1482=2,2,1))</f>
        <v>2</v>
      </c>
      <c r="P1482" s="29">
        <f t="shared" si="188"/>
        <v>0.9</v>
      </c>
      <c r="Q1482" s="29">
        <f>IF(Dataset!K1482&lt;5,0.2,IF(Dataset!K1482&lt;10,0.45,IF(Dataset!K1482&lt;18,0.7,0.9)))</f>
        <v>0.45</v>
      </c>
      <c r="R1482" s="29">
        <f>IF(Dataset!K1482&lt;5,1,IF(Dataset!K1482&lt;10,2,IF(Dataset!K1482&lt;18,3,4)))</f>
        <v>2</v>
      </c>
      <c r="S1482" s="29">
        <f t="shared" si="189"/>
        <v>0.9</v>
      </c>
      <c r="T1482" s="29">
        <f t="shared" si="190"/>
        <v>2.109</v>
      </c>
      <c r="U1482" s="29" t="str">
        <f t="shared" si="191"/>
        <v>High</v>
      </c>
    </row>
    <row r="1483" spans="1:21" ht="15" customHeight="1" x14ac:dyDescent="0.25">
      <c r="A1483" s="29">
        <f>Dataset!A1483</f>
        <v>1479</v>
      </c>
      <c r="B1483" s="29">
        <f>IF(Dataset!B1483&lt;25,0.3,IF(Dataset!B1483&lt;75,0.5,IF(Dataset!B1483&lt;120,0.65,0.8)))</f>
        <v>0.5</v>
      </c>
      <c r="C1483" s="29">
        <f>IF(Dataset!B1483&lt;25,1,IF(Dataset!B1483&lt;75,2,IF(Dataset!B1483&lt;120,3,4)))</f>
        <v>2</v>
      </c>
      <c r="D1483" s="29">
        <f t="shared" si="184"/>
        <v>1</v>
      </c>
      <c r="E1483" s="29">
        <f>IF(Dataset!C1483&lt;=1,0.3,IF(Dataset!C1483=2,0.4,IF(Dataset!C1483=3,0.5,IF(Dataset!C1483=4,0.65,0.8))))</f>
        <v>0.4</v>
      </c>
      <c r="F1483" s="29">
        <f>IF(Dataset!C1483&lt;=2,1,IF(Dataset!C1483=3,2,IF(Dataset!C1483=4,3,4)))</f>
        <v>1</v>
      </c>
      <c r="G1483" s="29">
        <f t="shared" si="185"/>
        <v>0.4</v>
      </c>
      <c r="H1483" s="29">
        <f>IF(Dataset!G1483&lt;=3,0.25,IF(Dataset!G1483&lt;=6,0.45,IF(Dataset!G1483&lt;=9,0.65,0.85)))</f>
        <v>0.25</v>
      </c>
      <c r="I1483" s="29">
        <f>IF(Dataset!G1483&lt;=3,1,IF(Dataset!G1483&lt;=6,2,IF(Dataset!G1483&lt;=9,3,4)))</f>
        <v>1</v>
      </c>
      <c r="J1483" s="29">
        <f t="shared" si="186"/>
        <v>0.25</v>
      </c>
      <c r="K1483" s="29">
        <f>IF(Dataset!H1483&lt;1,0.2,IF(Dataset!H1483&lt;1.3,0.45,IF(Dataset!H1483&lt;1.8,0.7,0.9)))</f>
        <v>0.7</v>
      </c>
      <c r="L1483" s="29">
        <f>IF(Dataset!H1483&lt;1,1,IF(Dataset!H1483&lt;1.3,2,IF(Dataset!H1483&lt;1.8,3,4)))</f>
        <v>3</v>
      </c>
      <c r="M1483" s="29">
        <f t="shared" si="187"/>
        <v>2.0999999999999996</v>
      </c>
      <c r="N1483" s="29">
        <f>IF(Dataset!F1483=1,0.75,IF(Dataset!F1483=2,0.45,0.2))</f>
        <v>0.45</v>
      </c>
      <c r="O1483" s="29">
        <f>IF(Dataset!F1483=1,3,IF(Dataset!F1483=2,2,1))</f>
        <v>2</v>
      </c>
      <c r="P1483" s="29">
        <f t="shared" si="188"/>
        <v>0.9</v>
      </c>
      <c r="Q1483" s="29">
        <f>IF(Dataset!K1483&lt;5,0.2,IF(Dataset!K1483&lt;10,0.45,IF(Dataset!K1483&lt;18,0.7,0.9)))</f>
        <v>0.2</v>
      </c>
      <c r="R1483" s="29">
        <f>IF(Dataset!K1483&lt;5,1,IF(Dataset!K1483&lt;10,2,IF(Dataset!K1483&lt;18,3,4)))</f>
        <v>1</v>
      </c>
      <c r="S1483" s="29">
        <f t="shared" si="189"/>
        <v>0.2</v>
      </c>
      <c r="T1483" s="29">
        <f t="shared" si="190"/>
        <v>0.90799999999999981</v>
      </c>
      <c r="U1483" s="29" t="str">
        <f t="shared" si="191"/>
        <v>Low</v>
      </c>
    </row>
    <row r="1484" spans="1:21" ht="15" customHeight="1" x14ac:dyDescent="0.25">
      <c r="A1484" s="29">
        <f>Dataset!A1484</f>
        <v>1480</v>
      </c>
      <c r="B1484" s="29">
        <f>IF(Dataset!B1484&lt;25,0.3,IF(Dataset!B1484&lt;75,0.5,IF(Dataset!B1484&lt;120,0.65,0.8)))</f>
        <v>0.8</v>
      </c>
      <c r="C1484" s="29">
        <f>IF(Dataset!B1484&lt;25,1,IF(Dataset!B1484&lt;75,2,IF(Dataset!B1484&lt;120,3,4)))</f>
        <v>4</v>
      </c>
      <c r="D1484" s="29">
        <f t="shared" si="184"/>
        <v>3.2</v>
      </c>
      <c r="E1484" s="29">
        <f>IF(Dataset!C1484&lt;=1,0.3,IF(Dataset!C1484=2,0.4,IF(Dataset!C1484=3,0.5,IF(Dataset!C1484=4,0.65,0.8))))</f>
        <v>0.4</v>
      </c>
      <c r="F1484" s="29">
        <f>IF(Dataset!C1484&lt;=2,1,IF(Dataset!C1484=3,2,IF(Dataset!C1484=4,3,4)))</f>
        <v>1</v>
      </c>
      <c r="G1484" s="29">
        <f t="shared" si="185"/>
        <v>0.4</v>
      </c>
      <c r="H1484" s="29">
        <f>IF(Dataset!G1484&lt;=3,0.25,IF(Dataset!G1484&lt;=6,0.45,IF(Dataset!G1484&lt;=9,0.65,0.85)))</f>
        <v>0.25</v>
      </c>
      <c r="I1484" s="29">
        <f>IF(Dataset!G1484&lt;=3,1,IF(Dataset!G1484&lt;=6,2,IF(Dataset!G1484&lt;=9,3,4)))</f>
        <v>1</v>
      </c>
      <c r="J1484" s="29">
        <f t="shared" si="186"/>
        <v>0.25</v>
      </c>
      <c r="K1484" s="29">
        <f>IF(Dataset!H1484&lt;1,0.2,IF(Dataset!H1484&lt;1.3,0.45,IF(Dataset!H1484&lt;1.8,0.7,0.9)))</f>
        <v>0.7</v>
      </c>
      <c r="L1484" s="29">
        <f>IF(Dataset!H1484&lt;1,1,IF(Dataset!H1484&lt;1.3,2,IF(Dataset!H1484&lt;1.8,3,4)))</f>
        <v>3</v>
      </c>
      <c r="M1484" s="29">
        <f t="shared" si="187"/>
        <v>2.0999999999999996</v>
      </c>
      <c r="N1484" s="29">
        <f>IF(Dataset!F1484=1,0.75,IF(Dataset!F1484=2,0.45,0.2))</f>
        <v>0.45</v>
      </c>
      <c r="O1484" s="29">
        <f>IF(Dataset!F1484=1,3,IF(Dataset!F1484=2,2,1))</f>
        <v>2</v>
      </c>
      <c r="P1484" s="29">
        <f t="shared" si="188"/>
        <v>0.9</v>
      </c>
      <c r="Q1484" s="29">
        <f>IF(Dataset!K1484&lt;5,0.2,IF(Dataset!K1484&lt;10,0.45,IF(Dataset!K1484&lt;18,0.7,0.9)))</f>
        <v>0.2</v>
      </c>
      <c r="R1484" s="29">
        <f>IF(Dataset!K1484&lt;5,1,IF(Dataset!K1484&lt;10,2,IF(Dataset!K1484&lt;18,3,4)))</f>
        <v>1</v>
      </c>
      <c r="S1484" s="29">
        <f t="shared" si="189"/>
        <v>0.2</v>
      </c>
      <c r="T1484" s="29">
        <f t="shared" si="190"/>
        <v>1.304</v>
      </c>
      <c r="U1484" s="29" t="str">
        <f t="shared" si="191"/>
        <v>Low</v>
      </c>
    </row>
    <row r="1485" spans="1:21" ht="15" customHeight="1" x14ac:dyDescent="0.25">
      <c r="A1485" s="29">
        <f>Dataset!A1485</f>
        <v>1481</v>
      </c>
      <c r="B1485" s="29">
        <f>IF(Dataset!B1485&lt;25,0.3,IF(Dataset!B1485&lt;75,0.5,IF(Dataset!B1485&lt;120,0.65,0.8)))</f>
        <v>0.5</v>
      </c>
      <c r="C1485" s="29">
        <f>IF(Dataset!B1485&lt;25,1,IF(Dataset!B1485&lt;75,2,IF(Dataset!B1485&lt;120,3,4)))</f>
        <v>2</v>
      </c>
      <c r="D1485" s="29">
        <f t="shared" si="184"/>
        <v>1</v>
      </c>
      <c r="E1485" s="29">
        <f>IF(Dataset!C1485&lt;=1,0.3,IF(Dataset!C1485=2,0.4,IF(Dataset!C1485=3,0.5,IF(Dataset!C1485=4,0.65,0.8))))</f>
        <v>0.8</v>
      </c>
      <c r="F1485" s="29">
        <f>IF(Dataset!C1485&lt;=2,1,IF(Dataset!C1485=3,2,IF(Dataset!C1485=4,3,4)))</f>
        <v>4</v>
      </c>
      <c r="G1485" s="29">
        <f t="shared" si="185"/>
        <v>3.2</v>
      </c>
      <c r="H1485" s="29">
        <f>IF(Dataset!G1485&lt;=3,0.25,IF(Dataset!G1485&lt;=6,0.45,IF(Dataset!G1485&lt;=9,0.65,0.85)))</f>
        <v>0.65</v>
      </c>
      <c r="I1485" s="29">
        <f>IF(Dataset!G1485&lt;=3,1,IF(Dataset!G1485&lt;=6,2,IF(Dataset!G1485&lt;=9,3,4)))</f>
        <v>3</v>
      </c>
      <c r="J1485" s="29">
        <f t="shared" si="186"/>
        <v>1.9500000000000002</v>
      </c>
      <c r="K1485" s="29">
        <f>IF(Dataset!H1485&lt;1,0.2,IF(Dataset!H1485&lt;1.3,0.45,IF(Dataset!H1485&lt;1.8,0.7,0.9)))</f>
        <v>0.7</v>
      </c>
      <c r="L1485" s="29">
        <f>IF(Dataset!H1485&lt;1,1,IF(Dataset!H1485&lt;1.3,2,IF(Dataset!H1485&lt;1.8,3,4)))</f>
        <v>3</v>
      </c>
      <c r="M1485" s="29">
        <f t="shared" si="187"/>
        <v>2.0999999999999996</v>
      </c>
      <c r="N1485" s="29">
        <f>IF(Dataset!F1485=1,0.75,IF(Dataset!F1485=2,0.45,0.2))</f>
        <v>0.75</v>
      </c>
      <c r="O1485" s="29">
        <f>IF(Dataset!F1485=1,3,IF(Dataset!F1485=2,2,1))</f>
        <v>3</v>
      </c>
      <c r="P1485" s="29">
        <f t="shared" si="188"/>
        <v>2.25</v>
      </c>
      <c r="Q1485" s="29">
        <f>IF(Dataset!K1485&lt;5,0.2,IF(Dataset!K1485&lt;10,0.45,IF(Dataset!K1485&lt;18,0.7,0.9)))</f>
        <v>0.9</v>
      </c>
      <c r="R1485" s="29">
        <f>IF(Dataset!K1485&lt;5,1,IF(Dataset!K1485&lt;10,2,IF(Dataset!K1485&lt;18,3,4)))</f>
        <v>4</v>
      </c>
      <c r="S1485" s="29">
        <f t="shared" si="189"/>
        <v>3.6</v>
      </c>
      <c r="T1485" s="29">
        <f t="shared" si="190"/>
        <v>2.2510000000000003</v>
      </c>
      <c r="U1485" s="29" t="str">
        <f t="shared" si="191"/>
        <v>High</v>
      </c>
    </row>
    <row r="1486" spans="1:21" ht="15" customHeight="1" x14ac:dyDescent="0.25">
      <c r="A1486" s="29">
        <f>Dataset!A1486</f>
        <v>1482</v>
      </c>
      <c r="B1486" s="29">
        <f>IF(Dataset!B1486&lt;25,0.3,IF(Dataset!B1486&lt;75,0.5,IF(Dataset!B1486&lt;120,0.65,0.8)))</f>
        <v>0.65</v>
      </c>
      <c r="C1486" s="29">
        <f>IF(Dataset!B1486&lt;25,1,IF(Dataset!B1486&lt;75,2,IF(Dataset!B1486&lt;120,3,4)))</f>
        <v>3</v>
      </c>
      <c r="D1486" s="29">
        <f t="shared" si="184"/>
        <v>1.9500000000000002</v>
      </c>
      <c r="E1486" s="29">
        <f>IF(Dataset!C1486&lt;=1,0.3,IF(Dataset!C1486=2,0.4,IF(Dataset!C1486=3,0.5,IF(Dataset!C1486=4,0.65,0.8))))</f>
        <v>0.5</v>
      </c>
      <c r="F1486" s="29">
        <f>IF(Dataset!C1486&lt;=2,1,IF(Dataset!C1486=3,2,IF(Dataset!C1486=4,3,4)))</f>
        <v>2</v>
      </c>
      <c r="G1486" s="29">
        <f t="shared" si="185"/>
        <v>1</v>
      </c>
      <c r="H1486" s="29">
        <f>IF(Dataset!G1486&lt;=3,0.25,IF(Dataset!G1486&lt;=6,0.45,IF(Dataset!G1486&lt;=9,0.65,0.85)))</f>
        <v>0.25</v>
      </c>
      <c r="I1486" s="29">
        <f>IF(Dataset!G1486&lt;=3,1,IF(Dataset!G1486&lt;=6,2,IF(Dataset!G1486&lt;=9,3,4)))</f>
        <v>1</v>
      </c>
      <c r="J1486" s="29">
        <f t="shared" si="186"/>
        <v>0.25</v>
      </c>
      <c r="K1486" s="29">
        <f>IF(Dataset!H1486&lt;1,0.2,IF(Dataset!H1486&lt;1.3,0.45,IF(Dataset!H1486&lt;1.8,0.7,0.9)))</f>
        <v>0.2</v>
      </c>
      <c r="L1486" s="29">
        <f>IF(Dataset!H1486&lt;1,1,IF(Dataset!H1486&lt;1.3,2,IF(Dataset!H1486&lt;1.8,3,4)))</f>
        <v>1</v>
      </c>
      <c r="M1486" s="29">
        <f t="shared" si="187"/>
        <v>0.2</v>
      </c>
      <c r="N1486" s="29">
        <f>IF(Dataset!F1486=1,0.75,IF(Dataset!F1486=2,0.45,0.2))</f>
        <v>0.75</v>
      </c>
      <c r="O1486" s="29">
        <f>IF(Dataset!F1486=1,3,IF(Dataset!F1486=2,2,1))</f>
        <v>3</v>
      </c>
      <c r="P1486" s="29">
        <f t="shared" si="188"/>
        <v>2.25</v>
      </c>
      <c r="Q1486" s="29">
        <f>IF(Dataset!K1486&lt;5,0.2,IF(Dataset!K1486&lt;10,0.45,IF(Dataset!K1486&lt;18,0.7,0.9)))</f>
        <v>0.45</v>
      </c>
      <c r="R1486" s="29">
        <f>IF(Dataset!K1486&lt;5,1,IF(Dataset!K1486&lt;10,2,IF(Dataset!K1486&lt;18,3,4)))</f>
        <v>2</v>
      </c>
      <c r="S1486" s="29">
        <f t="shared" si="189"/>
        <v>0.9</v>
      </c>
      <c r="T1486" s="29">
        <f t="shared" si="190"/>
        <v>0.94000000000000006</v>
      </c>
      <c r="U1486" s="29" t="str">
        <f t="shared" si="191"/>
        <v>Low</v>
      </c>
    </row>
    <row r="1487" spans="1:21" ht="15" customHeight="1" x14ac:dyDescent="0.25">
      <c r="A1487" s="29">
        <f>Dataset!A1487</f>
        <v>1483</v>
      </c>
      <c r="B1487" s="29">
        <f>IF(Dataset!B1487&lt;25,0.3,IF(Dataset!B1487&lt;75,0.5,IF(Dataset!B1487&lt;120,0.65,0.8)))</f>
        <v>0.3</v>
      </c>
      <c r="C1487" s="29">
        <f>IF(Dataset!B1487&lt;25,1,IF(Dataset!B1487&lt;75,2,IF(Dataset!B1487&lt;120,3,4)))</f>
        <v>1</v>
      </c>
      <c r="D1487" s="29">
        <f t="shared" si="184"/>
        <v>0.3</v>
      </c>
      <c r="E1487" s="29">
        <f>IF(Dataset!C1487&lt;=1,0.3,IF(Dataset!C1487=2,0.4,IF(Dataset!C1487=3,0.5,IF(Dataset!C1487=4,0.65,0.8))))</f>
        <v>0.4</v>
      </c>
      <c r="F1487" s="29">
        <f>IF(Dataset!C1487&lt;=2,1,IF(Dataset!C1487=3,2,IF(Dataset!C1487=4,3,4)))</f>
        <v>1</v>
      </c>
      <c r="G1487" s="29">
        <f t="shared" si="185"/>
        <v>0.4</v>
      </c>
      <c r="H1487" s="29">
        <f>IF(Dataset!G1487&lt;=3,0.25,IF(Dataset!G1487&lt;=6,0.45,IF(Dataset!G1487&lt;=9,0.65,0.85)))</f>
        <v>0.45</v>
      </c>
      <c r="I1487" s="29">
        <f>IF(Dataset!G1487&lt;=3,1,IF(Dataset!G1487&lt;=6,2,IF(Dataset!G1487&lt;=9,3,4)))</f>
        <v>2</v>
      </c>
      <c r="J1487" s="29">
        <f t="shared" si="186"/>
        <v>0.9</v>
      </c>
      <c r="K1487" s="29">
        <f>IF(Dataset!H1487&lt;1,0.2,IF(Dataset!H1487&lt;1.3,0.45,IF(Dataset!H1487&lt;1.8,0.7,0.9)))</f>
        <v>0.7</v>
      </c>
      <c r="L1487" s="29">
        <f>IF(Dataset!H1487&lt;1,1,IF(Dataset!H1487&lt;1.3,2,IF(Dataset!H1487&lt;1.8,3,4)))</f>
        <v>3</v>
      </c>
      <c r="M1487" s="29">
        <f t="shared" si="187"/>
        <v>2.0999999999999996</v>
      </c>
      <c r="N1487" s="29">
        <f>IF(Dataset!F1487=1,0.75,IF(Dataset!F1487=2,0.45,0.2))</f>
        <v>0.45</v>
      </c>
      <c r="O1487" s="29">
        <f>IF(Dataset!F1487=1,3,IF(Dataset!F1487=2,2,1))</f>
        <v>2</v>
      </c>
      <c r="P1487" s="29">
        <f t="shared" si="188"/>
        <v>0.9</v>
      </c>
      <c r="Q1487" s="29">
        <f>IF(Dataset!K1487&lt;5,0.2,IF(Dataset!K1487&lt;10,0.45,IF(Dataset!K1487&lt;18,0.7,0.9)))</f>
        <v>0.45</v>
      </c>
      <c r="R1487" s="29">
        <f>IF(Dataset!K1487&lt;5,1,IF(Dataset!K1487&lt;10,2,IF(Dataset!K1487&lt;18,3,4)))</f>
        <v>2</v>
      </c>
      <c r="S1487" s="29">
        <f t="shared" si="189"/>
        <v>0.9</v>
      </c>
      <c r="T1487" s="29">
        <f t="shared" si="190"/>
        <v>1.01</v>
      </c>
      <c r="U1487" s="29" t="str">
        <f t="shared" si="191"/>
        <v>Low</v>
      </c>
    </row>
    <row r="1488" spans="1:21" ht="15" customHeight="1" x14ac:dyDescent="0.25">
      <c r="A1488" s="29">
        <f>Dataset!A1488</f>
        <v>1484</v>
      </c>
      <c r="B1488" s="29">
        <f>IF(Dataset!B1488&lt;25,0.3,IF(Dataset!B1488&lt;75,0.5,IF(Dataset!B1488&lt;120,0.65,0.8)))</f>
        <v>0.5</v>
      </c>
      <c r="C1488" s="29">
        <f>IF(Dataset!B1488&lt;25,1,IF(Dataset!B1488&lt;75,2,IF(Dataset!B1488&lt;120,3,4)))</f>
        <v>2</v>
      </c>
      <c r="D1488" s="29">
        <f t="shared" si="184"/>
        <v>1</v>
      </c>
      <c r="E1488" s="29">
        <f>IF(Dataset!C1488&lt;=1,0.3,IF(Dataset!C1488=2,0.4,IF(Dataset!C1488=3,0.5,IF(Dataset!C1488=4,0.65,0.8))))</f>
        <v>0.5</v>
      </c>
      <c r="F1488" s="29">
        <f>IF(Dataset!C1488&lt;=2,1,IF(Dataset!C1488=3,2,IF(Dataset!C1488=4,3,4)))</f>
        <v>2</v>
      </c>
      <c r="G1488" s="29">
        <f t="shared" si="185"/>
        <v>1</v>
      </c>
      <c r="H1488" s="29">
        <f>IF(Dataset!G1488&lt;=3,0.25,IF(Dataset!G1488&lt;=6,0.45,IF(Dataset!G1488&lt;=9,0.65,0.85)))</f>
        <v>0.65</v>
      </c>
      <c r="I1488" s="29">
        <f>IF(Dataset!G1488&lt;=3,1,IF(Dataset!G1488&lt;=6,2,IF(Dataset!G1488&lt;=9,3,4)))</f>
        <v>3</v>
      </c>
      <c r="J1488" s="29">
        <f t="shared" si="186"/>
        <v>1.9500000000000002</v>
      </c>
      <c r="K1488" s="29">
        <f>IF(Dataset!H1488&lt;1,0.2,IF(Dataset!H1488&lt;1.3,0.45,IF(Dataset!H1488&lt;1.8,0.7,0.9)))</f>
        <v>0.7</v>
      </c>
      <c r="L1488" s="29">
        <f>IF(Dataset!H1488&lt;1,1,IF(Dataset!H1488&lt;1.3,2,IF(Dataset!H1488&lt;1.8,3,4)))</f>
        <v>3</v>
      </c>
      <c r="M1488" s="29">
        <f t="shared" si="187"/>
        <v>2.0999999999999996</v>
      </c>
      <c r="N1488" s="29">
        <f>IF(Dataset!F1488=1,0.75,IF(Dataset!F1488=2,0.45,0.2))</f>
        <v>0.75</v>
      </c>
      <c r="O1488" s="29">
        <f>IF(Dataset!F1488=1,3,IF(Dataset!F1488=2,2,1))</f>
        <v>3</v>
      </c>
      <c r="P1488" s="29">
        <f t="shared" si="188"/>
        <v>2.25</v>
      </c>
      <c r="Q1488" s="29">
        <f>IF(Dataset!K1488&lt;5,0.2,IF(Dataset!K1488&lt;10,0.45,IF(Dataset!K1488&lt;18,0.7,0.9)))</f>
        <v>0.45</v>
      </c>
      <c r="R1488" s="29">
        <f>IF(Dataset!K1488&lt;5,1,IF(Dataset!K1488&lt;10,2,IF(Dataset!K1488&lt;18,3,4)))</f>
        <v>2</v>
      </c>
      <c r="S1488" s="29">
        <f t="shared" si="189"/>
        <v>0.9</v>
      </c>
      <c r="T1488" s="29">
        <f t="shared" si="190"/>
        <v>1.5650000000000002</v>
      </c>
      <c r="U1488" s="29" t="str">
        <f t="shared" si="191"/>
        <v>Medium</v>
      </c>
    </row>
    <row r="1489" spans="1:21" ht="15" customHeight="1" x14ac:dyDescent="0.25">
      <c r="A1489" s="29">
        <f>Dataset!A1489</f>
        <v>1485</v>
      </c>
      <c r="B1489" s="29">
        <f>IF(Dataset!B1489&lt;25,0.3,IF(Dataset!B1489&lt;75,0.5,IF(Dataset!B1489&lt;120,0.65,0.8)))</f>
        <v>0.8</v>
      </c>
      <c r="C1489" s="29">
        <f>IF(Dataset!B1489&lt;25,1,IF(Dataset!B1489&lt;75,2,IF(Dataset!B1489&lt;120,3,4)))</f>
        <v>4</v>
      </c>
      <c r="D1489" s="29">
        <f t="shared" si="184"/>
        <v>3.2</v>
      </c>
      <c r="E1489" s="29">
        <f>IF(Dataset!C1489&lt;=1,0.3,IF(Dataset!C1489=2,0.4,IF(Dataset!C1489=3,0.5,IF(Dataset!C1489=4,0.65,0.8))))</f>
        <v>0.5</v>
      </c>
      <c r="F1489" s="29">
        <f>IF(Dataset!C1489&lt;=2,1,IF(Dataset!C1489=3,2,IF(Dataset!C1489=4,3,4)))</f>
        <v>2</v>
      </c>
      <c r="G1489" s="29">
        <f t="shared" si="185"/>
        <v>1</v>
      </c>
      <c r="H1489" s="29">
        <f>IF(Dataset!G1489&lt;=3,0.25,IF(Dataset!G1489&lt;=6,0.45,IF(Dataset!G1489&lt;=9,0.65,0.85)))</f>
        <v>0.25</v>
      </c>
      <c r="I1489" s="29">
        <f>IF(Dataset!G1489&lt;=3,1,IF(Dataset!G1489&lt;=6,2,IF(Dataset!G1489&lt;=9,3,4)))</f>
        <v>1</v>
      </c>
      <c r="J1489" s="29">
        <f t="shared" si="186"/>
        <v>0.25</v>
      </c>
      <c r="K1489" s="29">
        <f>IF(Dataset!H1489&lt;1,0.2,IF(Dataset!H1489&lt;1.3,0.45,IF(Dataset!H1489&lt;1.8,0.7,0.9)))</f>
        <v>0.9</v>
      </c>
      <c r="L1489" s="29">
        <f>IF(Dataset!H1489&lt;1,1,IF(Dataset!H1489&lt;1.3,2,IF(Dataset!H1489&lt;1.8,3,4)))</f>
        <v>4</v>
      </c>
      <c r="M1489" s="29">
        <f t="shared" si="187"/>
        <v>3.6</v>
      </c>
      <c r="N1489" s="29">
        <f>IF(Dataset!F1489=1,0.75,IF(Dataset!F1489=2,0.45,0.2))</f>
        <v>0.2</v>
      </c>
      <c r="O1489" s="29">
        <f>IF(Dataset!F1489=1,3,IF(Dataset!F1489=2,2,1))</f>
        <v>1</v>
      </c>
      <c r="P1489" s="29">
        <f t="shared" si="188"/>
        <v>0.2</v>
      </c>
      <c r="Q1489" s="29">
        <f>IF(Dataset!K1489&lt;5,0.2,IF(Dataset!K1489&lt;10,0.45,IF(Dataset!K1489&lt;18,0.7,0.9)))</f>
        <v>0.2</v>
      </c>
      <c r="R1489" s="29">
        <f>IF(Dataset!K1489&lt;5,1,IF(Dataset!K1489&lt;10,2,IF(Dataset!K1489&lt;18,3,4)))</f>
        <v>1</v>
      </c>
      <c r="S1489" s="29">
        <f t="shared" si="189"/>
        <v>0.2</v>
      </c>
      <c r="T1489" s="29">
        <f t="shared" si="190"/>
        <v>1.6779999999999999</v>
      </c>
      <c r="U1489" s="29" t="str">
        <f t="shared" si="191"/>
        <v>Medium</v>
      </c>
    </row>
    <row r="1490" spans="1:21" ht="15" customHeight="1" x14ac:dyDescent="0.25">
      <c r="A1490" s="29">
        <f>Dataset!A1490</f>
        <v>1486</v>
      </c>
      <c r="B1490" s="29">
        <f>IF(Dataset!B1490&lt;25,0.3,IF(Dataset!B1490&lt;75,0.5,IF(Dataset!B1490&lt;120,0.65,0.8)))</f>
        <v>0.65</v>
      </c>
      <c r="C1490" s="29">
        <f>IF(Dataset!B1490&lt;25,1,IF(Dataset!B1490&lt;75,2,IF(Dataset!B1490&lt;120,3,4)))</f>
        <v>3</v>
      </c>
      <c r="D1490" s="29">
        <f t="shared" si="184"/>
        <v>1.9500000000000002</v>
      </c>
      <c r="E1490" s="29">
        <f>IF(Dataset!C1490&lt;=1,0.3,IF(Dataset!C1490=2,0.4,IF(Dataset!C1490=3,0.5,IF(Dataset!C1490=4,0.65,0.8))))</f>
        <v>0.65</v>
      </c>
      <c r="F1490" s="29">
        <f>IF(Dataset!C1490&lt;=2,1,IF(Dataset!C1490=3,2,IF(Dataset!C1490=4,3,4)))</f>
        <v>3</v>
      </c>
      <c r="G1490" s="29">
        <f t="shared" si="185"/>
        <v>1.9500000000000002</v>
      </c>
      <c r="H1490" s="29">
        <f>IF(Dataset!G1490&lt;=3,0.25,IF(Dataset!G1490&lt;=6,0.45,IF(Dataset!G1490&lt;=9,0.65,0.85)))</f>
        <v>0.25</v>
      </c>
      <c r="I1490" s="29">
        <f>IF(Dataset!G1490&lt;=3,1,IF(Dataset!G1490&lt;=6,2,IF(Dataset!G1490&lt;=9,3,4)))</f>
        <v>1</v>
      </c>
      <c r="J1490" s="29">
        <f t="shared" si="186"/>
        <v>0.25</v>
      </c>
      <c r="K1490" s="29">
        <f>IF(Dataset!H1490&lt;1,0.2,IF(Dataset!H1490&lt;1.3,0.45,IF(Dataset!H1490&lt;1.8,0.7,0.9)))</f>
        <v>0.9</v>
      </c>
      <c r="L1490" s="29">
        <f>IF(Dataset!H1490&lt;1,1,IF(Dataset!H1490&lt;1.3,2,IF(Dataset!H1490&lt;1.8,3,4)))</f>
        <v>4</v>
      </c>
      <c r="M1490" s="29">
        <f t="shared" si="187"/>
        <v>3.6</v>
      </c>
      <c r="N1490" s="29">
        <f>IF(Dataset!F1490=1,0.75,IF(Dataset!F1490=2,0.45,0.2))</f>
        <v>0.2</v>
      </c>
      <c r="O1490" s="29">
        <f>IF(Dataset!F1490=1,3,IF(Dataset!F1490=2,2,1))</f>
        <v>1</v>
      </c>
      <c r="P1490" s="29">
        <f t="shared" si="188"/>
        <v>0.2</v>
      </c>
      <c r="Q1490" s="29">
        <f>IF(Dataset!K1490&lt;5,0.2,IF(Dataset!K1490&lt;10,0.45,IF(Dataset!K1490&lt;18,0.7,0.9)))</f>
        <v>0.7</v>
      </c>
      <c r="R1490" s="29">
        <f>IF(Dataset!K1490&lt;5,1,IF(Dataset!K1490&lt;10,2,IF(Dataset!K1490&lt;18,3,4)))</f>
        <v>3</v>
      </c>
      <c r="S1490" s="29">
        <f t="shared" si="189"/>
        <v>2.0999999999999996</v>
      </c>
      <c r="T1490" s="29">
        <f t="shared" si="190"/>
        <v>1.8520000000000003</v>
      </c>
      <c r="U1490" s="29" t="str">
        <f t="shared" si="191"/>
        <v>High</v>
      </c>
    </row>
    <row r="1491" spans="1:21" ht="15" customHeight="1" x14ac:dyDescent="0.25">
      <c r="A1491" s="29">
        <f>Dataset!A1491</f>
        <v>1487</v>
      </c>
      <c r="B1491" s="29">
        <f>IF(Dataset!B1491&lt;25,0.3,IF(Dataset!B1491&lt;75,0.5,IF(Dataset!B1491&lt;120,0.65,0.8)))</f>
        <v>0.5</v>
      </c>
      <c r="C1491" s="29">
        <f>IF(Dataset!B1491&lt;25,1,IF(Dataset!B1491&lt;75,2,IF(Dataset!B1491&lt;120,3,4)))</f>
        <v>2</v>
      </c>
      <c r="D1491" s="29">
        <f t="shared" si="184"/>
        <v>1</v>
      </c>
      <c r="E1491" s="29">
        <f>IF(Dataset!C1491&lt;=1,0.3,IF(Dataset!C1491=2,0.4,IF(Dataset!C1491=3,0.5,IF(Dataset!C1491=4,0.65,0.8))))</f>
        <v>0.8</v>
      </c>
      <c r="F1491" s="29">
        <f>IF(Dataset!C1491&lt;=2,1,IF(Dataset!C1491=3,2,IF(Dataset!C1491=4,3,4)))</f>
        <v>4</v>
      </c>
      <c r="G1491" s="29">
        <f t="shared" si="185"/>
        <v>3.2</v>
      </c>
      <c r="H1491" s="29">
        <f>IF(Dataset!G1491&lt;=3,0.25,IF(Dataset!G1491&lt;=6,0.45,IF(Dataset!G1491&lt;=9,0.65,0.85)))</f>
        <v>0.85</v>
      </c>
      <c r="I1491" s="29">
        <f>IF(Dataset!G1491&lt;=3,1,IF(Dataset!G1491&lt;=6,2,IF(Dataset!G1491&lt;=9,3,4)))</f>
        <v>4</v>
      </c>
      <c r="J1491" s="29">
        <f t="shared" si="186"/>
        <v>3.4</v>
      </c>
      <c r="K1491" s="29">
        <f>IF(Dataset!H1491&lt;1,0.2,IF(Dataset!H1491&lt;1.3,0.45,IF(Dataset!H1491&lt;1.8,0.7,0.9)))</f>
        <v>0.7</v>
      </c>
      <c r="L1491" s="29">
        <f>IF(Dataset!H1491&lt;1,1,IF(Dataset!H1491&lt;1.3,2,IF(Dataset!H1491&lt;1.8,3,4)))</f>
        <v>3</v>
      </c>
      <c r="M1491" s="29">
        <f t="shared" si="187"/>
        <v>2.0999999999999996</v>
      </c>
      <c r="N1491" s="29">
        <f>IF(Dataset!F1491=1,0.75,IF(Dataset!F1491=2,0.45,0.2))</f>
        <v>0.45</v>
      </c>
      <c r="O1491" s="29">
        <f>IF(Dataset!F1491=1,3,IF(Dataset!F1491=2,2,1))</f>
        <v>2</v>
      </c>
      <c r="P1491" s="29">
        <f t="shared" si="188"/>
        <v>0.9</v>
      </c>
      <c r="Q1491" s="29">
        <f>IF(Dataset!K1491&lt;5,0.2,IF(Dataset!K1491&lt;10,0.45,IF(Dataset!K1491&lt;18,0.7,0.9)))</f>
        <v>0.9</v>
      </c>
      <c r="R1491" s="29">
        <f>IF(Dataset!K1491&lt;5,1,IF(Dataset!K1491&lt;10,2,IF(Dataset!K1491&lt;18,3,4)))</f>
        <v>4</v>
      </c>
      <c r="S1491" s="29">
        <f t="shared" si="189"/>
        <v>3.6</v>
      </c>
      <c r="T1491" s="29">
        <f t="shared" si="190"/>
        <v>2.4060000000000006</v>
      </c>
      <c r="U1491" s="29" t="str">
        <f t="shared" si="191"/>
        <v>High</v>
      </c>
    </row>
    <row r="1492" spans="1:21" ht="15" customHeight="1" x14ac:dyDescent="0.25">
      <c r="A1492" s="29">
        <f>Dataset!A1492</f>
        <v>1488</v>
      </c>
      <c r="B1492" s="29">
        <f>IF(Dataset!B1492&lt;25,0.3,IF(Dataset!B1492&lt;75,0.5,IF(Dataset!B1492&lt;120,0.65,0.8)))</f>
        <v>0.5</v>
      </c>
      <c r="C1492" s="29">
        <f>IF(Dataset!B1492&lt;25,1,IF(Dataset!B1492&lt;75,2,IF(Dataset!B1492&lt;120,3,4)))</f>
        <v>2</v>
      </c>
      <c r="D1492" s="29">
        <f t="shared" si="184"/>
        <v>1</v>
      </c>
      <c r="E1492" s="29">
        <f>IF(Dataset!C1492&lt;=1,0.3,IF(Dataset!C1492=2,0.4,IF(Dataset!C1492=3,0.5,IF(Dataset!C1492=4,0.65,0.8))))</f>
        <v>0.8</v>
      </c>
      <c r="F1492" s="29">
        <f>IF(Dataset!C1492&lt;=2,1,IF(Dataset!C1492=3,2,IF(Dataset!C1492=4,3,4)))</f>
        <v>4</v>
      </c>
      <c r="G1492" s="29">
        <f t="shared" si="185"/>
        <v>3.2</v>
      </c>
      <c r="H1492" s="29">
        <f>IF(Dataset!G1492&lt;=3,0.25,IF(Dataset!G1492&lt;=6,0.45,IF(Dataset!G1492&lt;=9,0.65,0.85)))</f>
        <v>0.65</v>
      </c>
      <c r="I1492" s="29">
        <f>IF(Dataset!G1492&lt;=3,1,IF(Dataset!G1492&lt;=6,2,IF(Dataset!G1492&lt;=9,3,4)))</f>
        <v>3</v>
      </c>
      <c r="J1492" s="29">
        <f t="shared" si="186"/>
        <v>1.9500000000000002</v>
      </c>
      <c r="K1492" s="29">
        <f>IF(Dataset!H1492&lt;1,0.2,IF(Dataset!H1492&lt;1.3,0.45,IF(Dataset!H1492&lt;1.8,0.7,0.9)))</f>
        <v>0.2</v>
      </c>
      <c r="L1492" s="29">
        <f>IF(Dataset!H1492&lt;1,1,IF(Dataset!H1492&lt;1.3,2,IF(Dataset!H1492&lt;1.8,3,4)))</f>
        <v>1</v>
      </c>
      <c r="M1492" s="29">
        <f t="shared" si="187"/>
        <v>0.2</v>
      </c>
      <c r="N1492" s="29">
        <f>IF(Dataset!F1492=1,0.75,IF(Dataset!F1492=2,0.45,0.2))</f>
        <v>0.45</v>
      </c>
      <c r="O1492" s="29">
        <f>IF(Dataset!F1492=1,3,IF(Dataset!F1492=2,2,1))</f>
        <v>2</v>
      </c>
      <c r="P1492" s="29">
        <f t="shared" si="188"/>
        <v>0.9</v>
      </c>
      <c r="Q1492" s="29">
        <f>IF(Dataset!K1492&lt;5,0.2,IF(Dataset!K1492&lt;10,0.45,IF(Dataset!K1492&lt;18,0.7,0.9)))</f>
        <v>0.7</v>
      </c>
      <c r="R1492" s="29">
        <f>IF(Dataset!K1492&lt;5,1,IF(Dataset!K1492&lt;10,2,IF(Dataset!K1492&lt;18,3,4)))</f>
        <v>3</v>
      </c>
      <c r="S1492" s="29">
        <f t="shared" si="189"/>
        <v>2.0999999999999996</v>
      </c>
      <c r="T1492" s="29">
        <f t="shared" si="190"/>
        <v>1.4500000000000004</v>
      </c>
      <c r="U1492" s="29" t="str">
        <f t="shared" si="191"/>
        <v>Medium</v>
      </c>
    </row>
    <row r="1493" spans="1:21" ht="15" customHeight="1" x14ac:dyDescent="0.25">
      <c r="A1493" s="29">
        <f>Dataset!A1493</f>
        <v>1489</v>
      </c>
      <c r="B1493" s="29">
        <f>IF(Dataset!B1493&lt;25,0.3,IF(Dataset!B1493&lt;75,0.5,IF(Dataset!B1493&lt;120,0.65,0.8)))</f>
        <v>0.5</v>
      </c>
      <c r="C1493" s="29">
        <f>IF(Dataset!B1493&lt;25,1,IF(Dataset!B1493&lt;75,2,IF(Dataset!B1493&lt;120,3,4)))</f>
        <v>2</v>
      </c>
      <c r="D1493" s="29">
        <f t="shared" si="184"/>
        <v>1</v>
      </c>
      <c r="E1493" s="29">
        <f>IF(Dataset!C1493&lt;=1,0.3,IF(Dataset!C1493=2,0.4,IF(Dataset!C1493=3,0.5,IF(Dataset!C1493=4,0.65,0.8))))</f>
        <v>0.65</v>
      </c>
      <c r="F1493" s="29">
        <f>IF(Dataset!C1493&lt;=2,1,IF(Dataset!C1493=3,2,IF(Dataset!C1493=4,3,4)))</f>
        <v>3</v>
      </c>
      <c r="G1493" s="29">
        <f t="shared" si="185"/>
        <v>1.9500000000000002</v>
      </c>
      <c r="H1493" s="29">
        <f>IF(Dataset!G1493&lt;=3,0.25,IF(Dataset!G1493&lt;=6,0.45,IF(Dataset!G1493&lt;=9,0.65,0.85)))</f>
        <v>0.65</v>
      </c>
      <c r="I1493" s="29">
        <f>IF(Dataset!G1493&lt;=3,1,IF(Dataset!G1493&lt;=6,2,IF(Dataset!G1493&lt;=9,3,4)))</f>
        <v>3</v>
      </c>
      <c r="J1493" s="29">
        <f t="shared" si="186"/>
        <v>1.9500000000000002</v>
      </c>
      <c r="K1493" s="29">
        <f>IF(Dataset!H1493&lt;1,0.2,IF(Dataset!H1493&lt;1.3,0.45,IF(Dataset!H1493&lt;1.8,0.7,0.9)))</f>
        <v>0.7</v>
      </c>
      <c r="L1493" s="29">
        <f>IF(Dataset!H1493&lt;1,1,IF(Dataset!H1493&lt;1.3,2,IF(Dataset!H1493&lt;1.8,3,4)))</f>
        <v>3</v>
      </c>
      <c r="M1493" s="29">
        <f t="shared" si="187"/>
        <v>2.0999999999999996</v>
      </c>
      <c r="N1493" s="29">
        <f>IF(Dataset!F1493=1,0.75,IF(Dataset!F1493=2,0.45,0.2))</f>
        <v>0.45</v>
      </c>
      <c r="O1493" s="29">
        <f>IF(Dataset!F1493=1,3,IF(Dataset!F1493=2,2,1))</f>
        <v>2</v>
      </c>
      <c r="P1493" s="29">
        <f t="shared" si="188"/>
        <v>0.9</v>
      </c>
      <c r="Q1493" s="29">
        <f>IF(Dataset!K1493&lt;5,0.2,IF(Dataset!K1493&lt;10,0.45,IF(Dataset!K1493&lt;18,0.7,0.9)))</f>
        <v>0.45</v>
      </c>
      <c r="R1493" s="29">
        <f>IF(Dataset!K1493&lt;5,1,IF(Dataset!K1493&lt;10,2,IF(Dataset!K1493&lt;18,3,4)))</f>
        <v>2</v>
      </c>
      <c r="S1493" s="29">
        <f t="shared" si="189"/>
        <v>0.9</v>
      </c>
      <c r="T1493" s="29">
        <f t="shared" si="190"/>
        <v>1.5630000000000002</v>
      </c>
      <c r="U1493" s="29" t="str">
        <f t="shared" si="191"/>
        <v>Medium</v>
      </c>
    </row>
    <row r="1494" spans="1:21" ht="15" customHeight="1" x14ac:dyDescent="0.25">
      <c r="A1494" s="29">
        <f>Dataset!A1494</f>
        <v>1490</v>
      </c>
      <c r="B1494" s="29">
        <f>IF(Dataset!B1494&lt;25,0.3,IF(Dataset!B1494&lt;75,0.5,IF(Dataset!B1494&lt;120,0.65,0.8)))</f>
        <v>0.8</v>
      </c>
      <c r="C1494" s="29">
        <f>IF(Dataset!B1494&lt;25,1,IF(Dataset!B1494&lt;75,2,IF(Dataset!B1494&lt;120,3,4)))</f>
        <v>4</v>
      </c>
      <c r="D1494" s="29">
        <f t="shared" si="184"/>
        <v>3.2</v>
      </c>
      <c r="E1494" s="29">
        <f>IF(Dataset!C1494&lt;=1,0.3,IF(Dataset!C1494=2,0.4,IF(Dataset!C1494=3,0.5,IF(Dataset!C1494=4,0.65,0.8))))</f>
        <v>0.65</v>
      </c>
      <c r="F1494" s="29">
        <f>IF(Dataset!C1494&lt;=2,1,IF(Dataset!C1494=3,2,IF(Dataset!C1494=4,3,4)))</f>
        <v>3</v>
      </c>
      <c r="G1494" s="29">
        <f t="shared" si="185"/>
        <v>1.9500000000000002</v>
      </c>
      <c r="H1494" s="29">
        <f>IF(Dataset!G1494&lt;=3,0.25,IF(Dataset!G1494&lt;=6,0.45,IF(Dataset!G1494&lt;=9,0.65,0.85)))</f>
        <v>0.45</v>
      </c>
      <c r="I1494" s="29">
        <f>IF(Dataset!G1494&lt;=3,1,IF(Dataset!G1494&lt;=6,2,IF(Dataset!G1494&lt;=9,3,4)))</f>
        <v>2</v>
      </c>
      <c r="J1494" s="29">
        <f t="shared" si="186"/>
        <v>0.9</v>
      </c>
      <c r="K1494" s="29">
        <f>IF(Dataset!H1494&lt;1,0.2,IF(Dataset!H1494&lt;1.3,0.45,IF(Dataset!H1494&lt;1.8,0.7,0.9)))</f>
        <v>0.45</v>
      </c>
      <c r="L1494" s="29">
        <f>IF(Dataset!H1494&lt;1,1,IF(Dataset!H1494&lt;1.3,2,IF(Dataset!H1494&lt;1.8,3,4)))</f>
        <v>2</v>
      </c>
      <c r="M1494" s="29">
        <f t="shared" si="187"/>
        <v>0.9</v>
      </c>
      <c r="N1494" s="29">
        <f>IF(Dataset!F1494=1,0.75,IF(Dataset!F1494=2,0.45,0.2))</f>
        <v>0.75</v>
      </c>
      <c r="O1494" s="29">
        <f>IF(Dataset!F1494=1,3,IF(Dataset!F1494=2,2,1))</f>
        <v>3</v>
      </c>
      <c r="P1494" s="29">
        <f t="shared" si="188"/>
        <v>2.25</v>
      </c>
      <c r="Q1494" s="29">
        <f>IF(Dataset!K1494&lt;5,0.2,IF(Dataset!K1494&lt;10,0.45,IF(Dataset!K1494&lt;18,0.7,0.9)))</f>
        <v>0.45</v>
      </c>
      <c r="R1494" s="29">
        <f>IF(Dataset!K1494&lt;5,1,IF(Dataset!K1494&lt;10,2,IF(Dataset!K1494&lt;18,3,4)))</f>
        <v>2</v>
      </c>
      <c r="S1494" s="29">
        <f t="shared" si="189"/>
        <v>0.9</v>
      </c>
      <c r="T1494" s="29">
        <f t="shared" si="190"/>
        <v>1.5960000000000001</v>
      </c>
      <c r="U1494" s="29" t="str">
        <f t="shared" si="191"/>
        <v>Medium</v>
      </c>
    </row>
    <row r="1495" spans="1:21" ht="15" customHeight="1" x14ac:dyDescent="0.25">
      <c r="A1495" s="29">
        <f>Dataset!A1495</f>
        <v>1491</v>
      </c>
      <c r="B1495" s="29">
        <f>IF(Dataset!B1495&lt;25,0.3,IF(Dataset!B1495&lt;75,0.5,IF(Dataset!B1495&lt;120,0.65,0.8)))</f>
        <v>0.8</v>
      </c>
      <c r="C1495" s="29">
        <f>IF(Dataset!B1495&lt;25,1,IF(Dataset!B1495&lt;75,2,IF(Dataset!B1495&lt;120,3,4)))</f>
        <v>4</v>
      </c>
      <c r="D1495" s="29">
        <f t="shared" si="184"/>
        <v>3.2</v>
      </c>
      <c r="E1495" s="29">
        <f>IF(Dataset!C1495&lt;=1,0.3,IF(Dataset!C1495=2,0.4,IF(Dataset!C1495=3,0.5,IF(Dataset!C1495=4,0.65,0.8))))</f>
        <v>0.5</v>
      </c>
      <c r="F1495" s="29">
        <f>IF(Dataset!C1495&lt;=2,1,IF(Dataset!C1495=3,2,IF(Dataset!C1495=4,3,4)))</f>
        <v>2</v>
      </c>
      <c r="G1495" s="29">
        <f t="shared" si="185"/>
        <v>1</v>
      </c>
      <c r="H1495" s="29">
        <f>IF(Dataset!G1495&lt;=3,0.25,IF(Dataset!G1495&lt;=6,0.45,IF(Dataset!G1495&lt;=9,0.65,0.85)))</f>
        <v>0.65</v>
      </c>
      <c r="I1495" s="29">
        <f>IF(Dataset!G1495&lt;=3,1,IF(Dataset!G1495&lt;=6,2,IF(Dataset!G1495&lt;=9,3,4)))</f>
        <v>3</v>
      </c>
      <c r="J1495" s="29">
        <f t="shared" si="186"/>
        <v>1.9500000000000002</v>
      </c>
      <c r="K1495" s="29">
        <f>IF(Dataset!H1495&lt;1,0.2,IF(Dataset!H1495&lt;1.3,0.45,IF(Dataset!H1495&lt;1.8,0.7,0.9)))</f>
        <v>0.9</v>
      </c>
      <c r="L1495" s="29">
        <f>IF(Dataset!H1495&lt;1,1,IF(Dataset!H1495&lt;1.3,2,IF(Dataset!H1495&lt;1.8,3,4)))</f>
        <v>4</v>
      </c>
      <c r="M1495" s="29">
        <f t="shared" si="187"/>
        <v>3.6</v>
      </c>
      <c r="N1495" s="29">
        <f>IF(Dataset!F1495=1,0.75,IF(Dataset!F1495=2,0.45,0.2))</f>
        <v>0.45</v>
      </c>
      <c r="O1495" s="29">
        <f>IF(Dataset!F1495=1,3,IF(Dataset!F1495=2,2,1))</f>
        <v>2</v>
      </c>
      <c r="P1495" s="29">
        <f t="shared" si="188"/>
        <v>0.9</v>
      </c>
      <c r="Q1495" s="29">
        <f>IF(Dataset!K1495&lt;5,0.2,IF(Dataset!K1495&lt;10,0.45,IF(Dataset!K1495&lt;18,0.7,0.9)))</f>
        <v>0.45</v>
      </c>
      <c r="R1495" s="29">
        <f>IF(Dataset!K1495&lt;5,1,IF(Dataset!K1495&lt;10,2,IF(Dataset!K1495&lt;18,3,4)))</f>
        <v>2</v>
      </c>
      <c r="S1495" s="29">
        <f t="shared" si="189"/>
        <v>0.9</v>
      </c>
      <c r="T1495" s="29">
        <f t="shared" si="190"/>
        <v>2.1859999999999999</v>
      </c>
      <c r="U1495" s="29" t="str">
        <f t="shared" si="191"/>
        <v>High</v>
      </c>
    </row>
    <row r="1496" spans="1:21" ht="15" customHeight="1" x14ac:dyDescent="0.25">
      <c r="A1496" s="29">
        <f>Dataset!A1496</f>
        <v>1492</v>
      </c>
      <c r="B1496" s="29">
        <f>IF(Dataset!B1496&lt;25,0.3,IF(Dataset!B1496&lt;75,0.5,IF(Dataset!B1496&lt;120,0.65,0.8)))</f>
        <v>0.5</v>
      </c>
      <c r="C1496" s="29">
        <f>IF(Dataset!B1496&lt;25,1,IF(Dataset!B1496&lt;75,2,IF(Dataset!B1496&lt;120,3,4)))</f>
        <v>2</v>
      </c>
      <c r="D1496" s="29">
        <f t="shared" si="184"/>
        <v>1</v>
      </c>
      <c r="E1496" s="29">
        <f>IF(Dataset!C1496&lt;=1,0.3,IF(Dataset!C1496=2,0.4,IF(Dataset!C1496=3,0.5,IF(Dataset!C1496=4,0.65,0.8))))</f>
        <v>0.8</v>
      </c>
      <c r="F1496" s="29">
        <f>IF(Dataset!C1496&lt;=2,1,IF(Dataset!C1496=3,2,IF(Dataset!C1496=4,3,4)))</f>
        <v>4</v>
      </c>
      <c r="G1496" s="29">
        <f t="shared" si="185"/>
        <v>3.2</v>
      </c>
      <c r="H1496" s="29">
        <f>IF(Dataset!G1496&lt;=3,0.25,IF(Dataset!G1496&lt;=6,0.45,IF(Dataset!G1496&lt;=9,0.65,0.85)))</f>
        <v>0.25</v>
      </c>
      <c r="I1496" s="29">
        <f>IF(Dataset!G1496&lt;=3,1,IF(Dataset!G1496&lt;=6,2,IF(Dataset!G1496&lt;=9,3,4)))</f>
        <v>1</v>
      </c>
      <c r="J1496" s="29">
        <f t="shared" si="186"/>
        <v>0.25</v>
      </c>
      <c r="K1496" s="29">
        <f>IF(Dataset!H1496&lt;1,0.2,IF(Dataset!H1496&lt;1.3,0.45,IF(Dataset!H1496&lt;1.8,0.7,0.9)))</f>
        <v>0.9</v>
      </c>
      <c r="L1496" s="29">
        <f>IF(Dataset!H1496&lt;1,1,IF(Dataset!H1496&lt;1.3,2,IF(Dataset!H1496&lt;1.8,3,4)))</f>
        <v>4</v>
      </c>
      <c r="M1496" s="29">
        <f t="shared" si="187"/>
        <v>3.6</v>
      </c>
      <c r="N1496" s="29">
        <f>IF(Dataset!F1496=1,0.75,IF(Dataset!F1496=2,0.45,0.2))</f>
        <v>0.75</v>
      </c>
      <c r="O1496" s="29">
        <f>IF(Dataset!F1496=1,3,IF(Dataset!F1496=2,2,1))</f>
        <v>3</v>
      </c>
      <c r="P1496" s="29">
        <f t="shared" si="188"/>
        <v>2.25</v>
      </c>
      <c r="Q1496" s="29">
        <f>IF(Dataset!K1496&lt;5,0.2,IF(Dataset!K1496&lt;10,0.45,IF(Dataset!K1496&lt;18,0.7,0.9)))</f>
        <v>0.9</v>
      </c>
      <c r="R1496" s="29">
        <f>IF(Dataset!K1496&lt;5,1,IF(Dataset!K1496&lt;10,2,IF(Dataset!K1496&lt;18,3,4)))</f>
        <v>4</v>
      </c>
      <c r="S1496" s="29">
        <f t="shared" si="189"/>
        <v>3.6</v>
      </c>
      <c r="T1496" s="29">
        <f t="shared" si="190"/>
        <v>2.2710000000000004</v>
      </c>
      <c r="U1496" s="29" t="str">
        <f t="shared" si="191"/>
        <v>High</v>
      </c>
    </row>
    <row r="1497" spans="1:21" ht="15" customHeight="1" x14ac:dyDescent="0.25">
      <c r="A1497" s="29">
        <f>Dataset!A1497</f>
        <v>1493</v>
      </c>
      <c r="B1497" s="29">
        <f>IF(Dataset!B1497&lt;25,0.3,IF(Dataset!B1497&lt;75,0.5,IF(Dataset!B1497&lt;120,0.65,0.8)))</f>
        <v>0.5</v>
      </c>
      <c r="C1497" s="29">
        <f>IF(Dataset!B1497&lt;25,1,IF(Dataset!B1497&lt;75,2,IF(Dataset!B1497&lt;120,3,4)))</f>
        <v>2</v>
      </c>
      <c r="D1497" s="29">
        <f t="shared" si="184"/>
        <v>1</v>
      </c>
      <c r="E1497" s="29">
        <f>IF(Dataset!C1497&lt;=1,0.3,IF(Dataset!C1497=2,0.4,IF(Dataset!C1497=3,0.5,IF(Dataset!C1497=4,0.65,0.8))))</f>
        <v>0.4</v>
      </c>
      <c r="F1497" s="29">
        <f>IF(Dataset!C1497&lt;=2,1,IF(Dataset!C1497=3,2,IF(Dataset!C1497=4,3,4)))</f>
        <v>1</v>
      </c>
      <c r="G1497" s="29">
        <f t="shared" si="185"/>
        <v>0.4</v>
      </c>
      <c r="H1497" s="29">
        <f>IF(Dataset!G1497&lt;=3,0.25,IF(Dataset!G1497&lt;=6,0.45,IF(Dataset!G1497&lt;=9,0.65,0.85)))</f>
        <v>0.45</v>
      </c>
      <c r="I1497" s="29">
        <f>IF(Dataset!G1497&lt;=3,1,IF(Dataset!G1497&lt;=6,2,IF(Dataset!G1497&lt;=9,3,4)))</f>
        <v>2</v>
      </c>
      <c r="J1497" s="29">
        <f t="shared" si="186"/>
        <v>0.9</v>
      </c>
      <c r="K1497" s="29">
        <f>IF(Dataset!H1497&lt;1,0.2,IF(Dataset!H1497&lt;1.3,0.45,IF(Dataset!H1497&lt;1.8,0.7,0.9)))</f>
        <v>0.45</v>
      </c>
      <c r="L1497" s="29">
        <f>IF(Dataset!H1497&lt;1,1,IF(Dataset!H1497&lt;1.3,2,IF(Dataset!H1497&lt;1.8,3,4)))</f>
        <v>2</v>
      </c>
      <c r="M1497" s="29">
        <f t="shared" si="187"/>
        <v>0.9</v>
      </c>
      <c r="N1497" s="29">
        <f>IF(Dataset!F1497=1,0.75,IF(Dataset!F1497=2,0.45,0.2))</f>
        <v>0.45</v>
      </c>
      <c r="O1497" s="29">
        <f>IF(Dataset!F1497=1,3,IF(Dataset!F1497=2,2,1))</f>
        <v>2</v>
      </c>
      <c r="P1497" s="29">
        <f t="shared" si="188"/>
        <v>0.9</v>
      </c>
      <c r="Q1497" s="29">
        <f>IF(Dataset!K1497&lt;5,0.2,IF(Dataset!K1497&lt;10,0.45,IF(Dataset!K1497&lt;18,0.7,0.9)))</f>
        <v>0.2</v>
      </c>
      <c r="R1497" s="29">
        <f>IF(Dataset!K1497&lt;5,1,IF(Dataset!K1497&lt;10,2,IF(Dataset!K1497&lt;18,3,4)))</f>
        <v>1</v>
      </c>
      <c r="S1497" s="29">
        <f t="shared" si="189"/>
        <v>0.2</v>
      </c>
      <c r="T1497" s="29">
        <f t="shared" si="190"/>
        <v>0.75</v>
      </c>
      <c r="U1497" s="29" t="str">
        <f t="shared" si="191"/>
        <v>Low</v>
      </c>
    </row>
    <row r="1498" spans="1:21" ht="15" customHeight="1" x14ac:dyDescent="0.25">
      <c r="A1498" s="29">
        <f>Dataset!A1498</f>
        <v>1494</v>
      </c>
      <c r="B1498" s="29">
        <f>IF(Dataset!B1498&lt;25,0.3,IF(Dataset!B1498&lt;75,0.5,IF(Dataset!B1498&lt;120,0.65,0.8)))</f>
        <v>0.3</v>
      </c>
      <c r="C1498" s="29">
        <f>IF(Dataset!B1498&lt;25,1,IF(Dataset!B1498&lt;75,2,IF(Dataset!B1498&lt;120,3,4)))</f>
        <v>1</v>
      </c>
      <c r="D1498" s="29">
        <f t="shared" si="184"/>
        <v>0.3</v>
      </c>
      <c r="E1498" s="29">
        <f>IF(Dataset!C1498&lt;=1,0.3,IF(Dataset!C1498=2,0.4,IF(Dataset!C1498=3,0.5,IF(Dataset!C1498=4,0.65,0.8))))</f>
        <v>0.4</v>
      </c>
      <c r="F1498" s="29">
        <f>IF(Dataset!C1498&lt;=2,1,IF(Dataset!C1498=3,2,IF(Dataset!C1498=4,3,4)))</f>
        <v>1</v>
      </c>
      <c r="G1498" s="29">
        <f t="shared" si="185"/>
        <v>0.4</v>
      </c>
      <c r="H1498" s="29">
        <f>IF(Dataset!G1498&lt;=3,0.25,IF(Dataset!G1498&lt;=6,0.45,IF(Dataset!G1498&lt;=9,0.65,0.85)))</f>
        <v>0.65</v>
      </c>
      <c r="I1498" s="29">
        <f>IF(Dataset!G1498&lt;=3,1,IF(Dataset!G1498&lt;=6,2,IF(Dataset!G1498&lt;=9,3,4)))</f>
        <v>3</v>
      </c>
      <c r="J1498" s="29">
        <f t="shared" si="186"/>
        <v>1.9500000000000002</v>
      </c>
      <c r="K1498" s="29">
        <f>IF(Dataset!H1498&lt;1,0.2,IF(Dataset!H1498&lt;1.3,0.45,IF(Dataset!H1498&lt;1.8,0.7,0.9)))</f>
        <v>0.7</v>
      </c>
      <c r="L1498" s="29">
        <f>IF(Dataset!H1498&lt;1,1,IF(Dataset!H1498&lt;1.3,2,IF(Dataset!H1498&lt;1.8,3,4)))</f>
        <v>3</v>
      </c>
      <c r="M1498" s="29">
        <f t="shared" si="187"/>
        <v>2.0999999999999996</v>
      </c>
      <c r="N1498" s="29">
        <f>IF(Dataset!F1498=1,0.75,IF(Dataset!F1498=2,0.45,0.2))</f>
        <v>0.75</v>
      </c>
      <c r="O1498" s="29">
        <f>IF(Dataset!F1498=1,3,IF(Dataset!F1498=2,2,1))</f>
        <v>3</v>
      </c>
      <c r="P1498" s="29">
        <f t="shared" si="188"/>
        <v>2.25</v>
      </c>
      <c r="Q1498" s="29">
        <f>IF(Dataset!K1498&lt;5,0.2,IF(Dataset!K1498&lt;10,0.45,IF(Dataset!K1498&lt;18,0.7,0.9)))</f>
        <v>0.2</v>
      </c>
      <c r="R1498" s="29">
        <f>IF(Dataset!K1498&lt;5,1,IF(Dataset!K1498&lt;10,2,IF(Dataset!K1498&lt;18,3,4)))</f>
        <v>1</v>
      </c>
      <c r="S1498" s="29">
        <f t="shared" si="189"/>
        <v>0.2</v>
      </c>
      <c r="T1498" s="29">
        <f t="shared" si="190"/>
        <v>1.2570000000000001</v>
      </c>
      <c r="U1498" s="29" t="str">
        <f t="shared" si="191"/>
        <v>Low</v>
      </c>
    </row>
    <row r="1499" spans="1:21" ht="15" customHeight="1" x14ac:dyDescent="0.25">
      <c r="A1499" s="29">
        <f>Dataset!A1499</f>
        <v>1495</v>
      </c>
      <c r="B1499" s="29">
        <f>IF(Dataset!B1499&lt;25,0.3,IF(Dataset!B1499&lt;75,0.5,IF(Dataset!B1499&lt;120,0.65,0.8)))</f>
        <v>0.65</v>
      </c>
      <c r="C1499" s="29">
        <f>IF(Dataset!B1499&lt;25,1,IF(Dataset!B1499&lt;75,2,IF(Dataset!B1499&lt;120,3,4)))</f>
        <v>3</v>
      </c>
      <c r="D1499" s="29">
        <f t="shared" si="184"/>
        <v>1.9500000000000002</v>
      </c>
      <c r="E1499" s="29">
        <f>IF(Dataset!C1499&lt;=1,0.3,IF(Dataset!C1499=2,0.4,IF(Dataset!C1499=3,0.5,IF(Dataset!C1499=4,0.65,0.8))))</f>
        <v>0.8</v>
      </c>
      <c r="F1499" s="29">
        <f>IF(Dataset!C1499&lt;=2,1,IF(Dataset!C1499=3,2,IF(Dataset!C1499=4,3,4)))</f>
        <v>4</v>
      </c>
      <c r="G1499" s="29">
        <f t="shared" si="185"/>
        <v>3.2</v>
      </c>
      <c r="H1499" s="29">
        <f>IF(Dataset!G1499&lt;=3,0.25,IF(Dataset!G1499&lt;=6,0.45,IF(Dataset!G1499&lt;=9,0.65,0.85)))</f>
        <v>0.45</v>
      </c>
      <c r="I1499" s="29">
        <f>IF(Dataset!G1499&lt;=3,1,IF(Dataset!G1499&lt;=6,2,IF(Dataset!G1499&lt;=9,3,4)))</f>
        <v>2</v>
      </c>
      <c r="J1499" s="29">
        <f t="shared" si="186"/>
        <v>0.9</v>
      </c>
      <c r="K1499" s="29">
        <f>IF(Dataset!H1499&lt;1,0.2,IF(Dataset!H1499&lt;1.3,0.45,IF(Dataset!H1499&lt;1.8,0.7,0.9)))</f>
        <v>0.2</v>
      </c>
      <c r="L1499" s="29">
        <f>IF(Dataset!H1499&lt;1,1,IF(Dataset!H1499&lt;1.3,2,IF(Dataset!H1499&lt;1.8,3,4)))</f>
        <v>1</v>
      </c>
      <c r="M1499" s="29">
        <f t="shared" si="187"/>
        <v>0.2</v>
      </c>
      <c r="N1499" s="29">
        <f>IF(Dataset!F1499=1,0.75,IF(Dataset!F1499=2,0.45,0.2))</f>
        <v>0.75</v>
      </c>
      <c r="O1499" s="29">
        <f>IF(Dataset!F1499=1,3,IF(Dataset!F1499=2,2,1))</f>
        <v>3</v>
      </c>
      <c r="P1499" s="29">
        <f t="shared" si="188"/>
        <v>2.25</v>
      </c>
      <c r="Q1499" s="29">
        <f>IF(Dataset!K1499&lt;5,0.2,IF(Dataset!K1499&lt;10,0.45,IF(Dataset!K1499&lt;18,0.7,0.9)))</f>
        <v>0.9</v>
      </c>
      <c r="R1499" s="29">
        <f>IF(Dataset!K1499&lt;5,1,IF(Dataset!K1499&lt;10,2,IF(Dataset!K1499&lt;18,3,4)))</f>
        <v>4</v>
      </c>
      <c r="S1499" s="29">
        <f t="shared" si="189"/>
        <v>3.6</v>
      </c>
      <c r="T1499" s="29">
        <f t="shared" si="190"/>
        <v>1.7560000000000002</v>
      </c>
      <c r="U1499" s="29" t="str">
        <f t="shared" si="191"/>
        <v>High</v>
      </c>
    </row>
    <row r="1500" spans="1:21" ht="15" customHeight="1" x14ac:dyDescent="0.25">
      <c r="A1500" s="29">
        <f>Dataset!A1500</f>
        <v>1496</v>
      </c>
      <c r="B1500" s="29">
        <f>IF(Dataset!B1500&lt;25,0.3,IF(Dataset!B1500&lt;75,0.5,IF(Dataset!B1500&lt;120,0.65,0.8)))</f>
        <v>0.65</v>
      </c>
      <c r="C1500" s="29">
        <f>IF(Dataset!B1500&lt;25,1,IF(Dataset!B1500&lt;75,2,IF(Dataset!B1500&lt;120,3,4)))</f>
        <v>3</v>
      </c>
      <c r="D1500" s="29">
        <f t="shared" si="184"/>
        <v>1.9500000000000002</v>
      </c>
      <c r="E1500" s="29">
        <f>IF(Dataset!C1500&lt;=1,0.3,IF(Dataset!C1500=2,0.4,IF(Dataset!C1500=3,0.5,IF(Dataset!C1500=4,0.65,0.8))))</f>
        <v>0.8</v>
      </c>
      <c r="F1500" s="29">
        <f>IF(Dataset!C1500&lt;=2,1,IF(Dataset!C1500=3,2,IF(Dataset!C1500=4,3,4)))</f>
        <v>4</v>
      </c>
      <c r="G1500" s="29">
        <f t="shared" si="185"/>
        <v>3.2</v>
      </c>
      <c r="H1500" s="29">
        <f>IF(Dataset!G1500&lt;=3,0.25,IF(Dataset!G1500&lt;=6,0.45,IF(Dataset!G1500&lt;=9,0.65,0.85)))</f>
        <v>0.25</v>
      </c>
      <c r="I1500" s="29">
        <f>IF(Dataset!G1500&lt;=3,1,IF(Dataset!G1500&lt;=6,2,IF(Dataset!G1500&lt;=9,3,4)))</f>
        <v>1</v>
      </c>
      <c r="J1500" s="29">
        <f t="shared" si="186"/>
        <v>0.25</v>
      </c>
      <c r="K1500" s="29">
        <f>IF(Dataset!H1500&lt;1,0.2,IF(Dataset!H1500&lt;1.3,0.45,IF(Dataset!H1500&lt;1.8,0.7,0.9)))</f>
        <v>0.9</v>
      </c>
      <c r="L1500" s="29">
        <f>IF(Dataset!H1500&lt;1,1,IF(Dataset!H1500&lt;1.3,2,IF(Dataset!H1500&lt;1.8,3,4)))</f>
        <v>4</v>
      </c>
      <c r="M1500" s="29">
        <f t="shared" si="187"/>
        <v>3.6</v>
      </c>
      <c r="N1500" s="29">
        <f>IF(Dataset!F1500=1,0.75,IF(Dataset!F1500=2,0.45,0.2))</f>
        <v>0.75</v>
      </c>
      <c r="O1500" s="29">
        <f>IF(Dataset!F1500=1,3,IF(Dataset!F1500=2,2,1))</f>
        <v>3</v>
      </c>
      <c r="P1500" s="29">
        <f t="shared" si="188"/>
        <v>2.25</v>
      </c>
      <c r="Q1500" s="29">
        <f>IF(Dataset!K1500&lt;5,0.2,IF(Dataset!K1500&lt;10,0.45,IF(Dataset!K1500&lt;18,0.7,0.9)))</f>
        <v>0.7</v>
      </c>
      <c r="R1500" s="29">
        <f>IF(Dataset!K1500&lt;5,1,IF(Dataset!K1500&lt;10,2,IF(Dataset!K1500&lt;18,3,4)))</f>
        <v>3</v>
      </c>
      <c r="S1500" s="29">
        <f t="shared" si="189"/>
        <v>2.0999999999999996</v>
      </c>
      <c r="T1500" s="29">
        <f t="shared" si="190"/>
        <v>2.2320000000000002</v>
      </c>
      <c r="U1500" s="29" t="str">
        <f t="shared" si="191"/>
        <v>High</v>
      </c>
    </row>
    <row r="1501" spans="1:21" ht="15" customHeight="1" x14ac:dyDescent="0.25">
      <c r="A1501" s="29">
        <f>Dataset!A1501</f>
        <v>1497</v>
      </c>
      <c r="B1501" s="29">
        <f>IF(Dataset!B1501&lt;25,0.3,IF(Dataset!B1501&lt;75,0.5,IF(Dataset!B1501&lt;120,0.65,0.8)))</f>
        <v>0.65</v>
      </c>
      <c r="C1501" s="29">
        <f>IF(Dataset!B1501&lt;25,1,IF(Dataset!B1501&lt;75,2,IF(Dataset!B1501&lt;120,3,4)))</f>
        <v>3</v>
      </c>
      <c r="D1501" s="29">
        <f t="shared" si="184"/>
        <v>1.9500000000000002</v>
      </c>
      <c r="E1501" s="29">
        <f>IF(Dataset!C1501&lt;=1,0.3,IF(Dataset!C1501=2,0.4,IF(Dataset!C1501=3,0.5,IF(Dataset!C1501=4,0.65,0.8))))</f>
        <v>0.5</v>
      </c>
      <c r="F1501" s="29">
        <f>IF(Dataset!C1501&lt;=2,1,IF(Dataset!C1501=3,2,IF(Dataset!C1501=4,3,4)))</f>
        <v>2</v>
      </c>
      <c r="G1501" s="29">
        <f t="shared" si="185"/>
        <v>1</v>
      </c>
      <c r="H1501" s="29">
        <f>IF(Dataset!G1501&lt;=3,0.25,IF(Dataset!G1501&lt;=6,0.45,IF(Dataset!G1501&lt;=9,0.65,0.85)))</f>
        <v>0.85</v>
      </c>
      <c r="I1501" s="29">
        <f>IF(Dataset!G1501&lt;=3,1,IF(Dataset!G1501&lt;=6,2,IF(Dataset!G1501&lt;=9,3,4)))</f>
        <v>4</v>
      </c>
      <c r="J1501" s="29">
        <f t="shared" si="186"/>
        <v>3.4</v>
      </c>
      <c r="K1501" s="29">
        <f>IF(Dataset!H1501&lt;1,0.2,IF(Dataset!H1501&lt;1.3,0.45,IF(Dataset!H1501&lt;1.8,0.7,0.9)))</f>
        <v>0.9</v>
      </c>
      <c r="L1501" s="29">
        <f>IF(Dataset!H1501&lt;1,1,IF(Dataset!H1501&lt;1.3,2,IF(Dataset!H1501&lt;1.8,3,4)))</f>
        <v>4</v>
      </c>
      <c r="M1501" s="29">
        <f t="shared" si="187"/>
        <v>3.6</v>
      </c>
      <c r="N1501" s="29">
        <f>IF(Dataset!F1501=1,0.75,IF(Dataset!F1501=2,0.45,0.2))</f>
        <v>0.2</v>
      </c>
      <c r="O1501" s="29">
        <f>IF(Dataset!F1501=1,3,IF(Dataset!F1501=2,2,1))</f>
        <v>1</v>
      </c>
      <c r="P1501" s="29">
        <f t="shared" si="188"/>
        <v>0.2</v>
      </c>
      <c r="Q1501" s="29">
        <f>IF(Dataset!K1501&lt;5,0.2,IF(Dataset!K1501&lt;10,0.45,IF(Dataset!K1501&lt;18,0.7,0.9)))</f>
        <v>0.2</v>
      </c>
      <c r="R1501" s="29">
        <f>IF(Dataset!K1501&lt;5,1,IF(Dataset!K1501&lt;10,2,IF(Dataset!K1501&lt;18,3,4)))</f>
        <v>1</v>
      </c>
      <c r="S1501" s="29">
        <f t="shared" si="189"/>
        <v>0.2</v>
      </c>
      <c r="T1501" s="29">
        <f t="shared" si="190"/>
        <v>2.0830000000000002</v>
      </c>
      <c r="U1501" s="29" t="str">
        <f t="shared" si="191"/>
        <v>High</v>
      </c>
    </row>
    <row r="1502" spans="1:21" ht="15" customHeight="1" x14ac:dyDescent="0.25">
      <c r="A1502" s="29">
        <f>Dataset!A1502</f>
        <v>1498</v>
      </c>
      <c r="B1502" s="29">
        <f>IF(Dataset!B1502&lt;25,0.3,IF(Dataset!B1502&lt;75,0.5,IF(Dataset!B1502&lt;120,0.65,0.8)))</f>
        <v>0.65</v>
      </c>
      <c r="C1502" s="29">
        <f>IF(Dataset!B1502&lt;25,1,IF(Dataset!B1502&lt;75,2,IF(Dataset!B1502&lt;120,3,4)))</f>
        <v>3</v>
      </c>
      <c r="D1502" s="29">
        <f t="shared" si="184"/>
        <v>1.9500000000000002</v>
      </c>
      <c r="E1502" s="29">
        <f>IF(Dataset!C1502&lt;=1,0.3,IF(Dataset!C1502=2,0.4,IF(Dataset!C1502=3,0.5,IF(Dataset!C1502=4,0.65,0.8))))</f>
        <v>0.65</v>
      </c>
      <c r="F1502" s="29">
        <f>IF(Dataset!C1502&lt;=2,1,IF(Dataset!C1502=3,2,IF(Dataset!C1502=4,3,4)))</f>
        <v>3</v>
      </c>
      <c r="G1502" s="29">
        <f t="shared" si="185"/>
        <v>1.9500000000000002</v>
      </c>
      <c r="H1502" s="29">
        <f>IF(Dataset!G1502&lt;=3,0.25,IF(Dataset!G1502&lt;=6,0.45,IF(Dataset!G1502&lt;=9,0.65,0.85)))</f>
        <v>0.45</v>
      </c>
      <c r="I1502" s="29">
        <f>IF(Dataset!G1502&lt;=3,1,IF(Dataset!G1502&lt;=6,2,IF(Dataset!G1502&lt;=9,3,4)))</f>
        <v>2</v>
      </c>
      <c r="J1502" s="29">
        <f t="shared" si="186"/>
        <v>0.9</v>
      </c>
      <c r="K1502" s="29">
        <f>IF(Dataset!H1502&lt;1,0.2,IF(Dataset!H1502&lt;1.3,0.45,IF(Dataset!H1502&lt;1.8,0.7,0.9)))</f>
        <v>0.9</v>
      </c>
      <c r="L1502" s="29">
        <f>IF(Dataset!H1502&lt;1,1,IF(Dataset!H1502&lt;1.3,2,IF(Dataset!H1502&lt;1.8,3,4)))</f>
        <v>4</v>
      </c>
      <c r="M1502" s="29">
        <f t="shared" si="187"/>
        <v>3.6</v>
      </c>
      <c r="N1502" s="29">
        <f>IF(Dataset!F1502=1,0.75,IF(Dataset!F1502=2,0.45,0.2))</f>
        <v>0.75</v>
      </c>
      <c r="O1502" s="29">
        <f>IF(Dataset!F1502=1,3,IF(Dataset!F1502=2,2,1))</f>
        <v>3</v>
      </c>
      <c r="P1502" s="29">
        <f t="shared" si="188"/>
        <v>2.25</v>
      </c>
      <c r="Q1502" s="29">
        <f>IF(Dataset!K1502&lt;5,0.2,IF(Dataset!K1502&lt;10,0.45,IF(Dataset!K1502&lt;18,0.7,0.9)))</f>
        <v>0.7</v>
      </c>
      <c r="R1502" s="29">
        <f>IF(Dataset!K1502&lt;5,1,IF(Dataset!K1502&lt;10,2,IF(Dataset!K1502&lt;18,3,4)))</f>
        <v>3</v>
      </c>
      <c r="S1502" s="29">
        <f t="shared" si="189"/>
        <v>2.0999999999999996</v>
      </c>
      <c r="T1502" s="29">
        <f t="shared" si="190"/>
        <v>2.1870000000000003</v>
      </c>
      <c r="U1502" s="29" t="str">
        <f t="shared" si="191"/>
        <v>High</v>
      </c>
    </row>
    <row r="1503" spans="1:21" ht="15" customHeight="1" x14ac:dyDescent="0.25">
      <c r="A1503" s="29">
        <f>Dataset!A1503</f>
        <v>1499</v>
      </c>
      <c r="B1503" s="29">
        <f>IF(Dataset!B1503&lt;25,0.3,IF(Dataset!B1503&lt;75,0.5,IF(Dataset!B1503&lt;120,0.65,0.8)))</f>
        <v>0.5</v>
      </c>
      <c r="C1503" s="29">
        <f>IF(Dataset!B1503&lt;25,1,IF(Dataset!B1503&lt;75,2,IF(Dataset!B1503&lt;120,3,4)))</f>
        <v>2</v>
      </c>
      <c r="D1503" s="29">
        <f t="shared" si="184"/>
        <v>1</v>
      </c>
      <c r="E1503" s="29">
        <f>IF(Dataset!C1503&lt;=1,0.3,IF(Dataset!C1503=2,0.4,IF(Dataset!C1503=3,0.5,IF(Dataset!C1503=4,0.65,0.8))))</f>
        <v>0.5</v>
      </c>
      <c r="F1503" s="29">
        <f>IF(Dataset!C1503&lt;=2,1,IF(Dataset!C1503=3,2,IF(Dataset!C1503=4,3,4)))</f>
        <v>2</v>
      </c>
      <c r="G1503" s="29">
        <f t="shared" si="185"/>
        <v>1</v>
      </c>
      <c r="H1503" s="29">
        <f>IF(Dataset!G1503&lt;=3,0.25,IF(Dataset!G1503&lt;=6,0.45,IF(Dataset!G1503&lt;=9,0.65,0.85)))</f>
        <v>0.65</v>
      </c>
      <c r="I1503" s="29">
        <f>IF(Dataset!G1503&lt;=3,1,IF(Dataset!G1503&lt;=6,2,IF(Dataset!G1503&lt;=9,3,4)))</f>
        <v>3</v>
      </c>
      <c r="J1503" s="29">
        <f t="shared" si="186"/>
        <v>1.9500000000000002</v>
      </c>
      <c r="K1503" s="29">
        <f>IF(Dataset!H1503&lt;1,0.2,IF(Dataset!H1503&lt;1.3,0.45,IF(Dataset!H1503&lt;1.8,0.7,0.9)))</f>
        <v>0.7</v>
      </c>
      <c r="L1503" s="29">
        <f>IF(Dataset!H1503&lt;1,1,IF(Dataset!H1503&lt;1.3,2,IF(Dataset!H1503&lt;1.8,3,4)))</f>
        <v>3</v>
      </c>
      <c r="M1503" s="29">
        <f t="shared" si="187"/>
        <v>2.0999999999999996</v>
      </c>
      <c r="N1503" s="29">
        <f>IF(Dataset!F1503=1,0.75,IF(Dataset!F1503=2,0.45,0.2))</f>
        <v>0.45</v>
      </c>
      <c r="O1503" s="29">
        <f>IF(Dataset!F1503=1,3,IF(Dataset!F1503=2,2,1))</f>
        <v>2</v>
      </c>
      <c r="P1503" s="29">
        <f t="shared" si="188"/>
        <v>0.9</v>
      </c>
      <c r="Q1503" s="29">
        <f>IF(Dataset!K1503&lt;5,0.2,IF(Dataset!K1503&lt;10,0.45,IF(Dataset!K1503&lt;18,0.7,0.9)))</f>
        <v>0.2</v>
      </c>
      <c r="R1503" s="29">
        <f>IF(Dataset!K1503&lt;5,1,IF(Dataset!K1503&lt;10,2,IF(Dataset!K1503&lt;18,3,4)))</f>
        <v>1</v>
      </c>
      <c r="S1503" s="29">
        <f t="shared" si="189"/>
        <v>0.2</v>
      </c>
      <c r="T1503" s="29">
        <f t="shared" si="190"/>
        <v>1.3320000000000001</v>
      </c>
      <c r="U1503" s="29" t="str">
        <f t="shared" si="191"/>
        <v>Low</v>
      </c>
    </row>
    <row r="1504" spans="1:21" ht="15" customHeight="1" x14ac:dyDescent="0.25">
      <c r="A1504" s="29">
        <f>Dataset!A1504</f>
        <v>1500</v>
      </c>
      <c r="B1504" s="29">
        <f>IF(Dataset!B1504&lt;25,0.3,IF(Dataset!B1504&lt;75,0.5,IF(Dataset!B1504&lt;120,0.65,0.8)))</f>
        <v>0.5</v>
      </c>
      <c r="C1504" s="29">
        <f>IF(Dataset!B1504&lt;25,1,IF(Dataset!B1504&lt;75,2,IF(Dataset!B1504&lt;120,3,4)))</f>
        <v>2</v>
      </c>
      <c r="D1504" s="29">
        <f t="shared" si="184"/>
        <v>1</v>
      </c>
      <c r="E1504" s="29">
        <f>IF(Dataset!C1504&lt;=1,0.3,IF(Dataset!C1504=2,0.4,IF(Dataset!C1504=3,0.5,IF(Dataset!C1504=4,0.65,0.8))))</f>
        <v>0.5</v>
      </c>
      <c r="F1504" s="29">
        <f>IF(Dataset!C1504&lt;=2,1,IF(Dataset!C1504=3,2,IF(Dataset!C1504=4,3,4)))</f>
        <v>2</v>
      </c>
      <c r="G1504" s="29">
        <f t="shared" si="185"/>
        <v>1</v>
      </c>
      <c r="H1504" s="29">
        <f>IF(Dataset!G1504&lt;=3,0.25,IF(Dataset!G1504&lt;=6,0.45,IF(Dataset!G1504&lt;=9,0.65,0.85)))</f>
        <v>0.25</v>
      </c>
      <c r="I1504" s="29">
        <f>IF(Dataset!G1504&lt;=3,1,IF(Dataset!G1504&lt;=6,2,IF(Dataset!G1504&lt;=9,3,4)))</f>
        <v>1</v>
      </c>
      <c r="J1504" s="29">
        <f t="shared" si="186"/>
        <v>0.25</v>
      </c>
      <c r="K1504" s="29">
        <f>IF(Dataset!H1504&lt;1,0.2,IF(Dataset!H1504&lt;1.3,0.45,IF(Dataset!H1504&lt;1.8,0.7,0.9)))</f>
        <v>0.9</v>
      </c>
      <c r="L1504" s="29">
        <f>IF(Dataset!H1504&lt;1,1,IF(Dataset!H1504&lt;1.3,2,IF(Dataset!H1504&lt;1.8,3,4)))</f>
        <v>4</v>
      </c>
      <c r="M1504" s="29">
        <f t="shared" si="187"/>
        <v>3.6</v>
      </c>
      <c r="N1504" s="29">
        <f>IF(Dataset!F1504=1,0.75,IF(Dataset!F1504=2,0.45,0.2))</f>
        <v>0.45</v>
      </c>
      <c r="O1504" s="29">
        <f>IF(Dataset!F1504=1,3,IF(Dataset!F1504=2,2,1))</f>
        <v>2</v>
      </c>
      <c r="P1504" s="29">
        <f t="shared" si="188"/>
        <v>0.9</v>
      </c>
      <c r="Q1504" s="29">
        <f>IF(Dataset!K1504&lt;5,0.2,IF(Dataset!K1504&lt;10,0.45,IF(Dataset!K1504&lt;18,0.7,0.9)))</f>
        <v>0.2</v>
      </c>
      <c r="R1504" s="29">
        <f>IF(Dataset!K1504&lt;5,1,IF(Dataset!K1504&lt;10,2,IF(Dataset!K1504&lt;18,3,4)))</f>
        <v>1</v>
      </c>
      <c r="S1504" s="29">
        <f t="shared" si="189"/>
        <v>0.2</v>
      </c>
      <c r="T1504" s="29">
        <f t="shared" si="190"/>
        <v>1.3520000000000001</v>
      </c>
      <c r="U1504" s="29" t="str">
        <f t="shared" si="191"/>
        <v>Low</v>
      </c>
    </row>
  </sheetData>
  <mergeCells count="5">
    <mergeCell ref="A1:U1"/>
    <mergeCell ref="A2:U2"/>
    <mergeCell ref="X4:Y4"/>
    <mergeCell ref="X14:Y14"/>
    <mergeCell ref="X18:Y1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4"/>
  <sheetViews>
    <sheetView showGridLines="0" zoomScaleNormal="100" workbookViewId="0">
      <selection activeCell="A19" sqref="A19:B19"/>
    </sheetView>
  </sheetViews>
  <sheetFormatPr defaultColWidth="8.7109375" defaultRowHeight="15" x14ac:dyDescent="0.25"/>
  <cols>
    <col min="1" max="1" width="4" customWidth="1"/>
    <col min="2" max="2" width="108" customWidth="1"/>
  </cols>
  <sheetData>
    <row r="1" spans="1:2" ht="21.75" customHeight="1" x14ac:dyDescent="0.25">
      <c r="A1" s="6" t="s">
        <v>177</v>
      </c>
      <c r="B1" s="6"/>
    </row>
    <row r="3" spans="1:2" ht="18" customHeight="1" x14ac:dyDescent="0.25">
      <c r="A3" s="5" t="s">
        <v>178</v>
      </c>
      <c r="B3" s="5"/>
    </row>
    <row r="4" spans="1:2" ht="39.75" customHeight="1" x14ac:dyDescent="0.25">
      <c r="A4" s="4" t="s">
        <v>179</v>
      </c>
      <c r="B4" s="4"/>
    </row>
    <row r="5" spans="1:2" ht="27.75" customHeight="1" x14ac:dyDescent="0.25">
      <c r="A5" s="4" t="s">
        <v>180</v>
      </c>
      <c r="B5" s="4"/>
    </row>
    <row r="6" spans="1:2" ht="27.75" customHeight="1" x14ac:dyDescent="0.25">
      <c r="A6" s="4" t="s">
        <v>181</v>
      </c>
      <c r="B6" s="4"/>
    </row>
    <row r="7" spans="1:2" ht="43.5" customHeight="1" x14ac:dyDescent="0.25">
      <c r="A7" s="4" t="s">
        <v>182</v>
      </c>
      <c r="B7" s="4"/>
    </row>
    <row r="9" spans="1:2" ht="18" customHeight="1" x14ac:dyDescent="0.25">
      <c r="A9" s="5" t="s">
        <v>183</v>
      </c>
      <c r="B9" s="5"/>
    </row>
    <row r="10" spans="1:2" ht="43.5" customHeight="1" x14ac:dyDescent="0.25">
      <c r="A10" s="4" t="s">
        <v>184</v>
      </c>
      <c r="B10" s="4"/>
    </row>
    <row r="11" spans="1:2" ht="43.5" customHeight="1" x14ac:dyDescent="0.25">
      <c r="A11" s="4" t="s">
        <v>185</v>
      </c>
      <c r="B11" s="4"/>
    </row>
    <row r="12" spans="1:2" ht="27.75" customHeight="1" x14ac:dyDescent="0.25">
      <c r="A12" s="4" t="s">
        <v>186</v>
      </c>
      <c r="B12" s="4"/>
    </row>
    <row r="14" spans="1:2" ht="18" customHeight="1" x14ac:dyDescent="0.25">
      <c r="A14" s="5" t="s">
        <v>187</v>
      </c>
      <c r="B14" s="5"/>
    </row>
    <row r="15" spans="1:2" ht="30" customHeight="1" x14ac:dyDescent="0.25">
      <c r="A15" s="4" t="s">
        <v>188</v>
      </c>
      <c r="B15" s="4"/>
    </row>
    <row r="17" spans="1:2" ht="18" customHeight="1" x14ac:dyDescent="0.25">
      <c r="A17" s="5" t="s">
        <v>189</v>
      </c>
      <c r="B17" s="5"/>
    </row>
    <row r="18" spans="1:2" ht="39.75" customHeight="1" x14ac:dyDescent="0.25">
      <c r="A18" s="4" t="s">
        <v>190</v>
      </c>
      <c r="B18" s="4"/>
    </row>
    <row r="19" spans="1:2" ht="25.5" customHeight="1" x14ac:dyDescent="0.25">
      <c r="A19" s="3" t="s">
        <v>191</v>
      </c>
      <c r="B19" s="3"/>
    </row>
    <row r="20" spans="1:2" ht="60" customHeight="1" x14ac:dyDescent="0.25">
      <c r="A20" s="4" t="s">
        <v>192</v>
      </c>
      <c r="B20" s="4"/>
    </row>
    <row r="22" spans="1:2" ht="18" customHeight="1" x14ac:dyDescent="0.25">
      <c r="A22" s="5" t="s">
        <v>193</v>
      </c>
      <c r="B22" s="5"/>
    </row>
    <row r="23" spans="1:2" ht="49.5" customHeight="1" x14ac:dyDescent="0.25">
      <c r="A23" s="4" t="s">
        <v>194</v>
      </c>
      <c r="B23" s="4"/>
    </row>
    <row r="24" spans="1:2" ht="30" customHeight="1" x14ac:dyDescent="0.25">
      <c r="A24" s="3" t="s">
        <v>195</v>
      </c>
      <c r="B24" s="3"/>
    </row>
    <row r="26" spans="1:2" ht="18" customHeight="1" x14ac:dyDescent="0.25">
      <c r="A26" s="5" t="s">
        <v>196</v>
      </c>
      <c r="B26" s="5"/>
    </row>
    <row r="27" spans="1:2" ht="189.75" customHeight="1" x14ac:dyDescent="0.25">
      <c r="A27" s="3" t="s">
        <v>197</v>
      </c>
      <c r="B27" s="3"/>
    </row>
    <row r="29" spans="1:2" ht="18" customHeight="1" x14ac:dyDescent="0.25">
      <c r="A29" s="5" t="s">
        <v>198</v>
      </c>
      <c r="B29" s="5"/>
    </row>
    <row r="30" spans="1:2" ht="39.75" customHeight="1" x14ac:dyDescent="0.25">
      <c r="A30" s="4" t="s">
        <v>199</v>
      </c>
      <c r="B30" s="4"/>
    </row>
    <row r="31" spans="1:2" ht="30" customHeight="1" x14ac:dyDescent="0.25">
      <c r="A31" s="4" t="s">
        <v>200</v>
      </c>
      <c r="B31" s="4"/>
    </row>
    <row r="32" spans="1:2" ht="19.5" customHeight="1" x14ac:dyDescent="0.25">
      <c r="A32" s="4" t="s">
        <v>201</v>
      </c>
      <c r="B32" s="4"/>
    </row>
    <row r="33" spans="1:2" ht="67.5" customHeight="1" x14ac:dyDescent="0.25">
      <c r="A33" s="4" t="s">
        <v>202</v>
      </c>
      <c r="B33" s="4"/>
    </row>
    <row r="34" spans="1:2" ht="31.5" customHeight="1" x14ac:dyDescent="0.25">
      <c r="A34" s="2" t="s">
        <v>203</v>
      </c>
      <c r="B34" s="2"/>
    </row>
  </sheetData>
  <mergeCells count="27">
    <mergeCell ref="A33:B33"/>
    <mergeCell ref="A34:B34"/>
    <mergeCell ref="A27:B27"/>
    <mergeCell ref="A29:B29"/>
    <mergeCell ref="A30:B30"/>
    <mergeCell ref="A31:B31"/>
    <mergeCell ref="A32:B32"/>
    <mergeCell ref="A20:B20"/>
    <mergeCell ref="A22:B22"/>
    <mergeCell ref="A23:B23"/>
    <mergeCell ref="A24:B24"/>
    <mergeCell ref="A26:B26"/>
    <mergeCell ref="A14:B14"/>
    <mergeCell ref="A15:B15"/>
    <mergeCell ref="A17:B17"/>
    <mergeCell ref="A18:B18"/>
    <mergeCell ref="A19:B19"/>
    <mergeCell ref="A7:B7"/>
    <mergeCell ref="A9:B9"/>
    <mergeCell ref="A10:B10"/>
    <mergeCell ref="A11:B11"/>
    <mergeCell ref="A12:B12"/>
    <mergeCell ref="A1:B1"/>
    <mergeCell ref="A3:B3"/>
    <mergeCell ref="A4:B4"/>
    <mergeCell ref="A5:B5"/>
    <mergeCell ref="A6:B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
  <sheetViews>
    <sheetView showGridLines="0" topLeftCell="A15" zoomScaleNormal="100" workbookViewId="0">
      <selection sqref="A1:F1"/>
    </sheetView>
  </sheetViews>
  <sheetFormatPr defaultColWidth="8.7109375" defaultRowHeight="15" x14ac:dyDescent="0.25"/>
  <cols>
    <col min="1" max="1" width="8" customWidth="1"/>
    <col min="2" max="2" width="34" customWidth="1"/>
    <col min="3" max="3" width="10" customWidth="1"/>
    <col min="4" max="4" width="26" customWidth="1"/>
    <col min="5" max="5" width="14" customWidth="1"/>
    <col min="6" max="6" width="54" customWidth="1"/>
  </cols>
  <sheetData>
    <row r="1" spans="1:6" ht="21.75" customHeight="1" x14ac:dyDescent="0.25">
      <c r="A1" s="10" t="s">
        <v>204</v>
      </c>
      <c r="B1" s="10"/>
      <c r="C1" s="10"/>
      <c r="D1" s="10"/>
      <c r="E1" s="10"/>
      <c r="F1" s="10"/>
    </row>
    <row r="2" spans="1:6" ht="55.5" customHeight="1" x14ac:dyDescent="0.25">
      <c r="A2" s="13" t="s">
        <v>205</v>
      </c>
      <c r="B2" s="13"/>
      <c r="C2" s="13"/>
      <c r="D2" s="13"/>
      <c r="E2" s="13"/>
      <c r="F2" s="13"/>
    </row>
    <row r="4" spans="1:6" ht="39.75" customHeight="1" x14ac:dyDescent="0.25">
      <c r="A4" s="34" t="s">
        <v>206</v>
      </c>
      <c r="B4" s="34" t="s">
        <v>207</v>
      </c>
      <c r="C4" s="34" t="s">
        <v>21</v>
      </c>
      <c r="D4" s="34" t="s">
        <v>208</v>
      </c>
      <c r="E4" s="34" t="s">
        <v>209</v>
      </c>
      <c r="F4" s="34" t="s">
        <v>210</v>
      </c>
    </row>
    <row r="5" spans="1:6" ht="78" customHeight="1" x14ac:dyDescent="0.25">
      <c r="A5" s="19" t="s">
        <v>211</v>
      </c>
      <c r="B5" s="20" t="s">
        <v>212</v>
      </c>
      <c r="C5" s="20" t="s">
        <v>33</v>
      </c>
      <c r="D5" s="20" t="s">
        <v>213</v>
      </c>
      <c r="E5" s="20">
        <v>4</v>
      </c>
      <c r="F5" s="20" t="s">
        <v>214</v>
      </c>
    </row>
    <row r="6" spans="1:6" ht="78" customHeight="1" x14ac:dyDescent="0.25">
      <c r="A6" s="19" t="s">
        <v>215</v>
      </c>
      <c r="B6" s="20" t="s">
        <v>216</v>
      </c>
      <c r="C6" s="20" t="s">
        <v>39</v>
      </c>
      <c r="D6" s="20" t="s">
        <v>217</v>
      </c>
      <c r="E6" s="20">
        <v>3</v>
      </c>
      <c r="F6" s="20" t="s">
        <v>218</v>
      </c>
    </row>
    <row r="7" spans="1:6" ht="78" customHeight="1" x14ac:dyDescent="0.25">
      <c r="A7" s="19" t="s">
        <v>219</v>
      </c>
      <c r="B7" s="20" t="s">
        <v>220</v>
      </c>
      <c r="C7" s="20" t="s">
        <v>59</v>
      </c>
      <c r="D7" s="20" t="s">
        <v>221</v>
      </c>
      <c r="E7" s="20">
        <v>4</v>
      </c>
      <c r="F7" s="20" t="s">
        <v>222</v>
      </c>
    </row>
    <row r="8" spans="1:6" ht="78" customHeight="1" x14ac:dyDescent="0.25">
      <c r="A8" s="19" t="s">
        <v>223</v>
      </c>
      <c r="B8" s="20" t="s">
        <v>224</v>
      </c>
      <c r="C8" s="20" t="s">
        <v>48</v>
      </c>
      <c r="D8" s="20" t="s">
        <v>225</v>
      </c>
      <c r="E8" s="20">
        <v>4</v>
      </c>
      <c r="F8" s="20" t="s">
        <v>226</v>
      </c>
    </row>
    <row r="9" spans="1:6" ht="78" customHeight="1" x14ac:dyDescent="0.25">
      <c r="A9" s="19" t="s">
        <v>227</v>
      </c>
      <c r="B9" s="20" t="s">
        <v>228</v>
      </c>
      <c r="C9" s="20" t="s">
        <v>54</v>
      </c>
      <c r="D9" s="20" t="s">
        <v>229</v>
      </c>
      <c r="E9" s="20">
        <v>3</v>
      </c>
      <c r="F9" s="20" t="s">
        <v>230</v>
      </c>
    </row>
    <row r="10" spans="1:6" ht="78" customHeight="1" x14ac:dyDescent="0.25">
      <c r="A10" s="19" t="s">
        <v>231</v>
      </c>
      <c r="B10" s="20" t="s">
        <v>232</v>
      </c>
      <c r="C10" s="20" t="s">
        <v>233</v>
      </c>
      <c r="D10" s="20" t="s">
        <v>234</v>
      </c>
      <c r="E10" s="20">
        <v>4</v>
      </c>
      <c r="F10" s="20" t="s">
        <v>235</v>
      </c>
    </row>
    <row r="11" spans="1:6" ht="78" customHeight="1" x14ac:dyDescent="0.25">
      <c r="A11" s="19" t="s">
        <v>236</v>
      </c>
      <c r="B11" s="20" t="s">
        <v>237</v>
      </c>
      <c r="C11" s="20" t="s">
        <v>48</v>
      </c>
      <c r="D11" s="20" t="s">
        <v>238</v>
      </c>
      <c r="E11" s="20">
        <v>3</v>
      </c>
      <c r="F11" s="20" t="s">
        <v>239</v>
      </c>
    </row>
    <row r="12" spans="1:6" ht="78" customHeight="1" x14ac:dyDescent="0.25">
      <c r="A12" s="19" t="s">
        <v>240</v>
      </c>
      <c r="B12" s="20" t="s">
        <v>241</v>
      </c>
      <c r="C12" s="20" t="s">
        <v>48</v>
      </c>
      <c r="D12" s="20" t="s">
        <v>242</v>
      </c>
      <c r="E12" s="20">
        <v>3</v>
      </c>
      <c r="F12" s="20" t="s">
        <v>243</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6"/>
  <sheetViews>
    <sheetView showGridLines="0" topLeftCell="A28" zoomScaleNormal="100" workbookViewId="0">
      <selection sqref="A1:D1"/>
    </sheetView>
  </sheetViews>
  <sheetFormatPr defaultColWidth="8.7109375" defaultRowHeight="15" x14ac:dyDescent="0.25"/>
  <cols>
    <col min="1" max="1" width="10" customWidth="1"/>
    <col min="2" max="2" width="20" customWidth="1"/>
    <col min="3" max="3" width="46" customWidth="1"/>
    <col min="4" max="4" width="34" customWidth="1"/>
  </cols>
  <sheetData>
    <row r="1" spans="1:4" ht="21.75" customHeight="1" x14ac:dyDescent="0.25">
      <c r="A1" s="14" t="s">
        <v>244</v>
      </c>
      <c r="B1" s="14"/>
      <c r="C1" s="14"/>
      <c r="D1" s="14"/>
    </row>
    <row r="3" spans="1:4" x14ac:dyDescent="0.25">
      <c r="A3" s="1" t="s">
        <v>245</v>
      </c>
      <c r="B3" s="1"/>
      <c r="C3" s="1"/>
      <c r="D3" s="1"/>
    </row>
    <row r="4" spans="1:4" x14ac:dyDescent="0.25">
      <c r="A4" s="15" t="s">
        <v>246</v>
      </c>
      <c r="B4" s="15" t="s">
        <v>247</v>
      </c>
      <c r="C4" s="15" t="s">
        <v>24</v>
      </c>
      <c r="D4" s="15" t="s">
        <v>248</v>
      </c>
    </row>
    <row r="5" spans="1:4" ht="30" customHeight="1" x14ac:dyDescent="0.25">
      <c r="A5" s="20">
        <v>1</v>
      </c>
      <c r="B5" s="20" t="s">
        <v>249</v>
      </c>
      <c r="C5" s="20" t="s">
        <v>250</v>
      </c>
      <c r="D5" s="20" t="s">
        <v>251</v>
      </c>
    </row>
    <row r="6" spans="1:4" ht="30" customHeight="1" x14ac:dyDescent="0.25">
      <c r="A6" s="20">
        <v>2</v>
      </c>
      <c r="B6" s="20" t="s">
        <v>252</v>
      </c>
      <c r="C6" s="20" t="s">
        <v>253</v>
      </c>
      <c r="D6" s="20" t="s">
        <v>254</v>
      </c>
    </row>
    <row r="7" spans="1:4" ht="30" customHeight="1" x14ac:dyDescent="0.25">
      <c r="A7" s="20">
        <v>3</v>
      </c>
      <c r="B7" s="20" t="s">
        <v>255</v>
      </c>
      <c r="C7" s="20" t="s">
        <v>256</v>
      </c>
      <c r="D7" s="20" t="s">
        <v>257</v>
      </c>
    </row>
    <row r="8" spans="1:4" ht="30" customHeight="1" x14ac:dyDescent="0.25">
      <c r="A8" s="20">
        <v>4</v>
      </c>
      <c r="B8" s="20" t="s">
        <v>258</v>
      </c>
      <c r="C8" s="20" t="s">
        <v>259</v>
      </c>
      <c r="D8" s="20" t="s">
        <v>260</v>
      </c>
    </row>
    <row r="9" spans="1:4" ht="30" customHeight="1" x14ac:dyDescent="0.25">
      <c r="A9" s="20">
        <v>5</v>
      </c>
      <c r="B9" s="20" t="s">
        <v>261</v>
      </c>
      <c r="C9" s="20" t="s">
        <v>262</v>
      </c>
      <c r="D9" s="20" t="s">
        <v>263</v>
      </c>
    </row>
    <row r="11" spans="1:4" x14ac:dyDescent="0.25">
      <c r="A11" s="1" t="s">
        <v>264</v>
      </c>
      <c r="B11" s="1"/>
      <c r="C11" s="1"/>
      <c r="D11" s="1"/>
    </row>
    <row r="12" spans="1:4" x14ac:dyDescent="0.25">
      <c r="A12" s="15" t="s">
        <v>246</v>
      </c>
      <c r="B12" s="15" t="s">
        <v>247</v>
      </c>
      <c r="C12" s="15" t="s">
        <v>24</v>
      </c>
      <c r="D12" s="15" t="s">
        <v>248</v>
      </c>
    </row>
    <row r="13" spans="1:4" ht="30" customHeight="1" x14ac:dyDescent="0.25">
      <c r="A13" s="20">
        <v>1</v>
      </c>
      <c r="B13" s="20" t="s">
        <v>174</v>
      </c>
      <c r="C13" s="20" t="s">
        <v>265</v>
      </c>
      <c r="D13" s="20" t="s">
        <v>266</v>
      </c>
    </row>
    <row r="14" spans="1:4" ht="30" customHeight="1" x14ac:dyDescent="0.25">
      <c r="A14" s="20">
        <v>2</v>
      </c>
      <c r="B14" s="20" t="s">
        <v>175</v>
      </c>
      <c r="C14" s="20" t="s">
        <v>267</v>
      </c>
      <c r="D14" s="20" t="s">
        <v>268</v>
      </c>
    </row>
    <row r="15" spans="1:4" ht="30" customHeight="1" x14ac:dyDescent="0.25">
      <c r="A15" s="20">
        <v>3</v>
      </c>
      <c r="B15" s="20" t="s">
        <v>176</v>
      </c>
      <c r="C15" s="20" t="s">
        <v>269</v>
      </c>
      <c r="D15" s="20" t="s">
        <v>270</v>
      </c>
    </row>
    <row r="17" spans="1:4" x14ac:dyDescent="0.25">
      <c r="A17" s="1" t="s">
        <v>271</v>
      </c>
      <c r="B17" s="1"/>
      <c r="C17" s="1"/>
      <c r="D17" s="1"/>
    </row>
    <row r="18" spans="1:4" x14ac:dyDescent="0.25">
      <c r="A18" s="15" t="s">
        <v>246</v>
      </c>
      <c r="B18" s="15" t="s">
        <v>247</v>
      </c>
      <c r="C18" s="15" t="s">
        <v>24</v>
      </c>
      <c r="D18" s="15" t="s">
        <v>248</v>
      </c>
    </row>
    <row r="19" spans="1:4" ht="30" customHeight="1" x14ac:dyDescent="0.25">
      <c r="A19" s="20">
        <v>1</v>
      </c>
      <c r="B19" s="20" t="s">
        <v>272</v>
      </c>
      <c r="C19" s="20" t="s">
        <v>273</v>
      </c>
      <c r="D19" s="20" t="s">
        <v>274</v>
      </c>
    </row>
    <row r="20" spans="1:4" ht="30" customHeight="1" x14ac:dyDescent="0.25">
      <c r="A20" s="20">
        <v>2</v>
      </c>
      <c r="B20" s="20" t="s">
        <v>275</v>
      </c>
      <c r="C20" s="20" t="s">
        <v>276</v>
      </c>
      <c r="D20" s="20" t="s">
        <v>277</v>
      </c>
    </row>
    <row r="21" spans="1:4" ht="30" customHeight="1" x14ac:dyDescent="0.25">
      <c r="A21" s="20">
        <v>3</v>
      </c>
      <c r="B21" s="20" t="s">
        <v>278</v>
      </c>
      <c r="C21" s="20" t="s">
        <v>279</v>
      </c>
      <c r="D21" s="20" t="s">
        <v>280</v>
      </c>
    </row>
    <row r="23" spans="1:4" x14ac:dyDescent="0.25">
      <c r="A23" s="1" t="s">
        <v>281</v>
      </c>
      <c r="B23" s="1"/>
      <c r="C23" s="1"/>
      <c r="D23" s="1"/>
    </row>
    <row r="24" spans="1:4" x14ac:dyDescent="0.25">
      <c r="A24" s="15" t="s">
        <v>246</v>
      </c>
      <c r="B24" s="15" t="s">
        <v>247</v>
      </c>
      <c r="C24" s="15" t="s">
        <v>24</v>
      </c>
      <c r="D24" s="15" t="s">
        <v>248</v>
      </c>
    </row>
    <row r="25" spans="1:4" ht="30" customHeight="1" x14ac:dyDescent="0.25">
      <c r="A25" s="20">
        <v>1</v>
      </c>
      <c r="B25" s="20" t="s">
        <v>282</v>
      </c>
      <c r="C25" s="20" t="s">
        <v>283</v>
      </c>
      <c r="D25" s="20" t="s">
        <v>284</v>
      </c>
    </row>
    <row r="26" spans="1:4" ht="30" customHeight="1" x14ac:dyDescent="0.25">
      <c r="A26" s="20">
        <v>2</v>
      </c>
      <c r="B26" s="20" t="s">
        <v>285</v>
      </c>
      <c r="C26" s="20" t="s">
        <v>286</v>
      </c>
      <c r="D26" s="20" t="s">
        <v>287</v>
      </c>
    </row>
    <row r="27" spans="1:4" ht="30" customHeight="1" x14ac:dyDescent="0.25">
      <c r="A27" s="20">
        <v>3</v>
      </c>
      <c r="B27" s="20" t="s">
        <v>288</v>
      </c>
      <c r="C27" s="20" t="s">
        <v>289</v>
      </c>
      <c r="D27" s="20" t="s">
        <v>290</v>
      </c>
    </row>
    <row r="28" spans="1:4" ht="30" customHeight="1" x14ac:dyDescent="0.25">
      <c r="A28" s="20">
        <v>4</v>
      </c>
      <c r="B28" s="20" t="s">
        <v>291</v>
      </c>
      <c r="C28" s="20" t="s">
        <v>292</v>
      </c>
      <c r="D28" s="20" t="s">
        <v>293</v>
      </c>
    </row>
    <row r="30" spans="1:4" ht="39.75" customHeight="1" x14ac:dyDescent="0.25">
      <c r="A30" s="35" t="s">
        <v>294</v>
      </c>
      <c r="B30" s="35"/>
      <c r="C30" s="35"/>
      <c r="D30" s="35"/>
    </row>
    <row r="32" spans="1:4" x14ac:dyDescent="0.25">
      <c r="A32" s="1" t="s">
        <v>295</v>
      </c>
      <c r="B32" s="1"/>
      <c r="C32" s="1"/>
      <c r="D32" s="1"/>
    </row>
    <row r="33" spans="1:4" x14ac:dyDescent="0.25">
      <c r="A33" s="15" t="s">
        <v>246</v>
      </c>
      <c r="B33" s="15" t="s">
        <v>247</v>
      </c>
      <c r="C33" s="15" t="s">
        <v>24</v>
      </c>
      <c r="D33" s="15" t="s">
        <v>248</v>
      </c>
    </row>
    <row r="34" spans="1:4" ht="30" customHeight="1" x14ac:dyDescent="0.25">
      <c r="A34" s="20">
        <v>1</v>
      </c>
      <c r="B34" s="20" t="s">
        <v>174</v>
      </c>
      <c r="C34" s="20" t="s">
        <v>296</v>
      </c>
      <c r="D34" s="20" t="s">
        <v>297</v>
      </c>
    </row>
    <row r="35" spans="1:4" ht="30" customHeight="1" x14ac:dyDescent="0.25">
      <c r="A35" s="20">
        <v>2</v>
      </c>
      <c r="B35" s="20" t="s">
        <v>175</v>
      </c>
      <c r="C35" s="20" t="s">
        <v>298</v>
      </c>
      <c r="D35" s="20" t="s">
        <v>299</v>
      </c>
    </row>
    <row r="36" spans="1:4" ht="30" customHeight="1" x14ac:dyDescent="0.25">
      <c r="A36" s="20">
        <v>3</v>
      </c>
      <c r="B36" s="20" t="s">
        <v>176</v>
      </c>
      <c r="C36" s="20" t="s">
        <v>300</v>
      </c>
      <c r="D36" s="20" t="s">
        <v>301</v>
      </c>
    </row>
  </sheetData>
  <mergeCells count="7">
    <mergeCell ref="A30:D30"/>
    <mergeCell ref="A32:D32"/>
    <mergeCell ref="A1:D1"/>
    <mergeCell ref="A3:D3"/>
    <mergeCell ref="A11:D11"/>
    <mergeCell ref="A17:D17"/>
    <mergeCell ref="A23:D2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Column_Dictionary</vt:lpstr>
      <vt:lpstr>Risk_Assessment_Rules</vt:lpstr>
      <vt:lpstr>Risk_Calculation_Engine</vt:lpstr>
      <vt:lpstr>Risk_Label_Methodology</vt:lpstr>
      <vt:lpstr>Risk_Table_RMMM</vt:lpstr>
      <vt:lpstr>Encoding_Reference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Khuzaimah Khan</cp:lastModifiedBy>
  <cp:revision>0</cp:revision>
  <dcterms:created xsi:type="dcterms:W3CDTF">2026-07-10T06:04:30Z</dcterms:created>
  <dcterms:modified xsi:type="dcterms:W3CDTF">2026-07-10T08:44:35Z</dcterms:modified>
  <dc:language>en-US</dc:language>
</cp:coreProperties>
</file>